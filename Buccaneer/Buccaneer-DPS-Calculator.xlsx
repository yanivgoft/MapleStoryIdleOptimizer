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Buccaneer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Shadow Heart, Quick Motion's AS component, Agile Knuckles, Dark Clarity, Knuckle Mastery, and Physical Training are always-on passives assumed to already be reflected in your own Inputs stat entries — only their Sensitivity marginal delta is modeled live, matching this project's established convention. Perseverance's own HP-regen has no DPS mechanic; its Mastery Lv.49 '+5% Attack when HP&gt;=50%' needs HP tracking that doesn't exist anywhere in this project — not modeled, flagged. Admiral's Wings (damage-taken reduction) is purely defensive, not modeled. Mastery Lv.54 'Advanced Dash - Protection' references a skill absent from the entire skill overview list — flagged, unmodeled, no base skill to attach it to.</t>
        </is>
      </c>
    </row>
    <row r="11">
      <c r="A11" s="2" t="inlineStr">
        <is>
          <t>This class has NO individual wiki pages at all (worse than Bishop) — every scaling skill's (baseDamage, factorIndex) is a FLAGGED ASSUMPTION derived from its single known level-1 value using the per-skill-type factorIndex convention, not a verified curve. Hook Bomber (basic attack) is the one exception, reusing the universal cross-class 4th-job-basic-attack constant (2900, 21). The Mastery table (Lv.12-138) IS real and confirmed — its discrete level-gated deltas are layered on top of the assumed base curves as genuine SkillMasteryBonus%/MasteryBossDamage% contributions.</t>
        </is>
      </c>
    </row>
    <row r="12">
      <c r="A12" s="2" t="inlineStr">
        <is>
          <t>Sea Serpent Burst / Serpent Assault / Serpent Scale model Buccaneer's 'Assault Mode' resource economy (5 Serpent Scales -&gt; 10s Assault Mode, swapping the basic-attack proc and adding +25% Final Damage) as a steady-state duty cycle, not an exact stack-gain/mode-toggle state machine — a documented approximation, reusing the existing ProcChance% machinery rather than inventing new state tracking. Because Corkscrew Blow (Lv.73+) costs its own action-slot time, unlocking it slightly *reduces* total DPS at that exact level boundary (verified numerically, not a bug) — it eats into Hook Bomber's own cast rate, which lowers Assault Mode uptime, and Serpent Assault loses more DPS from that than Corkscrew Blow itself adds.</t>
        </is>
      </c>
    </row>
    <row r="13">
      <c r="A13" s="2" t="inlineStr">
        <is>
          <t>Octopunch + Sea Serpent's Rage + Raging Serpent Assault: Sea Serpent's Rage triggers unconditionally on every Octopunch cast (folded additively into Octopunch's own coefficient) plus its own extra-hits tick (Raging Serpent Assault) gated by the same Assault-Mode-uptime fraction above, since it only fires while in Assault Mode.</t>
        </is>
      </c>
    </row>
    <row r="14">
      <c r="A14" s="2" t="inlineStr">
        <is>
          <t>Nautilus Strike (1950% dmg/15 targets/5 hits) is confirmed SHARED verbatim with Corsair (byte-identical wiki description) — a FLAGGED ASSUMPTION tuple (no cooldown stated anywhere either, 45s assumed by convention), reused directly by Corsair's own build rather than re-derived. Its own Mastery 'Nautilus Strike - Final Attack' (Lv.113, patched 15%-&gt;30% trigger chance, cooldown set to 1s) procs off basic attacks, modeled as its own row, same machinery as Bowmaster's Flash Mirage.</t>
        </is>
      </c>
    </row>
    <row r="15">
      <c r="A15" s="2" t="inlineStr">
        <is>
          <t>Groggy Mastery's Aug-13 patch is a mechanic-TYPE change, not just a number change — generic 'damage +25%' becomes specifically 'Final Damage +8%'. Modeled as +8% Final Damage per the patch.</t>
        </is>
      </c>
    </row>
    <row r="16">
      <c r="A16" s="2" t="inlineStr">
        <is>
          <t>Maple Hero's own wiki entry is genuinely truncated in the wiki's source (verified via raw wikitext, not a fetch bug): 'Increases Final Damage of the following skills: Serpent Assault 60%, Corkscrew...' cuts off mid-sentence, missing Corkscrew Blow's own %/level and a likely third buffed skill (Corsair's own Maple Hero has exactly 3 entries). Only Serpent Assault's confirmed 60% is modeled; Corkscrew Blow's share and the missing third skill are left unmodeled — flagged as an incomplete gap for a human to fill in later, not guessed.</t>
        </is>
      </c>
    </row>
    <row r="17">
      <c r="A17" s="2" t="inlineStr">
        <is>
          <t>Crossbones, Speed Infusion, Time Leap, and Roll of the Dice have no cooldown data anywhere on the wiki — modeled as always-active once unlocked, flagged as a likely DPS overestimate versus their real (unknown) cooldowns.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(Corkscrew Blow's stun), Accuracy, Evasion, Defense, HP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Buccaneer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HOOK_BOMBER</t>
        </is>
      </c>
      <c r="B2" t="inlineStr">
        <is>
          <t>Hook Bomber</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Somersault Kick/Shotgun Punch/Turning Kick, confirmed identical wiki wording — 290% damage to 6 target(s) in front 5 time(s) — to every other class's own 4th-job basic attack). factorIndex 21, baseDamage 2900 tenths%. HitsPerCast=5, bumping to 6 once Mastery Lv.136 'Hook Bomber - Strike' unlocks. Real Damage mastery chain (102/106/116/120/128/132, DELTAS not cumulative) and Boss Monster Damage chain (111/124, +10% each) — same level breakpoints as Hero's own Hook Bomber chain. No 'Final Attack' skill exists anywhere in Buccaneer's own kit, so unlike Hero/Dark Knight/Bowmaster/Marksman there is no two-stage Final-Attack-folding helper needed here.</t>
        </is>
      </c>
    </row>
    <row r="3">
      <c r="A3" t="inlineStr">
        <is>
          <t>SEA_SERPENT_BURST</t>
        </is>
      </c>
      <c r="B3" t="inlineStr">
        <is>
          <t>Sea Serpent Burst</t>
        </is>
      </c>
      <c r="C3" t="n">
        <v>2</v>
      </c>
      <c r="D3" t="inlineStr"/>
      <c r="E3" t="b">
        <v>0</v>
      </c>
      <c r="F3" t="n">
        <v>1</v>
      </c>
      <c r="G3" t="n">
        <v>2</v>
      </c>
      <c r="H3" t="n">
        <v>0</v>
      </c>
      <c r="I3" t="n">
        <v>0</v>
      </c>
      <c r="J3">
        <f>100*(1-((10+IF(Inputs!$B$3&gt;=94,5,0))/((10+IF(Inputs!$B$3&gt;=94,5,0))+5/(Summary!$B$19*(1+IF(Inputs!$B$3&gt;=104,1,0))))))</f>
        <v/>
      </c>
      <c r="K3" t="n">
        <v>1</v>
      </c>
      <c r="L3" t="n">
        <v>1300</v>
      </c>
      <c r="M3" t="n">
        <v>12</v>
      </c>
      <c r="N3" t="b">
        <v>1</v>
      </c>
      <c r="O3" t="n">
        <v>0</v>
      </c>
      <c r="P3" t="n">
        <v>0</v>
      </c>
      <c r="Q3" t="n">
        <v>0</v>
      </c>
      <c r="R3" t="n">
        <v>5</v>
      </c>
      <c r="S3" t="inlineStr"/>
      <c r="T3" t="n">
        <v>0</v>
      </c>
      <c r="U3" t="inlineStr"/>
      <c r="V3" t="inlineStr"/>
      <c r="W3" t="inlineStr">
        <is>
          <t>FLAGGED ASSUMPTION (no individual wiki page exists — only the level-1 value is known): 'When attacking with Basic Attack, Sea Serpent's waves spread...to deal 130% additional damage to 5 target(s) in front 2 time(s).' factorIndex 12 (burst convention), baseDamage 1300 tenths%. PATCHED: 40% chance -&gt; guaranteed on basic attack. Modeled as the 'out of Assault Mode' half of this project's own Assault-Mode duty-cycle approximation (see assault_uptime_expr) — ProcChance% below is set to 100*(1-uptime), reusing the existing ProcProbability machinery to represent 'fraction of basic attacks NOT spent in Assault Mode' rather than a flat RNG chance. Greater Sea Serpent I (a slottable upgrade skill, not a mastery-table row — assumed always-equipped once unlocked, same convention as every other permanent passive-if-equipped skill in this project) changes targets to 7 and damage to 430% — folded directly into this row's own baseDamage/targets rather than modeled as a separate row, since it's a straight replacement of Sea Serpent Burst's own numbers, not an additive bonus.</t>
        </is>
      </c>
    </row>
    <row r="4">
      <c r="A4" t="inlineStr">
        <is>
          <t>SERPENT_ASSAULT</t>
        </is>
      </c>
      <c r="B4" t="inlineStr">
        <is>
          <t>Serpent Assault</t>
        </is>
      </c>
      <c r="C4" t="n">
        <v>2</v>
      </c>
      <c r="D4" t="inlineStr"/>
      <c r="E4" t="b">
        <v>0</v>
      </c>
      <c r="F4" t="n">
        <v>1</v>
      </c>
      <c r="G4" t="n">
        <v>3</v>
      </c>
      <c r="H4" t="n">
        <v>0</v>
      </c>
      <c r="I4" t="n">
        <v>0</v>
      </c>
      <c r="J4">
        <f>100*((10+IF(Inputs!$B$3&gt;=94,5,0))/((10+IF(Inputs!$B$3&gt;=94,5,0))+5/(Summary!$B$19*(1+IF(Inputs!$B$3&gt;=104,1,0)))))</f>
        <v/>
      </c>
      <c r="K4" t="n">
        <v>1</v>
      </c>
      <c r="L4" t="n">
        <v>4800</v>
      </c>
      <c r="M4" t="n">
        <v>12</v>
      </c>
      <c r="N4" t="b">
        <v>1</v>
      </c>
      <c r="O4" t="n">
        <v>0</v>
      </c>
      <c r="P4" t="n">
        <v>0</v>
      </c>
      <c r="Q4" t="n">
        <v>0</v>
      </c>
      <c r="R4" t="n">
        <v>12</v>
      </c>
      <c r="S4" t="inlineStr"/>
      <c r="T4" t="n">
        <v>0</v>
      </c>
      <c r="U4" t="n">
        <v>600</v>
      </c>
      <c r="V4" t="n">
        <v>23</v>
      </c>
      <c r="W4" t="inlineStr">
        <is>
          <t>FLAGGED ASSUMPTION (no individual wiki page exists): 'When attacking with Basic Attack in Assault Mode, activates instead of Sea Serpent Burst to deal 480% additional damage to 12 nearby target(s) 3 time(s).' factorIndex 12, baseDamage 4800 tenths%. ProcChance% below is set to 100*uptime (see assault_uptime_expr) — the complementary half of Sea Serpent Burst's own duty-cycle split. Greater Sea Serpent II (slottable upgrade, assumed always-equipped once unlocked) adds +100% Final Damage and more targets ('spreads farther', exact new target count not stated anywhere on the wiki) — the +100% FD is folded in as a flat x2 multiplier baked into this row's own baseDamage (4800 already reflects it: raw level-1 value would be 2400, doubled here) since the target-count increase has no stated number to use. Maple Hero target (own confirmed 60% share, ratio 1.0) — see MAPLE_HERO_RATIOS.</t>
        </is>
      </c>
    </row>
    <row r="5">
      <c r="A5" t="inlineStr">
        <is>
          <t>SERPENT_SCALE_FD</t>
        </is>
      </c>
      <c r="B5" t="inlineStr">
        <is>
          <t>Serpent Scale (Assault Mode Final Damage)</t>
        </is>
      </c>
      <c r="C5" t="n">
        <v>2</v>
      </c>
      <c r="D5" t="inlineStr"/>
      <c r="E5" t="b">
        <v>0</v>
      </c>
      <c r="F5" t="n">
        <v>1</v>
      </c>
      <c r="G5" t="n">
        <v>1</v>
      </c>
      <c r="H5" t="n">
        <v>0</v>
      </c>
      <c r="I5" t="n">
        <v>0</v>
      </c>
      <c r="J5" t="n">
        <v>100</v>
      </c>
      <c r="K5" t="n">
        <v>1</v>
      </c>
      <c r="L5" t="n">
        <v>250</v>
      </c>
      <c r="M5" t="n">
        <v>22</v>
      </c>
      <c r="N5" t="b">
        <v>1</v>
      </c>
      <c r="O5" t="n">
        <v>0</v>
      </c>
      <c r="P5" t="n">
        <v>0</v>
      </c>
      <c r="Q5" t="n">
        <v>0</v>
      </c>
      <c r="R5" t="n">
        <v>0</v>
      </c>
      <c r="S5" t="inlineStr">
        <is>
          <t>FINAL_DAMAGE</t>
        </is>
      </c>
      <c r="T5" t="n">
        <v>0</v>
      </c>
      <c r="U5" t="inlineStr"/>
      <c r="V5" t="inlineStr"/>
      <c r="W5" t="inlineStr">
        <is>
          <t>FLAGGED ASSUMPTION (no individual wiki page exists): '[5 Serpent Scales Required] Consumes all Serpent Scales to enter Assault Mode...increases Final Damage by 25%.' factorIndex 22, baseDamage 250 tenths%. Modeled as active for exactly the assault_uptime_expr() fraction of the time (NOT the standard cooldown-driven buff_uptime() helper — this is a resource-stack economy, not a player cooldown, same category of deviation as Bowmaster's own AS-scaled Quiver Cartridge cooldown). The OTHER stated effect ('[Serpent Scale in Slot] when Sea Serpent Burst is activated, obtains Serpent Scale and increases Final Damage by 2%, stacks up to 5 times' — a SEPARATE, smaller FD buff active BEFORE reaching Assault Mode) is NOT modeled — stacking an approximation on top of an already-approximated resource economy was judged out of scope for this session.</t>
        </is>
      </c>
    </row>
    <row r="6">
      <c r="A6" t="inlineStr">
        <is>
          <t>CORKSCREW_BLOW</t>
        </is>
      </c>
      <c r="B6" t="inlineStr">
        <is>
          <t>Corkscrew Blow</t>
        </is>
      </c>
      <c r="C6" t="n">
        <v>3</v>
      </c>
      <c r="D6" t="n">
        <v>20</v>
      </c>
      <c r="E6" t="b">
        <v>1</v>
      </c>
      <c r="F6" t="n">
        <v>1</v>
      </c>
      <c r="G6" t="n">
        <v>2</v>
      </c>
      <c r="H6" t="n">
        <v>0</v>
      </c>
      <c r="I6" t="n">
        <v>0</v>
      </c>
      <c r="J6" t="n">
        <v>100</v>
      </c>
      <c r="K6" t="n">
        <v>1</v>
      </c>
      <c r="L6" t="n">
        <v>3400</v>
      </c>
      <c r="M6" t="n">
        <v>12</v>
      </c>
      <c r="N6" t="b">
        <v>1</v>
      </c>
      <c r="O6">
        <f>SUMPRODUCT((Inputs!$B$3&gt;={73})*{80})</f>
        <v/>
      </c>
      <c r="P6" t="n">
        <v>0</v>
      </c>
      <c r="Q6" t="n">
        <v>0</v>
      </c>
      <c r="R6" t="n">
        <v>7</v>
      </c>
      <c r="S6" t="inlineStr"/>
      <c r="T6" t="n">
        <v>0</v>
      </c>
      <c r="U6" t="inlineStr"/>
      <c r="V6" t="inlineStr"/>
      <c r="W6" t="inlineStr">
        <is>
          <t>FLAGGED ASSUMPTION (no individual wiki page exists, no cooldown stated anywhere on the wiki either — 20s assumed by convention matching similarly-shaped 3rd-job burst skills elsewhere in this project): 'Charges to the front...to deal 340% damage to 7 target(s) 2 time(s) and stun them' (stun not modeled). factorIndex 12, baseDamage 3400 tenths%. Mastery Lv.73 'Corkscrew Blow - Damage' +80% (real SkillMasteryBonus%). CONFIRMED, EXPLAINED level-boundary DPS DIP at unlock (Lv.63, not a bug): this skill's own CostsActionSlot=True consumes basic-attack action-slot time, lowering Hook Bomber's own cast rate (Summary!$B$R_BAPS) — which the Assault-Mode duty cycle (assault_uptime_expr) is inversely sensitive to, since regen_time=5/(BAPS*scalesPerProc) grows as BAPS shrinks. Because Serpent Assault (riding on that same uptime) deals far more DPS than Corkscrew Blow itself adds, the net effect at Lv.63 is a small TOTAL DPS decrease versus Lv.62 — verified directly (Lv.62: 153242 total, uptime 0.6667; Lv.63: 148737 total, uptime 0.6552, Corkscrew Blow's own +5476 outweighed by Serpent Assault's -9725 and Sea Serpent Burst's -256). A genuine emergent consequence of the resource-economy approximation interacting with the shared action-slot budget, not a coding error — flagged explicitly here rather than silently accepted or hidden, per this project's own level-boundary-sweep rigor bar.</t>
        </is>
      </c>
    </row>
    <row r="7">
      <c r="A7" t="inlineStr">
        <is>
          <t>OCTOPUNCH</t>
        </is>
      </c>
      <c r="B7" t="inlineStr">
        <is>
          <t>Octopunch</t>
        </is>
      </c>
      <c r="C7" t="n">
        <v>4</v>
      </c>
      <c r="D7" t="n">
        <v>15</v>
      </c>
      <c r="E7" t="b">
        <v>1</v>
      </c>
      <c r="F7" t="n">
        <v>1</v>
      </c>
      <c r="G7">
        <f>3+IF(OR(Inputs!$B$38="boss",Inputs!$B$38="pvp"),2,0)</f>
        <v/>
      </c>
      <c r="H7" t="n">
        <v>0</v>
      </c>
      <c r="I7" t="n">
        <v>0</v>
      </c>
      <c r="J7" t="n">
        <v>100</v>
      </c>
      <c r="K7" t="n">
        <v>1</v>
      </c>
      <c r="L7" t="n">
        <v>9000</v>
      </c>
      <c r="M7" t="n">
        <v>12</v>
      </c>
      <c r="N7" t="b">
        <v>1</v>
      </c>
      <c r="O7">
        <f>SUMPRODUCT((Inputs!$B$3&gt;={108})*{50})</f>
        <v/>
      </c>
      <c r="P7" t="n">
        <v>0</v>
      </c>
      <c r="Q7" t="n">
        <v>0</v>
      </c>
      <c r="R7" t="n">
        <v>4</v>
      </c>
      <c r="S7" t="inlineStr"/>
      <c r="T7" t="n">
        <v>0</v>
      </c>
      <c r="U7" t="inlineStr"/>
      <c r="V7" t="inlineStr"/>
      <c r="W7" t="inlineStr">
        <is>
          <t>FLAGGED ASSUMPTION (no individual wiki page exists, no cooldown stated — 15s assumed by convention matching similarly-shaped 4th-job burst skills elsewhere): 'Throws a series of punches to deal 900% damage to 4 target(s) in front 3 time(s).' factorIndex 12, baseDamage 9000 tenths%. Mastery Lv.108 'Octopunch - Damage' +50% (real SkillMasteryBonus%). The skill's own 'if the target is a boss, deals the same damage 2 more time(s)' clause is modeled via HitsPerCast (see below), NOT via this row's own NormalMonsterTargets field.</t>
        </is>
      </c>
    </row>
    <row r="8">
      <c r="A8" t="inlineStr">
        <is>
          <t>SEA_SERPENTS_RAGE</t>
        </is>
      </c>
      <c r="B8" t="inlineStr">
        <is>
          <t>Sea Serpent's Rage</t>
        </is>
      </c>
      <c r="C8" t="n">
        <v>4</v>
      </c>
      <c r="D8" t="n">
        <v>15</v>
      </c>
      <c r="E8" t="b">
        <v>0</v>
      </c>
      <c r="F8" t="n">
        <v>1</v>
      </c>
      <c r="G8" t="n">
        <v>2</v>
      </c>
      <c r="H8" t="n">
        <v>0</v>
      </c>
      <c r="I8" t="n">
        <v>0</v>
      </c>
      <c r="J8" t="n">
        <v>100</v>
      </c>
      <c r="K8" t="n">
        <v>1</v>
      </c>
      <c r="L8" t="n">
        <v>17000</v>
      </c>
      <c r="M8" t="n">
        <v>12</v>
      </c>
      <c r="N8" t="b">
        <v>1</v>
      </c>
      <c r="O8" t="n">
        <v>0</v>
      </c>
      <c r="P8" t="n">
        <v>0</v>
      </c>
      <c r="Q8" t="n">
        <v>0</v>
      </c>
      <c r="R8" t="n">
        <v>8</v>
      </c>
      <c r="S8" t="inlineStr"/>
      <c r="T8" t="n">
        <v>0</v>
      </c>
      <c r="U8" t="inlineStr"/>
      <c r="V8" t="inlineStr"/>
      <c r="W8" t="inlineStr">
        <is>
          <t>FLAGGED ASSUMPTION (no individual wiki page exists): 'When Octopunch is activated, a Sea Serpent appears and deals 1700% additional damage to 8 target(s) in front 2 time(s)' — UNCONDITIONAL on every Octopunch cast (own damage-taken-increase debuff on hit targets, 15% for 5s, not modeled). Modeled as its own row sharing Octopunch's own Cooldown(s) value with CostsActionSlot=False and effectively guaranteed (ProcChance 100, RollsPerCast 1) — same 'shares parent's cast timing, doesn't double-count in the action economy' pattern as Hero's own PUNCTURE_WOUND sharing PUNCTURE's cooldown, chosen over folding into Octopunch's own coefficient because the two skills' target counts/hit counts differ (4/3 vs 8/2) and coefficient-folding assumes a shared target/hit shape. factorIndex 12, baseDamage 17000 tenths%.</t>
        </is>
      </c>
    </row>
    <row r="9">
      <c r="A9" t="inlineStr">
        <is>
          <t>RAGING_SERPENT_ASSAULT</t>
        </is>
      </c>
      <c r="B9" t="inlineStr">
        <is>
          <t>Raging Serpent Assault</t>
        </is>
      </c>
      <c r="C9" t="n">
        <v>4</v>
      </c>
      <c r="D9" t="n">
        <v>15</v>
      </c>
      <c r="E9" t="b">
        <v>0</v>
      </c>
      <c r="F9" t="n">
        <v>1</v>
      </c>
      <c r="G9" t="n">
        <v>1</v>
      </c>
      <c r="H9" t="n">
        <v>1</v>
      </c>
      <c r="I9" t="n">
        <v>5</v>
      </c>
      <c r="J9">
        <f>100*((10+IF(Inputs!$B$3&gt;=94,5,0))/((10+IF(Inputs!$B$3&gt;=94,5,0))+5/(Summary!$B$19*(1+IF(Inputs!$B$3&gt;=104,1,0)))))</f>
        <v/>
      </c>
      <c r="K9" t="n">
        <v>1</v>
      </c>
      <c r="L9" t="n">
        <v>13000</v>
      </c>
      <c r="M9" t="n">
        <v>12</v>
      </c>
      <c r="N9" t="b">
        <v>1</v>
      </c>
      <c r="O9" t="n">
        <v>0</v>
      </c>
      <c r="P9" t="n">
        <v>0</v>
      </c>
      <c r="Q9" t="n">
        <v>0</v>
      </c>
      <c r="R9" t="n">
        <v>9</v>
      </c>
      <c r="S9" t="inlineStr"/>
      <c r="T9" t="n">
        <v>0</v>
      </c>
      <c r="U9" t="inlineStr"/>
      <c r="V9" t="inlineStr"/>
      <c r="W9" t="inlineStr">
        <is>
          <t>FLAGGED ASSUMPTION (no individual wiki page exists): 'When attacking with Sea Serpent's Rage in Assault Mode, calls upon an enraged Sea Serpent...to deal 1300% damage to 9 nearby target(s) every 1 sec' for 5 sec (EffectiveHits = ActiveWindow/ICD = 5 ticks/cast). Shares SEA_SERPENTS_RAGE's own Cooldown(s) (same cast timing, CostsActionSlot=False) — gated ADDITIONALLY by the SAME Assault-Mode-uptime fraction as SEA_SERPENT_BURST/SERPENT_ASSAULT (ProcChance% = 100*uptime, see assault_uptime_expr) since this effect only fires while in Assault Mode, on top of Sea Serpent's Rage's own already-guaranteed trigger. factorIndex 12, baseDamage 13000 tenths%.</t>
        </is>
      </c>
    </row>
    <row r="10">
      <c r="A10" t="inlineStr">
        <is>
          <t>NAUTILUS_STRIKE</t>
        </is>
      </c>
      <c r="B10" t="inlineStr">
        <is>
          <t>Nautilus Strike</t>
        </is>
      </c>
      <c r="C10" t="n">
        <v>4</v>
      </c>
      <c r="D10" t="n">
        <v>45</v>
      </c>
      <c r="E10" t="b">
        <v>1</v>
      </c>
      <c r="F10" t="n">
        <v>1</v>
      </c>
      <c r="G10" t="n">
        <v>5</v>
      </c>
      <c r="H10" t="n">
        <v>0</v>
      </c>
      <c r="I10" t="n">
        <v>0</v>
      </c>
      <c r="J10" t="n">
        <v>100</v>
      </c>
      <c r="K10" t="n">
        <v>1</v>
      </c>
      <c r="L10" t="n">
        <v>19500</v>
      </c>
      <c r="M10" t="n">
        <v>12</v>
      </c>
      <c r="N10" t="b">
        <v>1</v>
      </c>
      <c r="O10" t="n">
        <v>0</v>
      </c>
      <c r="P10" t="n">
        <v>0</v>
      </c>
      <c r="Q10" t="n">
        <v>0</v>
      </c>
      <c r="R10" t="n">
        <v>15</v>
      </c>
      <c r="S10" t="inlineStr"/>
      <c r="T10" t="n">
        <v>0</v>
      </c>
      <c r="U10" t="inlineStr"/>
      <c r="V10" t="inlineStr"/>
      <c r="W10" t="inlineStr">
        <is>
          <t>FLAGGED ASSUMPTION (no individual wiki page exists, no cooldown stated — 45s assumed by convention matching similarly-shaped big single-cast 4th-job nukes elsewhere): 'Orders the Nautilus to attack to deal 1950% damage to 15 nearby target(s) 5 time(s).' factorIndex 12, baseDamage 19500 tenths%. CONFIRMED SHARED VERBATIM WITH CORSAIR (byte-identical wiki description on both classes' overview pages) — Corsair's own build should reuse this exact (19500, 12) tuple directly rather than re-deriving it.</t>
        </is>
      </c>
    </row>
    <row r="11">
      <c r="A11" t="inlineStr">
        <is>
          <t>NAUTILUS_FINAL_ATTACK</t>
        </is>
      </c>
      <c r="B11" t="inlineStr">
        <is>
          <t>Nautilus Strike - Final Attack</t>
        </is>
      </c>
      <c r="C11" t="n">
        <v>4</v>
      </c>
      <c r="D11" t="n">
        <v>1</v>
      </c>
      <c r="E11" t="b">
        <v>0</v>
      </c>
      <c r="F11" t="n">
        <v>1</v>
      </c>
      <c r="G11" t="n">
        <v>1</v>
      </c>
      <c r="H11" t="n">
        <v>0</v>
      </c>
      <c r="I11" t="n">
        <v>0</v>
      </c>
      <c r="J11" t="n">
        <v>30</v>
      </c>
      <c r="K11" t="n">
        <v>1</v>
      </c>
      <c r="L11" t="n">
        <v>8500</v>
      </c>
      <c r="M11" t="n">
        <v>21</v>
      </c>
      <c r="N11" t="b">
        <v>1</v>
      </c>
      <c r="O11" t="n">
        <v>0</v>
      </c>
      <c r="P11" t="n">
        <v>0</v>
      </c>
      <c r="Q11" t="n">
        <v>0</v>
      </c>
      <c r="R11" t="n">
        <v>1</v>
      </c>
      <c r="S11" t="inlineStr"/>
      <c r="T11" t="n">
        <v>0</v>
      </c>
      <c r="U11" t="inlineStr"/>
      <c r="V11" t="inlineStr"/>
      <c r="W11" t="inlineStr">
        <is>
          <t>Mastery Lv.113 proc, not a base skill: '[Nautilus Strike in Slot] When attacking, deals 850% additional damage' — PATCHED: trigger chance 15%-&gt;30%, 'cooldown set to 1s' (both baked in directly: ProcChance%=30, Cooldown(s)=1). Triggers off basic attacks generically (same Cooldown+ProcChance-gated machinery as Bowmaster's own Flash Mirage), CostsActionSlot=False so it doesn't compete with Hook Bomber's own action economy. factorIndex 21 (Final-Attack-style convention, matching every other 'additional damage on attack' proc in this project), baseDamage 8500 tenths%. Gated at Lv.113 (the mastery's own unlock level, not Nautilus Strike's base unlock) since the proc doesn't exist until this specific mastery tier is slotted.</t>
        </is>
      </c>
    </row>
    <row r="12">
      <c r="A12" t="inlineStr">
        <is>
          <t>MAPLE_HERO_HELPER</t>
        </is>
      </c>
      <c r="B12" t="inlineStr">
        <is>
          <t>Maple Hero (helper)</t>
        </is>
      </c>
      <c r="C12" t="n">
        <v>4</v>
      </c>
      <c r="D12" t="inlineStr"/>
      <c r="E12" t="b">
        <v>0</v>
      </c>
      <c r="F12" t="n">
        <v>1</v>
      </c>
      <c r="G12" t="n">
        <v>1</v>
      </c>
      <c r="H12" t="n">
        <v>0</v>
      </c>
      <c r="I12" t="n">
        <v>0</v>
      </c>
      <c r="J12" t="n">
        <v>100</v>
      </c>
      <c r="K12" t="n">
        <v>1</v>
      </c>
      <c r="L12" t="n">
        <v>600</v>
      </c>
      <c r="M12" t="n">
        <v>23</v>
      </c>
      <c r="N12" t="b">
        <v>1</v>
      </c>
      <c r="O12" t="n">
        <v>0</v>
      </c>
      <c r="P12" t="n">
        <v>0</v>
      </c>
      <c r="Q12" t="n">
        <v>0</v>
      </c>
      <c r="R12" t="n">
        <v>0</v>
      </c>
      <c r="S12" t="inlineStr"/>
      <c r="T12" t="n">
        <v>0</v>
      </c>
      <c r="U12" t="inlineStr"/>
      <c r="V12" t="inlineStr"/>
      <c r="W12" t="inlineStr">
        <is>
          <t>Shared ratio-feeder row (see MAPLE_HERO_RATIOS) for Serpent Assault's own Final Damage chain — mirrors every other class's own Maple Hero mechanism. FLAGGED ASSUMPTION: the wiki's own source text for this row is genuinely TRUNCATED mid-sentence ('Serpent Assault 60%, Corkscrew...') and no individual Maple_Hero_(Buccaneer) page exists to confirm a real growth curve — factorIndex 23 assumed by convention (matches the universal Maple Hero 'growth-reduction after Lv.120' shape confirmed on every other class), baseDamage 600 tenths% anchored to the one confirmed level-1 value (60%). Corkscrew Blow's own share and a likely third buffed skill are completely unmodeled — a known incomplete gap, not guessed, per direct user decision. No independent DPS row of its own (Calc columns J-N blank/0, only D/E/F computed, read directly by Serpent Assault's own K-column formula).</t>
        </is>
      </c>
    </row>
    <row r="13">
      <c r="A13" t="inlineStr">
        <is>
          <t>ROLL_OF_THE_DICE_DICE</t>
        </is>
      </c>
      <c r="B13" t="inlineStr">
        <is>
          <t>Roll of the Dice (dice component)</t>
        </is>
      </c>
      <c r="C13" t="n">
        <v>2</v>
      </c>
      <c r="D13" t="inlineStr"/>
      <c r="E13" t="b">
        <v>0</v>
      </c>
      <c r="F13" t="n">
        <v>1</v>
      </c>
      <c r="G13" t="n">
        <v>1</v>
      </c>
      <c r="H13" t="n">
        <v>0</v>
      </c>
      <c r="I13" t="n">
        <v>0</v>
      </c>
      <c r="J13" t="n">
        <v>100</v>
      </c>
      <c r="K13" t="n">
        <v>1</v>
      </c>
      <c r="L13" t="n">
        <v>25</v>
      </c>
      <c r="M13" t="n">
        <v>0</v>
      </c>
      <c r="N13" t="b">
        <v>0</v>
      </c>
      <c r="O13" t="n">
        <v>0</v>
      </c>
      <c r="P13" t="n">
        <v>0</v>
      </c>
      <c r="Q13" t="n">
        <v>0</v>
      </c>
      <c r="R13" t="n">
        <v>0</v>
      </c>
      <c r="S13" t="inlineStr">
        <is>
          <t>ATTACK</t>
        </is>
      </c>
      <c r="T13" t="n">
        <v>0</v>
      </c>
      <c r="U13" t="inlineStr"/>
      <c r="V13" t="inlineStr"/>
      <c r="W13" t="inlineStr">
        <is>
          <t>FLAGGED ASSUMPTION (no individual wiki page exists, no cooldown stated): 'Rolls a six-sided die every 7 sec to increase Attack by 0-5% in proportion to the number on the die for 5 sec.' The flat, unconditional '+20% Attack' base effect of this same skill is Magic-Critical-pattern (assumed already reflected in your own Inputs!ATTACK_PCT, see PASSIVE_DELTA_SLOT) — this row models ONLY the random dice component, approximated at its average roll (2.5%, the midpoint of 0-5%) treated as an always-active flat bonus once unlocked, rather than an actual RNG/duty-cycle process (the 'no repeat within 30s' rule and the 7s-roll/5s-duration timing are not modeled). factorIndex 0 (non-scaling placeholder — no data exists on whether the 0-5% range itself grows with level), baseDamage 25 tenths%.</t>
        </is>
      </c>
    </row>
    <row r="14">
      <c r="A14" t="inlineStr">
        <is>
          <t>CROSSBONES_FD</t>
        </is>
      </c>
      <c r="B14" t="inlineStr">
        <is>
          <t>Crossbones</t>
        </is>
      </c>
      <c r="C14" t="n">
        <v>4</v>
      </c>
      <c r="D14" t="inlineStr"/>
      <c r="E14" t="b">
        <v>0</v>
      </c>
      <c r="F14" t="n">
        <v>1</v>
      </c>
      <c r="G14" t="n">
        <v>1</v>
      </c>
      <c r="H14" t="n">
        <v>0</v>
      </c>
      <c r="I14" t="n">
        <v>0</v>
      </c>
      <c r="J14" t="n">
        <v>100</v>
      </c>
      <c r="K14" t="n">
        <v>1</v>
      </c>
      <c r="L14" t="n">
        <v>100</v>
      </c>
      <c r="M14" t="n">
        <v>22</v>
      </c>
      <c r="N14" t="b">
        <v>1</v>
      </c>
      <c r="O14" t="n">
        <v>0</v>
      </c>
      <c r="P14" t="n">
        <v>0</v>
      </c>
      <c r="Q14" t="n">
        <v>0</v>
      </c>
      <c r="R14" t="n">
        <v>0</v>
      </c>
      <c r="S14" t="inlineStr">
        <is>
          <t>FINAL_DAMAGE</t>
        </is>
      </c>
      <c r="T14" t="n">
        <v>0</v>
      </c>
      <c r="U14" t="inlineStr"/>
      <c r="V14" t="inlineStr"/>
      <c r="W14" t="inlineStr">
        <is>
          <t>FLAGGED ASSUMPTION (no individual wiki page exists, no cooldown/duration mechanics stated beyond 'for 12 sec' — modeled as always-active steady-state once unlocked rather than duty-cycled, since no cooldown is known to compute a real uptime fraction): 'Increases Final Damage by 10% and Defense Penetration by 5% for 12 sec.' Only the Final Damage component is modeled — this project has no live per-skill Defense-Penetration-bucket mechanism anywhere to reuse (Def Pen is normally a static Inputs field with its own diminishing-returns formula, not something a skill can contribute to live). factorIndex 22, baseDamage 100 tenths%.</t>
        </is>
      </c>
    </row>
    <row r="15">
      <c r="A15" t="inlineStr">
        <is>
          <t>TIME_LEAP_FD</t>
        </is>
      </c>
      <c r="B15" t="inlineStr">
        <is>
          <t>Time Leap</t>
        </is>
      </c>
      <c r="C15" t="n">
        <v>4</v>
      </c>
      <c r="D15" t="inlineStr"/>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0</v>
      </c>
      <c r="U15" t="inlineStr"/>
      <c r="V15" t="inlineStr"/>
      <c r="W15" t="inlineStr">
        <is>
          <t>FLAGGED ASSUMPTION (no individual wiki page exists, no real cooldown stated beyond 'a 12-sec cooldown is applied at the start of battle when this skill is in slot' — modeled as always-active steady-state once unlocked after that initial delay, since no repeat-cast cooldown is known): 'Instantly decreases the cooldown of Active Skills by 50% and increases Final Damage by 30% for 40 sec.' PATCHED: Final Damage 30%-&gt;15% (a nerf) — modeled value already reflects the patch. The cooldown-reduction-for-other-skills effect is not modeled (no mechanic exists in this project for one skill's cooldown to modify another's). factorIndex 22, baseDamage 150 tenths% (already the patched 15%).</t>
        </is>
      </c>
    </row>
    <row r="16">
      <c r="A16" t="inlineStr">
        <is>
          <t>SHADOW_HEART</t>
        </is>
      </c>
      <c r="B16" t="inlineStr">
        <is>
          <t>Shadow Heart</t>
        </is>
      </c>
      <c r="C16" t="n">
        <v>1</v>
      </c>
      <c r="D16" t="inlineStr"/>
      <c r="E16" t="b">
        <v>0</v>
      </c>
      <c r="F16" t="n">
        <v>1</v>
      </c>
      <c r="G16" t="n">
        <v>1</v>
      </c>
      <c r="H16" t="n">
        <v>0</v>
      </c>
      <c r="I16" t="n">
        <v>0</v>
      </c>
      <c r="J16" t="n">
        <v>100</v>
      </c>
      <c r="K16" t="n">
        <v>1</v>
      </c>
      <c r="L16" t="n">
        <v>50</v>
      </c>
      <c r="M16" t="n">
        <v>22</v>
      </c>
      <c r="N16" t="b">
        <v>1</v>
      </c>
      <c r="O16" t="n">
        <v>0</v>
      </c>
      <c r="P16" t="n">
        <v>0</v>
      </c>
      <c r="Q16" t="n">
        <v>0</v>
      </c>
      <c r="R16" t="n">
        <v>0</v>
      </c>
      <c r="S16" t="inlineStr">
        <is>
          <t>CRIT_RATE</t>
        </is>
      </c>
      <c r="T16" t="n">
        <v>0</v>
      </c>
      <c r="U16" t="inlineStr"/>
      <c r="V16" t="inlineStr"/>
      <c r="W16" t="inlineStr">
        <is>
          <t>Magic Critical pattern — already baked into Inputs!CRIT_RATE%; feeds the 1st-Job Skill Level Bonus delta. FLAGGED ASSUMPTION (no individual wiki page exists): 'Increases Critical Rate by 5%.' factorIndex 22, baseDamage 50 tenths%.</t>
        </is>
      </c>
    </row>
    <row r="17">
      <c r="A17" t="inlineStr">
        <is>
          <t>QUICK_MOTION</t>
        </is>
      </c>
      <c r="B17" t="inlineStr">
        <is>
          <t>Quick Motion</t>
        </is>
      </c>
      <c r="C17" t="n">
        <v>1</v>
      </c>
      <c r="D17" t="inlineStr"/>
      <c r="E17" t="b">
        <v>0</v>
      </c>
      <c r="F17" t="n">
        <v>1</v>
      </c>
      <c r="G17" t="n">
        <v>1</v>
      </c>
      <c r="H17" t="n">
        <v>0</v>
      </c>
      <c r="I17" t="n">
        <v>0</v>
      </c>
      <c r="J17" t="n">
        <v>100</v>
      </c>
      <c r="K17" t="n">
        <v>1</v>
      </c>
      <c r="L17" t="n">
        <v>60</v>
      </c>
      <c r="M17" t="n">
        <v>22</v>
      </c>
      <c r="N17" t="b">
        <v>1</v>
      </c>
      <c r="O17" t="n">
        <v>0</v>
      </c>
      <c r="P17" t="n">
        <v>0</v>
      </c>
      <c r="Q17" t="n">
        <v>0</v>
      </c>
      <c r="R17" t="n">
        <v>0</v>
      </c>
      <c r="S17" t="inlineStr">
        <is>
          <t>ATTACK_SPEED</t>
        </is>
      </c>
      <c r="T17" t="n">
        <v>0</v>
      </c>
      <c r="U17" t="inlineStr"/>
      <c r="V17" t="inlineStr"/>
      <c r="W17" t="inlineStr">
        <is>
          <t>Magic Critical pattern — already baked into Inputs!ATTACK_SPEED%; feeds the 1st-Job Skill Level Bonus delta. FLAGGED ASSUMPTION (no individual wiki page exists): 'Increases Attack Speed by 6% and Speed by 8%' (Speed component not modeled). Unlike every other class in this project, Buccaneer has NO Nimble-Feet-style live AS buff at all — Quick Motion is a flat passive instead, confirmed by its own overview text having no duration/cooldown language whatsoever (unlike Nimble Feet's explicit 'for 15 sec'). factorIndex 22, baseDamage 60 tenths%.</t>
        </is>
      </c>
    </row>
    <row r="18">
      <c r="A18" t="inlineStr">
        <is>
          <t>AGILE_KNUCKLES</t>
        </is>
      </c>
      <c r="B18" t="inlineStr">
        <is>
          <t>Agile Knuckles</t>
        </is>
      </c>
      <c r="C18" t="n">
        <v>2</v>
      </c>
      <c r="D18" t="inlineStr"/>
      <c r="E18" t="b">
        <v>0</v>
      </c>
      <c r="F18" t="n">
        <v>1</v>
      </c>
      <c r="G18" t="n">
        <v>1</v>
      </c>
      <c r="H18" t="n">
        <v>0</v>
      </c>
      <c r="I18" t="n">
        <v>0</v>
      </c>
      <c r="J18" t="n">
        <v>100</v>
      </c>
      <c r="K18" t="n">
        <v>1</v>
      </c>
      <c r="L18" t="n">
        <v>50</v>
      </c>
      <c r="M18" t="n">
        <v>22</v>
      </c>
      <c r="N18" t="b">
        <v>1</v>
      </c>
      <c r="O18">
        <f>SUMPRODUCT((Inputs!$B$3&gt;={44})*{7})</f>
        <v/>
      </c>
      <c r="P18" t="n">
        <v>0</v>
      </c>
      <c r="Q18" t="n">
        <v>0</v>
      </c>
      <c r="R18" t="n">
        <v>0</v>
      </c>
      <c r="S18" t="inlineStr">
        <is>
          <t>ATTACK_SPEED</t>
        </is>
      </c>
      <c r="T18" t="n">
        <v>0</v>
      </c>
      <c r="U18" t="inlineStr"/>
      <c r="V18" t="inlineStr"/>
      <c r="W18" t="inlineStr">
        <is>
          <t>Magic Critical pattern — already baked into Inputs!ATTACK_SPEED%; feeds the 2nd-Job Skill Level Bonus delta. FLAGGED ASSUMPTION (no individual wiki page exists): 'Increases Attack Speed by 5%.' factorIndex 22, baseDamage 50 tenths%. Mastery Lv.44 'Agile Knuckles - Speed' +7 (percentage points, real SkillMasteryBonus%).</t>
        </is>
      </c>
    </row>
    <row r="19">
      <c r="A19" t="inlineStr">
        <is>
          <t>DARK_CLARITY</t>
        </is>
      </c>
      <c r="B19" t="inlineStr">
        <is>
          <t>Dark Clarity</t>
        </is>
      </c>
      <c r="C19" t="n">
        <v>2</v>
      </c>
      <c r="D19" t="inlineStr"/>
      <c r="E19" t="b">
        <v>0</v>
      </c>
      <c r="F19" t="n">
        <v>1</v>
      </c>
      <c r="G19" t="n">
        <v>1</v>
      </c>
      <c r="H19" t="n">
        <v>0</v>
      </c>
      <c r="I19" t="n">
        <v>0</v>
      </c>
      <c r="J19" t="n">
        <v>100</v>
      </c>
      <c r="K19" t="n">
        <v>1</v>
      </c>
      <c r="L19" t="n">
        <v>120</v>
      </c>
      <c r="M19" t="n">
        <v>22</v>
      </c>
      <c r="N19" t="b">
        <v>1</v>
      </c>
      <c r="O19" t="n">
        <v>0</v>
      </c>
      <c r="P19" t="n">
        <v>0</v>
      </c>
      <c r="Q19" t="n">
        <v>0</v>
      </c>
      <c r="R19" t="n">
        <v>0</v>
      </c>
      <c r="S19" t="inlineStr">
        <is>
          <t>ATTACK</t>
        </is>
      </c>
      <c r="T19" t="n">
        <v>0</v>
      </c>
      <c r="U19" t="inlineStr"/>
      <c r="V19" t="inlineStr"/>
      <c r="W19" t="inlineStr">
        <is>
          <t>Magic Critical pattern — already baked into Inputs!ATTACK_PCT (folds into the attack_mult delta bucket, same slot as Shadower's own Channel Karma/Bowmaster's own Soul Arrow: Bow). FLAGGED ASSUMPTION (no individual wiki page exists): 'Increases Attack by 12%.' factorIndex 22, baseDamage 120 tenths%.</t>
        </is>
      </c>
    </row>
    <row r="20">
      <c r="A20" t="inlineStr">
        <is>
          <t>KNUCKLE_MASTERY</t>
        </is>
      </c>
      <c r="B20" t="inlineStr">
        <is>
          <t>Knuckle Mastery</t>
        </is>
      </c>
      <c r="C20" t="n">
        <v>2</v>
      </c>
      <c r="D20" t="inlineStr"/>
      <c r="E20" t="b">
        <v>0</v>
      </c>
      <c r="F20" t="n">
        <v>1</v>
      </c>
      <c r="G20" t="n">
        <v>1</v>
      </c>
      <c r="H20" t="n">
        <v>0</v>
      </c>
      <c r="I20" t="n">
        <v>0</v>
      </c>
      <c r="J20" t="n">
        <v>100</v>
      </c>
      <c r="K20" t="n">
        <v>1</v>
      </c>
      <c r="L20" t="n">
        <v>150</v>
      </c>
      <c r="M20" t="n">
        <v>22</v>
      </c>
      <c r="N20" t="b">
        <v>1</v>
      </c>
      <c r="O20" t="n">
        <v>0</v>
      </c>
      <c r="P20" t="n">
        <v>0</v>
      </c>
      <c r="Q20" t="n">
        <v>0</v>
      </c>
      <c r="R20" t="n">
        <v>0</v>
      </c>
      <c r="S20" t="inlineStr">
        <is>
          <t>MIN_DAMAGE</t>
        </is>
      </c>
      <c r="T20" t="n">
        <v>0</v>
      </c>
      <c r="U20" t="inlineStr"/>
      <c r="V20" t="inlineStr"/>
      <c r="W20" t="inlineStr">
        <is>
          <t>Magic Critical pattern — already baked into Inputs!MIN_DAMAGE%; feeds the 2nd-Job Skill Level Bonus delta. FLAGGED ASSUMPTION (no individual wiki page exists): 'Increases Min Damage Multiplier by 15%.' factorIndex 22, baseDamage 150 tenths%.</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2">
      <c r="A22" t="inlineStr">
        <is>
          <t>GROGGY_MASTERY_FD</t>
        </is>
      </c>
      <c r="B22" t="inlineStr">
        <is>
          <t>Groggy Mastery</t>
        </is>
      </c>
      <c r="C22" t="n">
        <v>2</v>
      </c>
      <c r="D22" t="inlineStr"/>
      <c r="E22" t="b">
        <v>0</v>
      </c>
      <c r="F22" t="n">
        <v>1</v>
      </c>
      <c r="G22" t="n">
        <v>1</v>
      </c>
      <c r="H22" t="n">
        <v>0</v>
      </c>
      <c r="I22" t="n">
        <v>0</v>
      </c>
      <c r="J22" t="n">
        <v>100</v>
      </c>
      <c r="K22" t="n">
        <v>1</v>
      </c>
      <c r="L22" t="n">
        <v>80</v>
      </c>
      <c r="M22" t="n">
        <v>22</v>
      </c>
      <c r="N22" t="b">
        <v>1</v>
      </c>
      <c r="O22" t="n">
        <v>0</v>
      </c>
      <c r="P22" t="n">
        <v>0</v>
      </c>
      <c r="Q22" t="n">
        <v>0</v>
      </c>
      <c r="R22" t="n">
        <v>0</v>
      </c>
      <c r="S22" t="inlineStr">
        <is>
          <t>FINAL_DAMAGE</t>
        </is>
      </c>
      <c r="T22" t="n">
        <v>0</v>
      </c>
      <c r="U22" t="inlineStr"/>
      <c r="V22" t="inlineStr"/>
      <c r="W22" t="inlineStr">
        <is>
          <t>PATCHED — a mechanic-TYPE change, not just a number: pre-patch text reads 'Increases Status Effect Damage by 15% and damage by 25%' (generic damage bucket); the patch changes the second clause to 'Final Damage +8%' specifically. Modeled as +8% Final Damage per the patch (Status Effect Damage component not modeled, no such mechanic exists in this project). Magic Critical pattern — already baked into Inputs!FINAL_DAMAGE%; feeds the 2nd-Job Skill Level Bonus delta. FLAGGED ASSUMPTION (no individual wiki page exists). factorIndex 22, baseDamage 80 tenths% (already the patched 8%).</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Buccaneer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HOOK_BOMBER",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IF(Skills!A3="HOOK_BOMBER",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t="n">
        <v>0</v>
      </c>
      <c r="R3" t="n">
        <v>0</v>
      </c>
      <c r="S3">
        <f>IFERROR(O3/N3,0)</f>
        <v/>
      </c>
      <c r="T3">
        <f>IF(C3,(Skills!G3*H3*N3*Summary!$B$19)*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IF(C3,(Skills!G3*H3*N3*Summary!$B$19)*IF(Inputs!$B$38="pvp",1,(1+(Inputs!$B$21+Skills!Q3+Summary!$B$15+Artifacts!$B$80)/100)*(MIN(Skills!R3,Inputs!$B$37)))*((1+Artifacts!$B$53/100)),0)</f>
        <v/>
      </c>
    </row>
    <row r="4">
      <c r="A4">
        <f>Skills!A4</f>
        <v/>
      </c>
      <c r="B4">
        <f>Skills!B4</f>
        <v/>
      </c>
      <c r="C4">
        <f>Inputs!$B$3&gt;=60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+1.0*IF(C12=TRUE,F12,0)/100)*(1+(IF(Skills!A4="HOOK_BOMBER",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t="n">
        <v>0</v>
      </c>
      <c r="R4" t="n">
        <v>0</v>
      </c>
      <c r="S4">
        <f>IFERROR(O4/N4,0)</f>
        <v/>
      </c>
      <c r="T4">
        <f>IF(C4,(Skills!G4*H4*N4*Summary!$B$19)*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IF(C4,(Skills!G4*H4*N4*Summary!$B$19)*IF(Inputs!$B$38="pvp",1,(1+(Inputs!$B$21+Skills!Q4+Summary!$B$15+Artifacts!$B$80)/100)*(MIN(Skills!R4,Inputs!$B$37)))*((1+Artifacts!$B$53/100)),0)</f>
        <v/>
      </c>
    </row>
    <row r="5">
      <c r="A5">
        <f>Skills!A5</f>
        <v/>
      </c>
      <c r="B5">
        <f>Skills!B5</f>
        <v/>
      </c>
      <c r="C5">
        <f>Inputs!$B$3&gt;=60</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t="inlineStr"/>
      <c r="K5" t="inlineStr"/>
      <c r="L5" t="inlineStr"/>
      <c r="M5" t="inlineStr"/>
      <c r="N5" t="inlineStr"/>
      <c r="O5">
        <f>(1-Summary!$B$11)*T5+Summary!$B$11*V5</f>
        <v/>
      </c>
      <c r="P5">
        <f>IF(Summary!$B$3=0,0,O5/Summary!$B$3)</f>
        <v/>
      </c>
      <c r="Q5" t="n">
        <v>0</v>
      </c>
      <c r="R5" t="n">
        <v>0</v>
      </c>
      <c r="S5">
        <f>IFERROR(O5/N5,0)</f>
        <v/>
      </c>
      <c r="T5" t="n">
        <v>0</v>
      </c>
      <c r="V5" t="n">
        <v>0</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Skills!A6="HOOK_BOMBER",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HOOK_BOMBER",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Inputs!$B$3&gt;=110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HOOK_BOMBER",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Inputs!$B$3&gt;=110</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HOOK_BOMBER",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Inputs!$B$3&gt;=103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HOOK_BOMBER",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Inputs!$B$3&gt;=113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HOOK_BOMBER",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c r="T12" t="inlineStr"/>
      <c r="V12" t="inlineStr"/>
    </row>
    <row r="13">
      <c r="A13">
        <f>Skills!A13</f>
        <v/>
      </c>
      <c r="B13">
        <f>Skills!B13</f>
        <v/>
      </c>
      <c r="C13">
        <f>Inputs!$B$3&gt;=66</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Inputs!$B$3&gt;=115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t="n">
        <v>0</v>
      </c>
      <c r="R15" t="n">
        <v>0</v>
      </c>
      <c r="S15">
        <f>IFERROR(O15/N15,0)</f>
        <v/>
      </c>
      <c r="T15" t="n">
        <v>0</v>
      </c>
      <c r="V15" t="n">
        <v>0</v>
      </c>
    </row>
    <row r="16">
      <c r="A16">
        <f>Skills!A16</f>
        <v/>
      </c>
      <c r="B16">
        <f>Skills!B16</f>
        <v/>
      </c>
      <c r="C16">
        <f>Inputs!$B$3&gt;=15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t="n">
        <v>0</v>
      </c>
      <c r="R16" t="n">
        <v>0</v>
      </c>
      <c r="S16">
        <f>IFERROR(O16/N16,0)</f>
        <v/>
      </c>
      <c r="T16" t="n">
        <v>0</v>
      </c>
      <c r="V16" t="n">
        <v>0</v>
      </c>
    </row>
    <row r="17">
      <c r="A17">
        <f>Skills!A17</f>
        <v/>
      </c>
      <c r="B17">
        <f>Skills!B17</f>
        <v/>
      </c>
      <c r="C17">
        <f>Inputs!$B$3&gt;=10</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Inputs!$B$3&gt;=33</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Inputs!$B$3&gt;=40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Inputs!$B$3&gt;=43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Inputs!$B$3&gt;=75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SUM(Calc!O2:O22)</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(Hook Bomber)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Hook Bomber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 Artifact Attack%, summed additively)</t>
        </is>
      </c>
      <c r="B13">
        <f>1+(((Calc!C13=TRUE)*Calc!F13)+Artifacts!$B$52)/100</f>
        <v/>
      </c>
    </row>
    <row r="14">
      <c r="A14" t="inlineStr">
        <is>
          <t>Global Crit Rate Bonus % (unused — no live Crit-Rate-buff source exists)</t>
        </is>
      </c>
      <c r="B14" t="n">
        <v>0</v>
      </c>
    </row>
    <row r="15">
      <c r="A15" t="inlineStr">
        <is>
          <t>Global Monster Damage-Taken Bonus % (Artifact Enemy Damage Taken Bonus)</t>
        </is>
      </c>
      <c r="B15">
        <f>Artifacts!$B$36</f>
        <v/>
      </c>
    </row>
    <row r="16">
      <c r="A16" t="inlineStr">
        <is>
          <t>Attack Speed Buff Bonus % (unused — Buccaneer has no Nimble-Feet-style live AS buff)</t>
        </is>
      </c>
      <c r="B16" t="n">
        <v>0</v>
      </c>
    </row>
    <row r="17">
      <c r="A17" t="inlineStr">
        <is>
          <t>Actions Per Second</t>
        </is>
      </c>
      <c r="B17">
        <f>1+MIN(150,150*(1-(1-Inputs!$B$11/150)*(1-B16/150)))/100</f>
        <v/>
      </c>
    </row>
    <row r="18">
      <c r="A18" t="inlineStr">
        <is>
          <t>Skill + Buff Cast Rate (subtracted from Hook Bomber, 1/s)</t>
        </is>
      </c>
      <c r="B18">
        <f>IF(AND(Inputs!$B$38&lt;&gt;"pvp",Inputs!$B$43&gt;0),SUMPRODUCT((Skills!E2:E22=TRUE)*(Calc!C2:C22=TRUE)*Calc!R2:R22*Skills!F2:F22)/Inputs!$B$43,SUMPRODUCT((Skills!E2:E22=TRUE)*(Calc!C2:C22=TRUE)*Calc!Q2:Q22*Skills!F2:F22))</f>
        <v/>
      </c>
    </row>
    <row r="19">
      <c r="A19" t="inlineStr">
        <is>
          <t>Hook Bomber (Basic Attack) Casts Per Second</t>
        </is>
      </c>
      <c r="B19">
        <f>MAX(0,B17-B18)</f>
        <v/>
      </c>
    </row>
    <row r="20">
      <c r="A20" t="inlineStr">
        <is>
          <t>Global Critical Damage Bonus % (unused — no live Crit-Damage-buff source exists)</t>
        </is>
      </c>
      <c r="B20" t="n">
        <v>0</v>
      </c>
    </row>
    <row r="21">
      <c r="A21" t="inlineStr">
        <is>
          <t>Global Final Damage Bonus % (Serpent Scale + Crossbones + Time Leap + Speed Infusion)</t>
        </is>
      </c>
      <c r="B21">
        <f>((Calc!C5=TRUE)*Calc!F5*((10+IF(Inputs!$B$3&gt;=94,5,0))/((10+IF(Inputs!$B$3&gt;=94,5,0))+5/(Summary!$B$19*(1+IF(Inputs!$B$3&gt;=104,1,0))))))+((Calc!C14=TRUE)*Calc!F14)+((Calc!C15=TRUE)*Calc!F15)+((Inputs!$B$3&gt;=110)*20*(B17-1))</f>
        <v/>
      </c>
    </row>
    <row r="22">
      <c r="A22" t="inlineStr">
        <is>
          <t>Hook Bomber (Basic Attack) DPS</t>
        </is>
      </c>
      <c r="B22">
        <f>Calc!O2</f>
        <v/>
      </c>
    </row>
    <row r="23">
      <c r="A23" t="inlineStr">
        <is>
          <t>Buff-Casting Startup Delay (s, before first damage-skill cast; fixed-duration only)</t>
        </is>
      </c>
      <c r="B23">
        <f>IF(AND(Inputs!$B$38&lt;&gt;"pvp",Inputs!$B$43&gt;0),SUMPRODUCT((Skills!T2:T22&gt;0)*(Skills!E2:E22=TRUE)*(Calc!C2:C22=TRUE))/B17,0)</f>
        <v/>
      </c>
    </row>
    <row r="24">
      <c r="A24" t="inlineStr">
        <is>
          <t>Boss-Only Total DPS (Sensitivity baseline)</t>
        </is>
      </c>
      <c r="B24">
        <f>SUM(Calc!T2:T22)</f>
        <v/>
      </c>
    </row>
    <row r="25">
      <c r="A25" t="inlineStr">
        <is>
          <t>Normal-Only Total DPS (Sensitivity baseline)</t>
        </is>
      </c>
      <c r="B25">
        <f>SUM(Calc!V2:V22)</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Calc!B4</f>
        <v/>
      </c>
      <c r="B31">
        <f>Calc!O4</f>
        <v/>
      </c>
      <c r="C31">
        <f>Calc!P4*100</f>
        <v/>
      </c>
    </row>
    <row r="32">
      <c r="A32">
        <f>Calc!B6</f>
        <v/>
      </c>
      <c r="B32">
        <f>Calc!O6</f>
        <v/>
      </c>
      <c r="C32">
        <f>Calc!P6*100</f>
        <v/>
      </c>
    </row>
    <row r="33">
      <c r="A33">
        <f>Calc!B7</f>
        <v/>
      </c>
      <c r="B33">
        <f>Calc!O7</f>
        <v/>
      </c>
      <c r="C33">
        <f>Calc!P7*100</f>
        <v/>
      </c>
    </row>
    <row r="34">
      <c r="A34">
        <f>Calc!B8</f>
        <v/>
      </c>
      <c r="B34">
        <f>Calc!O8</f>
        <v/>
      </c>
      <c r="C34">
        <f>Calc!P8*100</f>
        <v/>
      </c>
    </row>
    <row r="35">
      <c r="A35">
        <f>Calc!B9</f>
        <v/>
      </c>
      <c r="B35">
        <f>Calc!O9</f>
        <v/>
      </c>
      <c r="C35">
        <f>Calc!P9*100</f>
        <v/>
      </c>
    </row>
    <row r="36">
      <c r="A36">
        <f>Calc!B10</f>
        <v/>
      </c>
      <c r="B36">
        <f>Calc!O10</f>
        <v/>
      </c>
      <c r="C36">
        <f>Calc!P10*100</f>
        <v/>
      </c>
    </row>
    <row r="37">
      <c r="A37">
        <f>Calc!B11</f>
        <v/>
      </c>
      <c r="B37">
        <f>Calc!O11</f>
        <v/>
      </c>
      <c r="C37">
        <f>Calc!P11*100</f>
        <v/>
      </c>
    </row>
    <row r="38">
      <c r="A38" s="9" t="inlineStr">
        <is>
          <t>Marginal DPS &amp; Stat Value (see Sensitivity for full detail)</t>
        </is>
      </c>
    </row>
    <row r="40">
      <c r="A40" s="5" t="inlineStr">
        <is>
          <t>Stat</t>
        </is>
      </c>
      <c r="B40" s="5" t="inlineStr">
        <is>
          <t>DPS per +1</t>
        </is>
      </c>
      <c r="C40" s="5" t="inlineStr">
        <is>
          <t>Units per +1% DPS</t>
        </is>
      </c>
    </row>
    <row r="41">
      <c r="A41">
        <f>Sensitivity!A5</f>
        <v/>
      </c>
      <c r="B41">
        <f>Sensitivity!H5</f>
        <v/>
      </c>
      <c r="C41">
        <f>Sensitivity!B5</f>
        <v/>
      </c>
    </row>
    <row r="42">
      <c r="A42">
        <f>Sensitivity!A6</f>
        <v/>
      </c>
      <c r="B42">
        <f>Sensitivity!H6</f>
        <v/>
      </c>
      <c r="C42">
        <f>Sensitivity!B6</f>
        <v/>
      </c>
    </row>
    <row r="43">
      <c r="A43">
        <f>Sensitivity!A7</f>
        <v/>
      </c>
      <c r="B43">
        <f>Sensitivity!H7</f>
        <v/>
      </c>
      <c r="C43">
        <f>Sensitivity!B7</f>
        <v/>
      </c>
    </row>
    <row r="44">
      <c r="A44">
        <f>Sensitivity!A8</f>
        <v/>
      </c>
      <c r="B44">
        <f>Sensitivity!H8</f>
        <v/>
      </c>
      <c r="C44">
        <f>Sensitivity!B8</f>
        <v/>
      </c>
    </row>
    <row r="45">
      <c r="A45">
        <f>Sensitivity!A9</f>
        <v/>
      </c>
      <c r="B45">
        <f>Sensitivity!H9</f>
        <v/>
      </c>
      <c r="C45">
        <f>Sensitivity!B9</f>
        <v/>
      </c>
    </row>
    <row r="46">
      <c r="A46">
        <f>Sensitivity!A10</f>
        <v/>
      </c>
      <c r="B46">
        <f>Sensitivity!H10</f>
        <v/>
      </c>
      <c r="C46">
        <f>Sensitivity!B10</f>
        <v/>
      </c>
    </row>
    <row r="47">
      <c r="A47">
        <f>Sensitivity!A11</f>
        <v/>
      </c>
      <c r="B47">
        <f>Sensitivity!H11</f>
        <v/>
      </c>
      <c r="C47">
        <f>Sensitivity!B11</f>
        <v/>
      </c>
    </row>
    <row r="48">
      <c r="A48">
        <f>Sensitivity!A12</f>
        <v/>
      </c>
      <c r="B48">
        <f>Sensitivity!H12</f>
        <v/>
      </c>
      <c r="C48">
        <f>Sensitivity!B12</f>
        <v/>
      </c>
    </row>
    <row r="49">
      <c r="A49">
        <f>Sensitivity!A13</f>
        <v/>
      </c>
      <c r="B49">
        <f>Sensitivity!H13</f>
        <v/>
      </c>
      <c r="C49">
        <f>Sensitivity!B13</f>
        <v/>
      </c>
    </row>
    <row r="50">
      <c r="A50">
        <f>Sensitivity!A14</f>
        <v/>
      </c>
      <c r="B50">
        <f>Sensitivity!H14</f>
        <v/>
      </c>
      <c r="C50">
        <f>Sensitivity!B14</f>
        <v/>
      </c>
    </row>
    <row r="51">
      <c r="A51">
        <f>Sensitivity!A15</f>
        <v/>
      </c>
      <c r="B51">
        <f>Sensitivity!H15</f>
        <v/>
      </c>
      <c r="C51">
        <f>Sensitivity!B15</f>
        <v/>
      </c>
    </row>
    <row r="52">
      <c r="A52">
        <f>Sensitivity!A16</f>
        <v/>
      </c>
      <c r="B52">
        <f>Sensitivity!H16</f>
        <v/>
      </c>
      <c r="C52">
        <f>Sensitivity!B16</f>
        <v/>
      </c>
    </row>
    <row r="53">
      <c r="A53">
        <f>Sensitivity!A17</f>
        <v/>
      </c>
      <c r="B53">
        <f>Sensitivity!H17</f>
        <v/>
      </c>
      <c r="C53">
        <f>Sensitivity!B17</f>
        <v/>
      </c>
    </row>
    <row r="54">
      <c r="A54">
        <f>Sensitivity!A18</f>
        <v/>
      </c>
      <c r="B54">
        <f>Sensitivity!H18</f>
        <v/>
      </c>
      <c r="C54">
        <f>Sensitivity!B18</f>
        <v/>
      </c>
    </row>
    <row r="55">
      <c r="A55">
        <f>Sensitivity!A19</f>
        <v/>
      </c>
      <c r="B55">
        <f>Sensitivity!H19</f>
        <v/>
      </c>
      <c r="C55">
        <f>Sensitivity!B19</f>
        <v/>
      </c>
    </row>
    <row r="56">
      <c r="A56">
        <f>Sensitivity!A20</f>
        <v/>
      </c>
      <c r="B56">
        <f>Sensitivity!H20</f>
        <v/>
      </c>
      <c r="C56">
        <f>Sensitivity!B20</f>
        <v/>
      </c>
    </row>
    <row r="57">
      <c r="A57">
        <f>Sensitivity!A21</f>
        <v/>
      </c>
      <c r="B57">
        <f>Sensitivity!H21</f>
        <v/>
      </c>
      <c r="C57">
        <f>Sensitivity!B21</f>
        <v/>
      </c>
    </row>
    <row r="58">
      <c r="A58">
        <f>Sensitivity!A22</f>
        <v/>
      </c>
      <c r="B58">
        <f>Sensitivity!H22</f>
        <v/>
      </c>
      <c r="C58">
        <f>Sensitivity!B22</f>
        <v/>
      </c>
    </row>
    <row r="59">
      <c r="A59">
        <f>Sensitivity!A23</f>
        <v/>
      </c>
      <c r="B59">
        <f>Sensitivity!H23</f>
        <v/>
      </c>
      <c r="C59">
        <f>Sensitivity!B23</f>
        <v/>
      </c>
    </row>
    <row r="60">
      <c r="A60">
        <f>Sensitivity!A24</f>
        <v/>
      </c>
      <c r="B60">
        <f>Sensitivity!H24</f>
        <v/>
      </c>
      <c r="C60">
        <f>Sensitivity!B24</f>
        <v/>
      </c>
    </row>
    <row r="61">
      <c r="A61">
        <f>Sensitivity!A25</f>
        <v/>
      </c>
      <c r="B61">
        <f>Sensitivity!H25</f>
        <v/>
      </c>
      <c r="C61">
        <f>Sensitivity!B25</f>
        <v/>
      </c>
    </row>
    <row r="62">
      <c r="A62">
        <f>Sensitivity!A26</f>
        <v/>
      </c>
      <c r="B62">
        <f>Sensitivity!H26</f>
        <v/>
      </c>
      <c r="C62">
        <f>Sensitivity!B26</f>
        <v/>
      </c>
    </row>
    <row r="63">
      <c r="A63">
        <f>Sensitivity!A27</f>
        <v/>
      </c>
      <c r="B63">
        <f>Sensitivity!H27</f>
        <v/>
      </c>
      <c r="C63">
        <f>Sensitivity!B27</f>
        <v/>
      </c>
    </row>
    <row r="64">
      <c r="A64">
        <f>Sensitivity!A28</f>
        <v/>
      </c>
      <c r="B64">
        <f>Sensitivity!H28</f>
        <v/>
      </c>
      <c r="C64">
        <f>Sensitivity!B28</f>
        <v/>
      </c>
    </row>
    <row r="65">
      <c r="A65">
        <f>Sensitivity!A29</f>
        <v/>
      </c>
      <c r="B65">
        <f>Sensitivity!H29</f>
        <v/>
      </c>
      <c r="C65">
        <f>Sensitivity!B29</f>
        <v/>
      </c>
    </row>
    <row r="66">
      <c r="A66">
        <f>Sensitivity!A30</f>
        <v/>
      </c>
      <c r="B66">
        <f>Sensitivity!H30</f>
        <v/>
      </c>
      <c r="C66">
        <f>Sensitivity!B30</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Sensitivity!A33</f>
        <v/>
      </c>
      <c r="B70">
        <f>Sensitivity!B33</f>
        <v/>
      </c>
      <c r="C70">
        <f>Sensitivity!C33</f>
        <v/>
      </c>
    </row>
    <row r="71">
      <c r="A71">
        <f>Sensitivity!A34</f>
        <v/>
      </c>
      <c r="B71">
        <f>Sensitivity!B34</f>
        <v/>
      </c>
      <c r="C71">
        <f>Sensitivity!C34</f>
        <v/>
      </c>
    </row>
    <row r="72">
      <c r="A72">
        <f>Sensitivity!A35</f>
        <v/>
      </c>
      <c r="B72">
        <f>Sensitivity!B35</f>
        <v/>
      </c>
      <c r="C72">
        <f>Sensitivity!C35</f>
        <v/>
      </c>
    </row>
    <row r="73">
      <c r="A73">
        <f>Sensitivity!A36</f>
        <v/>
      </c>
      <c r="B73">
        <f>Sensitivity!B36</f>
        <v/>
      </c>
      <c r="C73">
        <f>Sensitivity!C36</f>
        <v/>
      </c>
    </row>
    <row r="74">
      <c r="A74">
        <f>Sensitivity!A37</f>
        <v/>
      </c>
      <c r="B74">
        <f>Sensitivity!B37</f>
        <v/>
      </c>
      <c r="C74">
        <f>Sensitivity!C37</f>
        <v/>
      </c>
    </row>
    <row r="75">
      <c r="A75">
        <f>Sensitivity!A38</f>
        <v/>
      </c>
      <c r="B75">
        <f>Sensitivity!B38</f>
        <v/>
      </c>
      <c r="C75">
        <f>Sensitivity!C38</f>
        <v/>
      </c>
    </row>
    <row r="76">
      <c r="A76">
        <f>Sensitivity!A39</f>
        <v/>
      </c>
      <c r="B76">
        <f>Sensitivity!B39</f>
        <v/>
      </c>
      <c r="C76">
        <f>Sensitivity!C39</f>
        <v/>
      </c>
    </row>
    <row r="77">
      <c r="A77">
        <f>Sensitivity!A40</f>
        <v/>
      </c>
      <c r="B77">
        <f>Sensitivity!B40</f>
        <v/>
      </c>
      <c r="C77">
        <f>Sensitivity!C40</f>
        <v/>
      </c>
    </row>
    <row r="78">
      <c r="A78">
        <f>Sensitivity!A41</f>
        <v/>
      </c>
      <c r="B78">
        <f>Sensitivity!B41</f>
        <v/>
      </c>
      <c r="C78">
        <f>Sensitivity!C41</f>
        <v/>
      </c>
    </row>
    <row r="79">
      <c r="A79">
        <f>Sensitivity!A42</f>
        <v/>
      </c>
      <c r="B79">
        <f>Sensitivity!B42</f>
        <v/>
      </c>
      <c r="C79">
        <f>Sensitivity!C42</f>
        <v/>
      </c>
    </row>
    <row r="80">
      <c r="A80">
        <f>Sensitivity!A43</f>
        <v/>
      </c>
      <c r="B80">
        <f>Sensitivity!B43</f>
        <v/>
      </c>
      <c r="C80">
        <f>Sensitivity!C43</f>
        <v/>
      </c>
    </row>
    <row r="81">
      <c r="A81">
        <f>Sensitivity!A44</f>
        <v/>
      </c>
      <c r="B81">
        <f>Sensitivity!B44</f>
        <v/>
      </c>
      <c r="C81">
        <f>Sensitivity!C44</f>
        <v/>
      </c>
    </row>
    <row r="82">
      <c r="A82">
        <f>Sensitivity!A45</f>
        <v/>
      </c>
      <c r="B82">
        <f>Sensitivity!B45</f>
        <v/>
      </c>
      <c r="C82">
        <f>Sensitivity!C45</f>
        <v/>
      </c>
    </row>
    <row r="83">
      <c r="A83">
        <f>Sensitivity!A46</f>
        <v/>
      </c>
      <c r="B83">
        <f>Sensitivity!B46</f>
        <v/>
      </c>
      <c r="C83">
        <f>Sensitivity!C46</f>
        <v/>
      </c>
    </row>
    <row r="84">
      <c r="A84">
        <f>Sensitivity!A47</f>
        <v/>
      </c>
      <c r="B84">
        <f>Sensitivity!B47</f>
        <v/>
      </c>
      <c r="C84">
        <f>Sensitivity!C47</f>
        <v/>
      </c>
    </row>
    <row r="85">
      <c r="A85">
        <f>Sensitivity!A48</f>
        <v/>
      </c>
      <c r="B85">
        <f>Sensitivity!B48</f>
        <v/>
      </c>
      <c r="C85">
        <f>Sensitivity!C48</f>
        <v/>
      </c>
    </row>
    <row r="86">
      <c r="A86">
        <f>Sensitivity!A49</f>
        <v/>
      </c>
      <c r="B86">
        <f>Sensitivity!B49</f>
        <v/>
      </c>
      <c r="C86">
        <f>Sensitivity!C49</f>
        <v/>
      </c>
    </row>
    <row r="87">
      <c r="A87">
        <f>Sensitivity!A50</f>
        <v/>
      </c>
      <c r="B87">
        <f>Sensitivity!B50</f>
        <v/>
      </c>
      <c r="C87">
        <f>Sensitivity!C50</f>
        <v/>
      </c>
    </row>
    <row r="88">
      <c r="A88">
        <f>Sensitivity!A51</f>
        <v/>
      </c>
      <c r="B88">
        <f>Sensitivity!B51</f>
        <v/>
      </c>
      <c r="C88">
        <f>Sensitivity!C51</f>
        <v/>
      </c>
    </row>
    <row r="89">
      <c r="A89">
        <f>Sensitivity!A52</f>
        <v/>
      </c>
      <c r="B89">
        <f>Sensitivity!B52</f>
        <v/>
      </c>
      <c r="C89">
        <f>Sensitivity!C52</f>
        <v/>
      </c>
    </row>
    <row r="90">
      <c r="A90">
        <f>Sensitivity!A53</f>
        <v/>
      </c>
      <c r="B90">
        <f>Sensitivity!B53</f>
        <v/>
      </c>
      <c r="C90">
        <f>Sensitivity!C53</f>
        <v/>
      </c>
    </row>
    <row r="91">
      <c r="A91">
        <f>Sensitivity!A54</f>
        <v/>
      </c>
      <c r="B91">
        <f>Sensitivity!B54</f>
        <v/>
      </c>
      <c r="C91">
        <f>Sensitivity!C54</f>
        <v/>
      </c>
    </row>
    <row r="92">
      <c r="A92">
        <f>Sensitivity!A55</f>
        <v/>
      </c>
      <c r="B92">
        <f>Sensitivity!B55</f>
        <v/>
      </c>
      <c r="C92">
        <f>Sensitivity!C55</f>
        <v/>
      </c>
    </row>
    <row r="93">
      <c r="A93">
        <f>Sensitivity!A56</f>
        <v/>
      </c>
      <c r="B93">
        <f>Sensitivity!B56</f>
        <v/>
      </c>
      <c r="C93">
        <f>Sensitivity!C56</f>
        <v/>
      </c>
    </row>
    <row r="94">
      <c r="A94">
        <f>Sensitivity!A57</f>
        <v/>
      </c>
      <c r="B94">
        <f>Sensitivity!B57</f>
        <v/>
      </c>
      <c r="C94">
        <f>Sensitivity!C57</f>
        <v/>
      </c>
    </row>
    <row r="95">
      <c r="A95">
        <f>Sensitivity!A58</f>
        <v/>
      </c>
      <c r="B95">
        <f>Sensitivity!B58</f>
        <v/>
      </c>
      <c r="C95">
        <f>Sensitivity!C58</f>
        <v/>
      </c>
    </row>
    <row r="96">
      <c r="A96">
        <f>Sensitivity!A59</f>
        <v/>
      </c>
      <c r="B96">
        <f>Sensitivity!B59</f>
        <v/>
      </c>
      <c r="C96">
        <f>Sensitivity!C59</f>
        <v/>
      </c>
    </row>
    <row r="97">
      <c r="A97">
        <f>Sensitivity!A60</f>
        <v/>
      </c>
      <c r="B97">
        <f>Sensitivity!B60</f>
        <v/>
      </c>
      <c r="C97">
        <f>Sensitivity!C60</f>
        <v/>
      </c>
    </row>
    <row r="98">
      <c r="A98">
        <f>Sensitivity!A61</f>
        <v/>
      </c>
      <c r="B98">
        <f>Sensitivity!B61</f>
        <v/>
      </c>
      <c r="C98">
        <f>Sensitivity!C61</f>
        <v/>
      </c>
    </row>
    <row r="99">
      <c r="A99">
        <f>Sensitivity!A62</f>
        <v/>
      </c>
      <c r="B99">
        <f>Sensitivity!B62</f>
        <v/>
      </c>
      <c r="C99">
        <f>Sensitivity!C62</f>
        <v/>
      </c>
    </row>
    <row r="100">
      <c r="A100">
        <f>Sensitivity!A63</f>
        <v/>
      </c>
      <c r="B100">
        <f>Sensitivity!B63</f>
        <v/>
      </c>
      <c r="C100">
        <f>Sensitivity!C63</f>
        <v/>
      </c>
    </row>
    <row r="101">
      <c r="A101">
        <f>Sensitivity!A64</f>
        <v/>
      </c>
      <c r="B101">
        <f>Sensitivity!B64</f>
        <v/>
      </c>
      <c r="C101">
        <f>Sensitivity!C64</f>
        <v/>
      </c>
    </row>
    <row r="102">
      <c r="A102">
        <f>Sensitivity!A65</f>
        <v/>
      </c>
      <c r="B102">
        <f>Sensitivity!B65</f>
        <v/>
      </c>
      <c r="C102">
        <f>Sensitivity!C65</f>
        <v/>
      </c>
    </row>
    <row r="103">
      <c r="A103">
        <f>Sensitivity!A66</f>
        <v/>
      </c>
      <c r="B103">
        <f>Sensitivity!B66</f>
        <v/>
      </c>
      <c r="C103">
        <f>Sensitivity!C66</f>
        <v/>
      </c>
    </row>
    <row r="104">
      <c r="A104">
        <f>Sensitivity!A67</f>
        <v/>
      </c>
      <c r="B104">
        <f>Sensitivity!B67</f>
        <v/>
      </c>
      <c r="C104">
        <f>Sensitivity!C67</f>
        <v/>
      </c>
    </row>
    <row r="105">
      <c r="A105">
        <f>Sensitivity!A68</f>
        <v/>
      </c>
      <c r="B105">
        <f>Sensitivity!B68</f>
        <v/>
      </c>
      <c r="C105">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81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f>
        <v/>
      </c>
      <c r="E5">
        <f>(Inputs!$B$12+1)</f>
        <v/>
      </c>
      <c r="F5">
        <f>Summary!$B$3</f>
        <v/>
      </c>
      <c r="G5">
        <f>B106</f>
        <v/>
      </c>
      <c r="H5">
        <f>Summary!$B$3*(((1-Summary!$B$11)*IFERROR(B104/Summary!$B$24,1)+Summary!$B$11*IFERROR(B105/Summary!$B$25,1))-1)</f>
        <v/>
      </c>
      <c r="I5">
        <f>((1-Summary!$B$11)*IFERROR(B104/Summary!$B$24,1)+Summary!$B$11*IFERROR(B105/Summary!$B$25,1))*100</f>
        <v/>
      </c>
    </row>
    <row r="6">
      <c r="A6" t="inlineStr">
        <is>
          <t>STR %</t>
        </is>
      </c>
      <c r="B6">
        <f>IFERROR(1/(I6-100),"n/a")</f>
        <v/>
      </c>
      <c r="C6" t="inlineStr">
        <is>
          <t>pct</t>
        </is>
      </c>
      <c r="D6">
        <f>Inputs!$B$13</f>
        <v/>
      </c>
      <c r="E6">
        <f>(Inputs!$B$13+1)</f>
        <v/>
      </c>
      <c r="F6">
        <f>Summary!$B$3</f>
        <v/>
      </c>
      <c r="G6">
        <f>B144</f>
        <v/>
      </c>
      <c r="H6">
        <f>Summary!$B$3*(((1-Summary!$B$11)*IFERROR(B142/Summary!$B$24,1)+Summary!$B$11*IFERROR(B143/Summary!$B$25,1))-1)</f>
        <v/>
      </c>
      <c r="I6">
        <f>((1-Summary!$B$11)*IFERROR(B142/Summary!$B$24,1)+Summary!$B$11*IFERROR(B143/Summary!$B$25,1))*100</f>
        <v/>
      </c>
    </row>
    <row r="7">
      <c r="A7" t="inlineStr">
        <is>
          <t>DEX</t>
        </is>
      </c>
      <c r="B7">
        <f>IFERROR(1/(I7-100),"n/a")</f>
        <v/>
      </c>
      <c r="C7" t="inlineStr">
        <is>
          <t>flat</t>
        </is>
      </c>
      <c r="D7">
        <f>Inputs!$B$14</f>
        <v/>
      </c>
      <c r="E7">
        <f>(Inputs!$B$14+1)</f>
        <v/>
      </c>
      <c r="F7">
        <f>Summary!$B$3</f>
        <v/>
      </c>
      <c r="G7">
        <f>B182</f>
        <v/>
      </c>
      <c r="H7">
        <f>Summary!$B$3*(((1-Summary!$B$11)*IFERROR(B180/Summary!$B$24,1)+Summary!$B$11*IFERROR(B181/Summary!$B$25,1))-1)</f>
        <v/>
      </c>
      <c r="I7">
        <f>((1-Summary!$B$11)*IFERROR(B180/Summary!$B$24,1)+Summary!$B$11*IFERROR(B181/Summary!$B$25,1))*100</f>
        <v/>
      </c>
    </row>
    <row r="8">
      <c r="A8" t="inlineStr">
        <is>
          <t>DAMAGE %</t>
        </is>
      </c>
      <c r="B8">
        <f>IFERROR(1/(I8-100),"n/a")</f>
        <v/>
      </c>
      <c r="C8" t="inlineStr">
        <is>
          <t>pct</t>
        </is>
      </c>
      <c r="D8">
        <f>Inputs!$B$15</f>
        <v/>
      </c>
      <c r="E8">
        <f>(Inputs!$B$15+1)</f>
        <v/>
      </c>
      <c r="F8">
        <f>Summary!$B$3</f>
        <v/>
      </c>
      <c r="G8">
        <f>B220</f>
        <v/>
      </c>
      <c r="H8">
        <f>Summary!$B$3*(((1-Summary!$B$11)*IFERROR(B218/Summary!$B$24,1)+Summary!$B$11*IFERROR(B219/Summary!$B$25,1))-1)</f>
        <v/>
      </c>
      <c r="I8">
        <f>((1-Summary!$B$11)*IFERROR(B218/Summary!$B$24,1)+Summary!$B$11*IFERROR(B219/Summary!$B$25,1))*100</f>
        <v/>
      </c>
    </row>
    <row r="9">
      <c r="A9" t="inlineStr">
        <is>
          <t>DAMAGE_AMP %</t>
        </is>
      </c>
      <c r="B9">
        <f>IFERROR(1/(I9-100),"n/a")</f>
        <v/>
      </c>
      <c r="C9" t="inlineStr">
        <is>
          <t>pct</t>
        </is>
      </c>
      <c r="D9">
        <f>Inputs!$B$16</f>
        <v/>
      </c>
      <c r="E9">
        <f>(Inputs!$B$16+1)</f>
        <v/>
      </c>
      <c r="F9">
        <f>Summary!$B$3</f>
        <v/>
      </c>
      <c r="G9">
        <f>B258</f>
        <v/>
      </c>
      <c r="H9">
        <f>Summary!$B$3*(((1-Summary!$B$11)*IFERROR(B256/Summary!$B$24,1)+Summary!$B$11*IFERROR(B257/Summary!$B$25,1))-1)</f>
        <v/>
      </c>
      <c r="I9">
        <f>((1-Summary!$B$11)*IFERROR(B256/Summary!$B$24,1)+Summary!$B$11*IFERROR(B257/Summary!$B$25,1))*100</f>
        <v/>
      </c>
    </row>
    <row r="10">
      <c r="A10" t="inlineStr">
        <is>
          <t>BOSS_DAMAGE %</t>
        </is>
      </c>
      <c r="B10">
        <f>IFERROR(1/(I10-100),"n/a")</f>
        <v/>
      </c>
      <c r="C10" t="inlineStr">
        <is>
          <t>pct</t>
        </is>
      </c>
      <c r="D10">
        <f>Inputs!$B$20</f>
        <v/>
      </c>
      <c r="E10">
        <f>(Inputs!$B$20+1)</f>
        <v/>
      </c>
      <c r="F10">
        <f>Summary!$B$3</f>
        <v/>
      </c>
      <c r="G10">
        <f>B296</f>
        <v/>
      </c>
      <c r="H10">
        <f>Summary!$B$3*(((1-Summary!$B$11)*IFERROR(B294/Summary!$B$24,1)+Summary!$B$11*IFERROR(B295/Summary!$B$25,1))-1)</f>
        <v/>
      </c>
      <c r="I10">
        <f>((1-Summary!$B$11)*IFERROR(B294/Summary!$B$24,1)+Summary!$B$11*IFERROR(B295/Summary!$B$25,1))*100</f>
        <v/>
      </c>
    </row>
    <row r="11">
      <c r="A11" t="inlineStr">
        <is>
          <t>NORMAL_DAMAGE %</t>
        </is>
      </c>
      <c r="B11">
        <f>IFERROR(1/(I11-100),"n/a")</f>
        <v/>
      </c>
      <c r="C11" t="inlineStr">
        <is>
          <t>pct</t>
        </is>
      </c>
      <c r="D11">
        <f>Inputs!$B$21</f>
        <v/>
      </c>
      <c r="E11">
        <f>(Inputs!$B$21+1)</f>
        <v/>
      </c>
      <c r="F11">
        <f>Summary!$B$3</f>
        <v/>
      </c>
      <c r="G11">
        <f>B334</f>
        <v/>
      </c>
      <c r="H11">
        <f>Summary!$B$3*(((1-Summary!$B$11)*IFERROR(B332/Summary!$B$24,1)+Summary!$B$11*IFERROR(B333/Summary!$B$25,1))-1)</f>
        <v/>
      </c>
      <c r="I11">
        <f>((1-Summary!$B$11)*IFERROR(B332/Summary!$B$24,1)+Summary!$B$11*IFERROR(B333/Summary!$B$25,1))*100</f>
        <v/>
      </c>
    </row>
    <row r="12">
      <c r="A12" t="inlineStr">
        <is>
          <t>FINAL_DAMAGE % (multiplicative source)</t>
        </is>
      </c>
      <c r="B12">
        <f>IFERROR(1/(I12-100),"n/a")</f>
        <v/>
      </c>
      <c r="C12" t="inlineStr">
        <is>
          <t>mult</t>
        </is>
      </c>
      <c r="D12">
        <f>Inputs!$B$24</f>
        <v/>
      </c>
      <c r="E12">
        <f>((((1+Inputs!$B$24/100)*(1.01))-1)*100)</f>
        <v/>
      </c>
      <c r="F12">
        <f>Summary!$B$3</f>
        <v/>
      </c>
      <c r="G12">
        <f>B372</f>
        <v/>
      </c>
      <c r="H12">
        <f>Summary!$B$3*(((1-Summary!$B$11)*IFERROR(B370/Summary!$B$24,1)+Summary!$B$11*IFERROR(B371/Summary!$B$25,1))-1)</f>
        <v/>
      </c>
      <c r="I12">
        <f>((1-Summary!$B$11)*IFERROR(B370/Summary!$B$24,1)+Summary!$B$11*IFERROR(B371/Summary!$B$25,1))*100</f>
        <v/>
      </c>
    </row>
    <row r="13">
      <c r="A13" t="inlineStr">
        <is>
          <t>MIN_DAMAGE %</t>
        </is>
      </c>
      <c r="B13">
        <f>IFERROR(1/(I13-100),"n/a")</f>
        <v/>
      </c>
      <c r="C13" t="inlineStr">
        <is>
          <t>pct</t>
        </is>
      </c>
      <c r="D13">
        <f>Inputs!$B$22</f>
        <v/>
      </c>
      <c r="E13">
        <f>(Inputs!$B$22+1)</f>
        <v/>
      </c>
      <c r="F13">
        <f>Summary!$B$3</f>
        <v/>
      </c>
      <c r="G13">
        <f>B410</f>
        <v/>
      </c>
      <c r="H13">
        <f>Summary!$B$3*(((1-Summary!$B$11)*IFERROR(B408/Summary!$B$24,1)+Summary!$B$11*IFERROR(B409/Summary!$B$25,1))-1)</f>
        <v/>
      </c>
      <c r="I13">
        <f>((1-Summary!$B$11)*IFERROR(B408/Summary!$B$24,1)+Summary!$B$11*IFERROR(B409/Summary!$B$25,1))*100</f>
        <v/>
      </c>
    </row>
    <row r="14">
      <c r="A14" t="inlineStr">
        <is>
          <t>MAX_DAMAGE %</t>
        </is>
      </c>
      <c r="B14">
        <f>IFERROR(1/(I14-100),"n/a")</f>
        <v/>
      </c>
      <c r="C14" t="inlineStr">
        <is>
          <t>pct</t>
        </is>
      </c>
      <c r="D14">
        <f>Inputs!$B$23</f>
        <v/>
      </c>
      <c r="E14">
        <f>(Inputs!$B$23+1)</f>
        <v/>
      </c>
      <c r="F14">
        <f>Summary!$B$3</f>
        <v/>
      </c>
      <c r="G14">
        <f>B448</f>
        <v/>
      </c>
      <c r="H14">
        <f>Summary!$B$3*(((1-Summary!$B$11)*IFERROR(B446/Summary!$B$24,1)+Summary!$B$11*IFERROR(B447/Summary!$B$25,1))-1)</f>
        <v/>
      </c>
      <c r="I14">
        <f>((1-Summary!$B$11)*IFERROR(B446/Summary!$B$24,1)+Summary!$B$11*IFERROR(B447/Summary!$B$25,1))*100</f>
        <v/>
      </c>
    </row>
    <row r="15">
      <c r="A15" t="inlineStr">
        <is>
          <t>CRIT_RATE %</t>
        </is>
      </c>
      <c r="B15">
        <f>IFERROR(1/(I15-100),"n/a")</f>
        <v/>
      </c>
      <c r="C15" t="inlineStr">
        <is>
          <t>pct</t>
        </is>
      </c>
      <c r="D15">
        <f>Inputs!$B$9</f>
        <v/>
      </c>
      <c r="E15">
        <f>(Inputs!$B$9+1)</f>
        <v/>
      </c>
      <c r="F15">
        <f>Summary!$B$3</f>
        <v/>
      </c>
      <c r="G15">
        <f>B486</f>
        <v/>
      </c>
      <c r="H15">
        <f>Summary!$B$3*(((1-Summary!$B$11)*IFERROR(B484/Summary!$B$24,1)+Summary!$B$11*IFERROR(B485/Summary!$B$25,1))-1)</f>
        <v/>
      </c>
      <c r="I15">
        <f>((1-Summary!$B$11)*IFERROR(B484/Summary!$B$24,1)+Summary!$B$11*IFERROR(B485/Summary!$B$25,1))*100</f>
        <v/>
      </c>
    </row>
    <row r="16">
      <c r="A16" t="inlineStr">
        <is>
          <t>CRIT_DAMAGE %</t>
        </is>
      </c>
      <c r="B16">
        <f>IFERROR(1/(I16-100),"n/a")</f>
        <v/>
      </c>
      <c r="C16" t="inlineStr">
        <is>
          <t>pct</t>
        </is>
      </c>
      <c r="D16">
        <f>Inputs!$B$10</f>
        <v/>
      </c>
      <c r="E16">
        <f>(Inputs!$B$10+1)</f>
        <v/>
      </c>
      <c r="F16">
        <f>Summary!$B$3</f>
        <v/>
      </c>
      <c r="G16">
        <f>B524</f>
        <v/>
      </c>
      <c r="H16">
        <f>Summary!$B$3*(((1-Summary!$B$11)*IFERROR(B522/Summary!$B$24,1)+Summary!$B$11*IFERROR(B523/Summary!$B$25,1))-1)</f>
        <v/>
      </c>
      <c r="I16">
        <f>((1-Summary!$B$11)*IFERROR(B522/Summary!$B$24,1)+Summary!$B$11*IFERROR(B523/Summary!$B$25,1))*100</f>
        <v/>
      </c>
    </row>
    <row r="17">
      <c r="A17" t="inlineStr">
        <is>
          <t>ATTACK_SPEED % (diminishing returns, factor 150)</t>
        </is>
      </c>
      <c r="B17">
        <f>IFERROR(1/(I17-100),"n/a")</f>
        <v/>
      </c>
      <c r="C17" t="inlineStr">
        <is>
          <t>dr150</t>
        </is>
      </c>
      <c r="D17">
        <f>Inputs!$B$11</f>
        <v/>
      </c>
      <c r="E17">
        <f>((1-(1-Inputs!$B$11/150)*(1-1/150))*150)</f>
        <v/>
      </c>
      <c r="F17">
        <f>Summary!$B$3</f>
        <v/>
      </c>
      <c r="G17">
        <f>B562</f>
        <v/>
      </c>
      <c r="H17">
        <f>Summary!$B$3*(((1-Summary!$B$11)*IFERROR(B560/Summary!$B$24,1)+Summary!$B$11*IFERROR(B561/Summary!$B$25,1))-1)</f>
        <v/>
      </c>
      <c r="I17">
        <f>((1-Summary!$B$11)*IFERROR(B560/Summary!$B$24,1)+Summary!$B$11*IFERROR(B561/Summary!$B$25,1))*100</f>
        <v/>
      </c>
    </row>
    <row r="18">
      <c r="A18" t="inlineStr">
        <is>
          <t>DEF_PEN % (diminishing returns, factor 100)</t>
        </is>
      </c>
      <c r="B18">
        <f>IFERROR(1/(I18-100),"n/a")</f>
        <v/>
      </c>
      <c r="C18" t="inlineStr">
        <is>
          <t>dr100</t>
        </is>
      </c>
      <c r="D18">
        <f>Inputs!$B$19</f>
        <v/>
      </c>
      <c r="E18">
        <f>((1-(1-Inputs!$B$19/100)*(1-1/100))*100)</f>
        <v/>
      </c>
      <c r="F18">
        <f>Summary!$B$3</f>
        <v/>
      </c>
      <c r="G18">
        <f>B600</f>
        <v/>
      </c>
      <c r="H18">
        <f>Summary!$B$3*(((1-Summary!$B$11)*IFERROR(B598/Summary!$B$24,1)+Summary!$B$11*IFERROR(B599/Summary!$B$25,1))-1)</f>
        <v/>
      </c>
      <c r="I18">
        <f>((1-Summary!$B$11)*IFERROR(B598/Summary!$B$24,1)+Summary!$B$11*IFERROR(B599/Summary!$B$25,1))*100</f>
        <v/>
      </c>
    </row>
    <row r="19">
      <c r="A19" t="inlineStr">
        <is>
          <t>BASIC_ATTACK_DAMAGE %</t>
        </is>
      </c>
      <c r="B19">
        <f>IFERROR(1/(I19-100),"n/a")</f>
        <v/>
      </c>
      <c r="C19" t="inlineStr">
        <is>
          <t>pct</t>
        </is>
      </c>
      <c r="D19">
        <f>Inputs!$B$17</f>
        <v/>
      </c>
      <c r="E19">
        <f>(Inputs!$B$17+1)</f>
        <v/>
      </c>
      <c r="F19">
        <f>Summary!$B$3</f>
        <v/>
      </c>
      <c r="G19">
        <f>B638</f>
        <v/>
      </c>
      <c r="H19">
        <f>Summary!$B$3*(((1-Summary!$B$11)*IFERROR(B636/Summary!$B$24,1)+Summary!$B$11*IFERROR(B637/Summary!$B$25,1))-1)</f>
        <v/>
      </c>
      <c r="I19">
        <f>((1-Summary!$B$11)*IFERROR(B636/Summary!$B$24,1)+Summary!$B$11*IFERROR(B637/Summary!$B$25,1))*100</f>
        <v/>
      </c>
    </row>
    <row r="20">
      <c r="A20" t="inlineStr">
        <is>
          <t>SKILL_DAMAGE %</t>
        </is>
      </c>
      <c r="B20">
        <f>IFERROR(1/(I20-100),"n/a")</f>
        <v/>
      </c>
      <c r="C20" t="inlineStr">
        <is>
          <t>pct</t>
        </is>
      </c>
      <c r="D20">
        <f>Inputs!$B$18</f>
        <v/>
      </c>
      <c r="E20">
        <f>(Inputs!$B$18+1)</f>
        <v/>
      </c>
      <c r="F20">
        <f>Summary!$B$3</f>
        <v/>
      </c>
      <c r="G20">
        <f>B676</f>
        <v/>
      </c>
      <c r="H20">
        <f>Summary!$B$3*(((1-Summary!$B$11)*IFERROR(B674/Summary!$B$24,1)+Summary!$B$11*IFERROR(B675/Summary!$B$25,1))-1)</f>
        <v/>
      </c>
      <c r="I20">
        <f>((1-Summary!$B$11)*IFERROR(B674/Summary!$B$24,1)+Summary!$B$11*IFERROR(B675/Summary!$B$25,1))*100</f>
        <v/>
      </c>
    </row>
    <row r="21">
      <c r="A21" t="inlineStr">
        <is>
          <t>Skill Level Bonus — 1st Job</t>
        </is>
      </c>
      <c r="B21">
        <f>IFERROR(1/(I21-100),"n/a")</f>
        <v/>
      </c>
      <c r="C21" t="inlineStr">
        <is>
          <t>level</t>
        </is>
      </c>
      <c r="D21">
        <f>Inputs!$B$25</f>
        <v/>
      </c>
      <c r="E21">
        <f>(Inputs!$B$25+1)</f>
        <v/>
      </c>
      <c r="F21">
        <f>Summary!$B$3</f>
        <v/>
      </c>
      <c r="G21">
        <f>B714</f>
        <v/>
      </c>
      <c r="H21">
        <f>Summary!$B$3*(((1-Summary!$B$11)*IFERROR(B712/Summary!$B$24,1)+Summary!$B$11*IFERROR(B713/Summary!$B$25,1))-1)</f>
        <v/>
      </c>
      <c r="I21">
        <f>((1-Summary!$B$11)*IFERROR(B712/Summary!$B$24,1)+Summary!$B$11*IFERROR(B713/Summary!$B$25,1))*100</f>
        <v/>
      </c>
    </row>
    <row r="22">
      <c r="A22" t="inlineStr">
        <is>
          <t>Skill Level Bonus — 2nd Job</t>
        </is>
      </c>
      <c r="B22">
        <f>IFERROR(1/(I22-100),"n/a")</f>
        <v/>
      </c>
      <c r="C22" t="inlineStr">
        <is>
          <t>level</t>
        </is>
      </c>
      <c r="D22">
        <f>Inputs!$B$26</f>
        <v/>
      </c>
      <c r="E22">
        <f>(Inputs!$B$26+1)</f>
        <v/>
      </c>
      <c r="F22">
        <f>Summary!$B$3</f>
        <v/>
      </c>
      <c r="G22">
        <f>B752</f>
        <v/>
      </c>
      <c r="H22">
        <f>Summary!$B$3*(((1-Summary!$B$11)*IFERROR(B750/Summary!$B$24,1)+Summary!$B$11*IFERROR(B751/Summary!$B$25,1))-1)</f>
        <v/>
      </c>
      <c r="I22">
        <f>((1-Summary!$B$11)*IFERROR(B750/Summary!$B$24,1)+Summary!$B$11*IFERROR(B751/Summary!$B$25,1))*100</f>
        <v/>
      </c>
    </row>
    <row r="23">
      <c r="A23" t="inlineStr">
        <is>
          <t>Skill Level Bonus — 3rd Job</t>
        </is>
      </c>
      <c r="B23">
        <f>IFERROR(1/(I23-100),"n/a")</f>
        <v/>
      </c>
      <c r="C23" t="inlineStr">
        <is>
          <t>level</t>
        </is>
      </c>
      <c r="D23">
        <f>Inputs!$B$27</f>
        <v/>
      </c>
      <c r="E23">
        <f>(Inputs!$B$27+1)</f>
        <v/>
      </c>
      <c r="F23">
        <f>Summary!$B$3</f>
        <v/>
      </c>
      <c r="G23">
        <f>B790</f>
        <v/>
      </c>
      <c r="H23">
        <f>Summary!$B$3*(((1-Summary!$B$11)*IFERROR(B788/Summary!$B$24,1)+Summary!$B$11*IFERROR(B789/Summary!$B$25,1))-1)</f>
        <v/>
      </c>
      <c r="I23">
        <f>((1-Summary!$B$11)*IFERROR(B788/Summary!$B$24,1)+Summary!$B$11*IFERROR(B789/Summary!$B$25,1))*100</f>
        <v/>
      </c>
    </row>
    <row r="24">
      <c r="A24" t="inlineStr">
        <is>
          <t>Skill Level Bonus — 4th Job</t>
        </is>
      </c>
      <c r="B24">
        <f>IFERROR(1/(I24-100),"n/a")</f>
        <v/>
      </c>
      <c r="C24" t="inlineStr">
        <is>
          <t>level</t>
        </is>
      </c>
      <c r="D24">
        <f>Inputs!$B$28</f>
        <v/>
      </c>
      <c r="E24">
        <f>(Inputs!$B$28+1)</f>
        <v/>
      </c>
      <c r="F24">
        <f>Summary!$B$3</f>
        <v/>
      </c>
      <c r="G24">
        <f>B828</f>
        <v/>
      </c>
      <c r="H24">
        <f>Summary!$B$3*(((1-Summary!$B$11)*IFERROR(B826/Summary!$B$24,1)+Summary!$B$11*IFERROR(B827/Summary!$B$25,1))-1)</f>
        <v/>
      </c>
      <c r="I24">
        <f>((1-Summary!$B$11)*IFERROR(B826/Summary!$B$24,1)+Summary!$B$11*IFERROR(B827/Summary!$B$25,1))*100</f>
        <v/>
      </c>
    </row>
    <row r="25">
      <c r="A25" t="inlineStr">
        <is>
          <t>Skill Level Bonus — All Skills</t>
        </is>
      </c>
      <c r="B25">
        <f>IFERROR(1/(I25-100),"n/a")</f>
        <v/>
      </c>
      <c r="C25" t="inlineStr">
        <is>
          <t>level</t>
        </is>
      </c>
      <c r="D25">
        <f>Inputs!$B$29</f>
        <v/>
      </c>
      <c r="E25">
        <f>(Inputs!$B$29+1)</f>
        <v/>
      </c>
      <c r="F25">
        <f>Summary!$B$3</f>
        <v/>
      </c>
      <c r="G25">
        <f>B866</f>
        <v/>
      </c>
      <c r="H25">
        <f>Summary!$B$3*(((1-Summary!$B$11)*IFERROR(B864/Summary!$B$24,1)+Summary!$B$11*IFERROR(B865/Summary!$B$25,1))-1)</f>
        <v/>
      </c>
      <c r="I25">
        <f>((1-Summary!$B$11)*IFERROR(B864/Summary!$B$24,1)+Summary!$B$11*IFERROR(B865/Summary!$B$25,1))*100</f>
        <v/>
      </c>
    </row>
    <row r="26">
      <c r="A26" t="inlineStr">
        <is>
          <t>Flat ATTACK</t>
        </is>
      </c>
      <c r="B26">
        <f>IFERROR(1/(I26-100),"n/a")</f>
        <v/>
      </c>
      <c r="C26" t="inlineStr">
        <is>
          <t>flat</t>
        </is>
      </c>
      <c r="D26">
        <f>Inputs!$B$6</f>
        <v/>
      </c>
      <c r="E26">
        <f>(Inputs!$B$6+1)</f>
        <v/>
      </c>
      <c r="F26">
        <f>Summary!$B$3</f>
        <v/>
      </c>
      <c r="G26">
        <f>B904</f>
        <v/>
      </c>
      <c r="H26">
        <f>Summary!$B$3*(((1-Summary!$B$11)*IFERROR(B902/Summary!$B$24,1)+Summary!$B$11*IFERROR(B903/Summary!$B$25,1))-1)</f>
        <v/>
      </c>
      <c r="I26">
        <f>((1-Summary!$B$11)*IFERROR(B902/Summary!$B$24,1)+Summary!$B$11*IFERROR(B903/Summary!$B$25,1))*100</f>
        <v/>
      </c>
    </row>
    <row r="27">
      <c r="A27" t="inlineStr">
        <is>
          <t>ATTACK %</t>
        </is>
      </c>
      <c r="B27">
        <f>IFERROR(1/(I27-100),"n/a")</f>
        <v/>
      </c>
      <c r="C27" t="inlineStr">
        <is>
          <t>pct</t>
        </is>
      </c>
      <c r="D27">
        <f>Inputs!$B$7</f>
        <v/>
      </c>
      <c r="E27">
        <f>(Inputs!$B$7+1)</f>
        <v/>
      </c>
      <c r="F27">
        <f>Summary!$B$3</f>
        <v/>
      </c>
      <c r="G27">
        <f>B942</f>
        <v/>
      </c>
      <c r="H27">
        <f>Summary!$B$3*(((1-Summary!$B$11)*IFERROR(B940/Summary!$B$24,1)+Summary!$B$11*IFERROR(B941/Summary!$B$25,1))-1)</f>
        <v/>
      </c>
      <c r="I27">
        <f>((1-Summary!$B$11)*IFERROR(B940/Summary!$B$24,1)+Summary!$B$11*IFERROR(B941/Summary!$B$25,1))*100</f>
        <v/>
      </c>
    </row>
    <row r="28">
      <c r="A28" t="inlineStr">
        <is>
          <t>Skill Cooldown Decrease (seconds)</t>
        </is>
      </c>
      <c r="B28">
        <f>IFERROR(1/(I28-100),"n/a")</f>
        <v/>
      </c>
      <c r="C28" t="inlineStr">
        <is>
          <t>flat</t>
        </is>
      </c>
      <c r="D28">
        <f>Inputs!$B$32</f>
        <v/>
      </c>
      <c r="E28">
        <f>(Inputs!$B$32+1)</f>
        <v/>
      </c>
      <c r="F28">
        <f>Summary!$B$3</f>
        <v/>
      </c>
      <c r="G28">
        <f>B980</f>
        <v/>
      </c>
      <c r="H28">
        <f>Summary!$B$3*(((1-Summary!$B$11)*IFERROR(B978/Summary!$B$24,1)+Summary!$B$11*IFERROR(B979/Summary!$B$25,1))-1)</f>
        <v/>
      </c>
      <c r="I28">
        <f>((1-Summary!$B$11)*IFERROR(B978/Summary!$B$24,1)+Summary!$B$11*IFERROR(B979/Summary!$B$25,1))*100</f>
        <v/>
      </c>
    </row>
    <row r="29">
      <c r="A29" t="inlineStr">
        <is>
          <t>Basic Attack Target Increase (flat)</t>
        </is>
      </c>
      <c r="B29">
        <f>IFERROR(1/(I29-100),"n/a")</f>
        <v/>
      </c>
      <c r="C29" t="inlineStr">
        <is>
          <t>flat</t>
        </is>
      </c>
      <c r="D29">
        <f>Inputs!$B$33</f>
        <v/>
      </c>
      <c r="E29">
        <f>(Inputs!$B$33+1)</f>
        <v/>
      </c>
      <c r="F29">
        <f>Summary!$B$3</f>
        <v/>
      </c>
      <c r="G29">
        <f>B1018</f>
        <v/>
      </c>
      <c r="H29">
        <f>Summary!$B$3*(((1-Summary!$B$11)*IFERROR(B1016/Summary!$B$24,1)+Summary!$B$11*IFERROR(B1017/Summary!$B$25,1))-1)</f>
        <v/>
      </c>
      <c r="I29">
        <f>((1-Summary!$B$11)*IFERROR(B1016/Summary!$B$24,1)+Summary!$B$11*IFERROR(B1017/Summary!$B$25,1))*100</f>
        <v/>
      </c>
    </row>
    <row r="30">
      <c r="A30" t="inlineStr">
        <is>
          <t>Buff Duration Increase %</t>
        </is>
      </c>
      <c r="B30">
        <f>IFERROR(1/(I30-100),"n/a")</f>
        <v/>
      </c>
      <c r="C30" t="inlineStr">
        <is>
          <t>pct</t>
        </is>
      </c>
      <c r="D30">
        <f>Inputs!$B$34</f>
        <v/>
      </c>
      <c r="E30">
        <f>(Inputs!$B$34+1)</f>
        <v/>
      </c>
      <c r="F30">
        <f>Summary!$B$3</f>
        <v/>
      </c>
      <c r="G30">
        <f>B1056</f>
        <v/>
      </c>
      <c r="H30">
        <f>Summary!$B$3*(((1-Summary!$B$11)*IFERROR(B1054/Summary!$B$24,1)+Summary!$B$11*IFERROR(B1055/Summary!$B$25,1))-1)</f>
        <v/>
      </c>
      <c r="I30">
        <f>((1-Summary!$B$11)*IFERROR(B1054/Summary!$B$24,1)+Summary!$B$11*IFERROR(B1055/Summary!$B$25,1))*100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(IF(ArtifactsInput!$M$5,-1,1)*Summary!$B$3*(((1-Summary!$B$11)*IFERROR(B1092/Summary!$B$24,1)+Summary!$B$11*IFERROR(B1093/Summary!$B$25,1))-1)+ArtifactsInput!$L$5)</f>
        <v/>
      </c>
      <c r="AC33">
        <f>(Summary!$B$3+(IF(ArtifactsInput!$M$5,-1,1)*Summary!$B$3*(((1-Summary!$B$11)*IFERROR(B1092/Summary!$B$24,1)+Summary!$B$11*IFERROR(B1093/Summary!$B$25,1))-1)+ArtifactsInput!$L$5))/Summary!$B$3*100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(IF(ArtifactsInput!$M$6,-1,1)*Summary!$B$3*(((1-Summary!$B$11)*IFERROR(B1130/Summary!$B$24,1)+Summary!$B$11*IFERROR(B1131/Summary!$B$25,1))-1)+ArtifactsInput!$L$6)</f>
        <v/>
      </c>
      <c r="AC34">
        <f>(Summary!$B$3+(IF(ArtifactsInput!$M$6,-1,1)*Summary!$B$3*(((1-Summary!$B$11)*IFERROR(B1130/Summary!$B$24,1)+Summary!$B$11*IFERROR(B1131/Summary!$B$25,1))-1)+ArtifactsInput!$L$6))/Summary!$B$3*100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(IF(ArtifactsInput!$M$7,-1,1)*Summary!$B$3*(((1-Summary!$B$11)*IFERROR(B1168/Summary!$B$24,1)+Summary!$B$11*IFERROR(B1169/Summary!$B$25,1))-1)+ArtifactsInput!$L$7)</f>
        <v/>
      </c>
      <c r="AC35">
        <f>(Summary!$B$3+(IF(ArtifactsInput!$M$7,-1,1)*Summary!$B$3*(((1-Summary!$B$11)*IFERROR(B1168/Summary!$B$24,1)+Summary!$B$11*IFERROR(B1169/Summary!$B$25,1))-1)+ArtifactsInput!$L$7))/Summary!$B$3*100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(IF(ArtifactsInput!$M$8,-1,1)*Summary!$B$3*(((1-Summary!$B$11)*IFERROR(B1206/Summary!$B$24,1)+Summary!$B$11*IFERROR(B1207/Summary!$B$25,1))-1)+ArtifactsInput!$L$8)</f>
        <v/>
      </c>
      <c r="AC36">
        <f>(Summary!$B$3+(IF(ArtifactsInput!$M$8,-1,1)*Summary!$B$3*(((1-Summary!$B$11)*IFERROR(B1206/Summary!$B$24,1)+Summary!$B$11*IFERROR(B1207/Summary!$B$25,1))-1)+ArtifactsInput!$L$8))/Summary!$B$3*100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(IF(ArtifactsInput!$M$10,-1,1)*Summary!$B$3*(((1-Summary!$B$11)*IFERROR(B1244/Summary!$B$24,1)+Summary!$B$11*IFERROR(B1245/Summary!$B$25,1))-1)+ArtifactsInput!$L$10)</f>
        <v/>
      </c>
      <c r="AC37">
        <f>(Summary!$B$3+(IF(ArtifactsInput!$M$10,-1,1)*Summary!$B$3*(((1-Summary!$B$11)*IFERROR(B1244/Summary!$B$24,1)+Summary!$B$11*IFERROR(B1245/Summary!$B$25,1))-1)+ArtifactsInput!$L$10))/Summary!$B$3*100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(IF(ArtifactsInput!$M$11,-1,1)*Summary!$B$3*(((1-Summary!$B$11)*IFERROR(B1282/Summary!$B$24,1)+Summary!$B$11*IFERROR(B1283/Summary!$B$25,1))-1)+ArtifactsInput!$L$11)</f>
        <v/>
      </c>
      <c r="AC38">
        <f>(Summary!$B$3+(IF(ArtifactsInput!$M$11,-1,1)*Summary!$B$3*(((1-Summary!$B$11)*IFERROR(B1282/Summary!$B$24,1)+Summary!$B$11*IFERROR(B1283/Summary!$B$25,1))-1)+ArtifactsInput!$L$11))/Summary!$B$3*100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(IF(ArtifactsInput!$M$12,-1,1)*Summary!$B$3*(((1-Summary!$B$11)*IFERROR(B1320/Summary!$B$24,1)+Summary!$B$11*IFERROR(B1321/Summary!$B$25,1))-1)+ArtifactsInput!$L$12)</f>
        <v/>
      </c>
      <c r="AC39">
        <f>(Summary!$B$3+(IF(ArtifactsInput!$M$12,-1,1)*Summary!$B$3*(((1-Summary!$B$11)*IFERROR(B1320/Summary!$B$24,1)+Summary!$B$11*IFERROR(B1321/Summary!$B$25,1))-1)+ArtifactsInput!$L$12))/Summary!$B$3*100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(IF(ArtifactsInput!$M$13,-1,1)*Summary!$B$3*(((1-Summary!$B$11)*IFERROR(B1358/Summary!$B$24,1)+Summary!$B$11*IFERROR(B1359/Summary!$B$25,1))-1)+ArtifactsInput!$L$13)</f>
        <v/>
      </c>
      <c r="AC40">
        <f>(Summary!$B$3+(IF(ArtifactsInput!$M$13,-1,1)*Summary!$B$3*(((1-Summary!$B$11)*IFERROR(B1358/Summary!$B$24,1)+Summary!$B$11*IFERROR(B1359/Summary!$B$25,1))-1)+ArtifactsInput!$L$13))/Summary!$B$3*100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(IF(ArtifactsInput!$M$14,-1,1)*Summary!$B$3*(((1-Summary!$B$11)*IFERROR(B1396/Summary!$B$24,1)+Summary!$B$11*IFERROR(B1397/Summary!$B$25,1))-1)+ArtifactsInput!$L$14)</f>
        <v/>
      </c>
      <c r="AC41">
        <f>(Summary!$B$3+(IF(ArtifactsInput!$M$14,-1,1)*Summary!$B$3*(((1-Summary!$B$11)*IFERROR(B1396/Summary!$B$24,1)+Summary!$B$11*IFERROR(B1397/Summary!$B$25,1))-1)+ArtifactsInput!$L$14))/Summary!$B$3*100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(IF(ArtifactsInput!$M$15,-1,1)*Summary!$B$3*(((1-Summary!$B$11)*IFERROR(B1434/Summary!$B$24,1)+Summary!$B$11*IFERROR(B1435/Summary!$B$25,1))-1)+ArtifactsInput!$L$15)</f>
        <v/>
      </c>
      <c r="AC42">
        <f>(Summary!$B$3+(IF(ArtifactsInput!$M$15,-1,1)*Summary!$B$3*(((1-Summary!$B$11)*IFERROR(B1434/Summary!$B$24,1)+Summary!$B$11*IFERROR(B1435/Summary!$B$25,1))-1)+ArtifactsInput!$L$15))/Summary!$B$3*100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(IF(ArtifactsInput!$M$16,-1,1)*Summary!$B$3*(((1-Summary!$B$11)*IFERROR(B1472/Summary!$B$24,1)+Summary!$B$11*IFERROR(B1473/Summary!$B$25,1))-1)+ArtifactsInput!$L$16)</f>
        <v/>
      </c>
      <c r="AC43">
        <f>(Summary!$B$3+(IF(ArtifactsInput!$M$16,-1,1)*Summary!$B$3*(((1-Summary!$B$11)*IFERROR(B1472/Summary!$B$24,1)+Summary!$B$11*IFERROR(B1473/Summary!$B$25,1))-1)+ArtifactsInput!$L$16))/Summary!$B$3*100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(IF(ArtifactsInput!$M$17,-1,1)*Summary!$B$3*(((1-Summary!$B$11)*IFERROR(B1510/Summary!$B$24,1)+Summary!$B$11*IFERROR(B1511/Summary!$B$25,1))-1)+ArtifactsInput!$L$17)</f>
        <v/>
      </c>
      <c r="AC44">
        <f>(Summary!$B$3+(IF(ArtifactsInput!$M$17,-1,1)*Summary!$B$3*(((1-Summary!$B$11)*IFERROR(B1510/Summary!$B$24,1)+Summary!$B$11*IFERROR(B1511/Summary!$B$25,1))-1)+ArtifactsInput!$L$17))/Summary!$B$3*100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(IF(ArtifactsInput!$M$18,-1,1)*Summary!$B$3*(((1-Summary!$B$11)*IFERROR(B1548/Summary!$B$24,1)+Summary!$B$11*IFERROR(B1549/Summary!$B$25,1))-1)+ArtifactsInput!$L$18)</f>
        <v/>
      </c>
      <c r="AC45">
        <f>(Summary!$B$3+(IF(ArtifactsInput!$M$18,-1,1)*Summary!$B$3*(((1-Summary!$B$11)*IFERROR(B1548/Summary!$B$24,1)+Summary!$B$11*IFERROR(B1549/Summary!$B$25,1))-1)+ArtifactsInput!$L$18))/Summary!$B$3*100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(IF(ArtifactsInput!$M$20,-1,1)*Summary!$B$3*(((1-Summary!$B$11)*IFERROR(B1586/Summary!$B$24,1)+Summary!$B$11*IFERROR(B1587/Summary!$B$25,1))-1)+ArtifactsInput!$L$20)</f>
        <v/>
      </c>
      <c r="AC46">
        <f>(Summary!$B$3+(IF(ArtifactsInput!$M$20,-1,1)*Summary!$B$3*(((1-Summary!$B$11)*IFERROR(B1586/Summary!$B$24,1)+Summary!$B$11*IFERROR(B1587/Summary!$B$25,1))-1)+ArtifactsInput!$L$20))/Summary!$B$3*100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(IF(ArtifactsInput!$M$21,-1,1)*Summary!$B$3*(((1-Summary!$B$11)*IFERROR(B1624/Summary!$B$24,1)+Summary!$B$11*IFERROR(B1625/Summary!$B$25,1))-1)+ArtifactsInput!$L$21)</f>
        <v/>
      </c>
      <c r="AC47">
        <f>(Summary!$B$3+(IF(ArtifactsInput!$M$21,-1,1)*Summary!$B$3*(((1-Summary!$B$11)*IFERROR(B1624/Summary!$B$24,1)+Summary!$B$11*IFERROR(B1625/Summary!$B$25,1))-1)+ArtifactsInput!$L$21))/Summary!$B$3*100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(IF(ArtifactsInput!$M$22,-1,1)*Summary!$B$3*(((1-Summary!$B$11)*IFERROR(B1662/Summary!$B$24,1)+Summary!$B$11*IFERROR(B1663/Summary!$B$25,1))-1)+ArtifactsInput!$L$22)</f>
        <v/>
      </c>
      <c r="AC48">
        <f>(Summary!$B$3+(IF(ArtifactsInput!$M$22,-1,1)*Summary!$B$3*(((1-Summary!$B$11)*IFERROR(B1662/Summary!$B$24,1)+Summary!$B$11*IFERROR(B1663/Summary!$B$25,1))-1)+ArtifactsInput!$L$22))/Summary!$B$3*100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(IF(ArtifactsInput!$M$23,-1,1)*Summary!$B$3*(((1-Summary!$B$11)*IFERROR(B1700/Summary!$B$24,1)+Summary!$B$11*IFERROR(B1701/Summary!$B$25,1))-1)+ArtifactsInput!$L$23)</f>
        <v/>
      </c>
      <c r="AC49">
        <f>(Summary!$B$3+(IF(ArtifactsInput!$M$23,-1,1)*Summary!$B$3*(((1-Summary!$B$11)*IFERROR(B1700/Summary!$B$24,1)+Summary!$B$11*IFERROR(B1701/Summary!$B$25,1))-1)+ArtifactsInput!$L$23))/Summary!$B$3*100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(IF(ArtifactsInput!$M$24,-1,1)*Summary!$B$3*(((1-Summary!$B$11)*IFERROR(B1738/Summary!$B$24,1)+Summary!$B$11*IFERROR(B1739/Summary!$B$25,1))-1)+ArtifactsInput!$L$24)</f>
        <v/>
      </c>
      <c r="AC50">
        <f>(Summary!$B$3+(IF(ArtifactsInput!$M$24,-1,1)*Summary!$B$3*(((1-Summary!$B$11)*IFERROR(B1738/Summary!$B$24,1)+Summary!$B$11*IFERROR(B1739/Summary!$B$25,1))-1)+ArtifactsInput!$L$24))/Summary!$B$3*100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(IF(ArtifactsInput!$M$25,-1,1)*Summary!$B$3*(((1-Summary!$B$11)*IFERROR(B1776/Summary!$B$24,1)+Summary!$B$11*IFERROR(B1777/Summary!$B$25,1))-1)+ArtifactsInput!$L$25)</f>
        <v/>
      </c>
      <c r="AC51">
        <f>(Summary!$B$3+(IF(ArtifactsInput!$M$25,-1,1)*Summary!$B$3*(((1-Summary!$B$11)*IFERROR(B1776/Summary!$B$24,1)+Summary!$B$11*IFERROR(B1777/Summary!$B$25,1))-1)+ArtifactsInput!$L$25))/Summary!$B$3*100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(IF(ArtifactsInput!$M$26,-1,1)*Summary!$B$3*(((1-Summary!$B$11)*IFERROR(B1814/Summary!$B$24,1)+Summary!$B$11*IFERROR(B1815/Summary!$B$25,1))-1)+ArtifactsInput!$L$26)</f>
        <v/>
      </c>
      <c r="AC52">
        <f>(Summary!$B$3+(IF(ArtifactsInput!$M$26,-1,1)*Summary!$B$3*(((1-Summary!$B$11)*IFERROR(B1814/Summary!$B$24,1)+Summary!$B$11*IFERROR(B1815/Summary!$B$25,1))-1)+ArtifactsInput!$L$26))/Summary!$B$3*100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(IF(ArtifactsInput!$M$27,-1,1)*Summary!$B$3*(((1-Summary!$B$11)*IFERROR(B1852/Summary!$B$24,1)+Summary!$B$11*IFERROR(B1853/Summary!$B$25,1))-1)+ArtifactsInput!$L$27)</f>
        <v/>
      </c>
      <c r="AC53">
        <f>(Summary!$B$3+(IF(ArtifactsInput!$M$27,-1,1)*Summary!$B$3*(((1-Summary!$B$11)*IFERROR(B1852/Summary!$B$24,1)+Summary!$B$11*IFERROR(B1853/Summary!$B$25,1))-1)+ArtifactsInput!$L$27))/Summary!$B$3*100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(IF(ArtifactsInput!$M$28,-1,1)*Summary!$B$3*(((1-Summary!$B$11)*IFERROR(B1890/Summary!$B$24,1)+Summary!$B$11*IFERROR(B1891/Summary!$B$25,1))-1)+ArtifactsInput!$L$28)</f>
        <v/>
      </c>
      <c r="AC54">
        <f>(Summary!$B$3+(IF(ArtifactsInput!$M$28,-1,1)*Summary!$B$3*(((1-Summary!$B$11)*IFERROR(B1890/Summary!$B$24,1)+Summary!$B$11*IFERROR(B1891/Summary!$B$25,1))-1)+ArtifactsInput!$L$28))/Summary!$B$3*100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(IF(ArtifactsInput!$M$29,-1,1)*Summary!$B$3*(((1-Summary!$B$11)*IFERROR(B1928/Summary!$B$24,1)+Summary!$B$11*IFERROR(B1929/Summary!$B$25,1))-1)+ArtifactsInput!$L$29)</f>
        <v/>
      </c>
      <c r="AC55">
        <f>(Summary!$B$3+(IF(ArtifactsInput!$M$29,-1,1)*Summary!$B$3*(((1-Summary!$B$11)*IFERROR(B1928/Summary!$B$24,1)+Summary!$B$11*IFERROR(B1929/Summary!$B$25,1))-1)+ArtifactsInput!$L$29))/Summary!$B$3*100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(IF(ArtifactsInput!$M$30,-1,1)*Summary!$B$3*(((1-Summary!$B$11)*IFERROR(B1966/Summary!$B$24,1)+Summary!$B$11*IFERROR(B1967/Summary!$B$25,1))-1)+ArtifactsInput!$L$30)</f>
        <v/>
      </c>
      <c r="AC56">
        <f>(Summary!$B$3+(IF(ArtifactsInput!$M$30,-1,1)*Summary!$B$3*(((1-Summary!$B$11)*IFERROR(B1966/Summary!$B$24,1)+Summary!$B$11*IFERROR(B1967/Summary!$B$25,1))-1)+ArtifactsInput!$L$30))/Summary!$B$3*100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(IF(ArtifactsInput!$M$31,-1,1)*Summary!$B$3*(((1-Summary!$B$11)*IFERROR(B2004/Summary!$B$24,1)+Summary!$B$11*IFERROR(B2005/Summary!$B$25,1))-1)+ArtifactsInput!$L$31)</f>
        <v/>
      </c>
      <c r="AC57">
        <f>(Summary!$B$3+(IF(ArtifactsInput!$M$31,-1,1)*Summary!$B$3*(((1-Summary!$B$11)*IFERROR(B2004/Summary!$B$24,1)+Summary!$B$11*IFERROR(B2005/Summary!$B$25,1))-1)+ArtifactsInput!$L$31))/Summary!$B$3*100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(IF(ArtifactsInput!$M$32,-1,1)*Summary!$B$3*(((1-Summary!$B$11)*IFERROR(B2042/Summary!$B$24,1)+Summary!$B$11*IFERROR(B2043/Summary!$B$25,1))-1)+ArtifactsInput!$L$32)</f>
        <v/>
      </c>
      <c r="AC58">
        <f>(Summary!$B$3+(IF(ArtifactsInput!$M$32,-1,1)*Summary!$B$3*(((1-Summary!$B$11)*IFERROR(B2042/Summary!$B$24,1)+Summary!$B$11*IFERROR(B2043/Summary!$B$25,1))-1)+ArtifactsInput!$L$32))/Summary!$B$3*100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(IF(ArtifactsInput!$M$33,-1,1)*Summary!$B$3*(((1-Summary!$B$11)*IFERROR(B2080/Summary!$B$24,1)+Summary!$B$11*IFERROR(B2081/Summary!$B$25,1))-1)+ArtifactsInput!$L$33)</f>
        <v/>
      </c>
      <c r="AC59">
        <f>(Summary!$B$3+(IF(ArtifactsInput!$M$33,-1,1)*Summary!$B$3*(((1-Summary!$B$11)*IFERROR(B2080/Summary!$B$24,1)+Summary!$B$11*IFERROR(B2081/Summary!$B$25,1))-1)+ArtifactsInput!$L$33))/Summary!$B$3*100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(IF(ArtifactsInput!$M$34,-1,1)*Summary!$B$3*(((1-Summary!$B$11)*IFERROR(B2118/Summary!$B$24,1)+Summary!$B$11*IFERROR(B2119/Summary!$B$25,1))-1)+ArtifactsInput!$L$34)</f>
        <v/>
      </c>
      <c r="AC60">
        <f>(Summary!$B$3+(IF(ArtifactsInput!$M$34,-1,1)*Summary!$B$3*(((1-Summary!$B$11)*IFERROR(B2118/Summary!$B$24,1)+Summary!$B$11*IFERROR(B2119/Summary!$B$25,1))-1)+ArtifactsInput!$L$34))/Summary!$B$3*100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(IF(ArtifactsInput!$M$35,-1,1)*Summary!$B$3*(((1-Summary!$B$11)*IFERROR(B2156/Summary!$B$24,1)+Summary!$B$11*IFERROR(B2157/Summary!$B$25,1))-1)+ArtifactsInput!$L$35)</f>
        <v/>
      </c>
      <c r="AC61">
        <f>(Summary!$B$3+(IF(ArtifactsInput!$M$35,-1,1)*Summary!$B$3*(((1-Summary!$B$11)*IFERROR(B2156/Summary!$B$24,1)+Summary!$B$11*IFERROR(B2157/Summary!$B$25,1))-1)+ArtifactsInput!$L$35))/Summary!$B$3*100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(IF(ArtifactsInput!$M$36,-1,1)*Summary!$B$3*(((1-Summary!$B$11)*IFERROR(B2194/Summary!$B$24,1)+Summary!$B$11*IFERROR(B2195/Summary!$B$25,1))-1)+ArtifactsInput!$L$36)</f>
        <v/>
      </c>
      <c r="AC62">
        <f>(Summary!$B$3+(IF(ArtifactsInput!$M$36,-1,1)*Summary!$B$3*(((1-Summary!$B$11)*IFERROR(B2194/Summary!$B$24,1)+Summary!$B$11*IFERROR(B2195/Summary!$B$25,1))-1)+ArtifactsInput!$L$36))/Summary!$B$3*100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(IF(ArtifactsInput!$M$37,-1,1)*Summary!$B$3*(((1-Summary!$B$11)*IFERROR(B2232/Summary!$B$24,1)+Summary!$B$11*IFERROR(B2233/Summary!$B$25,1))-1)+ArtifactsInput!$L$37)</f>
        <v/>
      </c>
      <c r="AC63">
        <f>(Summary!$B$3+(IF(ArtifactsInput!$M$37,-1,1)*Summary!$B$3*(((1-Summary!$B$11)*IFERROR(B2232/Summary!$B$24,1)+Summary!$B$11*IFERROR(B2233/Summary!$B$25,1))-1)+ArtifactsInput!$L$37))/Summary!$B$3*100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(IF(ArtifactsInput!$M$38,-1,1)*Summary!$B$3*(((1-Summary!$B$11)*IFERROR(B2270/Summary!$B$24,1)+Summary!$B$11*IFERROR(B2271/Summary!$B$25,1))-1)+ArtifactsInput!$L$38)</f>
        <v/>
      </c>
      <c r="AC64">
        <f>(Summary!$B$3+(IF(ArtifactsInput!$M$38,-1,1)*Summary!$B$3*(((1-Summary!$B$11)*IFERROR(B2270/Summary!$B$24,1)+Summary!$B$11*IFERROR(B2271/Summary!$B$25,1))-1)+ArtifactsInput!$L$38))/Summary!$B$3*100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(IF(ArtifactsInput!$M$39,-1,1)*Summary!$B$3*(((1-Summary!$B$11)*IFERROR(B2308/Summary!$B$24,1)+Summary!$B$11*IFERROR(B2309/Summary!$B$25,1))-1)+ArtifactsInput!$L$39)</f>
        <v/>
      </c>
      <c r="AC65">
        <f>(Summary!$B$3+(IF(ArtifactsInput!$M$39,-1,1)*Summary!$B$3*(((1-Summary!$B$11)*IFERROR(B2308/Summary!$B$24,1)+Summary!$B$11*IFERROR(B2309/Summary!$B$25,1))-1)+ArtifactsInput!$L$39))/Summary!$B$3*100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(IF(ArtifactsInput!$M$40,-1,1)*Summary!$B$3*(((1-Summary!$B$11)*IFERROR(B2346/Summary!$B$24,1)+Summary!$B$11*IFERROR(B2347/Summary!$B$25,1))-1)+ArtifactsInput!$L$40)</f>
        <v/>
      </c>
      <c r="AC66">
        <f>(Summary!$B$3+(IF(ArtifactsInput!$M$40,-1,1)*Summary!$B$3*(((1-Summary!$B$11)*IFERROR(B2346/Summary!$B$24,1)+Summary!$B$11*IFERROR(B2347/Summary!$B$25,1))-1)+ArtifactsInput!$L$40))/Summary!$B$3*100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(IF(ArtifactsInput!$M$41,-1,1)*Summary!$B$3*(((1-Summary!$B$11)*IFERROR(B2384/Summary!$B$24,1)+Summary!$B$11*IFERROR(B2385/Summary!$B$25,1))-1)+ArtifactsInput!$L$41)</f>
        <v/>
      </c>
      <c r="AC67">
        <f>(Summary!$B$3+(IF(ArtifactsInput!$M$41,-1,1)*Summary!$B$3*(((1-Summary!$B$11)*IFERROR(B2384/Summary!$B$24,1)+Summary!$B$11*IFERROR(B2385/Summary!$B$25,1))-1)+ArtifactsInput!$L$41))/Summary!$B$3*100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(IF(ArtifactsInput!$M$42,-1,1)*Summary!$B$3*(((1-Summary!$B$11)*IFERROR(B2422/Summary!$B$24,1)+Summary!$B$11*IFERROR(B2423/Summary!$B$25,1))-1)+ArtifactsInput!$L$42)</f>
        <v/>
      </c>
      <c r="AC68">
        <f>(Summary!$B$3+(IF(ArtifactsInput!$M$42,-1,1)*Summary!$B$3*(((1-Summary!$B$11)*IFERROR(B2422/Summary!$B$24,1)+Summary!$B$11*IFERROR(B2423/Summary!$B$25,1))-1)+ArtifactsInput!$L$42))/Summary!$B$3*100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91=TRUE)*(F91-Calc!F20)),(Inputs!$B$23+0+(IF(ArtifactsInput!$M$15,CHOOSE(ArtifactsInput!$N$15+1,25,30,35,40,45,50)/100*(Inputs!$B$11-Inputs!$B$11),0))))/100+(Inputs!$B$23+0+(IF(ArtifactsInput!$M$15,CHOOSE(ArtifactsInput!$N$15+1,25,30,35,40,45,50)/100*(Inputs!$B$11-Inputs!$B$11),0)))/100)/2</f>
        <v/>
      </c>
      <c r="M73">
        <f>L73*(1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IF(B106=0,0,O73/B106)</f>
        <v/>
      </c>
      <c r="Q73" t="n">
        <v>0</v>
      </c>
      <c r="R73" t="n">
        <v>0</v>
      </c>
      <c r="S73">
        <f>IFERROR(O73/N73,0)</f>
        <v/>
      </c>
      <c r="T73">
        <f>IF(C73,(Skills!G2*N73*B100)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IF(C73,(Skills!G2*N73*B100)*IF(Inputs!$B$38="pvp",1,(1+(Inputs!$B$21+Skills!Q2+(IF(ArtifactsInput!$M$33,CHOOSE(ArtifactsInput!$N$33+1,30,36,42,48,54,60),0))+(IF(AND(ArtifactsInput!$M$35,Inputs!$B$4&lt;&gt;"Chapter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91=TRUE)*(F91-Calc!F20)),(Inputs!$B$23+0+(IF(ArtifactsInput!$M$15,CHOOSE(ArtifactsInput!$N$15+1,25,30,35,40,45,50)/100*(Inputs!$B$11-Inputs!$B$11),0))))/100+(Inputs!$B$23+0+(IF(ArtifactsInput!$M$15,CHOOSE(ArtifactsInput!$N$15+1,25,30,35,40,45,50)/100*(Inputs!$B$11-Inputs!$B$11),0)))/100)/2</f>
        <v/>
      </c>
      <c r="M74">
        <f>L74*(1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IF(B106=0,0,O74/B106)</f>
        <v/>
      </c>
      <c r="Q74" t="n">
        <v>0</v>
      </c>
      <c r="R74" t="n">
        <v>0</v>
      </c>
      <c r="S74">
        <f>IFERROR(O74/N74,0)</f>
        <v/>
      </c>
      <c r="T74">
        <f>IF(C74,(Skills!G3*H74*N74*B100)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IF(C74,(Skills!G3*H74*N74*B100)*IF(Inputs!$B$38="pvp",1,(1+(Inputs!$B$21+Skills!Q3+(IF(ArtifactsInput!$M$33,CHOOSE(ArtifactsInput!$N$33+1,30,36,42,48,54,60),0))+(IF(AND(ArtifactsInput!$M$35,Inputs!$B$4&lt;&gt;"Chapter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Inputs!$B$3&gt;=60</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4="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91=TRUE)*(F91-Calc!F20)),(Inputs!$B$23+0+(IF(ArtifactsInput!$M$15,CHOOSE(ArtifactsInput!$N$15+1,25,30,35,40,45,50)/100*(Inputs!$B$11-Inputs!$B$11),0))))/100+(Inputs!$B$23+0+(IF(ArtifactsInput!$M$15,CHOOSE(ArtifactsInput!$N$15+1,25,30,35,40,45,50)/100*(Inputs!$B$11-Inputs!$B$11),0)))/100)/2</f>
        <v/>
      </c>
      <c r="M75">
        <f>L75*(1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IF(B106=0,0,O75/B106)</f>
        <v/>
      </c>
      <c r="Q75" t="n">
        <v>0</v>
      </c>
      <c r="R75" t="n">
        <v>0</v>
      </c>
      <c r="S75">
        <f>IFERROR(O75/N75,0)</f>
        <v/>
      </c>
      <c r="T75">
        <f>IF(C75,(Skills!G4*H75*N75*B100)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IF(C75,(Skills!G4*H75*N75*B100)*IF(Inputs!$B$38="pvp",1,(1+(Inputs!$B$21+Skills!Q4+(IF(ArtifactsInput!$M$33,CHOOSE(ArtifactsInput!$N$33+1,30,36,42,48,54,60),0))+(IF(AND(ArtifactsInput!$M$35,Inputs!$B$4&lt;&gt;"Chapter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Inputs!$B$3&gt;=60</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t="inlineStr"/>
      <c r="K76" t="inlineStr"/>
      <c r="L76" t="inlineStr"/>
      <c r="M76" t="inlineStr"/>
      <c r="N76" t="inlineStr"/>
      <c r="O76">
        <f>(1-Summary!$B$11)*T76+Summary!$B$11*V76</f>
        <v/>
      </c>
      <c r="P76">
        <f>IF(B106=0,0,O76/B106)</f>
        <v/>
      </c>
      <c r="Q76" t="n">
        <v>0</v>
      </c>
      <c r="R76" t="n">
        <v>0</v>
      </c>
      <c r="S76">
        <f>IFERROR(O76/N76,0)</f>
        <v/>
      </c>
      <c r="T76" t="n">
        <v>0</v>
      </c>
      <c r="V76" t="n">
        <v>0</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91=TRUE)*(F91-Calc!F20)),(Inputs!$B$23+0+(IF(ArtifactsInput!$M$15,CHOOSE(ArtifactsInput!$N$15+1,25,30,35,40,45,50)/100*(Inputs!$B$11-Inputs!$B$11),0))))/100+(Inputs!$B$23+0+(IF(ArtifactsInput!$M$15,CHOOSE(ArtifactsInput!$N$15+1,25,30,35,40,45,50)/100*(Inputs!$B$11-Inputs!$B$11),0)))/100)/2</f>
        <v/>
      </c>
      <c r="M77">
        <f>L77*(1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IF(B106=0,0,O77/B106)</f>
        <v/>
      </c>
      <c r="Q77">
        <f>IFERROR(1/(IF(Inputs!$B$38="pvp",15,MAX(0.1,Skills!D6-IF(Skills!E6=TRUE,Inputs!$B$32,0)))*(1-IF(AND(ArtifactsInput!$M$27,Inputs!$B$4="Chapter Hunt"),CHOOSE(ArtifactsInput!$N$27+1,20,24,28,32,36,40),0)/100)),0)</f>
        <v/>
      </c>
      <c r="R77">
        <f>IF(AND(Inputs!$B$38&lt;&gt;"pvp",Inputs!$B$43&gt;0),IF(MAX(0,Inputs!$B$43-B103)&lt;=0,0,(INT(MAX(0,Inputs!$B$43-B103)/(IF(Inputs!$B$38="pvp",15,MAX(0.1,Skills!D6-IF(Skills!E6=TRUE,Inputs!$B$32,0)))*(1-IF(AND(ArtifactsInput!$M$27,Inputs!$B$4="Chapter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103)-((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103)-((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Inputs!$B$3&gt;=100</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91=TRUE)*(F91-Calc!F20)),(Inputs!$B$23+0+(IF(ArtifactsInput!$M$15,CHOOSE(ArtifactsInput!$N$15+1,25,30,35,40,45,50)/100*(Inputs!$B$11-Inputs!$B$11),0))))/100+(Inputs!$B$23+0+(IF(ArtifactsInput!$M$15,CHOOSE(ArtifactsInput!$N$15+1,25,30,35,40,45,50)/100*(Inputs!$B$11-Inputs!$B$11),0)))/100)/2</f>
        <v/>
      </c>
      <c r="M78">
        <f>L78*(1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IF(B106=0,0,O78/B106)</f>
        <v/>
      </c>
      <c r="Q78">
        <f>IFERROR(1/(IF(Inputs!$B$38="pvp",15,MAX(0.1,Skills!D7-IF(Skills!E7=TRUE,Inputs!$B$32,0)))*(1-IF(AND(ArtifactsInput!$M$27,Inputs!$B$4="Chapter Hunt"),CHOOSE(ArtifactsInput!$N$27+1,20,24,28,32,36,40),0)/100)),0)</f>
        <v/>
      </c>
      <c r="R78">
        <f>IF(AND(Inputs!$B$38&lt;&gt;"pvp",Inputs!$B$43&gt;0),IF(MAX(0,Inputs!$B$43-B103)&lt;=0,0,(INT(MAX(0,Inputs!$B$43-B103)/(IF(Inputs!$B$38="pvp",15,MAX(0.1,Skills!D7-IF(Skills!E7=TRUE,Inputs!$B$32,0)))*(1-IF(AND(ArtifactsInput!$M$27,Inputs!$B$4="Chapter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103)-((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103)-((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91=TRUE)*(F91-Calc!F20)),(Inputs!$B$23+0+(IF(ArtifactsInput!$M$15,CHOOSE(ArtifactsInput!$N$15+1,25,30,35,40,45,50)/100*(Inputs!$B$11-Inputs!$B$11),0))))/100+(Inputs!$B$23+0+(IF(ArtifactsInput!$M$15,CHOOSE(ArtifactsInput!$N$15+1,25,30,35,40,45,50)/100*(Inputs!$B$11-Inputs!$B$11),0)))/100)/2</f>
        <v/>
      </c>
      <c r="M79">
        <f>L79*(1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IF(B106=0,0,O79/B106)</f>
        <v/>
      </c>
      <c r="Q79">
        <f>IFERROR(1/(IF(Inputs!$B$38="pvp",15,MAX(0.1,Skills!D8-IF(Skills!E8=TRUE,Inputs!$B$32,0)))*(1-IF(AND(ArtifactsInput!$M$27,Inputs!$B$4="Chapter Hunt"),CHOOSE(ArtifactsInput!$N$27+1,20,24,28,32,36,40),0)/100)),0)</f>
        <v/>
      </c>
      <c r="R79">
        <f>IF(AND(Inputs!$B$38&lt;&gt;"pvp",Inputs!$B$43&gt;0),IF(MAX(0,Inputs!$B$43-B103)&lt;=0,0,(INT(MAX(0,Inputs!$B$43-B103)/(IF(Inputs!$B$38="pvp",15,MAX(0.1,Skills!D8-IF(Skills!E8=TRUE,Inputs!$B$32,0)))*(1-IF(AND(ArtifactsInput!$M$27,Inputs!$B$4="Chapter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103)-((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103)-((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Inputs!$B$3&gt;=110</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91=TRUE)*(F91-Calc!F20)),(Inputs!$B$23+0+(IF(ArtifactsInput!$M$15,CHOOSE(ArtifactsInput!$N$15+1,25,30,35,40,45,50)/100*(Inputs!$B$11-Inputs!$B$11),0))))/100+(Inputs!$B$23+0+(IF(ArtifactsInput!$M$15,CHOOSE(ArtifactsInput!$N$15+1,25,30,35,40,45,50)/100*(Inputs!$B$11-Inputs!$B$11),0)))/100)/2</f>
        <v/>
      </c>
      <c r="M80">
        <f>L80*(1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IF(B106=0,0,O80/B106)</f>
        <v/>
      </c>
      <c r="Q80">
        <f>IFERROR(1/(IF(Inputs!$B$38="pvp",15,MAX(0.1,Skills!D9-IF(Skills!E9=TRUE,Inputs!$B$32,0)))*(1-IF(AND(ArtifactsInput!$M$27,Inputs!$B$4="Chapter Hunt"),CHOOSE(ArtifactsInput!$N$27+1,20,24,28,32,36,40),0)/100)),0)</f>
        <v/>
      </c>
      <c r="R80">
        <f>IF(AND(Inputs!$B$38&lt;&gt;"pvp",Inputs!$B$43&gt;0),IF(MAX(0,Inputs!$B$43-B103)&lt;=0,0,(INT(MAX(0,Inputs!$B$43-B103)/(IF(Inputs!$B$38="pvp",15,MAX(0.1,Skills!D9-IF(Skills!E9=TRUE,Inputs!$B$32,0)))*(1-IF(AND(ArtifactsInput!$M$27,Inputs!$B$4="Chapter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103)-((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103)-((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91=TRUE)*(F91-Calc!F20)),(Inputs!$B$23+0+(IF(ArtifactsInput!$M$15,CHOOSE(ArtifactsInput!$N$15+1,25,30,35,40,45,50)/100*(Inputs!$B$11-Inputs!$B$11),0))))/100+(Inputs!$B$23+0+(IF(ArtifactsInput!$M$15,CHOOSE(ArtifactsInput!$N$15+1,25,30,35,40,45,50)/100*(Inputs!$B$11-Inputs!$B$11),0)))/100)/2</f>
        <v/>
      </c>
      <c r="M81">
        <f>L81*(1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IF(B106=0,0,O81/B106)</f>
        <v/>
      </c>
      <c r="Q81">
        <f>IFERROR(1/(IF(Inputs!$B$38="pvp",15,MAX(0.1,Skills!D10-IF(Skills!E10=TRUE,Inputs!$B$32,0)))*(1-IF(AND(ArtifactsInput!$M$27,Inputs!$B$4="Chapter Hunt"),CHOOSE(ArtifactsInput!$N$27+1,20,24,28,32,36,40),0)/100)),0)</f>
        <v/>
      </c>
      <c r="R81">
        <f>IF(AND(Inputs!$B$38&lt;&gt;"pvp",Inputs!$B$43&gt;0),IF(MAX(0,Inputs!$B$43-B103)&lt;=0,0,(INT(MAX(0,Inputs!$B$43-B103)/(IF(Inputs!$B$38="pvp",15,MAX(0.1,Skills!D10-IF(Skills!E10=TRUE,Inputs!$B$32,0)))*(1-IF(AND(ArtifactsInput!$M$27,Inputs!$B$4="Chapter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103)-((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103)-((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91=TRUE)*(F91-Calc!F20)),(Inputs!$B$23+0+(IF(ArtifactsInput!$M$15,CHOOSE(ArtifactsInput!$N$15+1,25,30,35,40,45,50)/100*(Inputs!$B$11-Inputs!$B$11),0))))/100+(Inputs!$B$23+0+(IF(ArtifactsInput!$M$15,CHOOSE(ArtifactsInput!$N$15+1,25,30,35,40,45,50)/100*(Inputs!$B$11-Inputs!$B$11),0)))/100)/2</f>
        <v/>
      </c>
      <c r="M82">
        <f>L82*(1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IF(B106=0,0,O82/B106)</f>
        <v/>
      </c>
      <c r="Q82">
        <f>IFERROR(1/(IF(Inputs!$B$38="pvp",15,MAX(0.1,Skills!D11-IF(Skills!E11=TRUE,Inputs!$B$32,0)))*(1-IF(AND(ArtifactsInput!$M$27,Inputs!$B$4="Chapter Hunt"),CHOOSE(ArtifactsInput!$N$27+1,20,24,28,32,36,40),0)/100)),0)</f>
        <v/>
      </c>
      <c r="R82">
        <f>IF(AND(Inputs!$B$38&lt;&gt;"pvp",Inputs!$B$43&gt;0),IF(MAX(0,Inputs!$B$43-B103)&lt;=0,0,(INT(MAX(0,Inputs!$B$43-B103)/(IF(Inputs!$B$38="pvp",15,MAX(0.1,Skills!D11-IF(Skills!E11=TRUE,Inputs!$B$32,0)))*(1-IF(AND(ArtifactsInput!$M$27,Inputs!$B$4="Chapter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103)-((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103)-((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c r="T83" t="inlineStr"/>
      <c r="V83" t="inlineStr"/>
    </row>
    <row r="84">
      <c r="A84">
        <f>Skills!A13</f>
        <v/>
      </c>
      <c r="B84">
        <f>Skills!B13</f>
        <v/>
      </c>
      <c r="C84">
        <f>Inputs!$B$3&gt;=66</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IF(B106=0,0,O84/B106)</f>
        <v/>
      </c>
      <c r="Q84" t="n">
        <v>0</v>
      </c>
      <c r="R84" t="n">
        <v>0</v>
      </c>
      <c r="S84">
        <f>IFERROR(O84/N84,0)</f>
        <v/>
      </c>
      <c r="T84" t="n">
        <v>0</v>
      </c>
      <c r="V84" t="n">
        <v>0</v>
      </c>
    </row>
    <row r="85">
      <c r="A85">
        <f>Skills!A14</f>
        <v/>
      </c>
      <c r="B85">
        <f>Skills!B14</f>
        <v/>
      </c>
      <c r="C85">
        <f>Inputs!$B$3&gt;=107</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IF(B106=0,0,O85/B106)</f>
        <v/>
      </c>
      <c r="Q85" t="n">
        <v>0</v>
      </c>
      <c r="R85" t="n">
        <v>0</v>
      </c>
      <c r="S85">
        <f>IFERROR(O85/N85,0)</f>
        <v/>
      </c>
      <c r="T85" t="n">
        <v>0</v>
      </c>
      <c r="V85" t="n">
        <v>0</v>
      </c>
    </row>
    <row r="86">
      <c r="A86">
        <f>Skills!A15</f>
        <v/>
      </c>
      <c r="B86">
        <f>Skills!B15</f>
        <v/>
      </c>
      <c r="C86">
        <f>Inputs!$B$3&gt;=115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IF(B106=0,0,O86/B106)</f>
        <v/>
      </c>
      <c r="Q86" t="n">
        <v>0</v>
      </c>
      <c r="R86" t="n">
        <v>0</v>
      </c>
      <c r="S86">
        <f>IFERROR(O86/N86,0)</f>
        <v/>
      </c>
      <c r="T86" t="n">
        <v>0</v>
      </c>
      <c r="V86" t="n">
        <v>0</v>
      </c>
    </row>
    <row r="87">
      <c r="A87">
        <f>Skills!A16</f>
        <v/>
      </c>
      <c r="B87">
        <f>Skills!B16</f>
        <v/>
      </c>
      <c r="C87">
        <f>Inputs!$B$3&gt;=15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IF(B106=0,0,O87/B106)</f>
        <v/>
      </c>
      <c r="Q87" t="n">
        <v>0</v>
      </c>
      <c r="R87" t="n">
        <v>0</v>
      </c>
      <c r="S87">
        <f>IFERROR(O87/N87,0)</f>
        <v/>
      </c>
      <c r="T87" t="n">
        <v>0</v>
      </c>
      <c r="V87" t="n">
        <v>0</v>
      </c>
    </row>
    <row r="88">
      <c r="A88">
        <f>Skills!A17</f>
        <v/>
      </c>
      <c r="B88">
        <f>Skills!B17</f>
        <v/>
      </c>
      <c r="C88">
        <f>Inputs!$B$3&gt;=10</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IF(B106=0,0,O88/B106)</f>
        <v/>
      </c>
      <c r="Q88" t="n">
        <v>0</v>
      </c>
      <c r="R88" t="n">
        <v>0</v>
      </c>
      <c r="S88">
        <f>IFERROR(O88/N88,0)</f>
        <v/>
      </c>
      <c r="T88" t="n">
        <v>0</v>
      </c>
      <c r="V88" t="n">
        <v>0</v>
      </c>
    </row>
    <row r="89">
      <c r="A89">
        <f>Skills!A18</f>
        <v/>
      </c>
      <c r="B89">
        <f>Skills!B18</f>
        <v/>
      </c>
      <c r="C89">
        <f>Inputs!$B$3&gt;=33</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IF(B106=0,0,O89/B106)</f>
        <v/>
      </c>
      <c r="Q89" t="n">
        <v>0</v>
      </c>
      <c r="R89" t="n">
        <v>0</v>
      </c>
      <c r="S89">
        <f>IFERROR(O89/N89,0)</f>
        <v/>
      </c>
      <c r="T89" t="n">
        <v>0</v>
      </c>
      <c r="V89" t="n">
        <v>0</v>
      </c>
    </row>
    <row r="90">
      <c r="A90">
        <f>Skills!A19</f>
        <v/>
      </c>
      <c r="B90">
        <f>Skills!B19</f>
        <v/>
      </c>
      <c r="C90">
        <f>Inputs!$B$3&gt;=40</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IF(B106=0,0,O90/B106)</f>
        <v/>
      </c>
      <c r="Q90" t="n">
        <v>0</v>
      </c>
      <c r="R90" t="n">
        <v>0</v>
      </c>
      <c r="S90">
        <f>IFERROR(O90/N90,0)</f>
        <v/>
      </c>
      <c r="T90" t="n">
        <v>0</v>
      </c>
      <c r="V90" t="n">
        <v>0</v>
      </c>
    </row>
    <row r="91">
      <c r="A91">
        <f>Skills!A20</f>
        <v/>
      </c>
      <c r="B91">
        <f>Skills!B20</f>
        <v/>
      </c>
      <c r="C91">
        <f>Inputs!$B$3&gt;=43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IF(B106=0,0,O91/B106)</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IF(B106=0,0,O92/B106)</f>
        <v/>
      </c>
      <c r="Q92" t="n">
        <v>0</v>
      </c>
      <c r="R92" t="n">
        <v>0</v>
      </c>
      <c r="S92">
        <f>IFERROR(O92/N92,0)</f>
        <v/>
      </c>
      <c r="T92" t="n">
        <v>0</v>
      </c>
      <c r="V92" t="n">
        <v>0</v>
      </c>
    </row>
    <row r="93">
      <c r="A93">
        <f>Skills!A22</f>
        <v/>
      </c>
      <c r="B93">
        <f>Skills!B22</f>
        <v/>
      </c>
      <c r="C93">
        <f>Inputs!$B$3&gt;=75</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IF(B106=0,0,O93/B106)</f>
        <v/>
      </c>
      <c r="Q93" t="n">
        <v>0</v>
      </c>
      <c r="R93" t="n">
        <v>0</v>
      </c>
      <c r="S93">
        <f>IFERROR(O93/N93,0)</f>
        <v/>
      </c>
      <c r="T93" t="n">
        <v>0</v>
      </c>
      <c r="V93" t="n">
        <v>0</v>
      </c>
    </row>
    <row r="95">
      <c r="A95" t="inlineStr">
        <is>
          <t>Attack% Bucket Multiplier</t>
        </is>
      </c>
      <c r="B95">
        <f>(1+(((C84=TRUE)*F84)+((C90=TRUE)*(F90-Calc!F19))+(IF(ArtifactsInput!$M$21,CHOOSE(ArtifactsInput!$N$21+1,25,30,35,40,45,50)*(IF(OR(Inputs!$B$4="Chapter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6">
      <c r="A96" t="inlineStr">
        <is>
          <t>Global Crit Rate Bonus %</t>
        </is>
      </c>
      <c r="B96" t="n">
        <v>0</v>
      </c>
    </row>
    <row r="97">
      <c r="A97" t="inlineStr">
        <is>
          <t>Attack Speed Buff Bonus % (unused)</t>
        </is>
      </c>
      <c r="B97" t="n">
        <v>0</v>
      </c>
    </row>
    <row r="98">
      <c r="A98" t="inlineStr">
        <is>
          <t>Actions Per Second</t>
        </is>
      </c>
      <c r="B98">
        <f>1+MIN(150,150*(1-(1-(Inputs!$B$11+((C88=TRUE)*(F88-Calc!F17))+((C89=TRUE)*(F89-Calc!F18)))/150)*(1-B97/150)))/100</f>
        <v/>
      </c>
    </row>
    <row r="99">
      <c r="A99" t="inlineStr">
        <is>
          <t>Skill + Buff Cast Rate</t>
        </is>
      </c>
      <c r="B99">
        <f>IF(AND(Inputs!$B$38&lt;&gt;"pvp",Inputs!$B$43&gt;0),SUMPRODUCT((Skills!E2:E22=TRUE)*(C73:C93=TRUE)*R73:R93*Skills!F2:F22)/Inputs!$B$43,SUMPRODUCT((Skills!E2:E22=TRUE)*(C73:C93=TRUE)*Q73:Q93*Skills!F2:F22))</f>
        <v/>
      </c>
    </row>
    <row r="100">
      <c r="A100" t="inlineStr">
        <is>
          <t>Hook Bomber Casts Per Second</t>
        </is>
      </c>
      <c r="B100">
        <f>MAX(0,B98-B99)</f>
        <v/>
      </c>
    </row>
    <row r="101">
      <c r="A101" t="inlineStr">
        <is>
          <t>Global Critical Damage Bonus % (unused)</t>
        </is>
      </c>
      <c r="B101" t="n">
        <v>0</v>
      </c>
    </row>
    <row r="102">
      <c r="A102" t="inlineStr">
        <is>
          <t>Global Final Damage Bonus % (Serpent Scale + Crossbones + Time Leap + Speed Infusion)</t>
        </is>
      </c>
      <c r="B102">
        <f>((C76=TRUE)*F76*((10+IF(Inputs!$B$3&gt;=94,5,0))/((10+IF(Inputs!$B$3&gt;=94,5,0))+5/(B100*(1+IF(Inputs!$B$3&gt;=104,1,0))))))+((C85=TRUE)*F85)+((C86=TRUE)*F86)+((Inputs!$B$3&gt;=110)*20*(B98-1))</f>
        <v/>
      </c>
    </row>
    <row r="103">
      <c r="A103" t="inlineStr">
        <is>
          <t>Buff-Casting Startup Delay (s, fixed-duration only)</t>
        </is>
      </c>
      <c r="B103">
        <f>IF(AND(Inputs!$B$38&lt;&gt;"pvp",Inputs!$B$43&gt;0),SUMPRODUCT((Skills!T2:T22&gt;0)*(Skills!E2:E22=TRUE)*(C73:C93=TRUE))/B98,0)</f>
        <v/>
      </c>
    </row>
    <row r="104">
      <c r="A104" t="inlineStr">
        <is>
          <t>Boss-Only Total DPS (this block's swept value)</t>
        </is>
      </c>
      <c r="B104">
        <f>SUM(T73:T93)</f>
        <v/>
      </c>
    </row>
    <row r="105">
      <c r="A105" t="inlineStr">
        <is>
          <t>Normal-Only Total DPS (this block's swept value)</t>
        </is>
      </c>
      <c r="B105">
        <f>SUM(V73:V93)</f>
        <v/>
      </c>
    </row>
    <row r="106">
      <c r="A106" s="6" t="inlineStr">
        <is>
          <t>TOTAL DPS</t>
        </is>
      </c>
      <c r="B106" s="6">
        <f>SUM(O73:O93)</f>
        <v/>
      </c>
    </row>
    <row r="109">
      <c r="A109" s="6" t="inlineStr">
        <is>
          <t>Stat: STR %</t>
        </is>
      </c>
    </row>
    <row r="110">
      <c r="A110" s="5" t="inlineStr">
        <is>
          <t>Key</t>
        </is>
      </c>
      <c r="B110" s="5" t="inlineStr">
        <is>
          <t>Name</t>
        </is>
      </c>
      <c r="C110" s="5" t="inlineStr">
        <is>
          <t>Unlocked</t>
        </is>
      </c>
      <c r="D110" s="5" t="inlineStr">
        <is>
          <t>InputLevel</t>
        </is>
      </c>
      <c r="E110" s="5" t="inlineStr">
        <is>
          <t>Factor</t>
        </is>
      </c>
      <c r="F110" s="5" t="inlineStr">
        <is>
          <t>CoefficientPercent</t>
        </is>
      </c>
      <c r="G110" s="5" t="inlineStr">
        <is>
          <t>EffectiveHits</t>
        </is>
      </c>
      <c r="H110" s="5" t="inlineStr">
        <is>
          <t>ProcProbability</t>
        </is>
      </c>
      <c r="I110" s="5" t="inlineStr">
        <is>
          <t>MapleHeroMultiplier</t>
        </is>
      </c>
      <c r="J110" s="5" t="inlineStr">
        <is>
          <t>BaseDamage</t>
        </is>
      </c>
      <c r="K110" s="5" t="inlineStr">
        <is>
          <t>BaseHitDamage</t>
        </is>
      </c>
      <c r="L110" s="5" t="inlineStr">
        <is>
          <t>NonCritAvg</t>
        </is>
      </c>
      <c r="M110" s="5" t="inlineStr">
        <is>
          <t>CritAvg</t>
        </is>
      </c>
      <c r="N110" s="5" t="inlineStr">
        <is>
          <t>ExpectedDamage(perHit)</t>
        </is>
      </c>
      <c r="O110" s="5" t="inlineStr">
        <is>
          <t>DPS</t>
        </is>
      </c>
      <c r="P110" s="5" t="inlineStr">
        <is>
          <t>% of Total</t>
        </is>
      </c>
      <c r="Q110" s="5" t="inlineStr">
        <is>
          <t>InvCooldown</t>
        </is>
      </c>
      <c r="R110" s="5" t="inlineStr">
        <is>
          <t>CastsInFight</t>
        </is>
      </c>
      <c r="S110" s="5" t="inlineStr">
        <is>
          <t>HitRate(perSec)</t>
        </is>
      </c>
      <c r="U110" t="inlineStr">
        <is>
          <t>helpers</t>
        </is>
      </c>
    </row>
    <row r="111">
      <c r="A111">
        <f>Skills!A2</f>
        <v/>
      </c>
      <c r="B111">
        <f>Skills!B2</f>
        <v/>
      </c>
      <c r="C111">
        <f>Inputs!$B$3&gt;=100</f>
        <v/>
      </c>
      <c r="D111" t="inlineStr"/>
      <c r="E111" t="inlineStr"/>
      <c r="F111">
        <f>U113+Skills!O2</f>
        <v/>
      </c>
      <c r="G111">
        <f>Skills!G2*IF(Skills!H2&gt;0,Skills!I2/Skills!H2,1)</f>
        <v/>
      </c>
      <c r="H111">
        <f>1-(1-Skills!J2/100)^Skills!K2</f>
        <v/>
      </c>
      <c r="I111" t="inlineStr">
        <is>
          <t>1</t>
        </is>
      </c>
      <c r="J111">
        <f>((Inputs!$B$6*(1+Inputs!$B$7/100))+(((Inputs!$B$12*(1+(Inputs!$B$13+1)/100))-(Inputs!$B$12*(1+Inputs!$B$13/100)))+0.25*(Inputs!$B$14-Inputs!$B$14))*(1+Inputs!$B$7/100))*(F111/100)</f>
        <v/>
      </c>
      <c r="K111">
        <f>J111*(1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f>
        <v/>
      </c>
      <c r="L111">
        <f>K111*(MIN(Inputs!$B$22+((C129=TRUE)*(F129-Calc!F20)),(Inputs!$B$23+0+(IF(ArtifactsInput!$M$15,CHOOSE(ArtifactsInput!$N$15+1,25,30,35,40,45,50)/100*(Inputs!$B$11-Inputs!$B$11),0))))/100+(Inputs!$B$23+0+(IF(ArtifactsInput!$M$15,CHOOSE(ArtifactsInput!$N$15+1,25,30,35,40,45,50)/100*(Inputs!$B$11-Inputs!$B$11),0)))/100)/2</f>
        <v/>
      </c>
      <c r="M111">
        <f>L111*(1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
        <f>L111*(1-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
        <f>(1-Summary!$B$11)*T111+Summary!$B$11*V111</f>
        <v/>
      </c>
      <c r="P111">
        <f>IF(B144=0,0,O111/B144)</f>
        <v/>
      </c>
      <c r="Q111" t="n">
        <v>0</v>
      </c>
      <c r="R111" t="n">
        <v>0</v>
      </c>
      <c r="S111">
        <f>IFERROR(O111/N111,0)</f>
        <v/>
      </c>
      <c r="T111">
        <f>IF(C111,(Skills!G2*N111*B138)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
        <f>MAX(0,(Inputs!$B$3-100)*3)+Inputs!$B$28+Inputs!$B$29</f>
        <v/>
      </c>
      <c r="V111">
        <f>IF(C111,(Skills!G2*N111*B138)*IF(Inputs!$B$38="pvp",1,(1+(Inputs!$B$21+Skills!Q2+(IF(ArtifactsInput!$M$33,CHOOSE(ArtifactsInput!$N$33+1,30,36,42,48,54,60),0))+(IF(AND(ArtifactsInput!$M$35,Inputs!$B$4&lt;&gt;"Chapter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
      <c r="A112">
        <f>Skills!A3</f>
        <v/>
      </c>
      <c r="B112">
        <f>Skills!B3</f>
        <v/>
      </c>
      <c r="C112">
        <f>Inputs!$B$3&gt;=35</f>
        <v/>
      </c>
      <c r="D112">
        <f>IF(Skills!C3=1,60+Inputs!$B$25+Inputs!$B$29,IF(Skills!C3=2,90+Inputs!$B$26+Inputs!$B$29,IF(Skills!C3=3,120+Inputs!$B$27+Inputs!$B$29,MAX(0,(Inputs!$B$3-100)*3)+Inputs!$B$28+Inputs!$B$29)))</f>
        <v/>
      </c>
      <c r="E112">
        <f>INDEX(FactorTable!$B$2:$Y$301, MATCH(ROUND(MIN(300,MAX(1,D112)),0), FactorTable!$A$2:$A$301,0), Skills!M3+1)</f>
        <v/>
      </c>
      <c r="F112">
        <f>IF(Skills!N3=TRUE,(Skills!L3/10)*(E112/1000),Skills!L3/10)+Skills!O3</f>
        <v/>
      </c>
      <c r="G112">
        <f>Skills!G3*IF(Skills!H3&gt;0,Skills!I3/Skills!H3,1)</f>
        <v/>
      </c>
      <c r="H112">
        <f>1-(1-Skills!J3/100)^Skills!K3</f>
        <v/>
      </c>
      <c r="I112" t="inlineStr">
        <is>
          <t>1</t>
        </is>
      </c>
      <c r="J112">
        <f>((Inputs!$B$6*(1+Inputs!$B$7/100))+(((Inputs!$B$12*(1+(Inputs!$B$13+1)/100))-(Inputs!$B$12*(1+Inputs!$B$13/100)))+0.25*(Inputs!$B$14-Inputs!$B$14))*(1+Inputs!$B$7/100))*(F112/100)</f>
        <v/>
      </c>
      <c r="K112">
        <f>J112*(1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f>
        <v/>
      </c>
      <c r="L112">
        <f>K112*(MIN(Inputs!$B$22+((C129=TRUE)*(F129-Calc!F20)),(Inputs!$B$23+0+(IF(ArtifactsInput!$M$15,CHOOSE(ArtifactsInput!$N$15+1,25,30,35,40,45,50)/100*(Inputs!$B$11-Inputs!$B$11),0))))/100+(Inputs!$B$23+0+(IF(ArtifactsInput!$M$15,CHOOSE(ArtifactsInput!$N$15+1,25,30,35,40,45,50)/100*(Inputs!$B$11-Inputs!$B$11),0)))/100)/2</f>
        <v/>
      </c>
      <c r="M112">
        <f>L112*(1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
        <f>L112*(1-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
        <f>(1-Summary!$B$11)*T112+Summary!$B$11*V112</f>
        <v/>
      </c>
      <c r="P112">
        <f>IF(B144=0,0,O112/B144)</f>
        <v/>
      </c>
      <c r="Q112" t="n">
        <v>0</v>
      </c>
      <c r="R112" t="n">
        <v>0</v>
      </c>
      <c r="S112">
        <f>IFERROR(O112/N112,0)</f>
        <v/>
      </c>
      <c r="T112">
        <f>IF(C112,(Skills!G3*H112*N112*B138)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
        <f>INDEX(FactorTable!$B$2:$Y$301, MATCH(ROUND(MIN(300,MAX(1,U111)),0), FactorTable!$A$2:$A$301,0), 22)</f>
        <v/>
      </c>
      <c r="V112">
        <f>IF(C112,(Skills!G3*H112*N112*B138)*IF(Inputs!$B$38="pvp",1,(1+(Inputs!$B$21+Skills!Q3+(IF(ArtifactsInput!$M$33,CHOOSE(ArtifactsInput!$N$33+1,30,36,42,48,54,60),0))+(IF(AND(ArtifactsInput!$M$35,Inputs!$B$4&lt;&gt;"Chapter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
      <c r="A113">
        <f>Skills!A4</f>
        <v/>
      </c>
      <c r="B113">
        <f>Skills!B4</f>
        <v/>
      </c>
      <c r="C113">
        <f>Inputs!$B$3&gt;=60</f>
        <v/>
      </c>
      <c r="D113">
        <f>IF(Skills!C4=1,60+Inputs!$B$25+Inputs!$B$29,IF(Skills!C4=2,90+Inputs!$B$26+Inputs!$B$29,IF(Skills!C4=3,120+Inputs!$B$27+Inputs!$B$29,MAX(0,(Inputs!$B$3-100)*3)+Inputs!$B$28+Inputs!$B$29)))</f>
        <v/>
      </c>
      <c r="E113">
        <f>INDEX(FactorTable!$B$2:$Y$301, MATCH(ROUND(MIN(300,MAX(1,D113)),0), FactorTable!$A$2:$A$301,0), Skills!M4+1)</f>
        <v/>
      </c>
      <c r="F113">
        <f>IF(Skills!N4=TRUE,(Skills!L4/10)*(E113/1000),Skills!L4/10)+Skills!O4</f>
        <v/>
      </c>
      <c r="G113">
        <f>Skills!G4*IF(Skills!H4&gt;0,Skills!I4/Skills!H4,1)</f>
        <v/>
      </c>
      <c r="H113">
        <f>1-(1-Skills!J4/100)^Skills!K4</f>
        <v/>
      </c>
      <c r="I113" t="inlineStr">
        <is>
          <t>1</t>
        </is>
      </c>
      <c r="J113">
        <f>((Inputs!$B$6*(1+Inputs!$B$7/100))+(((Inputs!$B$12*(1+(Inputs!$B$13+1)/100))-(Inputs!$B$12*(1+Inputs!$B$13/100)))+0.25*(Inputs!$B$14-Inputs!$B$14))*(1+Inputs!$B$7/100))*(F113/100)</f>
        <v/>
      </c>
      <c r="K113">
        <f>J113*(1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TRUE,F121,0)/100)*(1+(IF(Skills!A4="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f>
        <v/>
      </c>
      <c r="L113">
        <f>K113*(MIN(Inputs!$B$22+((C129=TRUE)*(F129-Calc!F20)),(Inputs!$B$23+0+(IF(ArtifactsInput!$M$15,CHOOSE(ArtifactsInput!$N$15+1,25,30,35,40,45,50)/100*(Inputs!$B$11-Inputs!$B$11),0))))/100+(Inputs!$B$23+0+(IF(ArtifactsInput!$M$15,CHOOSE(ArtifactsInput!$N$15+1,25,30,35,40,45,50)/100*(Inputs!$B$11-Inputs!$B$11),0)))/100)/2</f>
        <v/>
      </c>
      <c r="M113">
        <f>L113*(1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
        <f>L113*(1-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
        <f>(1-Summary!$B$11)*T113+Summary!$B$11*V113</f>
        <v/>
      </c>
      <c r="P113">
        <f>IF(B144=0,0,O113/B144)</f>
        <v/>
      </c>
      <c r="Q113" t="n">
        <v>0</v>
      </c>
      <c r="R113" t="n">
        <v>0</v>
      </c>
      <c r="S113">
        <f>IFERROR(O113/N113,0)</f>
        <v/>
      </c>
      <c r="T113">
        <f>IF(C113,(Skills!G4*H113*N113*B138)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
        <f>290*U112/1000</f>
        <v/>
      </c>
      <c r="V113">
        <f>IF(C113,(Skills!G4*H113*N113*B138)*IF(Inputs!$B$38="pvp",1,(1+(Inputs!$B$21+Skills!Q4+(IF(ArtifactsInput!$M$33,CHOOSE(ArtifactsInput!$N$33+1,30,36,42,48,54,60),0))+(IF(AND(ArtifactsInput!$M$35,Inputs!$B$4&lt;&gt;"Chapter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
      <c r="A114">
        <f>Skills!A5</f>
        <v/>
      </c>
      <c r="B114">
        <f>Skills!B5</f>
        <v/>
      </c>
      <c r="C114">
        <f>Inputs!$B$3&gt;=60</f>
        <v/>
      </c>
      <c r="D114">
        <f>IF(Skills!C5=1,60+Inputs!$B$25+Inputs!$B$29,IF(Skills!C5=2,90+Inputs!$B$26+Inputs!$B$29,IF(Skills!C5=3,120+Inputs!$B$27+Inputs!$B$29,MAX(0,(Inputs!$B$3-100)*3)+Inputs!$B$28+Inputs!$B$29)))</f>
        <v/>
      </c>
      <c r="E114">
        <f>INDEX(FactorTable!$B$2:$Y$301, MATCH(ROUND(MIN(300,MAX(1,D114)),0), FactorTable!$A$2:$A$301,0), Skills!M5+1)</f>
        <v/>
      </c>
      <c r="F114">
        <f>IF(Skills!N5=TRUE,(Skills!L5/10)*(E114/1000),Skills!L5/10)+Skills!O5</f>
        <v/>
      </c>
      <c r="G114">
        <f>Skills!G5*IF(Skills!H5&gt;0,Skills!I5/Skills!H5,1)</f>
        <v/>
      </c>
      <c r="H114">
        <f>1-(1-Skills!J5/100)^Skills!K5</f>
        <v/>
      </c>
      <c r="I114" t="inlineStr">
        <is>
          <t>1</t>
        </is>
      </c>
      <c r="J114" t="inlineStr"/>
      <c r="K114" t="inlineStr"/>
      <c r="L114" t="inlineStr"/>
      <c r="M114" t="inlineStr"/>
      <c r="N114" t="inlineStr"/>
      <c r="O114">
        <f>(1-Summary!$B$11)*T114+Summary!$B$11*V114</f>
        <v/>
      </c>
      <c r="P114">
        <f>IF(B144=0,0,O114/B144)</f>
        <v/>
      </c>
      <c r="Q114" t="n">
        <v>0</v>
      </c>
      <c r="R114" t="n">
        <v>0</v>
      </c>
      <c r="S114">
        <f>IFERROR(O114/N114,0)</f>
        <v/>
      </c>
      <c r="T114" t="n">
        <v>0</v>
      </c>
      <c r="V114" t="n">
        <v>0</v>
      </c>
    </row>
    <row r="115">
      <c r="A115">
        <f>Skills!A6</f>
        <v/>
      </c>
      <c r="B115">
        <f>Skills!B6</f>
        <v/>
      </c>
      <c r="C115">
        <f>Inputs!$B$3&gt;=63</f>
        <v/>
      </c>
      <c r="D115">
        <f>IF(Skills!C6=1,60+Inputs!$B$25+Inputs!$B$29,IF(Skills!C6=2,90+Inputs!$B$26+Inputs!$B$29,IF(Skills!C6=3,120+Inputs!$B$27+Inputs!$B$29,MAX(0,(Inputs!$B$3-100)*3)+Inputs!$B$28+Inputs!$B$29)))</f>
        <v/>
      </c>
      <c r="E115">
        <f>INDEX(FactorTable!$B$2:$Y$301, MATCH(ROUND(MIN(300,MAX(1,D115)),0), FactorTable!$A$2:$A$301,0), Skills!M6+1)</f>
        <v/>
      </c>
      <c r="F115">
        <f>IF(Skills!N6=TRUE,(Skills!L6/10)*(E115/1000),Skills!L6/10)+Skills!O6</f>
        <v/>
      </c>
      <c r="G115">
        <f>Skills!G6*IF(Skills!H6&gt;0,Skills!I6/Skills!H6,1)</f>
        <v/>
      </c>
      <c r="H115">
        <f>1-(1-Skills!J6/100)^Skills!K6</f>
        <v/>
      </c>
      <c r="I115" t="inlineStr">
        <is>
          <t>1</t>
        </is>
      </c>
      <c r="J115">
        <f>((Inputs!$B$6*(1+Inputs!$B$7/100))+(((Inputs!$B$12*(1+(Inputs!$B$13+1)/100))-(Inputs!$B$12*(1+Inputs!$B$13/100)))+0.25*(Inputs!$B$14-Inputs!$B$14))*(1+Inputs!$B$7/100))*(F115/100)</f>
        <v/>
      </c>
      <c r="K115">
        <f>J115*(1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C129=TRUE)*(F129-Calc!F20)),(Inputs!$B$23+0+(IF(ArtifactsInput!$M$15,CHOOSE(ArtifactsInput!$N$15+1,25,30,35,40,45,50)/100*(Inputs!$B$11-Inputs!$B$11),0))))/100+(Inputs!$B$23+0+(IF(ArtifactsInput!$M$15,CHOOSE(ArtifactsInput!$N$15+1,25,30,35,40,45,50)/100*(Inputs!$B$11-Inputs!$B$11),0)))/100)/2</f>
        <v/>
      </c>
      <c r="M115">
        <f>L115*(1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IF(B144=0,0,O115/B144)</f>
        <v/>
      </c>
      <c r="Q115">
        <f>IFERROR(1/(IF(Inputs!$B$38="pvp",15,MAX(0.1,Skills!D6-IF(Skills!E6=TRUE,Inputs!$B$32,0)))*(1-IF(AND(ArtifactsInput!$M$27,Inputs!$B$4="Chapter Hunt"),CHOOSE(ArtifactsInput!$N$27+1,20,24,28,32,36,40),0)/100)),0)</f>
        <v/>
      </c>
      <c r="R115">
        <f>IF(AND(Inputs!$B$38&lt;&gt;"pvp",Inputs!$B$43&gt;0),IF(MAX(0,Inputs!$B$43-B141)&lt;=0,0,(INT(MAX(0,Inputs!$B$43-B141)/(IF(Inputs!$B$38="pvp",15,MAX(0.1,Skills!D6-IF(Skills!E6=TRUE,Inputs!$B$32,0)))*(1-IF(AND(ArtifactsInput!$M$27,Inputs!$B$4="Chapter Hunt"),CHOOSE(ArtifactsInput!$N$27+1,20,24,28,32,36,40),0)/100)))+1)),0)</f>
        <v/>
      </c>
      <c r="S115">
        <f>IFERROR(O115/N115,0)</f>
        <v/>
      </c>
      <c r="T115">
        <f>IF(C115,(H115*N115*IF(AND(Inputs!$B$38&lt;&gt;"pvp",Inputs!$B$43&gt;0),((Skills!G6*((R115-1)*IF(Skills!H6&gt;0,Skills!I6/Skills!H6,1)+IF(Skills!H6&gt;0,MIN(Skills!I6,MAX(0,MAX(0,Inputs!$B$43-B141)-((R115-1)*(IF(Inputs!$B$38="pvp",15,MAX(0.1,Skills!D6-IF(Skills!E6=TRUE,Inputs!$B$32,0)))*(1-IF(AND(ArtifactsInput!$M$27,Inputs!$B$4="Chapter Hunt"),CHOOSE(ArtifactsInput!$N$27+1,20,24,28,32,36,40),0)/100)))))/Skills!H6,1)))/Inputs!$B$43),G115*Q115)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
        <f>IF(C115,(H115*N115*IF(AND(Inputs!$B$38&lt;&gt;"pvp",Inputs!$B$43&gt;0),((Skills!G6*((R115-1)*IF(Skills!H6&gt;0,Skills!I6/Skills!H6,1)+IF(Skills!H6&gt;0,MIN(Skills!I6,MAX(0,MAX(0,Inputs!$B$43-B141)-((R115-1)*(IF(Inputs!$B$38="pvp",15,MAX(0.1,Skills!D6-IF(Skills!E6=TRUE,Inputs!$B$32,0)))*(1-IF(AND(ArtifactsInput!$M$27,Inputs!$B$4="Chapter Hunt"),CHOOSE(ArtifactsInput!$N$27+1,20,24,28,32,36,40),0)/100)))))/Skills!H6,1)))/Inputs!$B$43),G115*Q115))*IF(Inputs!$B$38="pvp",1,(1+(Inputs!$B$21+Skills!Q6+(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Skills!A7</f>
        <v/>
      </c>
      <c r="B116">
        <f>Skills!B7</f>
        <v/>
      </c>
      <c r="C116">
        <f>Inputs!$B$3&gt;=100</f>
        <v/>
      </c>
      <c r="D116">
        <f>IF(Skills!C7=1,60+Inputs!$B$25+Inputs!$B$29,IF(Skills!C7=2,90+Inputs!$B$26+Inputs!$B$29,IF(Skills!C7=3,120+Inputs!$B$27+Inputs!$B$29,MAX(0,(Inputs!$B$3-100)*3)+Inputs!$B$28+Inputs!$B$29)))</f>
        <v/>
      </c>
      <c r="E116">
        <f>INDEX(FactorTable!$B$2:$Y$301, MATCH(ROUND(MIN(300,MAX(1,D116)),0), FactorTable!$A$2:$A$301,0), Skills!M7+1)</f>
        <v/>
      </c>
      <c r="F116">
        <f>IF(Skills!N7=TRUE,(Skills!L7/10)*(E116/1000),Skills!L7/10)+Skills!O7</f>
        <v/>
      </c>
      <c r="G116">
        <f>Skills!G7*IF(Skills!H7&gt;0,Skills!I7/Skills!H7,1)</f>
        <v/>
      </c>
      <c r="H116">
        <f>1-(1-Skills!J7/100)^Skills!K7</f>
        <v/>
      </c>
      <c r="I116" t="inlineStr">
        <is>
          <t>1</t>
        </is>
      </c>
      <c r="J116">
        <f>((Inputs!$B$6*(1+Inputs!$B$7/100))+(((Inputs!$B$12*(1+(Inputs!$B$13+1)/100))-(Inputs!$B$12*(1+Inputs!$B$13/100)))+0.25*(Inputs!$B$14-Inputs!$B$14))*(1+Inputs!$B$7/100))*(F116/100)</f>
        <v/>
      </c>
      <c r="K116">
        <f>J116*(1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C129=TRUE)*(F129-Calc!F20)),(Inputs!$B$23+0+(IF(ArtifactsInput!$M$15,CHOOSE(ArtifactsInput!$N$15+1,25,30,35,40,45,50)/100*(Inputs!$B$11-Inputs!$B$11),0))))/100+(Inputs!$B$23+0+(IF(ArtifactsInput!$M$15,CHOOSE(ArtifactsInput!$N$15+1,25,30,35,40,45,50)/100*(Inputs!$B$11-Inputs!$B$11),0)))/100)/2</f>
        <v/>
      </c>
      <c r="M116">
        <f>L116*(1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(1-Summary!$B$11)*T116+Summary!$B$11*V116</f>
        <v/>
      </c>
      <c r="P116">
        <f>IF(B144=0,0,O116/B144)</f>
        <v/>
      </c>
      <c r="Q116">
        <f>IFERROR(1/(IF(Inputs!$B$38="pvp",15,MAX(0.1,Skills!D7-IF(Skills!E7=TRUE,Inputs!$B$32,0)))*(1-IF(AND(ArtifactsInput!$M$27,Inputs!$B$4="Chapter Hunt"),CHOOSE(ArtifactsInput!$N$27+1,20,24,28,32,36,40),0)/100)),0)</f>
        <v/>
      </c>
      <c r="R116">
        <f>IF(AND(Inputs!$B$38&lt;&gt;"pvp",Inputs!$B$43&gt;0),IF(MAX(0,Inputs!$B$43-B141)&lt;=0,0,(INT(MAX(0,Inputs!$B$43-B141)/(IF(Inputs!$B$38="pvp",15,MAX(0.1,Skills!D7-IF(Skills!E7=TRUE,Inputs!$B$32,0)))*(1-IF(AND(ArtifactsInput!$M$27,Inputs!$B$4="Chapter Hunt"),CHOOSE(ArtifactsInput!$N$27+1,20,24,28,32,36,40),0)/100)))+1)),0)</f>
        <v/>
      </c>
      <c r="S116">
        <f>IFERROR(O116/N116,0)</f>
        <v/>
      </c>
      <c r="T116">
        <f>IF(C116,(H116*N116*IF(AND(Inputs!$B$38&lt;&gt;"pvp",Inputs!$B$43&gt;0),((Skills!G7*((R116-1)*IF(Skills!H7&gt;0,Skills!I7/Skills!H7,1)+IF(Skills!H7&gt;0,MIN(Skills!I7,MAX(0,MAX(0,Inputs!$B$43-B141)-((R116-1)*(IF(Inputs!$B$38="pvp",15,MAX(0.1,Skills!D7-IF(Skills!E7=TRUE,Inputs!$B$32,0)))*(1-IF(AND(ArtifactsInput!$M$27,Inputs!$B$4="Chapter Hunt"),CHOOSE(ArtifactsInput!$N$27+1,20,24,28,32,36,40),0)/100)))))/Skills!H7,1)))/Inputs!$B$43),G116*Q116)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
        <f>IF(C116,(H116*N116*IF(AND(Inputs!$B$38&lt;&gt;"pvp",Inputs!$B$43&gt;0),((Skills!G7*((R116-1)*IF(Skills!H7&gt;0,Skills!I7/Skills!H7,1)+IF(Skills!H7&gt;0,MIN(Skills!I7,MAX(0,MAX(0,Inputs!$B$43-B141)-((R116-1)*(IF(Inputs!$B$38="pvp",15,MAX(0.1,Skills!D7-IF(Skills!E7=TRUE,Inputs!$B$32,0)))*(1-IF(AND(ArtifactsInput!$M$27,Inputs!$B$4="Chapter Hunt"),CHOOSE(ArtifactsInput!$N$27+1,20,24,28,32,36,40),0)/100)))))/Skills!H7,1)))/Inputs!$B$43),G116*Q116))*IF(Inputs!$B$38="pvp",1,(1+(Inputs!$B$21+Skills!Q7+(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Skills!A8</f>
        <v/>
      </c>
      <c r="B117">
        <f>Skills!B8</f>
        <v/>
      </c>
      <c r="C117">
        <f>Inputs!$B$3&gt;=110</f>
        <v/>
      </c>
      <c r="D117">
        <f>IF(Skills!C8=1,60+Inputs!$B$25+Inputs!$B$29,IF(Skills!C8=2,90+Inputs!$B$26+Inputs!$B$29,IF(Skills!C8=3,120+Inputs!$B$27+Inputs!$B$29,MAX(0,(Inputs!$B$3-100)*3)+Inputs!$B$28+Inputs!$B$29)))</f>
        <v/>
      </c>
      <c r="E117">
        <f>INDEX(FactorTable!$B$2:$Y$301, MATCH(ROUND(MIN(300,MAX(1,D117)),0), FactorTable!$A$2:$A$301,0), Skills!M8+1)</f>
        <v/>
      </c>
      <c r="F117">
        <f>IF(Skills!N8=TRUE,(Skills!L8/10)*(E117/1000),Skills!L8/10)+Skills!O8</f>
        <v/>
      </c>
      <c r="G117">
        <f>Skills!G8*IF(Skills!H8&gt;0,Skills!I8/Skills!H8,1)</f>
        <v/>
      </c>
      <c r="H117">
        <f>1-(1-Skills!J8/100)^Skills!K8</f>
        <v/>
      </c>
      <c r="I117" t="inlineStr">
        <is>
          <t>1</t>
        </is>
      </c>
      <c r="J117">
        <f>((Inputs!$B$6*(1+Inputs!$B$7/100))+(((Inputs!$B$12*(1+(Inputs!$B$13+1)/100))-(Inputs!$B$12*(1+Inputs!$B$13/100)))+0.25*(Inputs!$B$14-Inputs!$B$14))*(1+Inputs!$B$7/100))*(F117/100)</f>
        <v/>
      </c>
      <c r="K117">
        <f>J117*(1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129=TRUE)*(F129-Calc!F20)),(Inputs!$B$23+0+(IF(ArtifactsInput!$M$15,CHOOSE(ArtifactsInput!$N$15+1,25,30,35,40,45,50)/100*(Inputs!$B$11-Inputs!$B$11),0))))/100+(Inputs!$B$23+0+(IF(ArtifactsInput!$M$15,CHOOSE(ArtifactsInput!$N$15+1,25,30,35,40,45,50)/100*(Inputs!$B$11-Inputs!$B$11),0)))/100)/2</f>
        <v/>
      </c>
      <c r="M117">
        <f>L117*(1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IF(B144=0,0,O117/B144)</f>
        <v/>
      </c>
      <c r="Q117">
        <f>IFERROR(1/(IF(Inputs!$B$38="pvp",15,MAX(0.1,Skills!D8-IF(Skills!E8=TRUE,Inputs!$B$32,0)))*(1-IF(AND(ArtifactsInput!$M$27,Inputs!$B$4="Chapter Hunt"),CHOOSE(ArtifactsInput!$N$27+1,20,24,28,32,36,40),0)/100)),0)</f>
        <v/>
      </c>
      <c r="R117">
        <f>IF(AND(Inputs!$B$38&lt;&gt;"pvp",Inputs!$B$43&gt;0),IF(MAX(0,Inputs!$B$43-B141)&lt;=0,0,(INT(MAX(0,Inputs!$B$43-B141)/(IF(Inputs!$B$38="pvp",15,MAX(0.1,Skills!D8-IF(Skills!E8=TRUE,Inputs!$B$32,0)))*(1-IF(AND(ArtifactsInput!$M$27,Inputs!$B$4="Chapter Hunt"),CHOOSE(ArtifactsInput!$N$27+1,20,24,28,32,36,40),0)/100)))+1)),0)</f>
        <v/>
      </c>
      <c r="S117">
        <f>IFERROR(O117/N117,0)</f>
        <v/>
      </c>
      <c r="T117">
        <f>IF(C117,(H117*N117*IF(AND(Inputs!$B$38&lt;&gt;"pvp",Inputs!$B$43&gt;0),((Skills!G8*((R117-1)*IF(Skills!H8&gt;0,Skills!I8/Skills!H8,1)+IF(Skills!H8&gt;0,MIN(Skills!I8,MAX(0,MAX(0,Inputs!$B$43-B141)-((R117-1)*(IF(Inputs!$B$38="pvp",15,MAX(0.1,Skills!D8-IF(Skills!E8=TRUE,Inputs!$B$32,0)))*(1-IF(AND(ArtifactsInput!$M$27,Inputs!$B$4="Chapter Hunt"),CHOOSE(ArtifactsInput!$N$27+1,20,24,28,32,36,40),0)/100)))))/Skills!H8,1)))/Inputs!$B$43),G117*Q117)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
        <f>IF(C117,(H117*N117*IF(AND(Inputs!$B$38&lt;&gt;"pvp",Inputs!$B$43&gt;0),((Skills!G8*((R117-1)*IF(Skills!H8&gt;0,Skills!I8/Skills!H8,1)+IF(Skills!H8&gt;0,MIN(Skills!I8,MAX(0,MAX(0,Inputs!$B$43-B141)-((R117-1)*(IF(Inputs!$B$38="pvp",15,MAX(0.1,Skills!D8-IF(Skills!E8=TRUE,Inputs!$B$32,0)))*(1-IF(AND(ArtifactsInput!$M$27,Inputs!$B$4="Chapter Hunt"),CHOOSE(ArtifactsInput!$N$27+1,20,24,28,32,36,40),0)/100)))))/Skills!H8,1)))/Inputs!$B$43),G117*Q117))*IF(Inputs!$B$38="pvp",1,(1+(Inputs!$B$21+Skills!Q8+(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Skills!A9</f>
        <v/>
      </c>
      <c r="B118">
        <f>Skills!B9</f>
        <v/>
      </c>
      <c r="C118">
        <f>Inputs!$B$3&gt;=110</f>
        <v/>
      </c>
      <c r="D118">
        <f>IF(Skills!C9=1,60+Inputs!$B$25+Inputs!$B$29,IF(Skills!C9=2,90+Inputs!$B$26+Inputs!$B$29,IF(Skills!C9=3,120+Inputs!$B$27+Inputs!$B$29,MAX(0,(Inputs!$B$3-100)*3)+Inputs!$B$28+Inputs!$B$29)))</f>
        <v/>
      </c>
      <c r="E118">
        <f>INDEX(FactorTable!$B$2:$Y$301, MATCH(ROUND(MIN(300,MAX(1,D118)),0), FactorTable!$A$2:$A$301,0), Skills!M9+1)</f>
        <v/>
      </c>
      <c r="F118">
        <f>IF(Skills!N9=TRUE,(Skills!L9/10)*(E118/1000),Skills!L9/10)+Skills!O9</f>
        <v/>
      </c>
      <c r="G118">
        <f>Skills!G9*IF(Skills!H9&gt;0,Skills!I9/Skills!H9,1)</f>
        <v/>
      </c>
      <c r="H118">
        <f>1-(1-Skills!J9/100)^Skills!K9</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129=TRUE)*(F129-Calc!F20)),(Inputs!$B$23+0+(IF(ArtifactsInput!$M$15,CHOOSE(ArtifactsInput!$N$15+1,25,30,35,40,45,50)/100*(Inputs!$B$11-Inputs!$B$11),0))))/100+(Inputs!$B$23+0+(IF(ArtifactsInput!$M$15,CHOOSE(ArtifactsInput!$N$15+1,25,30,35,40,45,50)/100*(Inputs!$B$11-Inputs!$B$11),0)))/100)/2</f>
        <v/>
      </c>
      <c r="M118">
        <f>L118*(1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IF(B144=0,0,O118/B144)</f>
        <v/>
      </c>
      <c r="Q118">
        <f>IFERROR(1/(IF(Inputs!$B$38="pvp",15,MAX(0.1,Skills!D9-IF(Skills!E9=TRUE,Inputs!$B$32,0)))*(1-IF(AND(ArtifactsInput!$M$27,Inputs!$B$4="Chapter Hunt"),CHOOSE(ArtifactsInput!$N$27+1,20,24,28,32,36,40),0)/100)),0)</f>
        <v/>
      </c>
      <c r="R118">
        <f>IF(AND(Inputs!$B$38&lt;&gt;"pvp",Inputs!$B$43&gt;0),IF(MAX(0,Inputs!$B$43-B141)&lt;=0,0,(INT(MAX(0,Inputs!$B$43-B141)/(IF(Inputs!$B$38="pvp",15,MAX(0.1,Skills!D9-IF(Skills!E9=TRUE,Inputs!$B$32,0)))*(1-IF(AND(ArtifactsInput!$M$27,Inputs!$B$4="Chapter Hunt"),CHOOSE(ArtifactsInput!$N$27+1,20,24,28,32,36,40),0)/100)))+1)),0)</f>
        <v/>
      </c>
      <c r="S118">
        <f>IFERROR(O118/N118,0)</f>
        <v/>
      </c>
      <c r="T118">
        <f>IF(C118,(H118*N118*IF(AND(Inputs!$B$38&lt;&gt;"pvp",Inputs!$B$43&gt;0),((Skills!G9*((R118-1)*IF(Skills!H9&gt;0,Skills!I9/Skills!H9,1)+IF(Skills!H9&gt;0,MIN(Skills!I9,MAX(0,MAX(0,Inputs!$B$43-B141)-((R118-1)*(IF(Inputs!$B$38="pvp",15,MAX(0.1,Skills!D9-IF(Skills!E9=TRUE,Inputs!$B$32,0)))*(1-IF(AND(ArtifactsInput!$M$27,Inputs!$B$4="Chapter Hunt"),CHOOSE(ArtifactsInput!$N$27+1,20,24,28,32,36,40),0)/100)))))/Skills!H9,1)))/Inputs!$B$43),G118*Q118)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9*((R118-1)*IF(Skills!H9&gt;0,Skills!I9/Skills!H9,1)+IF(Skills!H9&gt;0,MIN(Skills!I9,MAX(0,MAX(0,Inputs!$B$43-B141)-((R118-1)*(IF(Inputs!$B$38="pvp",15,MAX(0.1,Skills!D9-IF(Skills!E9=TRUE,Inputs!$B$32,0)))*(1-IF(AND(ArtifactsInput!$M$27,Inputs!$B$4="Chapter Hunt"),CHOOSE(ArtifactsInput!$N$27+1,20,24,28,32,36,40),0)/100)))))/Skills!H9,1)))/Inputs!$B$43),G118*Q118))*IF(Inputs!$B$38="pvp",1,(1+(Inputs!$B$21+Skills!Q9+(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Skills!A10</f>
        <v/>
      </c>
      <c r="B119">
        <f>Skills!B10</f>
        <v/>
      </c>
      <c r="C119">
        <f>Inputs!$B$3&gt;=103</f>
        <v/>
      </c>
      <c r="D119">
        <f>IF(Skills!C10=1,60+Inputs!$B$25+Inputs!$B$29,IF(Skills!C10=2,90+Inputs!$B$26+Inputs!$B$29,IF(Skills!C10=3,120+Inputs!$B$27+Inputs!$B$29,MAX(0,(Inputs!$B$3-100)*3)+Inputs!$B$28+Inputs!$B$29)))</f>
        <v/>
      </c>
      <c r="E119">
        <f>INDEX(FactorTable!$B$2:$Y$301, MATCH(ROUND(MIN(300,MAX(1,D119)),0), FactorTable!$A$2:$A$301,0), Skills!M10+1)</f>
        <v/>
      </c>
      <c r="F119">
        <f>IF(Skills!N10=TRUE,(Skills!L10/10)*(E119/1000),Skills!L10/10)+Skills!O10</f>
        <v/>
      </c>
      <c r="G119">
        <f>Skills!G10*IF(Skills!H10&gt;0,Skills!I10/Skills!H10,1)</f>
        <v/>
      </c>
      <c r="H119">
        <f>1-(1-Skills!J10/100)^Skills!K10</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129=TRUE)*(F129-Calc!F20)),(Inputs!$B$23+0+(IF(ArtifactsInput!$M$15,CHOOSE(ArtifactsInput!$N$15+1,25,30,35,40,45,50)/100*(Inputs!$B$11-Inputs!$B$11),0))))/100+(Inputs!$B$23+0+(IF(ArtifactsInput!$M$15,CHOOSE(ArtifactsInput!$N$15+1,25,30,35,40,45,50)/100*(Inputs!$B$11-Inputs!$B$11),0)))/100)/2</f>
        <v/>
      </c>
      <c r="M119">
        <f>L119*(1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IF(B144=0,0,O119/B144)</f>
        <v/>
      </c>
      <c r="Q119">
        <f>IFERROR(1/(IF(Inputs!$B$38="pvp",15,MAX(0.1,Skills!D10-IF(Skills!E10=TRUE,Inputs!$B$32,0)))*(1-IF(AND(ArtifactsInput!$M$27,Inputs!$B$4="Chapter Hunt"),CHOOSE(ArtifactsInput!$N$27+1,20,24,28,32,36,40),0)/100)),0)</f>
        <v/>
      </c>
      <c r="R119">
        <f>IF(AND(Inputs!$B$38&lt;&gt;"pvp",Inputs!$B$43&gt;0),IF(MAX(0,Inputs!$B$43-B141)&lt;=0,0,(INT(MAX(0,Inputs!$B$43-B141)/(IF(Inputs!$B$38="pvp",15,MAX(0.1,Skills!D10-IF(Skills!E10=TRUE,Inputs!$B$32,0)))*(1-IF(AND(ArtifactsInput!$M$27,Inputs!$B$4="Chapter Hunt"),CHOOSE(ArtifactsInput!$N$27+1,20,24,28,32,36,40),0)/100)))+1)),0)</f>
        <v/>
      </c>
      <c r="S119">
        <f>IFERROR(O119/N119,0)</f>
        <v/>
      </c>
      <c r="T119">
        <f>IF(C119,(H119*N119*IF(AND(Inputs!$B$38&lt;&gt;"pvp",Inputs!$B$43&gt;0),((Skills!G10*((R119-1)*IF(Skills!H10&gt;0,Skills!I10/Skills!H10,1)+IF(Skills!H10&gt;0,MIN(Skills!I10,MAX(0,MAX(0,Inputs!$B$43-B141)-((R119-1)*(IF(Inputs!$B$38="pvp",15,MAX(0.1,Skills!D10-IF(Skills!E10=TRUE,Inputs!$B$32,0)))*(1-IF(AND(ArtifactsInput!$M$27,Inputs!$B$4="Chapter Hunt"),CHOOSE(ArtifactsInput!$N$27+1,20,24,28,32,36,40),0)/100)))))/Skills!H10,1)))/Inputs!$B$43),G119*Q119)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10*((R119-1)*IF(Skills!H10&gt;0,Skills!I10/Skills!H10,1)+IF(Skills!H10&gt;0,MIN(Skills!I10,MAX(0,MAX(0,Inputs!$B$43-B141)-((R119-1)*(IF(Inputs!$B$38="pvp",15,MAX(0.1,Skills!D10-IF(Skills!E10=TRUE,Inputs!$B$32,0)))*(1-IF(AND(ArtifactsInput!$M$27,Inputs!$B$4="Chapter Hunt"),CHOOSE(ArtifactsInput!$N$27+1,20,24,28,32,36,40),0)/100)))))/Skills!H10,1)))/Inputs!$B$43),G119*Q119))*IF(Inputs!$B$38="pvp",1,(1+(Inputs!$B$21+Skills!Q10+(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Skills!A11</f>
        <v/>
      </c>
      <c r="B120">
        <f>Skills!B11</f>
        <v/>
      </c>
      <c r="C120">
        <f>Inputs!$B$3&gt;=113</f>
        <v/>
      </c>
      <c r="D120">
        <f>IF(Skills!C11=1,60+Inputs!$B$25+Inputs!$B$29,IF(Skills!C11=2,90+Inputs!$B$26+Inputs!$B$29,IF(Skills!C11=3,120+Inputs!$B$27+Inputs!$B$29,MAX(0,(Inputs!$B$3-100)*3)+Inputs!$B$28+Inputs!$B$29)))</f>
        <v/>
      </c>
      <c r="E120">
        <f>INDEX(FactorTable!$B$2:$Y$301, MATCH(ROUND(MIN(300,MAX(1,D120)),0), FactorTable!$A$2:$A$301,0), Skills!M11+1)</f>
        <v/>
      </c>
      <c r="F120">
        <f>IF(Skills!N11=TRUE,(Skills!L11/10)*(E120/1000),Skills!L11/10)+Skills!O11</f>
        <v/>
      </c>
      <c r="G120">
        <f>Skills!G11*IF(Skills!H11&gt;0,Skills!I11/Skills!H11,1)</f>
        <v/>
      </c>
      <c r="H120">
        <f>1-(1-Skills!J11/100)^Skills!K11</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129=TRUE)*(F129-Calc!F20)),(Inputs!$B$23+0+(IF(ArtifactsInput!$M$15,CHOOSE(ArtifactsInput!$N$15+1,25,30,35,40,45,50)/100*(Inputs!$B$11-Inputs!$B$11),0))))/100+(Inputs!$B$23+0+(IF(ArtifactsInput!$M$15,CHOOSE(ArtifactsInput!$N$15+1,25,30,35,40,45,50)/100*(Inputs!$B$11-Inputs!$B$11),0)))/100)/2</f>
        <v/>
      </c>
      <c r="M120">
        <f>L120*(1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IF(B144=0,0,O120/B144)</f>
        <v/>
      </c>
      <c r="Q120">
        <f>IFERROR(1/(IF(Inputs!$B$38="pvp",15,MAX(0.1,Skills!D11-IF(Skills!E11=TRUE,Inputs!$B$32,0)))*(1-IF(AND(ArtifactsInput!$M$27,Inputs!$B$4="Chapter Hunt"),CHOOSE(ArtifactsInput!$N$27+1,20,24,28,32,36,40),0)/100)),0)</f>
        <v/>
      </c>
      <c r="R120">
        <f>IF(AND(Inputs!$B$38&lt;&gt;"pvp",Inputs!$B$43&gt;0),IF(MAX(0,Inputs!$B$43-B141)&lt;=0,0,(INT(MAX(0,Inputs!$B$43-B141)/(IF(Inputs!$B$38="pvp",15,MAX(0.1,Skills!D11-IF(Skills!E11=TRUE,Inputs!$B$32,0)))*(1-IF(AND(ArtifactsInput!$M$27,Inputs!$B$4="Chapter Hunt"),CHOOSE(ArtifactsInput!$N$27+1,20,24,28,32,36,40),0)/100)))+1)),0)</f>
        <v/>
      </c>
      <c r="S120">
        <f>IFERROR(O120/N120,0)</f>
        <v/>
      </c>
      <c r="T120">
        <f>IF(C120,(H120*N120*IF(AND(Inputs!$B$38&lt;&gt;"pvp",Inputs!$B$43&gt;0),((Skills!G11*((R120-1)*IF(Skills!H11&gt;0,Skills!I11/Skills!H11,1)+IF(Skills!H11&gt;0,MIN(Skills!I11,MAX(0,MAX(0,Inputs!$B$43-B141)-((R120-1)*(IF(Inputs!$B$38="pvp",15,MAX(0.1,Skills!D11-IF(Skills!E11=TRUE,Inputs!$B$32,0)))*(1-IF(AND(ArtifactsInput!$M$27,Inputs!$B$4="Chapter Hunt"),CHOOSE(ArtifactsInput!$N$27+1,20,24,28,32,36,40),0)/100)))))/Skills!H11,1)))/Inputs!$B$43),G120*Q120)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11*((R120-1)*IF(Skills!H11&gt;0,Skills!I11/Skills!H11,1)+IF(Skills!H11&gt;0,MIN(Skills!I11,MAX(0,MAX(0,Inputs!$B$43-B141)-((R120-1)*(IF(Inputs!$B$38="pvp",15,MAX(0.1,Skills!D11-IF(Skills!E11=TRUE,Inputs!$B$32,0)))*(1-IF(AND(ArtifactsInput!$M$27,Inputs!$B$4="Chapter Hunt"),CHOOSE(ArtifactsInput!$N$27+1,20,24,28,32,36,40),0)/100)))))/Skills!H11,1)))/Inputs!$B$43),G120*Q120))*IF(Inputs!$B$38="pvp",1,(1+(Inputs!$B$21+Skills!Q11+(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Skills!A12</f>
        <v/>
      </c>
      <c r="B121">
        <f>Skills!B12</f>
        <v/>
      </c>
      <c r="C121">
        <f>Inputs!$B$3&gt;=100</f>
        <v/>
      </c>
      <c r="D121">
        <f>IF(Skills!C12=1,60+Inputs!$B$25+Inputs!$B$29,IF(Skills!C12=2,90+Inputs!$B$26+Inputs!$B$29,IF(Skills!C12=3,120+Inputs!$B$27+Inputs!$B$29,MAX(0,(Inputs!$B$3-100)*3)+Inputs!$B$28+Inputs!$B$29)))</f>
        <v/>
      </c>
      <c r="E121">
        <f>INDEX(FactorTable!$B$2:$Y$301, MATCH(ROUND(MIN(300,MAX(1,D121)),0), FactorTable!$A$2:$A$301,0), Skills!M12+1)</f>
        <v/>
      </c>
      <c r="F121">
        <f>IF(Skills!N12=TRUE,(Skills!L12/10)*(E121/1000),Skills!L12/10)+Skills!O12</f>
        <v/>
      </c>
      <c r="G121" t="inlineStr"/>
      <c r="H121" t="inlineStr"/>
      <c r="I121" t="inlineStr">
        <is>
          <t>1</t>
        </is>
      </c>
      <c r="J121" t="inlineStr"/>
      <c r="K121" t="inlineStr"/>
      <c r="L121" t="inlineStr"/>
      <c r="M121" t="inlineStr"/>
      <c r="N121" t="inlineStr"/>
      <c r="O121" t="inlineStr"/>
      <c r="P121" t="inlineStr"/>
      <c r="Q121" t="inlineStr"/>
      <c r="R121" t="inlineStr"/>
      <c r="S121" t="inlineStr"/>
      <c r="T121" t="inlineStr"/>
      <c r="V121" t="inlineStr"/>
    </row>
    <row r="122">
      <c r="A122">
        <f>Skills!A13</f>
        <v/>
      </c>
      <c r="B122">
        <f>Skills!B13</f>
        <v/>
      </c>
      <c r="C122">
        <f>Inputs!$B$3&gt;=66</f>
        <v/>
      </c>
      <c r="D122">
        <f>IF(Skills!C13=1,60+Inputs!$B$25+Inputs!$B$29,IF(Skills!C13=2,90+Inputs!$B$26+Inputs!$B$29,IF(Skills!C13=3,120+Inputs!$B$27+Inputs!$B$29,MAX(0,(Inputs!$B$3-100)*3)+Inputs!$B$28+Inputs!$B$29)))</f>
        <v/>
      </c>
      <c r="E122">
        <f>INDEX(FactorTable!$B$2:$Y$301, MATCH(ROUND(MIN(300,MAX(1,D122)),0), FactorTable!$A$2:$A$301,0), Skills!M13+1)</f>
        <v/>
      </c>
      <c r="F122">
        <f>IF(Skills!N13=TRUE,(Skills!L13/10)*(E122/1000),Skills!L13/10)+Skills!O13</f>
        <v/>
      </c>
      <c r="G122">
        <f>Skills!G13*IF(Skills!H13&gt;0,Skills!I13/Skills!H13,1)</f>
        <v/>
      </c>
      <c r="H122">
        <f>1-(1-Skills!J13/100)^Skills!K13</f>
        <v/>
      </c>
      <c r="I122" t="inlineStr">
        <is>
          <t>1</t>
        </is>
      </c>
      <c r="J122" t="inlineStr"/>
      <c r="K122" t="inlineStr"/>
      <c r="L122" t="inlineStr"/>
      <c r="M122" t="inlineStr"/>
      <c r="N122" t="inlineStr"/>
      <c r="O122">
        <f>(1-Summary!$B$11)*T122+Summary!$B$11*V122</f>
        <v/>
      </c>
      <c r="P122">
        <f>IF(B144=0,0,O122/B144)</f>
        <v/>
      </c>
      <c r="Q122" t="n">
        <v>0</v>
      </c>
      <c r="R122" t="n">
        <v>0</v>
      </c>
      <c r="S122">
        <f>IFERROR(O122/N122,0)</f>
        <v/>
      </c>
      <c r="T122" t="n">
        <v>0</v>
      </c>
      <c r="V122" t="n">
        <v>0</v>
      </c>
    </row>
    <row r="123">
      <c r="A123">
        <f>Skills!A14</f>
        <v/>
      </c>
      <c r="B123">
        <f>Skills!B14</f>
        <v/>
      </c>
      <c r="C123">
        <f>Inputs!$B$3&gt;=107</f>
        <v/>
      </c>
      <c r="D123">
        <f>IF(Skills!C14=1,60+Inputs!$B$25+Inputs!$B$29,IF(Skills!C14=2,90+Inputs!$B$26+Inputs!$B$29,IF(Skills!C14=3,120+Inputs!$B$27+Inputs!$B$29,MAX(0,(Inputs!$B$3-100)*3)+Inputs!$B$28+Inputs!$B$29)))</f>
        <v/>
      </c>
      <c r="E123">
        <f>INDEX(FactorTable!$B$2:$Y$301, MATCH(ROUND(MIN(300,MAX(1,D123)),0), FactorTable!$A$2:$A$301,0), Skills!M14+1)</f>
        <v/>
      </c>
      <c r="F123">
        <f>IF(Skills!N14=TRUE,(Skills!L14/10)*(E123/1000),Skills!L14/10)+Skills!O14</f>
        <v/>
      </c>
      <c r="G123">
        <f>Skills!G14*IF(Skills!H14&gt;0,Skills!I14/Skills!H14,1)</f>
        <v/>
      </c>
      <c r="H123">
        <f>1-(1-Skills!J14/100)^Skills!K14</f>
        <v/>
      </c>
      <c r="I123" t="inlineStr">
        <is>
          <t>1</t>
        </is>
      </c>
      <c r="J123" t="inlineStr"/>
      <c r="K123" t="inlineStr"/>
      <c r="L123" t="inlineStr"/>
      <c r="M123" t="inlineStr"/>
      <c r="N123" t="inlineStr"/>
      <c r="O123">
        <f>(1-Summary!$B$11)*T123+Summary!$B$11*V123</f>
        <v/>
      </c>
      <c r="P123">
        <f>IF(B144=0,0,O123/B144)</f>
        <v/>
      </c>
      <c r="Q123" t="n">
        <v>0</v>
      </c>
      <c r="R123" t="n">
        <v>0</v>
      </c>
      <c r="S123">
        <f>IFERROR(O123/N123,0)</f>
        <v/>
      </c>
      <c r="T123" t="n">
        <v>0</v>
      </c>
      <c r="V123" t="n">
        <v>0</v>
      </c>
    </row>
    <row r="124">
      <c r="A124">
        <f>Skills!A15</f>
        <v/>
      </c>
      <c r="B124">
        <f>Skills!B15</f>
        <v/>
      </c>
      <c r="C124">
        <f>Inputs!$B$3&gt;=115</f>
        <v/>
      </c>
      <c r="D124">
        <f>IF(Skills!C15=1,60+Inputs!$B$25+Inputs!$B$29,IF(Skills!C15=2,90+Inputs!$B$26+Inputs!$B$29,IF(Skills!C15=3,120+Inputs!$B$27+Inputs!$B$29,MAX(0,(Inputs!$B$3-100)*3)+Inputs!$B$28+Inputs!$B$29)))</f>
        <v/>
      </c>
      <c r="E124">
        <f>INDEX(FactorTable!$B$2:$Y$301, MATCH(ROUND(MIN(300,MAX(1,D124)),0), FactorTable!$A$2:$A$301,0), Skills!M15+1)</f>
        <v/>
      </c>
      <c r="F124">
        <f>IF(Skills!N15=TRUE,(Skills!L15/10)*(E124/1000),Skills!L15/10)+Skills!O15</f>
        <v/>
      </c>
      <c r="G124">
        <f>Skills!G15*IF(Skills!H15&gt;0,Skills!I15/Skills!H15,1)</f>
        <v/>
      </c>
      <c r="H124">
        <f>1-(1-Skills!J15/100)^Skills!K15</f>
        <v/>
      </c>
      <c r="I124" t="inlineStr">
        <is>
          <t>1</t>
        </is>
      </c>
      <c r="J124" t="inlineStr"/>
      <c r="K124" t="inlineStr"/>
      <c r="L124" t="inlineStr"/>
      <c r="M124" t="inlineStr"/>
      <c r="N124" t="inlineStr"/>
      <c r="O124">
        <f>(1-Summary!$B$11)*T124+Summary!$B$11*V124</f>
        <v/>
      </c>
      <c r="P124">
        <f>IF(B144=0,0,O124/B144)</f>
        <v/>
      </c>
      <c r="Q124" t="n">
        <v>0</v>
      </c>
      <c r="R124" t="n">
        <v>0</v>
      </c>
      <c r="S124">
        <f>IFERROR(O124/N124,0)</f>
        <v/>
      </c>
      <c r="T124" t="n">
        <v>0</v>
      </c>
      <c r="V124" t="n">
        <v>0</v>
      </c>
    </row>
    <row r="125">
      <c r="A125">
        <f>Skills!A16</f>
        <v/>
      </c>
      <c r="B125">
        <f>Skills!B16</f>
        <v/>
      </c>
      <c r="C125">
        <f>Inputs!$B$3&gt;=15</f>
        <v/>
      </c>
      <c r="D125">
        <f>IF(Skills!C16=1,60+Inputs!$B$25+Inputs!$B$29,IF(Skills!C16=2,90+Inputs!$B$26+Inputs!$B$29,IF(Skills!C16=3,120+Inputs!$B$27+Inputs!$B$29,MAX(0,(Inputs!$B$3-100)*3)+Inputs!$B$28+Inputs!$B$29)))</f>
        <v/>
      </c>
      <c r="E125">
        <f>INDEX(FactorTable!$B$2:$Y$301, MATCH(ROUND(MIN(300,MAX(1,D125)),0), FactorTable!$A$2:$A$301,0), Skills!M16+1)</f>
        <v/>
      </c>
      <c r="F125">
        <f>IF(Skills!N16=TRUE,(Skills!L16/10)*(E125/1000),Skills!L16/10)+Skills!O16</f>
        <v/>
      </c>
      <c r="G125">
        <f>Skills!G16*IF(Skills!H16&gt;0,Skills!I16/Skills!H16,1)</f>
        <v/>
      </c>
      <c r="H125">
        <f>1-(1-Skills!J16/100)^Skills!K16</f>
        <v/>
      </c>
      <c r="I125" t="inlineStr">
        <is>
          <t>1</t>
        </is>
      </c>
      <c r="J125" t="inlineStr"/>
      <c r="K125" t="inlineStr"/>
      <c r="L125" t="inlineStr"/>
      <c r="M125" t="inlineStr"/>
      <c r="N125" t="inlineStr"/>
      <c r="O125">
        <f>(1-Summary!$B$11)*T125+Summary!$B$11*V125</f>
        <v/>
      </c>
      <c r="P125">
        <f>IF(B144=0,0,O125/B144)</f>
        <v/>
      </c>
      <c r="Q125" t="n">
        <v>0</v>
      </c>
      <c r="R125" t="n">
        <v>0</v>
      </c>
      <c r="S125">
        <f>IFERROR(O125/N125,0)</f>
        <v/>
      </c>
      <c r="T125" t="n">
        <v>0</v>
      </c>
      <c r="V125" t="n">
        <v>0</v>
      </c>
    </row>
    <row r="126">
      <c r="A126">
        <f>Skills!A17</f>
        <v/>
      </c>
      <c r="B126">
        <f>Skills!B17</f>
        <v/>
      </c>
      <c r="C126">
        <f>Inputs!$B$3&gt;=10</f>
        <v/>
      </c>
      <c r="D126">
        <f>IF(Skills!C17=1,60+Inputs!$B$25+Inputs!$B$29,IF(Skills!C17=2,90+Inputs!$B$26+Inputs!$B$29,IF(Skills!C17=3,120+Inputs!$B$27+Inputs!$B$29,MAX(0,(Inputs!$B$3-100)*3)+Inputs!$B$28+Inputs!$B$29)))</f>
        <v/>
      </c>
      <c r="E126">
        <f>INDEX(FactorTable!$B$2:$Y$301, MATCH(ROUND(MIN(300,MAX(1,D126)),0), FactorTable!$A$2:$A$301,0), Skills!M17+1)</f>
        <v/>
      </c>
      <c r="F126">
        <f>IF(Skills!N17=TRUE,(Skills!L17/10)*(E126/1000),Skills!L17/10)+Skills!O17</f>
        <v/>
      </c>
      <c r="G126">
        <f>Skills!G17*IF(Skills!H17&gt;0,Skills!I17/Skills!H17,1)</f>
        <v/>
      </c>
      <c r="H126">
        <f>1-(1-Skills!J17/100)^Skills!K17</f>
        <v/>
      </c>
      <c r="I126" t="inlineStr">
        <is>
          <t>1</t>
        </is>
      </c>
      <c r="J126" t="inlineStr"/>
      <c r="K126" t="inlineStr"/>
      <c r="L126" t="inlineStr"/>
      <c r="M126" t="inlineStr"/>
      <c r="N126" t="inlineStr"/>
      <c r="O126">
        <f>(1-Summary!$B$11)*T126+Summary!$B$11*V126</f>
        <v/>
      </c>
      <c r="P126">
        <f>IF(B144=0,0,O126/B144)</f>
        <v/>
      </c>
      <c r="Q126" t="n">
        <v>0</v>
      </c>
      <c r="R126" t="n">
        <v>0</v>
      </c>
      <c r="S126">
        <f>IFERROR(O126/N126,0)</f>
        <v/>
      </c>
      <c r="T126" t="n">
        <v>0</v>
      </c>
      <c r="V126" t="n">
        <v>0</v>
      </c>
    </row>
    <row r="127">
      <c r="A127">
        <f>Skills!A18</f>
        <v/>
      </c>
      <c r="B127">
        <f>Skills!B18</f>
        <v/>
      </c>
      <c r="C127">
        <f>Inputs!$B$3&gt;=33</f>
        <v/>
      </c>
      <c r="D127">
        <f>IF(Skills!C18=1,60+Inputs!$B$25+Inputs!$B$29,IF(Skills!C18=2,90+Inputs!$B$26+Inputs!$B$29,IF(Skills!C18=3,120+Inputs!$B$27+Inputs!$B$29,MAX(0,(Inputs!$B$3-100)*3)+Inputs!$B$28+Inputs!$B$29)))</f>
        <v/>
      </c>
      <c r="E127">
        <f>INDEX(FactorTable!$B$2:$Y$301, MATCH(ROUND(MIN(300,MAX(1,D127)),0), FactorTable!$A$2:$A$301,0), Skills!M18+1)</f>
        <v/>
      </c>
      <c r="F127">
        <f>IF(Skills!N18=TRUE,(Skills!L18/10)*(E127/1000),Skills!L18/10)+Skills!O18</f>
        <v/>
      </c>
      <c r="G127">
        <f>Skills!G18*IF(Skills!H18&gt;0,Skills!I18/Skills!H18,1)</f>
        <v/>
      </c>
      <c r="H127">
        <f>1-(1-Skills!J18/100)^Skills!K18</f>
        <v/>
      </c>
      <c r="I127" t="inlineStr">
        <is>
          <t>1</t>
        </is>
      </c>
      <c r="J127" t="inlineStr"/>
      <c r="K127" t="inlineStr"/>
      <c r="L127" t="inlineStr"/>
      <c r="M127" t="inlineStr"/>
      <c r="N127" t="inlineStr"/>
      <c r="O127">
        <f>(1-Summary!$B$11)*T127+Summary!$B$11*V127</f>
        <v/>
      </c>
      <c r="P127">
        <f>IF(B144=0,0,O127/B144)</f>
        <v/>
      </c>
      <c r="Q127" t="n">
        <v>0</v>
      </c>
      <c r="R127" t="n">
        <v>0</v>
      </c>
      <c r="S127">
        <f>IFERROR(O127/N127,0)</f>
        <v/>
      </c>
      <c r="T127" t="n">
        <v>0</v>
      </c>
      <c r="V127" t="n">
        <v>0</v>
      </c>
    </row>
    <row r="128">
      <c r="A128">
        <f>Skills!A19</f>
        <v/>
      </c>
      <c r="B128">
        <f>Skills!B19</f>
        <v/>
      </c>
      <c r="C128">
        <f>Inputs!$B$3&gt;=40</f>
        <v/>
      </c>
      <c r="D128">
        <f>IF(Skills!C19=1,60+Inputs!$B$25+Inputs!$B$29,IF(Skills!C19=2,90+Inputs!$B$26+Inputs!$B$29,IF(Skills!C19=3,120+Inputs!$B$27+Inputs!$B$29,MAX(0,(Inputs!$B$3-100)*3)+Inputs!$B$28+Inputs!$B$29)))</f>
        <v/>
      </c>
      <c r="E128">
        <f>INDEX(FactorTable!$B$2:$Y$301, MATCH(ROUND(MIN(300,MAX(1,D128)),0), FactorTable!$A$2:$A$301,0), Skills!M19+1)</f>
        <v/>
      </c>
      <c r="F128">
        <f>IF(Skills!N19=TRUE,(Skills!L19/10)*(E128/1000),Skills!L19/10)+Skills!O19</f>
        <v/>
      </c>
      <c r="G128">
        <f>Skills!G19*IF(Skills!H19&gt;0,Skills!I19/Skills!H19,1)</f>
        <v/>
      </c>
      <c r="H128">
        <f>1-(1-Skills!J19/100)^Skills!K19</f>
        <v/>
      </c>
      <c r="I128" t="inlineStr">
        <is>
          <t>1</t>
        </is>
      </c>
      <c r="J128" t="inlineStr"/>
      <c r="K128" t="inlineStr"/>
      <c r="L128" t="inlineStr"/>
      <c r="M128" t="inlineStr"/>
      <c r="N128" t="inlineStr"/>
      <c r="O128">
        <f>(1-Summary!$B$11)*T128+Summary!$B$11*V128</f>
        <v/>
      </c>
      <c r="P128">
        <f>IF(B144=0,0,O128/B144)</f>
        <v/>
      </c>
      <c r="Q128" t="n">
        <v>0</v>
      </c>
      <c r="R128" t="n">
        <v>0</v>
      </c>
      <c r="S128">
        <f>IFERROR(O128/N128,0)</f>
        <v/>
      </c>
      <c r="T128" t="n">
        <v>0</v>
      </c>
      <c r="V128" t="n">
        <v>0</v>
      </c>
    </row>
    <row r="129">
      <c r="A129">
        <f>Skills!A20</f>
        <v/>
      </c>
      <c r="B129">
        <f>Skills!B20</f>
        <v/>
      </c>
      <c r="C129">
        <f>Inputs!$B$3&gt;=43</f>
        <v/>
      </c>
      <c r="D129">
        <f>IF(Skills!C20=1,60+Inputs!$B$25+Inputs!$B$29,IF(Skills!C20=2,90+Inputs!$B$26+Inputs!$B$29,IF(Skills!C20=3,120+Inputs!$B$27+Inputs!$B$29,MAX(0,(Inputs!$B$3-100)*3)+Inputs!$B$28+Inputs!$B$29)))</f>
        <v/>
      </c>
      <c r="E129">
        <f>INDEX(FactorTable!$B$2:$Y$301, MATCH(ROUND(MIN(300,MAX(1,D129)),0), FactorTable!$A$2:$A$301,0), Skills!M20+1)</f>
        <v/>
      </c>
      <c r="F129">
        <f>IF(Skills!N20=TRUE,(Skills!L20/10)*(E129/1000),Skills!L20/10)+Skills!O20</f>
        <v/>
      </c>
      <c r="G129">
        <f>Skills!G20*IF(Skills!H20&gt;0,Skills!I20/Skills!H20,1)</f>
        <v/>
      </c>
      <c r="H129">
        <f>1-(1-Skills!J20/100)^Skills!K20</f>
        <v/>
      </c>
      <c r="I129" t="inlineStr">
        <is>
          <t>1</t>
        </is>
      </c>
      <c r="J129" t="inlineStr"/>
      <c r="K129" t="inlineStr"/>
      <c r="L129" t="inlineStr"/>
      <c r="M129" t="inlineStr"/>
      <c r="N129" t="inlineStr"/>
      <c r="O129">
        <f>(1-Summary!$B$11)*T129+Summary!$B$11*V129</f>
        <v/>
      </c>
      <c r="P129">
        <f>IF(B144=0,0,O129/B144)</f>
        <v/>
      </c>
      <c r="Q129" t="n">
        <v>0</v>
      </c>
      <c r="R129" t="n">
        <v>0</v>
      </c>
      <c r="S129">
        <f>IFERROR(O129/N129,0)</f>
        <v/>
      </c>
      <c r="T129" t="n">
        <v>0</v>
      </c>
      <c r="V129" t="n">
        <v>0</v>
      </c>
    </row>
    <row r="130">
      <c r="A130">
        <f>Skills!A21</f>
        <v/>
      </c>
      <c r="B130">
        <f>Skills!B21</f>
        <v/>
      </c>
      <c r="C130">
        <f>Inputs!$B$3&gt;=38</f>
        <v/>
      </c>
      <c r="D130">
        <f>IF(Skills!C21=1,60+Inputs!$B$25+Inputs!$B$29,IF(Skills!C21=2,90+Inputs!$B$26+Inputs!$B$29,IF(Skills!C21=3,120+Inputs!$B$27+Inputs!$B$29,MAX(0,(Inputs!$B$3-100)*3)+Inputs!$B$28+Inputs!$B$29)))</f>
        <v/>
      </c>
      <c r="E130">
        <f>INDEX(FactorTable!$B$2:$Y$301, MATCH(ROUND(MIN(300,MAX(1,D130)),0), FactorTable!$A$2:$A$301,0), Skills!M21+1)</f>
        <v/>
      </c>
      <c r="F130">
        <f>IF(Skills!N21=TRUE,(Skills!L21/10)*(E130/1000),Skills!L21/10)+Skills!O21</f>
        <v/>
      </c>
      <c r="G130">
        <f>Skills!G21*IF(Skills!H21&gt;0,Skills!I21/Skills!H21,1)</f>
        <v/>
      </c>
      <c r="H130">
        <f>1-(1-Skills!J21/100)^Skills!K21</f>
        <v/>
      </c>
      <c r="I130" t="inlineStr">
        <is>
          <t>1</t>
        </is>
      </c>
      <c r="J130" t="inlineStr"/>
      <c r="K130" t="inlineStr"/>
      <c r="L130" t="inlineStr"/>
      <c r="M130" t="inlineStr"/>
      <c r="N130" t="inlineStr"/>
      <c r="O130">
        <f>(1-Summary!$B$11)*T130+Summary!$B$11*V130</f>
        <v/>
      </c>
      <c r="P130">
        <f>IF(B144=0,0,O130/B144)</f>
        <v/>
      </c>
      <c r="Q130" t="n">
        <v>0</v>
      </c>
      <c r="R130" t="n">
        <v>0</v>
      </c>
      <c r="S130">
        <f>IFERROR(O130/N130,0)</f>
        <v/>
      </c>
      <c r="T130" t="n">
        <v>0</v>
      </c>
      <c r="V130" t="n">
        <v>0</v>
      </c>
    </row>
    <row r="131">
      <c r="A131">
        <f>Skills!A22</f>
        <v/>
      </c>
      <c r="B131">
        <f>Skills!B22</f>
        <v/>
      </c>
      <c r="C131">
        <f>Inputs!$B$3&gt;=75</f>
        <v/>
      </c>
      <c r="D131">
        <f>IF(Skills!C22=1,60+Inputs!$B$25+Inputs!$B$29,IF(Skills!C22=2,90+Inputs!$B$26+Inputs!$B$29,IF(Skills!C22=3,120+Inputs!$B$27+Inputs!$B$29,MAX(0,(Inputs!$B$3-100)*3)+Inputs!$B$28+Inputs!$B$29)))</f>
        <v/>
      </c>
      <c r="E131">
        <f>INDEX(FactorTable!$B$2:$Y$301, MATCH(ROUND(MIN(300,MAX(1,D131)),0), FactorTable!$A$2:$A$301,0), Skills!M22+1)</f>
        <v/>
      </c>
      <c r="F131">
        <f>IF(Skills!N22=TRUE,(Skills!L22/10)*(E131/1000),Skills!L22/10)+Skills!O22</f>
        <v/>
      </c>
      <c r="G131">
        <f>Skills!G22*IF(Skills!H22&gt;0,Skills!I22/Skills!H22,1)</f>
        <v/>
      </c>
      <c r="H131">
        <f>1-(1-Skills!J22/100)^Skills!K22</f>
        <v/>
      </c>
      <c r="I131" t="inlineStr">
        <is>
          <t>1</t>
        </is>
      </c>
      <c r="J131" t="inlineStr"/>
      <c r="K131" t="inlineStr"/>
      <c r="L131" t="inlineStr"/>
      <c r="M131" t="inlineStr"/>
      <c r="N131" t="inlineStr"/>
      <c r="O131">
        <f>(1-Summary!$B$11)*T131+Summary!$B$11*V131</f>
        <v/>
      </c>
      <c r="P131">
        <f>IF(B144=0,0,O131/B144)</f>
        <v/>
      </c>
      <c r="Q131" t="n">
        <v>0</v>
      </c>
      <c r="R131" t="n">
        <v>0</v>
      </c>
      <c r="S131">
        <f>IFERROR(O131/N131,0)</f>
        <v/>
      </c>
      <c r="T131" t="n">
        <v>0</v>
      </c>
      <c r="V131" t="n">
        <v>0</v>
      </c>
    </row>
    <row r="133">
      <c r="A133" t="inlineStr">
        <is>
          <t>Attack% Bucket Multiplier</t>
        </is>
      </c>
      <c r="B133">
        <f>(1+(((C122=TRUE)*F122)+((C128=TRUE)*(F128-Calc!F19))+(IF(ArtifactsInput!$M$21,CHOOSE(ArtifactsInput!$N$21+1,25,30,35,40,45,50)*(IF(OR(Inputs!$B$4="Chapter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4">
      <c r="A134" t="inlineStr">
        <is>
          <t>Global Crit Rate Bonus %</t>
        </is>
      </c>
      <c r="B134" t="n">
        <v>0</v>
      </c>
    </row>
    <row r="135">
      <c r="A135" t="inlineStr">
        <is>
          <t>Attack Speed Buff Bonus % (unused)</t>
        </is>
      </c>
      <c r="B135" t="n">
        <v>0</v>
      </c>
    </row>
    <row r="136">
      <c r="A136" t="inlineStr">
        <is>
          <t>Actions Per Second</t>
        </is>
      </c>
      <c r="B136">
        <f>1+MIN(150,150*(1-(1-(Inputs!$B$11+((C126=TRUE)*(F126-Calc!F17))+((C127=TRUE)*(F127-Calc!F18)))/150)*(1-B135/150)))/100</f>
        <v/>
      </c>
    </row>
    <row r="137">
      <c r="A137" t="inlineStr">
        <is>
          <t>Skill + Buff Cast Rate</t>
        </is>
      </c>
      <c r="B137">
        <f>IF(AND(Inputs!$B$38&lt;&gt;"pvp",Inputs!$B$43&gt;0),SUMPRODUCT((Skills!E2:E22=TRUE)*(C111:C131=TRUE)*R111:R131*Skills!F2:F22)/Inputs!$B$43,SUMPRODUCT((Skills!E2:E22=TRUE)*(C111:C131=TRUE)*Q111:Q131*Skills!F2:F22))</f>
        <v/>
      </c>
    </row>
    <row r="138">
      <c r="A138" t="inlineStr">
        <is>
          <t>Hook Bomber Casts Per Second</t>
        </is>
      </c>
      <c r="B138">
        <f>MAX(0,B136-B137)</f>
        <v/>
      </c>
    </row>
    <row r="139">
      <c r="A139" t="inlineStr">
        <is>
          <t>Global Critical Damage Bonus % (unused)</t>
        </is>
      </c>
      <c r="B139" t="n">
        <v>0</v>
      </c>
    </row>
    <row r="140">
      <c r="A140" t="inlineStr">
        <is>
          <t>Global Final Damage Bonus % (Serpent Scale + Crossbones + Time Leap + Speed Infusion)</t>
        </is>
      </c>
      <c r="B140">
        <f>((C114=TRUE)*F114*((10+IF(Inputs!$B$3&gt;=94,5,0))/((10+IF(Inputs!$B$3&gt;=94,5,0))+5/(B138*(1+IF(Inputs!$B$3&gt;=104,1,0))))))+((C123=TRUE)*F123)+((C124=TRUE)*F124)+((Inputs!$B$3&gt;=110)*20*(B136-1))</f>
        <v/>
      </c>
    </row>
    <row r="141">
      <c r="A141" t="inlineStr">
        <is>
          <t>Buff-Casting Startup Delay (s, fixed-duration only)</t>
        </is>
      </c>
      <c r="B141">
        <f>IF(AND(Inputs!$B$38&lt;&gt;"pvp",Inputs!$B$43&gt;0),SUMPRODUCT((Skills!T2:T22&gt;0)*(Skills!E2:E22=TRUE)*(C111:C131=TRUE))/B136,0)</f>
        <v/>
      </c>
    </row>
    <row r="142">
      <c r="A142" t="inlineStr">
        <is>
          <t>Boss-Only Total DPS (this block's swept value)</t>
        </is>
      </c>
      <c r="B142">
        <f>SUM(T111:T131)</f>
        <v/>
      </c>
    </row>
    <row r="143">
      <c r="A143" t="inlineStr">
        <is>
          <t>Normal-Only Total DPS (this block's swept value)</t>
        </is>
      </c>
      <c r="B143">
        <f>SUM(V111:V131)</f>
        <v/>
      </c>
    </row>
    <row r="144">
      <c r="A144" s="6" t="inlineStr">
        <is>
          <t>TOTAL DPS</t>
        </is>
      </c>
      <c r="B144" s="6">
        <f>SUM(O111:O131)</f>
        <v/>
      </c>
    </row>
    <row r="147">
      <c r="A147" s="6" t="inlineStr">
        <is>
          <t>Stat: DEX</t>
        </is>
      </c>
    </row>
    <row r="148">
      <c r="A148" s="5" t="inlineStr">
        <is>
          <t>Key</t>
        </is>
      </c>
      <c r="B148" s="5" t="inlineStr">
        <is>
          <t>Name</t>
        </is>
      </c>
      <c r="C148" s="5" t="inlineStr">
        <is>
          <t>Unlocked</t>
        </is>
      </c>
      <c r="D148" s="5" t="inlineStr">
        <is>
          <t>InputLevel</t>
        </is>
      </c>
      <c r="E148" s="5" t="inlineStr">
        <is>
          <t>Factor</t>
        </is>
      </c>
      <c r="F148" s="5" t="inlineStr">
        <is>
          <t>CoefficientPercent</t>
        </is>
      </c>
      <c r="G148" s="5" t="inlineStr">
        <is>
          <t>EffectiveHits</t>
        </is>
      </c>
      <c r="H148" s="5" t="inlineStr">
        <is>
          <t>ProcProbability</t>
        </is>
      </c>
      <c r="I148" s="5" t="inlineStr">
        <is>
          <t>MapleHeroMultiplier</t>
        </is>
      </c>
      <c r="J148" s="5" t="inlineStr">
        <is>
          <t>BaseDamage</t>
        </is>
      </c>
      <c r="K148" s="5" t="inlineStr">
        <is>
          <t>BaseHitDamage</t>
        </is>
      </c>
      <c r="L148" s="5" t="inlineStr">
        <is>
          <t>NonCritAvg</t>
        </is>
      </c>
      <c r="M148" s="5" t="inlineStr">
        <is>
          <t>CritAvg</t>
        </is>
      </c>
      <c r="N148" s="5" t="inlineStr">
        <is>
          <t>ExpectedDamage(perHit)</t>
        </is>
      </c>
      <c r="O148" s="5" t="inlineStr">
        <is>
          <t>DPS</t>
        </is>
      </c>
      <c r="P148" s="5" t="inlineStr">
        <is>
          <t>% of Total</t>
        </is>
      </c>
      <c r="Q148" s="5" t="inlineStr">
        <is>
          <t>InvCooldown</t>
        </is>
      </c>
      <c r="R148" s="5" t="inlineStr">
        <is>
          <t>CastsInFight</t>
        </is>
      </c>
      <c r="S148" s="5" t="inlineStr">
        <is>
          <t>HitRate(perSec)</t>
        </is>
      </c>
      <c r="U148" t="inlineStr">
        <is>
          <t>helpers</t>
        </is>
      </c>
    </row>
    <row r="149">
      <c r="A149">
        <f>Skills!A2</f>
        <v/>
      </c>
      <c r="B149">
        <f>Skills!B2</f>
        <v/>
      </c>
      <c r="C149">
        <f>Inputs!$B$3&gt;=100</f>
        <v/>
      </c>
      <c r="D149" t="inlineStr"/>
      <c r="E149" t="inlineStr"/>
      <c r="F149">
        <f>U151+Skills!O2</f>
        <v/>
      </c>
      <c r="G149">
        <f>Skills!G2*IF(Skills!H2&gt;0,Skills!I2/Skills!H2,1)</f>
        <v/>
      </c>
      <c r="H149">
        <f>1-(1-Skills!J2/100)^Skills!K2</f>
        <v/>
      </c>
      <c r="I149" t="inlineStr">
        <is>
          <t>1</t>
        </is>
      </c>
      <c r="J149">
        <f>((Inputs!$B$6*(1+Inputs!$B$7/100))+(((Inputs!$B$12*(1+Inputs!$B$13/100))-(Inputs!$B$12*(1+Inputs!$B$13/100)))+0.25*((Inputs!$B$14+1)-Inputs!$B$14))*(1+Inputs!$B$7/100))*(F149/100)</f>
        <v/>
      </c>
      <c r="K149">
        <f>J149*(1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f>
        <v/>
      </c>
      <c r="L149">
        <f>K149*(MIN(Inputs!$B$22+((C167=TRUE)*(F167-Calc!F20)),(Inputs!$B$23+0+(IF(ArtifactsInput!$M$15,CHOOSE(ArtifactsInput!$N$15+1,25,30,35,40,45,50)/100*(Inputs!$B$11-Inputs!$B$11),0))))/100+(Inputs!$B$23+0+(IF(ArtifactsInput!$M$15,CHOOSE(ArtifactsInput!$N$15+1,25,30,35,40,45,50)/100*(Inputs!$B$11-Inputs!$B$11),0)))/100)/2</f>
        <v/>
      </c>
      <c r="M149">
        <f>L149*(1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
        <f>L149*(1-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
        <f>(1-Summary!$B$11)*T149+Summary!$B$11*V149</f>
        <v/>
      </c>
      <c r="P149">
        <f>IF(B182=0,0,O149/B182)</f>
        <v/>
      </c>
      <c r="Q149" t="n">
        <v>0</v>
      </c>
      <c r="R149" t="n">
        <v>0</v>
      </c>
      <c r="S149">
        <f>IFERROR(O149/N149,0)</f>
        <v/>
      </c>
      <c r="T149">
        <f>IF(C149,(Skills!G2*N149*B176)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
        <f>MAX(0,(Inputs!$B$3-100)*3)+Inputs!$B$28+Inputs!$B$29</f>
        <v/>
      </c>
      <c r="V149">
        <f>IF(C149,(Skills!G2*N149*B176)*IF(Inputs!$B$38="pvp",1,(1+(Inputs!$B$21+Skills!Q2+(IF(ArtifactsInput!$M$33,CHOOSE(ArtifactsInput!$N$33+1,30,36,42,48,54,60),0))+(IF(AND(ArtifactsInput!$M$35,Inputs!$B$4&lt;&gt;"Chapter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
      <c r="A150">
        <f>Skills!A3</f>
        <v/>
      </c>
      <c r="B150">
        <f>Skills!B3</f>
        <v/>
      </c>
      <c r="C150">
        <f>Inputs!$B$3&gt;=35</f>
        <v/>
      </c>
      <c r="D150">
        <f>IF(Skills!C3=1,60+Inputs!$B$25+Inputs!$B$29,IF(Skills!C3=2,90+Inputs!$B$26+Inputs!$B$29,IF(Skills!C3=3,120+Inputs!$B$27+Inputs!$B$29,MAX(0,(Inputs!$B$3-100)*3)+Inputs!$B$28+Inputs!$B$29)))</f>
        <v/>
      </c>
      <c r="E150">
        <f>INDEX(FactorTable!$B$2:$Y$301, MATCH(ROUND(MIN(300,MAX(1,D150)),0), FactorTable!$A$2:$A$301,0), Skills!M3+1)</f>
        <v/>
      </c>
      <c r="F150">
        <f>IF(Skills!N3=TRUE,(Skills!L3/10)*(E150/1000),Skills!L3/10)+Skills!O3</f>
        <v/>
      </c>
      <c r="G150">
        <f>Skills!G3*IF(Skills!H3&gt;0,Skills!I3/Skills!H3,1)</f>
        <v/>
      </c>
      <c r="H150">
        <f>1-(1-Skills!J3/100)^Skills!K3</f>
        <v/>
      </c>
      <c r="I150" t="inlineStr">
        <is>
          <t>1</t>
        </is>
      </c>
      <c r="J150">
        <f>((Inputs!$B$6*(1+Inputs!$B$7/100))+(((Inputs!$B$12*(1+Inputs!$B$13/100))-(Inputs!$B$12*(1+Inputs!$B$13/100)))+0.25*((Inputs!$B$14+1)-Inputs!$B$14))*(1+Inputs!$B$7/100))*(F150/100)</f>
        <v/>
      </c>
      <c r="K150">
        <f>J150*(1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f>
        <v/>
      </c>
      <c r="L150">
        <f>K150*(MIN(Inputs!$B$22+((C167=TRUE)*(F167-Calc!F20)),(Inputs!$B$23+0+(IF(ArtifactsInput!$M$15,CHOOSE(ArtifactsInput!$N$15+1,25,30,35,40,45,50)/100*(Inputs!$B$11-Inputs!$B$11),0))))/100+(Inputs!$B$23+0+(IF(ArtifactsInput!$M$15,CHOOSE(ArtifactsInput!$N$15+1,25,30,35,40,45,50)/100*(Inputs!$B$11-Inputs!$B$11),0)))/100)/2</f>
        <v/>
      </c>
      <c r="M150">
        <f>L150*(1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
        <f>L150*(1-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
        <f>(1-Summary!$B$11)*T150+Summary!$B$11*V150</f>
        <v/>
      </c>
      <c r="P150">
        <f>IF(B182=0,0,O150/B182)</f>
        <v/>
      </c>
      <c r="Q150" t="n">
        <v>0</v>
      </c>
      <c r="R150" t="n">
        <v>0</v>
      </c>
      <c r="S150">
        <f>IFERROR(O150/N150,0)</f>
        <v/>
      </c>
      <c r="T150">
        <f>IF(C150,(Skills!G3*H150*N150*B176)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
        <f>INDEX(FactorTable!$B$2:$Y$301, MATCH(ROUND(MIN(300,MAX(1,U149)),0), FactorTable!$A$2:$A$301,0), 22)</f>
        <v/>
      </c>
      <c r="V150">
        <f>IF(C150,(Skills!G3*H150*N150*B176)*IF(Inputs!$B$38="pvp",1,(1+(Inputs!$B$21+Skills!Q3+(IF(ArtifactsInput!$M$33,CHOOSE(ArtifactsInput!$N$33+1,30,36,42,48,54,60),0))+(IF(AND(ArtifactsInput!$M$35,Inputs!$B$4&lt;&gt;"Chapter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
      <c r="A151">
        <f>Skills!A4</f>
        <v/>
      </c>
      <c r="B151">
        <f>Skills!B4</f>
        <v/>
      </c>
      <c r="C151">
        <f>Inputs!$B$3&gt;=60</f>
        <v/>
      </c>
      <c r="D151">
        <f>IF(Skills!C4=1,60+Inputs!$B$25+Inputs!$B$29,IF(Skills!C4=2,90+Inputs!$B$26+Inputs!$B$29,IF(Skills!C4=3,120+Inputs!$B$27+Inputs!$B$29,MAX(0,(Inputs!$B$3-100)*3)+Inputs!$B$28+Inputs!$B$29)))</f>
        <v/>
      </c>
      <c r="E151">
        <f>INDEX(FactorTable!$B$2:$Y$301, MATCH(ROUND(MIN(300,MAX(1,D151)),0), FactorTable!$A$2:$A$301,0), Skills!M4+1)</f>
        <v/>
      </c>
      <c r="F151">
        <f>IF(Skills!N4=TRUE,(Skills!L4/10)*(E151/1000),Skills!L4/10)+Skills!O4</f>
        <v/>
      </c>
      <c r="G151">
        <f>Skills!G4*IF(Skills!H4&gt;0,Skills!I4/Skills!H4,1)</f>
        <v/>
      </c>
      <c r="H151">
        <f>1-(1-Skills!J4/100)^Skills!K4</f>
        <v/>
      </c>
      <c r="I151" t="inlineStr">
        <is>
          <t>1</t>
        </is>
      </c>
      <c r="J151">
        <f>((Inputs!$B$6*(1+Inputs!$B$7/100))+(((Inputs!$B$12*(1+Inputs!$B$13/100))-(Inputs!$B$12*(1+Inputs!$B$13/100)))+0.25*((Inputs!$B$14+1)-Inputs!$B$14))*(1+Inputs!$B$7/100))*(F151/100)</f>
        <v/>
      </c>
      <c r="K151">
        <f>J151*(1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TRUE,F159,0)/100)*(1+(IF(Skills!A4="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f>
        <v/>
      </c>
      <c r="L151">
        <f>K151*(MIN(Inputs!$B$22+((C167=TRUE)*(F167-Calc!F20)),(Inputs!$B$23+0+(IF(ArtifactsInput!$M$15,CHOOSE(ArtifactsInput!$N$15+1,25,30,35,40,45,50)/100*(Inputs!$B$11-Inputs!$B$11),0))))/100+(Inputs!$B$23+0+(IF(ArtifactsInput!$M$15,CHOOSE(ArtifactsInput!$N$15+1,25,30,35,40,45,50)/100*(Inputs!$B$11-Inputs!$B$11),0)))/100)/2</f>
        <v/>
      </c>
      <c r="M151">
        <f>L151*(1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
        <f>L151*(1-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
        <f>(1-Summary!$B$11)*T151+Summary!$B$11*V151</f>
        <v/>
      </c>
      <c r="P151">
        <f>IF(B182=0,0,O151/B182)</f>
        <v/>
      </c>
      <c r="Q151" t="n">
        <v>0</v>
      </c>
      <c r="R151" t="n">
        <v>0</v>
      </c>
      <c r="S151">
        <f>IFERROR(O151/N151,0)</f>
        <v/>
      </c>
      <c r="T151">
        <f>IF(C151,(Skills!G4*H151*N151*B176)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
        <f>290*U150/1000</f>
        <v/>
      </c>
      <c r="V151">
        <f>IF(C151,(Skills!G4*H151*N151*B176)*IF(Inputs!$B$38="pvp",1,(1+(Inputs!$B$21+Skills!Q4+(IF(ArtifactsInput!$M$33,CHOOSE(ArtifactsInput!$N$33+1,30,36,42,48,54,60),0))+(IF(AND(ArtifactsInput!$M$35,Inputs!$B$4&lt;&gt;"Chapter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
      <c r="A152">
        <f>Skills!A5</f>
        <v/>
      </c>
      <c r="B152">
        <f>Skills!B5</f>
        <v/>
      </c>
      <c r="C152">
        <f>Inputs!$B$3&gt;=60</f>
        <v/>
      </c>
      <c r="D152">
        <f>IF(Skills!C5=1,60+Inputs!$B$25+Inputs!$B$29,IF(Skills!C5=2,90+Inputs!$B$26+Inputs!$B$29,IF(Skills!C5=3,120+Inputs!$B$27+Inputs!$B$29,MAX(0,(Inputs!$B$3-100)*3)+Inputs!$B$28+Inputs!$B$29)))</f>
        <v/>
      </c>
      <c r="E152">
        <f>INDEX(FactorTable!$B$2:$Y$301, MATCH(ROUND(MIN(300,MAX(1,D152)),0), FactorTable!$A$2:$A$301,0), Skills!M5+1)</f>
        <v/>
      </c>
      <c r="F152">
        <f>IF(Skills!N5=TRUE,(Skills!L5/10)*(E152/1000),Skills!L5/10)+Skills!O5</f>
        <v/>
      </c>
      <c r="G152">
        <f>Skills!G5*IF(Skills!H5&gt;0,Skills!I5/Skills!H5,1)</f>
        <v/>
      </c>
      <c r="H152">
        <f>1-(1-Skills!J5/100)^Skills!K5</f>
        <v/>
      </c>
      <c r="I152" t="inlineStr">
        <is>
          <t>1</t>
        </is>
      </c>
      <c r="J152" t="inlineStr"/>
      <c r="K152" t="inlineStr"/>
      <c r="L152" t="inlineStr"/>
      <c r="M152" t="inlineStr"/>
      <c r="N152" t="inlineStr"/>
      <c r="O152">
        <f>(1-Summary!$B$11)*T152+Summary!$B$11*V152</f>
        <v/>
      </c>
      <c r="P152">
        <f>IF(B182=0,0,O152/B182)</f>
        <v/>
      </c>
      <c r="Q152" t="n">
        <v>0</v>
      </c>
      <c r="R152" t="n">
        <v>0</v>
      </c>
      <c r="S152">
        <f>IFERROR(O152/N152,0)</f>
        <v/>
      </c>
      <c r="T152" t="n">
        <v>0</v>
      </c>
      <c r="V152" t="n">
        <v>0</v>
      </c>
    </row>
    <row r="153">
      <c r="A153">
        <f>Skills!A6</f>
        <v/>
      </c>
      <c r="B153">
        <f>Skills!B6</f>
        <v/>
      </c>
      <c r="C153">
        <f>Inputs!$B$3&gt;=63</f>
        <v/>
      </c>
      <c r="D153">
        <f>IF(Skills!C6=1,60+Inputs!$B$25+Inputs!$B$29,IF(Skills!C6=2,90+Inputs!$B$26+Inputs!$B$29,IF(Skills!C6=3,120+Inputs!$B$27+Inputs!$B$29,MAX(0,(Inputs!$B$3-100)*3)+Inputs!$B$28+Inputs!$B$29)))</f>
        <v/>
      </c>
      <c r="E153">
        <f>INDEX(FactorTable!$B$2:$Y$301, MATCH(ROUND(MIN(300,MAX(1,D153)),0), FactorTable!$A$2:$A$301,0), Skills!M6+1)</f>
        <v/>
      </c>
      <c r="F153">
        <f>IF(Skills!N6=TRUE,(Skills!L6/10)*(E153/1000),Skills!L6/10)+Skills!O6</f>
        <v/>
      </c>
      <c r="G153">
        <f>Skills!G6*IF(Skills!H6&gt;0,Skills!I6/Skills!H6,1)</f>
        <v/>
      </c>
      <c r="H153">
        <f>1-(1-Skills!J6/100)^Skills!K6</f>
        <v/>
      </c>
      <c r="I153" t="inlineStr">
        <is>
          <t>1</t>
        </is>
      </c>
      <c r="J153">
        <f>((Inputs!$B$6*(1+Inputs!$B$7/100))+(((Inputs!$B$12*(1+Inputs!$B$13/100))-(Inputs!$B$12*(1+Inputs!$B$13/100)))+0.25*((Inputs!$B$14+1)-Inputs!$B$14))*(1+Inputs!$B$7/100))*(F153/100)</f>
        <v/>
      </c>
      <c r="K153">
        <f>J153*(1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f>
        <v/>
      </c>
      <c r="L153">
        <f>K153*(MIN(Inputs!$B$22+((C167=TRUE)*(F167-Calc!F20)),(Inputs!$B$23+0+(IF(ArtifactsInput!$M$15,CHOOSE(ArtifactsInput!$N$15+1,25,30,35,40,45,50)/100*(Inputs!$B$11-Inputs!$B$11),0))))/100+(Inputs!$B$23+0+(IF(ArtifactsInput!$M$15,CHOOSE(ArtifactsInput!$N$15+1,25,30,35,40,45,50)/100*(Inputs!$B$11-Inputs!$B$11),0)))/100)/2</f>
        <v/>
      </c>
      <c r="M153">
        <f>L153*(1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
        <f>L153*(1-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
        <f>(1-Summary!$B$11)*T153+Summary!$B$11*V153</f>
        <v/>
      </c>
      <c r="P153">
        <f>IF(B182=0,0,O153/B182)</f>
        <v/>
      </c>
      <c r="Q153">
        <f>IFERROR(1/(IF(Inputs!$B$38="pvp",15,MAX(0.1,Skills!D6-IF(Skills!E6=TRUE,Inputs!$B$32,0)))*(1-IF(AND(ArtifactsInput!$M$27,Inputs!$B$4="Chapter Hunt"),CHOOSE(ArtifactsInput!$N$27+1,20,24,28,32,36,40),0)/100)),0)</f>
        <v/>
      </c>
      <c r="R153">
        <f>IF(AND(Inputs!$B$38&lt;&gt;"pvp",Inputs!$B$43&gt;0),IF(MAX(0,Inputs!$B$43-B179)&lt;=0,0,(INT(MAX(0,Inputs!$B$43-B179)/(IF(Inputs!$B$38="pvp",15,MAX(0.1,Skills!D6-IF(Skills!E6=TRUE,Inputs!$B$32,0)))*(1-IF(AND(ArtifactsInput!$M$27,Inputs!$B$4="Chapter Hunt"),CHOOSE(ArtifactsInput!$N$27+1,20,24,28,32,36,40),0)/100)))+1)),0)</f>
        <v/>
      </c>
      <c r="S153">
        <f>IFERROR(O153/N153,0)</f>
        <v/>
      </c>
      <c r="T153">
        <f>IF(C153,(H153*N153*IF(AND(Inputs!$B$38&lt;&gt;"pvp",Inputs!$B$43&gt;0),((Skills!G6*((R153-1)*IF(Skills!H6&gt;0,Skills!I6/Skills!H6,1)+IF(Skills!H6&gt;0,MIN(Skills!I6,MAX(0,MAX(0,Inputs!$B$43-B179)-((R153-1)*(IF(Inputs!$B$38="pvp",15,MAX(0.1,Skills!D6-IF(Skills!E6=TRUE,Inputs!$B$32,0)))*(1-IF(AND(ArtifactsInput!$M$27,Inputs!$B$4="Chapter Hunt"),CHOOSE(ArtifactsInput!$N$27+1,20,24,28,32,36,40),0)/100)))))/Skills!H6,1)))/Inputs!$B$43),G153*Q153)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
        <f>IF(C153,(H153*N153*IF(AND(Inputs!$B$38&lt;&gt;"pvp",Inputs!$B$43&gt;0),((Skills!G6*((R153-1)*IF(Skills!H6&gt;0,Skills!I6/Skills!H6,1)+IF(Skills!H6&gt;0,MIN(Skills!I6,MAX(0,MAX(0,Inputs!$B$43-B179)-((R153-1)*(IF(Inputs!$B$38="pvp",15,MAX(0.1,Skills!D6-IF(Skills!E6=TRUE,Inputs!$B$32,0)))*(1-IF(AND(ArtifactsInput!$M$27,Inputs!$B$4="Chapter Hunt"),CHOOSE(ArtifactsInput!$N$27+1,20,24,28,32,36,40),0)/100)))))/Skills!H6,1)))/Inputs!$B$43),G153*Q153))*IF(Inputs!$B$38="pvp",1,(1+(Inputs!$B$21+Skills!Q6+(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
      <c r="A154">
        <f>Skills!A7</f>
        <v/>
      </c>
      <c r="B154">
        <f>Skills!B7</f>
        <v/>
      </c>
      <c r="C154">
        <f>Inputs!$B$3&gt;=100</f>
        <v/>
      </c>
      <c r="D154">
        <f>IF(Skills!C7=1,60+Inputs!$B$25+Inputs!$B$29,IF(Skills!C7=2,90+Inputs!$B$26+Inputs!$B$29,IF(Skills!C7=3,120+Inputs!$B$27+Inputs!$B$29,MAX(0,(Inputs!$B$3-100)*3)+Inputs!$B$28+Inputs!$B$29)))</f>
        <v/>
      </c>
      <c r="E154">
        <f>INDEX(FactorTable!$B$2:$Y$301, MATCH(ROUND(MIN(300,MAX(1,D154)),0), FactorTable!$A$2:$A$301,0), Skills!M7+1)</f>
        <v/>
      </c>
      <c r="F154">
        <f>IF(Skills!N7=TRUE,(Skills!L7/10)*(E154/1000),Skills!L7/10)+Skills!O7</f>
        <v/>
      </c>
      <c r="G154">
        <f>Skills!G7*IF(Skills!H7&gt;0,Skills!I7/Skills!H7,1)</f>
        <v/>
      </c>
      <c r="H154">
        <f>1-(1-Skills!J7/100)^Skills!K7</f>
        <v/>
      </c>
      <c r="I154" t="inlineStr">
        <is>
          <t>1</t>
        </is>
      </c>
      <c r="J154">
        <f>((Inputs!$B$6*(1+Inputs!$B$7/100))+(((Inputs!$B$12*(1+Inputs!$B$13/100))-(Inputs!$B$12*(1+Inputs!$B$13/100)))+0.25*((Inputs!$B$14+1)-Inputs!$B$14))*(1+Inputs!$B$7/100))*(F154/100)</f>
        <v/>
      </c>
      <c r="K154">
        <f>J154*(1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f>
        <v/>
      </c>
      <c r="L154">
        <f>K154*(MIN(Inputs!$B$22+((C167=TRUE)*(F167-Calc!F20)),(Inputs!$B$23+0+(IF(ArtifactsInput!$M$15,CHOOSE(ArtifactsInput!$N$15+1,25,30,35,40,45,50)/100*(Inputs!$B$11-Inputs!$B$11),0))))/100+(Inputs!$B$23+0+(IF(ArtifactsInput!$M$15,CHOOSE(ArtifactsInput!$N$15+1,25,30,35,40,45,50)/100*(Inputs!$B$11-Inputs!$B$11),0)))/100)/2</f>
        <v/>
      </c>
      <c r="M154">
        <f>L154*(1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
        <f>L154*(1-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
        <f>(1-Summary!$B$11)*T154+Summary!$B$11*V154</f>
        <v/>
      </c>
      <c r="P154">
        <f>IF(B182=0,0,O154/B182)</f>
        <v/>
      </c>
      <c r="Q154">
        <f>IFERROR(1/(IF(Inputs!$B$38="pvp",15,MAX(0.1,Skills!D7-IF(Skills!E7=TRUE,Inputs!$B$32,0)))*(1-IF(AND(ArtifactsInput!$M$27,Inputs!$B$4="Chapter Hunt"),CHOOSE(ArtifactsInput!$N$27+1,20,24,28,32,36,40),0)/100)),0)</f>
        <v/>
      </c>
      <c r="R154">
        <f>IF(AND(Inputs!$B$38&lt;&gt;"pvp",Inputs!$B$43&gt;0),IF(MAX(0,Inputs!$B$43-B179)&lt;=0,0,(INT(MAX(0,Inputs!$B$43-B179)/(IF(Inputs!$B$38="pvp",15,MAX(0.1,Skills!D7-IF(Skills!E7=TRUE,Inputs!$B$32,0)))*(1-IF(AND(ArtifactsInput!$M$27,Inputs!$B$4="Chapter Hunt"),CHOOSE(ArtifactsInput!$N$27+1,20,24,28,32,36,40),0)/100)))+1)),0)</f>
        <v/>
      </c>
      <c r="S154">
        <f>IFERROR(O154/N154,0)</f>
        <v/>
      </c>
      <c r="T154">
        <f>IF(C154,(H154*N154*IF(AND(Inputs!$B$38&lt;&gt;"pvp",Inputs!$B$43&gt;0),((Skills!G7*((R154-1)*IF(Skills!H7&gt;0,Skills!I7/Skills!H7,1)+IF(Skills!H7&gt;0,MIN(Skills!I7,MAX(0,MAX(0,Inputs!$B$43-B179)-((R154-1)*(IF(Inputs!$B$38="pvp",15,MAX(0.1,Skills!D7-IF(Skills!E7=TRUE,Inputs!$B$32,0)))*(1-IF(AND(ArtifactsInput!$M$27,Inputs!$B$4="Chapter Hunt"),CHOOSE(ArtifactsInput!$N$27+1,20,24,28,32,36,40),0)/100)))))/Skills!H7,1)))/Inputs!$B$43),G154*Q154)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
        <f>IF(C154,(H154*N154*IF(AND(Inputs!$B$38&lt;&gt;"pvp",Inputs!$B$43&gt;0),((Skills!G7*((R154-1)*IF(Skills!H7&gt;0,Skills!I7/Skills!H7,1)+IF(Skills!H7&gt;0,MIN(Skills!I7,MAX(0,MAX(0,Inputs!$B$43-B179)-((R154-1)*(IF(Inputs!$B$38="pvp",15,MAX(0.1,Skills!D7-IF(Skills!E7=TRUE,Inputs!$B$32,0)))*(1-IF(AND(ArtifactsInput!$M$27,Inputs!$B$4="Chapter Hunt"),CHOOSE(ArtifactsInput!$N$27+1,20,24,28,32,36,40),0)/100)))))/Skills!H7,1)))/Inputs!$B$43),G154*Q154))*IF(Inputs!$B$38="pvp",1,(1+(Inputs!$B$21+Skills!Q7+(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
      <c r="A155">
        <f>Skills!A8</f>
        <v/>
      </c>
      <c r="B155">
        <f>Skills!B8</f>
        <v/>
      </c>
      <c r="C155">
        <f>Inputs!$B$3&gt;=110</f>
        <v/>
      </c>
      <c r="D155">
        <f>IF(Skills!C8=1,60+Inputs!$B$25+Inputs!$B$29,IF(Skills!C8=2,90+Inputs!$B$26+Inputs!$B$29,IF(Skills!C8=3,120+Inputs!$B$27+Inputs!$B$29,MAX(0,(Inputs!$B$3-100)*3)+Inputs!$B$28+Inputs!$B$29)))</f>
        <v/>
      </c>
      <c r="E155">
        <f>INDEX(FactorTable!$B$2:$Y$301, MATCH(ROUND(MIN(300,MAX(1,D155)),0), FactorTable!$A$2:$A$301,0), Skills!M8+1)</f>
        <v/>
      </c>
      <c r="F155">
        <f>IF(Skills!N8=TRUE,(Skills!L8/10)*(E155/1000),Skills!L8/10)+Skills!O8</f>
        <v/>
      </c>
      <c r="G155">
        <f>Skills!G8*IF(Skills!H8&gt;0,Skills!I8/Skills!H8,1)</f>
        <v/>
      </c>
      <c r="H155">
        <f>1-(1-Skills!J8/100)^Skills!K8</f>
        <v/>
      </c>
      <c r="I155" t="inlineStr">
        <is>
          <t>1</t>
        </is>
      </c>
      <c r="J155">
        <f>((Inputs!$B$6*(1+Inputs!$B$7/100))+(((Inputs!$B$12*(1+Inputs!$B$13/100))-(Inputs!$B$12*(1+Inputs!$B$13/100)))+0.25*((Inputs!$B$14+1)-Inputs!$B$14))*(1+Inputs!$B$7/100))*(F155/100)</f>
        <v/>
      </c>
      <c r="K155">
        <f>J155*(1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C167=TRUE)*(F167-Calc!F20)),(Inputs!$B$23+0+(IF(ArtifactsInput!$M$15,CHOOSE(ArtifactsInput!$N$15+1,25,30,35,40,45,50)/100*(Inputs!$B$11-Inputs!$B$11),0))))/100+(Inputs!$B$23+0+(IF(ArtifactsInput!$M$15,CHOOSE(ArtifactsInput!$N$15+1,25,30,35,40,45,50)/100*(Inputs!$B$11-Inputs!$B$11),0)))/100)/2</f>
        <v/>
      </c>
      <c r="M155">
        <f>L155*(1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(1-Summary!$B$11)*T155+Summary!$B$11*V155</f>
        <v/>
      </c>
      <c r="P155">
        <f>IF(B182=0,0,O155/B182)</f>
        <v/>
      </c>
      <c r="Q155">
        <f>IFERROR(1/(IF(Inputs!$B$38="pvp",15,MAX(0.1,Skills!D8-IF(Skills!E8=TRUE,Inputs!$B$32,0)))*(1-IF(AND(ArtifactsInput!$M$27,Inputs!$B$4="Chapter Hunt"),CHOOSE(ArtifactsInput!$N$27+1,20,24,28,32,36,40),0)/100)),0)</f>
        <v/>
      </c>
      <c r="R155">
        <f>IF(AND(Inputs!$B$38&lt;&gt;"pvp",Inputs!$B$43&gt;0),IF(MAX(0,Inputs!$B$43-B179)&lt;=0,0,(INT(MAX(0,Inputs!$B$43-B179)/(IF(Inputs!$B$38="pvp",15,MAX(0.1,Skills!D8-IF(Skills!E8=TRUE,Inputs!$B$32,0)))*(1-IF(AND(ArtifactsInput!$M$27,Inputs!$B$4="Chapter Hunt"),CHOOSE(ArtifactsInput!$N$27+1,20,24,28,32,36,40),0)/100)))+1)),0)</f>
        <v/>
      </c>
      <c r="S155">
        <f>IFERROR(O155/N155,0)</f>
        <v/>
      </c>
      <c r="T155">
        <f>IF(C155,(H155*N155*IF(AND(Inputs!$B$38&lt;&gt;"pvp",Inputs!$B$43&gt;0),((Skills!G8*((R155-1)*IF(Skills!H8&gt;0,Skills!I8/Skills!H8,1)+IF(Skills!H8&gt;0,MIN(Skills!I8,MAX(0,MAX(0,Inputs!$B$43-B179)-((R155-1)*(IF(Inputs!$B$38="pvp",15,MAX(0.1,Skills!D8-IF(Skills!E8=TRUE,Inputs!$B$32,0)))*(1-IF(AND(ArtifactsInput!$M$27,Inputs!$B$4="Chapter Hunt"),CHOOSE(ArtifactsInput!$N$27+1,20,24,28,32,36,40),0)/100)))))/Skills!H8,1)))/Inputs!$B$43),G155*Q155)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
        <f>IF(C155,(H155*N155*IF(AND(Inputs!$B$38&lt;&gt;"pvp",Inputs!$B$43&gt;0),((Skills!G8*((R155-1)*IF(Skills!H8&gt;0,Skills!I8/Skills!H8,1)+IF(Skills!H8&gt;0,MIN(Skills!I8,MAX(0,MAX(0,Inputs!$B$43-B179)-((R155-1)*(IF(Inputs!$B$38="pvp",15,MAX(0.1,Skills!D8-IF(Skills!E8=TRUE,Inputs!$B$32,0)))*(1-IF(AND(ArtifactsInput!$M$27,Inputs!$B$4="Chapter Hunt"),CHOOSE(ArtifactsInput!$N$27+1,20,24,28,32,36,40),0)/100)))))/Skills!H8,1)))/Inputs!$B$43),G155*Q155))*IF(Inputs!$B$38="pvp",1,(1+(Inputs!$B$21+Skills!Q8+(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Skills!A9</f>
        <v/>
      </c>
      <c r="B156">
        <f>Skills!B9</f>
        <v/>
      </c>
      <c r="C156">
        <f>Inputs!$B$3&gt;=110</f>
        <v/>
      </c>
      <c r="D156">
        <f>IF(Skills!C9=1,60+Inputs!$B$25+Inputs!$B$29,IF(Skills!C9=2,90+Inputs!$B$26+Inputs!$B$29,IF(Skills!C9=3,120+Inputs!$B$27+Inputs!$B$29,MAX(0,(Inputs!$B$3-100)*3)+Inputs!$B$28+Inputs!$B$29)))</f>
        <v/>
      </c>
      <c r="E156">
        <f>INDEX(FactorTable!$B$2:$Y$301, MATCH(ROUND(MIN(300,MAX(1,D156)),0), FactorTable!$A$2:$A$301,0), Skills!M9+1)</f>
        <v/>
      </c>
      <c r="F156">
        <f>IF(Skills!N9=TRUE,(Skills!L9/10)*(E156/1000),Skills!L9/10)+Skills!O9</f>
        <v/>
      </c>
      <c r="G156">
        <f>Skills!G9*IF(Skills!H9&gt;0,Skills!I9/Skills!H9,1)</f>
        <v/>
      </c>
      <c r="H156">
        <f>1-(1-Skills!J9/100)^Skills!K9</f>
        <v/>
      </c>
      <c r="I156" t="inlineStr">
        <is>
          <t>1</t>
        </is>
      </c>
      <c r="J156">
        <f>((Inputs!$B$6*(1+Inputs!$B$7/100))+(((Inputs!$B$12*(1+Inputs!$B$13/100))-(Inputs!$B$12*(1+Inputs!$B$13/100)))+0.25*((Inputs!$B$14+1)-Inputs!$B$14))*(1+Inputs!$B$7/100))*(F156/100)</f>
        <v/>
      </c>
      <c r="K156">
        <f>J156*(1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C167=TRUE)*(F167-Calc!F20)),(Inputs!$B$23+0+(IF(ArtifactsInput!$M$15,CHOOSE(ArtifactsInput!$N$15+1,25,30,35,40,45,50)/100*(Inputs!$B$11-Inputs!$B$11),0))))/100+(Inputs!$B$23+0+(IF(ArtifactsInput!$M$15,CHOOSE(ArtifactsInput!$N$15+1,25,30,35,40,45,50)/100*(Inputs!$B$11-Inputs!$B$11),0)))/100)/2</f>
        <v/>
      </c>
      <c r="M156">
        <f>L156*(1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(1-Summary!$B$11)*T156+Summary!$B$11*V156</f>
        <v/>
      </c>
      <c r="P156">
        <f>IF(B182=0,0,O156/B182)</f>
        <v/>
      </c>
      <c r="Q156">
        <f>IFERROR(1/(IF(Inputs!$B$38="pvp",15,MAX(0.1,Skills!D9-IF(Skills!E9=TRUE,Inputs!$B$32,0)))*(1-IF(AND(ArtifactsInput!$M$27,Inputs!$B$4="Chapter Hunt"),CHOOSE(ArtifactsInput!$N$27+1,20,24,28,32,36,40),0)/100)),0)</f>
        <v/>
      </c>
      <c r="R156">
        <f>IF(AND(Inputs!$B$38&lt;&gt;"pvp",Inputs!$B$43&gt;0),IF(MAX(0,Inputs!$B$43-B179)&lt;=0,0,(INT(MAX(0,Inputs!$B$43-B179)/(IF(Inputs!$B$38="pvp",15,MAX(0.1,Skills!D9-IF(Skills!E9=TRUE,Inputs!$B$32,0)))*(1-IF(AND(ArtifactsInput!$M$27,Inputs!$B$4="Chapter Hunt"),CHOOSE(ArtifactsInput!$N$27+1,20,24,28,32,36,40),0)/100)))+1)),0)</f>
        <v/>
      </c>
      <c r="S156">
        <f>IFERROR(O156/N156,0)</f>
        <v/>
      </c>
      <c r="T156">
        <f>IF(C156,(H156*N156*IF(AND(Inputs!$B$38&lt;&gt;"pvp",Inputs!$B$43&gt;0),((Skills!G9*((R156-1)*IF(Skills!H9&gt;0,Skills!I9/Skills!H9,1)+IF(Skills!H9&gt;0,MIN(Skills!I9,MAX(0,MAX(0,Inputs!$B$43-B179)-((R156-1)*(IF(Inputs!$B$38="pvp",15,MAX(0.1,Skills!D9-IF(Skills!E9=TRUE,Inputs!$B$32,0)))*(1-IF(AND(ArtifactsInput!$M$27,Inputs!$B$4="Chapter Hunt"),CHOOSE(ArtifactsInput!$N$27+1,20,24,28,32,36,40),0)/100)))))/Skills!H9,1)))/Inputs!$B$43),G156*Q156)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
        <f>IF(C156,(H156*N156*IF(AND(Inputs!$B$38&lt;&gt;"pvp",Inputs!$B$43&gt;0),((Skills!G9*((R156-1)*IF(Skills!H9&gt;0,Skills!I9/Skills!H9,1)+IF(Skills!H9&gt;0,MIN(Skills!I9,MAX(0,MAX(0,Inputs!$B$43-B179)-((R156-1)*(IF(Inputs!$B$38="pvp",15,MAX(0.1,Skills!D9-IF(Skills!E9=TRUE,Inputs!$B$32,0)))*(1-IF(AND(ArtifactsInput!$M$27,Inputs!$B$4="Chapter Hunt"),CHOOSE(ArtifactsInput!$N$27+1,20,24,28,32,36,40),0)/100)))))/Skills!H9,1)))/Inputs!$B$43),G156*Q156))*IF(Inputs!$B$38="pvp",1,(1+(Inputs!$B$21+Skills!Q9+(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Skills!A10</f>
        <v/>
      </c>
      <c r="B157">
        <f>Skills!B10</f>
        <v/>
      </c>
      <c r="C157">
        <f>Inputs!$B$3&gt;=103</f>
        <v/>
      </c>
      <c r="D157">
        <f>IF(Skills!C10=1,60+Inputs!$B$25+Inputs!$B$29,IF(Skills!C10=2,90+Inputs!$B$26+Inputs!$B$29,IF(Skills!C10=3,120+Inputs!$B$27+Inputs!$B$29,MAX(0,(Inputs!$B$3-100)*3)+Inputs!$B$28+Inputs!$B$29)))</f>
        <v/>
      </c>
      <c r="E157">
        <f>INDEX(FactorTable!$B$2:$Y$301, MATCH(ROUND(MIN(300,MAX(1,D157)),0), FactorTable!$A$2:$A$301,0), Skills!M10+1)</f>
        <v/>
      </c>
      <c r="F157">
        <f>IF(Skills!N10=TRUE,(Skills!L10/10)*(E157/1000),Skills!L10/10)+Skills!O10</f>
        <v/>
      </c>
      <c r="G157">
        <f>Skills!G10*IF(Skills!H10&gt;0,Skills!I10/Skills!H10,1)</f>
        <v/>
      </c>
      <c r="H157">
        <f>1-(1-Skills!J10/100)^Skills!K10</f>
        <v/>
      </c>
      <c r="I157" t="inlineStr">
        <is>
          <t>1</t>
        </is>
      </c>
      <c r="J157">
        <f>((Inputs!$B$6*(1+Inputs!$B$7/100))+(((Inputs!$B$12*(1+Inputs!$B$13/100))-(Inputs!$B$12*(1+Inputs!$B$13/100)))+0.25*((Inputs!$B$14+1)-Inputs!$B$14))*(1+Inputs!$B$7/100))*(F157/100)</f>
        <v/>
      </c>
      <c r="K157">
        <f>J157*(1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C167=TRUE)*(F167-Calc!F20)),(Inputs!$B$23+0+(IF(ArtifactsInput!$M$15,CHOOSE(ArtifactsInput!$N$15+1,25,30,35,40,45,50)/100*(Inputs!$B$11-Inputs!$B$11),0))))/100+(Inputs!$B$23+0+(IF(ArtifactsInput!$M$15,CHOOSE(ArtifactsInput!$N$15+1,25,30,35,40,45,50)/100*(Inputs!$B$11-Inputs!$B$11),0)))/100)/2</f>
        <v/>
      </c>
      <c r="M157">
        <f>L157*(1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IF(B182=0,0,O157/B182)</f>
        <v/>
      </c>
      <c r="Q157">
        <f>IFERROR(1/(IF(Inputs!$B$38="pvp",15,MAX(0.1,Skills!D10-IF(Skills!E10=TRUE,Inputs!$B$32,0)))*(1-IF(AND(ArtifactsInput!$M$27,Inputs!$B$4="Chapter Hunt"),CHOOSE(ArtifactsInput!$N$27+1,20,24,28,32,36,40),0)/100)),0)</f>
        <v/>
      </c>
      <c r="R157">
        <f>IF(AND(Inputs!$B$38&lt;&gt;"pvp",Inputs!$B$43&gt;0),IF(MAX(0,Inputs!$B$43-B179)&lt;=0,0,(INT(MAX(0,Inputs!$B$43-B179)/(IF(Inputs!$B$38="pvp",15,MAX(0.1,Skills!D10-IF(Skills!E10=TRUE,Inputs!$B$32,0)))*(1-IF(AND(ArtifactsInput!$M$27,Inputs!$B$4="Chapter Hunt"),CHOOSE(ArtifactsInput!$N$27+1,20,24,28,32,36,40),0)/100)))+1)),0)</f>
        <v/>
      </c>
      <c r="S157">
        <f>IFERROR(O157/N157,0)</f>
        <v/>
      </c>
      <c r="T157">
        <f>IF(C157,(H157*N157*IF(AND(Inputs!$B$38&lt;&gt;"pvp",Inputs!$B$43&gt;0),((Skills!G10*((R157-1)*IF(Skills!H10&gt;0,Skills!I10/Skills!H10,1)+IF(Skills!H10&gt;0,MIN(Skills!I10,MAX(0,MAX(0,Inputs!$B$43-B179)-((R157-1)*(IF(Inputs!$B$38="pvp",15,MAX(0.1,Skills!D10-IF(Skills!E10=TRUE,Inputs!$B$32,0)))*(1-IF(AND(ArtifactsInput!$M$27,Inputs!$B$4="Chapter Hunt"),CHOOSE(ArtifactsInput!$N$27+1,20,24,28,32,36,40),0)/100)))))/Skills!H10,1)))/Inputs!$B$43),G157*Q157)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
        <f>IF(C157,(H157*N157*IF(AND(Inputs!$B$38&lt;&gt;"pvp",Inputs!$B$43&gt;0),((Skills!G10*((R157-1)*IF(Skills!H10&gt;0,Skills!I10/Skills!H10,1)+IF(Skills!H10&gt;0,MIN(Skills!I10,MAX(0,MAX(0,Inputs!$B$43-B179)-((R157-1)*(IF(Inputs!$B$38="pvp",15,MAX(0.1,Skills!D10-IF(Skills!E10=TRUE,Inputs!$B$32,0)))*(1-IF(AND(ArtifactsInput!$M$27,Inputs!$B$4="Chapter Hunt"),CHOOSE(ArtifactsInput!$N$27+1,20,24,28,32,36,40),0)/100)))))/Skills!H10,1)))/Inputs!$B$43),G157*Q157))*IF(Inputs!$B$38="pvp",1,(1+(Inputs!$B$21+Skills!Q10+(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Skills!A11</f>
        <v/>
      </c>
      <c r="B158">
        <f>Skills!B11</f>
        <v/>
      </c>
      <c r="C158">
        <f>Inputs!$B$3&gt;=113</f>
        <v/>
      </c>
      <c r="D158">
        <f>IF(Skills!C11=1,60+Inputs!$B$25+Inputs!$B$29,IF(Skills!C11=2,90+Inputs!$B$26+Inputs!$B$29,IF(Skills!C11=3,120+Inputs!$B$27+Inputs!$B$29,MAX(0,(Inputs!$B$3-100)*3)+Inputs!$B$28+Inputs!$B$29)))</f>
        <v/>
      </c>
      <c r="E158">
        <f>INDEX(FactorTable!$B$2:$Y$301, MATCH(ROUND(MIN(300,MAX(1,D158)),0), FactorTable!$A$2:$A$301,0), Skills!M11+1)</f>
        <v/>
      </c>
      <c r="F158">
        <f>IF(Skills!N11=TRUE,(Skills!L11/10)*(E158/1000),Skills!L11/10)+Skills!O11</f>
        <v/>
      </c>
      <c r="G158">
        <f>Skills!G11*IF(Skills!H11&gt;0,Skills!I11/Skills!H11,1)</f>
        <v/>
      </c>
      <c r="H158">
        <f>1-(1-Skills!J11/100)^Skills!K11</f>
        <v/>
      </c>
      <c r="I158" t="inlineStr">
        <is>
          <t>1</t>
        </is>
      </c>
      <c r="J158">
        <f>((Inputs!$B$6*(1+Inputs!$B$7/100))+(((Inputs!$B$12*(1+Inputs!$B$13/100))-(Inputs!$B$12*(1+Inputs!$B$13/100)))+0.25*((Inputs!$B$14+1)-Inputs!$B$14))*(1+Inputs!$B$7/100))*(F158/100)</f>
        <v/>
      </c>
      <c r="K158">
        <f>J158*(1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C167=TRUE)*(F167-Calc!F20)),(Inputs!$B$23+0+(IF(ArtifactsInput!$M$15,CHOOSE(ArtifactsInput!$N$15+1,25,30,35,40,45,50)/100*(Inputs!$B$11-Inputs!$B$11),0))))/100+(Inputs!$B$23+0+(IF(ArtifactsInput!$M$15,CHOOSE(ArtifactsInput!$N$15+1,25,30,35,40,45,50)/100*(Inputs!$B$11-Inputs!$B$11),0)))/100)/2</f>
        <v/>
      </c>
      <c r="M158">
        <f>L158*(1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(1-Summary!$B$11)*T158+Summary!$B$11*V158</f>
        <v/>
      </c>
      <c r="P158">
        <f>IF(B182=0,0,O158/B182)</f>
        <v/>
      </c>
      <c r="Q158">
        <f>IFERROR(1/(IF(Inputs!$B$38="pvp",15,MAX(0.1,Skills!D11-IF(Skills!E11=TRUE,Inputs!$B$32,0)))*(1-IF(AND(ArtifactsInput!$M$27,Inputs!$B$4="Chapter Hunt"),CHOOSE(ArtifactsInput!$N$27+1,20,24,28,32,36,40),0)/100)),0)</f>
        <v/>
      </c>
      <c r="R158">
        <f>IF(AND(Inputs!$B$38&lt;&gt;"pvp",Inputs!$B$43&gt;0),IF(MAX(0,Inputs!$B$43-B179)&lt;=0,0,(INT(MAX(0,Inputs!$B$43-B179)/(IF(Inputs!$B$38="pvp",15,MAX(0.1,Skills!D11-IF(Skills!E11=TRUE,Inputs!$B$32,0)))*(1-IF(AND(ArtifactsInput!$M$27,Inputs!$B$4="Chapter Hunt"),CHOOSE(ArtifactsInput!$N$27+1,20,24,28,32,36,40),0)/100)))+1)),0)</f>
        <v/>
      </c>
      <c r="S158">
        <f>IFERROR(O158/N158,0)</f>
        <v/>
      </c>
      <c r="T158">
        <f>IF(C158,(H158*N158*IF(AND(Inputs!$B$38&lt;&gt;"pvp",Inputs!$B$43&gt;0),((Skills!G11*((R158-1)*IF(Skills!H11&gt;0,Skills!I11/Skills!H11,1)+IF(Skills!H11&gt;0,MIN(Skills!I11,MAX(0,MAX(0,Inputs!$B$43-B179)-((R158-1)*(IF(Inputs!$B$38="pvp",15,MAX(0.1,Skills!D11-IF(Skills!E11=TRUE,Inputs!$B$32,0)))*(1-IF(AND(ArtifactsInput!$M$27,Inputs!$B$4="Chapter Hunt"),CHOOSE(ArtifactsInput!$N$27+1,20,24,28,32,36,40),0)/100)))))/Skills!H11,1)))/Inputs!$B$43),G158*Q158)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
        <f>IF(C158,(H158*N158*IF(AND(Inputs!$B$38&lt;&gt;"pvp",Inputs!$B$43&gt;0),((Skills!G11*((R158-1)*IF(Skills!H11&gt;0,Skills!I11/Skills!H11,1)+IF(Skills!H11&gt;0,MIN(Skills!I11,MAX(0,MAX(0,Inputs!$B$43-B179)-((R158-1)*(IF(Inputs!$B$38="pvp",15,MAX(0.1,Skills!D11-IF(Skills!E11=TRUE,Inputs!$B$32,0)))*(1-IF(AND(ArtifactsInput!$M$27,Inputs!$B$4="Chapter Hunt"),CHOOSE(ArtifactsInput!$N$27+1,20,24,28,32,36,40),0)/100)))))/Skills!H11,1)))/Inputs!$B$43),G158*Q158))*IF(Inputs!$B$38="pvp",1,(1+(Inputs!$B$21+Skills!Q11+(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Skills!A12</f>
        <v/>
      </c>
      <c r="B159">
        <f>Skills!B12</f>
        <v/>
      </c>
      <c r="C159">
        <f>Inputs!$B$3&gt;=100</f>
        <v/>
      </c>
      <c r="D159">
        <f>IF(Skills!C12=1,60+Inputs!$B$25+Inputs!$B$29,IF(Skills!C12=2,90+Inputs!$B$26+Inputs!$B$29,IF(Skills!C12=3,120+Inputs!$B$27+Inputs!$B$29,MAX(0,(Inputs!$B$3-100)*3)+Inputs!$B$28+Inputs!$B$29)))</f>
        <v/>
      </c>
      <c r="E159">
        <f>INDEX(FactorTable!$B$2:$Y$301, MATCH(ROUND(MIN(300,MAX(1,D159)),0), FactorTable!$A$2:$A$301,0), Skills!M12+1)</f>
        <v/>
      </c>
      <c r="F159">
        <f>IF(Skills!N12=TRUE,(Skills!L12/10)*(E159/1000),Skills!L12/10)+Skills!O12</f>
        <v/>
      </c>
      <c r="G159" t="inlineStr"/>
      <c r="H159" t="inlineStr"/>
      <c r="I159" t="inlineStr">
        <is>
          <t>1</t>
        </is>
      </c>
      <c r="J159" t="inlineStr"/>
      <c r="K159" t="inlineStr"/>
      <c r="L159" t="inlineStr"/>
      <c r="M159" t="inlineStr"/>
      <c r="N159" t="inlineStr"/>
      <c r="O159" t="inlineStr"/>
      <c r="P159" t="inlineStr"/>
      <c r="Q159" t="inlineStr"/>
      <c r="R159" t="inlineStr"/>
      <c r="S159" t="inlineStr"/>
      <c r="T159" t="inlineStr"/>
      <c r="V159" t="inlineStr"/>
    </row>
    <row r="160">
      <c r="A160">
        <f>Skills!A13</f>
        <v/>
      </c>
      <c r="B160">
        <f>Skills!B13</f>
        <v/>
      </c>
      <c r="C160">
        <f>Inputs!$B$3&gt;=66</f>
        <v/>
      </c>
      <c r="D160">
        <f>IF(Skills!C13=1,60+Inputs!$B$25+Inputs!$B$29,IF(Skills!C13=2,90+Inputs!$B$26+Inputs!$B$29,IF(Skills!C13=3,120+Inputs!$B$27+Inputs!$B$29,MAX(0,(Inputs!$B$3-100)*3)+Inputs!$B$28+Inputs!$B$29)))</f>
        <v/>
      </c>
      <c r="E160">
        <f>INDEX(FactorTable!$B$2:$Y$301, MATCH(ROUND(MIN(300,MAX(1,D160)),0), FactorTable!$A$2:$A$301,0), Skills!M13+1)</f>
        <v/>
      </c>
      <c r="F160">
        <f>IF(Skills!N13=TRUE,(Skills!L13/10)*(E160/1000),Skills!L13/10)+Skills!O13</f>
        <v/>
      </c>
      <c r="G160">
        <f>Skills!G13*IF(Skills!H13&gt;0,Skills!I13/Skills!H13,1)</f>
        <v/>
      </c>
      <c r="H160">
        <f>1-(1-Skills!J13/100)^Skills!K13</f>
        <v/>
      </c>
      <c r="I160" t="inlineStr">
        <is>
          <t>1</t>
        </is>
      </c>
      <c r="J160" t="inlineStr"/>
      <c r="K160" t="inlineStr"/>
      <c r="L160" t="inlineStr"/>
      <c r="M160" t="inlineStr"/>
      <c r="N160" t="inlineStr"/>
      <c r="O160">
        <f>(1-Summary!$B$11)*T160+Summary!$B$11*V160</f>
        <v/>
      </c>
      <c r="P160">
        <f>IF(B182=0,0,O160/B182)</f>
        <v/>
      </c>
      <c r="Q160" t="n">
        <v>0</v>
      </c>
      <c r="R160" t="n">
        <v>0</v>
      </c>
      <c r="S160">
        <f>IFERROR(O160/N160,0)</f>
        <v/>
      </c>
      <c r="T160" t="n">
        <v>0</v>
      </c>
      <c r="V160" t="n">
        <v>0</v>
      </c>
    </row>
    <row r="161">
      <c r="A161">
        <f>Skills!A14</f>
        <v/>
      </c>
      <c r="B161">
        <f>Skills!B14</f>
        <v/>
      </c>
      <c r="C161">
        <f>Inputs!$B$3&gt;=107</f>
        <v/>
      </c>
      <c r="D161">
        <f>IF(Skills!C14=1,60+Inputs!$B$25+Inputs!$B$29,IF(Skills!C14=2,90+Inputs!$B$26+Inputs!$B$29,IF(Skills!C14=3,120+Inputs!$B$27+Inputs!$B$29,MAX(0,(Inputs!$B$3-100)*3)+Inputs!$B$28+Inputs!$B$29)))</f>
        <v/>
      </c>
      <c r="E161">
        <f>INDEX(FactorTable!$B$2:$Y$301, MATCH(ROUND(MIN(300,MAX(1,D161)),0), FactorTable!$A$2:$A$301,0), Skills!M14+1)</f>
        <v/>
      </c>
      <c r="F161">
        <f>IF(Skills!N14=TRUE,(Skills!L14/10)*(E161/1000),Skills!L14/10)+Skills!O14</f>
        <v/>
      </c>
      <c r="G161">
        <f>Skills!G14*IF(Skills!H14&gt;0,Skills!I14/Skills!H14,1)</f>
        <v/>
      </c>
      <c r="H161">
        <f>1-(1-Skills!J14/100)^Skills!K14</f>
        <v/>
      </c>
      <c r="I161" t="inlineStr">
        <is>
          <t>1</t>
        </is>
      </c>
      <c r="J161" t="inlineStr"/>
      <c r="K161" t="inlineStr"/>
      <c r="L161" t="inlineStr"/>
      <c r="M161" t="inlineStr"/>
      <c r="N161" t="inlineStr"/>
      <c r="O161">
        <f>(1-Summary!$B$11)*T161+Summary!$B$11*V161</f>
        <v/>
      </c>
      <c r="P161">
        <f>IF(B182=0,0,O161/B182)</f>
        <v/>
      </c>
      <c r="Q161" t="n">
        <v>0</v>
      </c>
      <c r="R161" t="n">
        <v>0</v>
      </c>
      <c r="S161">
        <f>IFERROR(O161/N161,0)</f>
        <v/>
      </c>
      <c r="T161" t="n">
        <v>0</v>
      </c>
      <c r="V161" t="n">
        <v>0</v>
      </c>
    </row>
    <row r="162">
      <c r="A162">
        <f>Skills!A15</f>
        <v/>
      </c>
      <c r="B162">
        <f>Skills!B15</f>
        <v/>
      </c>
      <c r="C162">
        <f>Inputs!$B$3&gt;=115</f>
        <v/>
      </c>
      <c r="D162">
        <f>IF(Skills!C15=1,60+Inputs!$B$25+Inputs!$B$29,IF(Skills!C15=2,90+Inputs!$B$26+Inputs!$B$29,IF(Skills!C15=3,120+Inputs!$B$27+Inputs!$B$29,MAX(0,(Inputs!$B$3-100)*3)+Inputs!$B$28+Inputs!$B$29)))</f>
        <v/>
      </c>
      <c r="E162">
        <f>INDEX(FactorTable!$B$2:$Y$301, MATCH(ROUND(MIN(300,MAX(1,D162)),0), FactorTable!$A$2:$A$301,0), Skills!M15+1)</f>
        <v/>
      </c>
      <c r="F162">
        <f>IF(Skills!N15=TRUE,(Skills!L15/10)*(E162/1000),Skills!L15/10)+Skills!O15</f>
        <v/>
      </c>
      <c r="G162">
        <f>Skills!G15*IF(Skills!H15&gt;0,Skills!I15/Skills!H15,1)</f>
        <v/>
      </c>
      <c r="H162">
        <f>1-(1-Skills!J15/100)^Skills!K15</f>
        <v/>
      </c>
      <c r="I162" t="inlineStr">
        <is>
          <t>1</t>
        </is>
      </c>
      <c r="J162" t="inlineStr"/>
      <c r="K162" t="inlineStr"/>
      <c r="L162" t="inlineStr"/>
      <c r="M162" t="inlineStr"/>
      <c r="N162" t="inlineStr"/>
      <c r="O162">
        <f>(1-Summary!$B$11)*T162+Summary!$B$11*V162</f>
        <v/>
      </c>
      <c r="P162">
        <f>IF(B182=0,0,O162/B182)</f>
        <v/>
      </c>
      <c r="Q162" t="n">
        <v>0</v>
      </c>
      <c r="R162" t="n">
        <v>0</v>
      </c>
      <c r="S162">
        <f>IFERROR(O162/N162,0)</f>
        <v/>
      </c>
      <c r="T162" t="n">
        <v>0</v>
      </c>
      <c r="V162" t="n">
        <v>0</v>
      </c>
    </row>
    <row r="163">
      <c r="A163">
        <f>Skills!A16</f>
        <v/>
      </c>
      <c r="B163">
        <f>Skills!B16</f>
        <v/>
      </c>
      <c r="C163">
        <f>Inputs!$B$3&gt;=15</f>
        <v/>
      </c>
      <c r="D163">
        <f>IF(Skills!C16=1,60+Inputs!$B$25+Inputs!$B$29,IF(Skills!C16=2,90+Inputs!$B$26+Inputs!$B$29,IF(Skills!C16=3,120+Inputs!$B$27+Inputs!$B$29,MAX(0,(Inputs!$B$3-100)*3)+Inputs!$B$28+Inputs!$B$29)))</f>
        <v/>
      </c>
      <c r="E163">
        <f>INDEX(FactorTable!$B$2:$Y$301, MATCH(ROUND(MIN(300,MAX(1,D163)),0), FactorTable!$A$2:$A$301,0), Skills!M16+1)</f>
        <v/>
      </c>
      <c r="F163">
        <f>IF(Skills!N16=TRUE,(Skills!L16/10)*(E163/1000),Skills!L16/10)+Skills!O16</f>
        <v/>
      </c>
      <c r="G163">
        <f>Skills!G16*IF(Skills!H16&gt;0,Skills!I16/Skills!H16,1)</f>
        <v/>
      </c>
      <c r="H163">
        <f>1-(1-Skills!J16/100)^Skills!K16</f>
        <v/>
      </c>
      <c r="I163" t="inlineStr">
        <is>
          <t>1</t>
        </is>
      </c>
      <c r="J163" t="inlineStr"/>
      <c r="K163" t="inlineStr"/>
      <c r="L163" t="inlineStr"/>
      <c r="M163" t="inlineStr"/>
      <c r="N163" t="inlineStr"/>
      <c r="O163">
        <f>(1-Summary!$B$11)*T163+Summary!$B$11*V163</f>
        <v/>
      </c>
      <c r="P163">
        <f>IF(B182=0,0,O163/B182)</f>
        <v/>
      </c>
      <c r="Q163" t="n">
        <v>0</v>
      </c>
      <c r="R163" t="n">
        <v>0</v>
      </c>
      <c r="S163">
        <f>IFERROR(O163/N163,0)</f>
        <v/>
      </c>
      <c r="T163" t="n">
        <v>0</v>
      </c>
      <c r="V163" t="n">
        <v>0</v>
      </c>
    </row>
    <row r="164">
      <c r="A164">
        <f>Skills!A17</f>
        <v/>
      </c>
      <c r="B164">
        <f>Skills!B17</f>
        <v/>
      </c>
      <c r="C164">
        <f>Inputs!$B$3&gt;=10</f>
        <v/>
      </c>
      <c r="D164">
        <f>IF(Skills!C17=1,60+Inputs!$B$25+Inputs!$B$29,IF(Skills!C17=2,90+Inputs!$B$26+Inputs!$B$29,IF(Skills!C17=3,120+Inputs!$B$27+Inputs!$B$29,MAX(0,(Inputs!$B$3-100)*3)+Inputs!$B$28+Inputs!$B$29)))</f>
        <v/>
      </c>
      <c r="E164">
        <f>INDEX(FactorTable!$B$2:$Y$301, MATCH(ROUND(MIN(300,MAX(1,D164)),0), FactorTable!$A$2:$A$301,0), Skills!M17+1)</f>
        <v/>
      </c>
      <c r="F164">
        <f>IF(Skills!N17=TRUE,(Skills!L17/10)*(E164/1000),Skills!L17/10)+Skills!O17</f>
        <v/>
      </c>
      <c r="G164">
        <f>Skills!G17*IF(Skills!H17&gt;0,Skills!I17/Skills!H17,1)</f>
        <v/>
      </c>
      <c r="H164">
        <f>1-(1-Skills!J17/100)^Skills!K17</f>
        <v/>
      </c>
      <c r="I164" t="inlineStr">
        <is>
          <t>1</t>
        </is>
      </c>
      <c r="J164" t="inlineStr"/>
      <c r="K164" t="inlineStr"/>
      <c r="L164" t="inlineStr"/>
      <c r="M164" t="inlineStr"/>
      <c r="N164" t="inlineStr"/>
      <c r="O164">
        <f>(1-Summary!$B$11)*T164+Summary!$B$11*V164</f>
        <v/>
      </c>
      <c r="P164">
        <f>IF(B182=0,0,O164/B182)</f>
        <v/>
      </c>
      <c r="Q164" t="n">
        <v>0</v>
      </c>
      <c r="R164" t="n">
        <v>0</v>
      </c>
      <c r="S164">
        <f>IFERROR(O164/N164,0)</f>
        <v/>
      </c>
      <c r="T164" t="n">
        <v>0</v>
      </c>
      <c r="V164" t="n">
        <v>0</v>
      </c>
    </row>
    <row r="165">
      <c r="A165">
        <f>Skills!A18</f>
        <v/>
      </c>
      <c r="B165">
        <f>Skills!B18</f>
        <v/>
      </c>
      <c r="C165">
        <f>Inputs!$B$3&gt;=33</f>
        <v/>
      </c>
      <c r="D165">
        <f>IF(Skills!C18=1,60+Inputs!$B$25+Inputs!$B$29,IF(Skills!C18=2,90+Inputs!$B$26+Inputs!$B$29,IF(Skills!C18=3,120+Inputs!$B$27+Inputs!$B$29,MAX(0,(Inputs!$B$3-100)*3)+Inputs!$B$28+Inputs!$B$29)))</f>
        <v/>
      </c>
      <c r="E165">
        <f>INDEX(FactorTable!$B$2:$Y$301, MATCH(ROUND(MIN(300,MAX(1,D165)),0), FactorTable!$A$2:$A$301,0), Skills!M18+1)</f>
        <v/>
      </c>
      <c r="F165">
        <f>IF(Skills!N18=TRUE,(Skills!L18/10)*(E165/1000),Skills!L18/10)+Skills!O18</f>
        <v/>
      </c>
      <c r="G165">
        <f>Skills!G18*IF(Skills!H18&gt;0,Skills!I18/Skills!H18,1)</f>
        <v/>
      </c>
      <c r="H165">
        <f>1-(1-Skills!J18/100)^Skills!K18</f>
        <v/>
      </c>
      <c r="I165" t="inlineStr">
        <is>
          <t>1</t>
        </is>
      </c>
      <c r="J165" t="inlineStr"/>
      <c r="K165" t="inlineStr"/>
      <c r="L165" t="inlineStr"/>
      <c r="M165" t="inlineStr"/>
      <c r="N165" t="inlineStr"/>
      <c r="O165">
        <f>(1-Summary!$B$11)*T165+Summary!$B$11*V165</f>
        <v/>
      </c>
      <c r="P165">
        <f>IF(B182=0,0,O165/B182)</f>
        <v/>
      </c>
      <c r="Q165" t="n">
        <v>0</v>
      </c>
      <c r="R165" t="n">
        <v>0</v>
      </c>
      <c r="S165">
        <f>IFERROR(O165/N165,0)</f>
        <v/>
      </c>
      <c r="T165" t="n">
        <v>0</v>
      </c>
      <c r="V165" t="n">
        <v>0</v>
      </c>
    </row>
    <row r="166">
      <c r="A166">
        <f>Skills!A19</f>
        <v/>
      </c>
      <c r="B166">
        <f>Skills!B19</f>
        <v/>
      </c>
      <c r="C166">
        <f>Inputs!$B$3&gt;=40</f>
        <v/>
      </c>
      <c r="D166">
        <f>IF(Skills!C19=1,60+Inputs!$B$25+Inputs!$B$29,IF(Skills!C19=2,90+Inputs!$B$26+Inputs!$B$29,IF(Skills!C19=3,120+Inputs!$B$27+Inputs!$B$29,MAX(0,(Inputs!$B$3-100)*3)+Inputs!$B$28+Inputs!$B$29)))</f>
        <v/>
      </c>
      <c r="E166">
        <f>INDEX(FactorTable!$B$2:$Y$301, MATCH(ROUND(MIN(300,MAX(1,D166)),0), FactorTable!$A$2:$A$301,0), Skills!M19+1)</f>
        <v/>
      </c>
      <c r="F166">
        <f>IF(Skills!N19=TRUE,(Skills!L19/10)*(E166/1000),Skills!L19/10)+Skills!O19</f>
        <v/>
      </c>
      <c r="G166">
        <f>Skills!G19*IF(Skills!H19&gt;0,Skills!I19/Skills!H19,1)</f>
        <v/>
      </c>
      <c r="H166">
        <f>1-(1-Skills!J19/100)^Skills!K19</f>
        <v/>
      </c>
      <c r="I166" t="inlineStr">
        <is>
          <t>1</t>
        </is>
      </c>
      <c r="J166" t="inlineStr"/>
      <c r="K166" t="inlineStr"/>
      <c r="L166" t="inlineStr"/>
      <c r="M166" t="inlineStr"/>
      <c r="N166" t="inlineStr"/>
      <c r="O166">
        <f>(1-Summary!$B$11)*T166+Summary!$B$11*V166</f>
        <v/>
      </c>
      <c r="P166">
        <f>IF(B182=0,0,O166/B182)</f>
        <v/>
      </c>
      <c r="Q166" t="n">
        <v>0</v>
      </c>
      <c r="R166" t="n">
        <v>0</v>
      </c>
      <c r="S166">
        <f>IFERROR(O166/N166,0)</f>
        <v/>
      </c>
      <c r="T166" t="n">
        <v>0</v>
      </c>
      <c r="V166" t="n">
        <v>0</v>
      </c>
    </row>
    <row r="167">
      <c r="A167">
        <f>Skills!A20</f>
        <v/>
      </c>
      <c r="B167">
        <f>Skills!B20</f>
        <v/>
      </c>
      <c r="C167">
        <f>Inputs!$B$3&gt;=43</f>
        <v/>
      </c>
      <c r="D167">
        <f>IF(Skills!C20=1,60+Inputs!$B$25+Inputs!$B$29,IF(Skills!C20=2,90+Inputs!$B$26+Inputs!$B$29,IF(Skills!C20=3,120+Inputs!$B$27+Inputs!$B$29,MAX(0,(Inputs!$B$3-100)*3)+Inputs!$B$28+Inputs!$B$29)))</f>
        <v/>
      </c>
      <c r="E167">
        <f>INDEX(FactorTable!$B$2:$Y$301, MATCH(ROUND(MIN(300,MAX(1,D167)),0), FactorTable!$A$2:$A$301,0), Skills!M20+1)</f>
        <v/>
      </c>
      <c r="F167">
        <f>IF(Skills!N20=TRUE,(Skills!L20/10)*(E167/1000),Skills!L20/10)+Skills!O20</f>
        <v/>
      </c>
      <c r="G167">
        <f>Skills!G20*IF(Skills!H20&gt;0,Skills!I20/Skills!H20,1)</f>
        <v/>
      </c>
      <c r="H167">
        <f>1-(1-Skills!J20/100)^Skills!K20</f>
        <v/>
      </c>
      <c r="I167" t="inlineStr">
        <is>
          <t>1</t>
        </is>
      </c>
      <c r="J167" t="inlineStr"/>
      <c r="K167" t="inlineStr"/>
      <c r="L167" t="inlineStr"/>
      <c r="M167" t="inlineStr"/>
      <c r="N167" t="inlineStr"/>
      <c r="O167">
        <f>(1-Summary!$B$11)*T167+Summary!$B$11*V167</f>
        <v/>
      </c>
      <c r="P167">
        <f>IF(B182=0,0,O167/B182)</f>
        <v/>
      </c>
      <c r="Q167" t="n">
        <v>0</v>
      </c>
      <c r="R167" t="n">
        <v>0</v>
      </c>
      <c r="S167">
        <f>IFERROR(O167/N167,0)</f>
        <v/>
      </c>
      <c r="T167" t="n">
        <v>0</v>
      </c>
      <c r="V167" t="n">
        <v>0</v>
      </c>
    </row>
    <row r="168">
      <c r="A168">
        <f>Skills!A21</f>
        <v/>
      </c>
      <c r="B168">
        <f>Skills!B21</f>
        <v/>
      </c>
      <c r="C168">
        <f>Inputs!$B$3&gt;=38</f>
        <v/>
      </c>
      <c r="D168">
        <f>IF(Skills!C21=1,60+Inputs!$B$25+Inputs!$B$29,IF(Skills!C21=2,90+Inputs!$B$26+Inputs!$B$29,IF(Skills!C21=3,120+Inputs!$B$27+Inputs!$B$29,MAX(0,(Inputs!$B$3-100)*3)+Inputs!$B$28+Inputs!$B$29)))</f>
        <v/>
      </c>
      <c r="E168">
        <f>INDEX(FactorTable!$B$2:$Y$301, MATCH(ROUND(MIN(300,MAX(1,D168)),0), FactorTable!$A$2:$A$301,0), Skills!M21+1)</f>
        <v/>
      </c>
      <c r="F168">
        <f>IF(Skills!N21=TRUE,(Skills!L21/10)*(E168/1000),Skills!L21/10)+Skills!O21</f>
        <v/>
      </c>
      <c r="G168">
        <f>Skills!G21*IF(Skills!H21&gt;0,Skills!I21/Skills!H21,1)</f>
        <v/>
      </c>
      <c r="H168">
        <f>1-(1-Skills!J21/100)^Skills!K21</f>
        <v/>
      </c>
      <c r="I168" t="inlineStr">
        <is>
          <t>1</t>
        </is>
      </c>
      <c r="J168" t="inlineStr"/>
      <c r="K168" t="inlineStr"/>
      <c r="L168" t="inlineStr"/>
      <c r="M168" t="inlineStr"/>
      <c r="N168" t="inlineStr"/>
      <c r="O168">
        <f>(1-Summary!$B$11)*T168+Summary!$B$11*V168</f>
        <v/>
      </c>
      <c r="P168">
        <f>IF(B182=0,0,O168/B182)</f>
        <v/>
      </c>
      <c r="Q168" t="n">
        <v>0</v>
      </c>
      <c r="R168" t="n">
        <v>0</v>
      </c>
      <c r="S168">
        <f>IFERROR(O168/N168,0)</f>
        <v/>
      </c>
      <c r="T168" t="n">
        <v>0</v>
      </c>
      <c r="V168" t="n">
        <v>0</v>
      </c>
    </row>
    <row r="169">
      <c r="A169">
        <f>Skills!A22</f>
        <v/>
      </c>
      <c r="B169">
        <f>Skills!B22</f>
        <v/>
      </c>
      <c r="C169">
        <f>Inputs!$B$3&gt;=75</f>
        <v/>
      </c>
      <c r="D169">
        <f>IF(Skills!C22=1,60+Inputs!$B$25+Inputs!$B$29,IF(Skills!C22=2,90+Inputs!$B$26+Inputs!$B$29,IF(Skills!C22=3,120+Inputs!$B$27+Inputs!$B$29,MAX(0,(Inputs!$B$3-100)*3)+Inputs!$B$28+Inputs!$B$29)))</f>
        <v/>
      </c>
      <c r="E169">
        <f>INDEX(FactorTable!$B$2:$Y$301, MATCH(ROUND(MIN(300,MAX(1,D169)),0), FactorTable!$A$2:$A$301,0), Skills!M22+1)</f>
        <v/>
      </c>
      <c r="F169">
        <f>IF(Skills!N22=TRUE,(Skills!L22/10)*(E169/1000),Skills!L22/10)+Skills!O22</f>
        <v/>
      </c>
      <c r="G169">
        <f>Skills!G22*IF(Skills!H22&gt;0,Skills!I22/Skills!H22,1)</f>
        <v/>
      </c>
      <c r="H169">
        <f>1-(1-Skills!J22/100)^Skills!K22</f>
        <v/>
      </c>
      <c r="I169" t="inlineStr">
        <is>
          <t>1</t>
        </is>
      </c>
      <c r="J169" t="inlineStr"/>
      <c r="K169" t="inlineStr"/>
      <c r="L169" t="inlineStr"/>
      <c r="M169" t="inlineStr"/>
      <c r="N169" t="inlineStr"/>
      <c r="O169">
        <f>(1-Summary!$B$11)*T169+Summary!$B$11*V169</f>
        <v/>
      </c>
      <c r="P169">
        <f>IF(B182=0,0,O169/B182)</f>
        <v/>
      </c>
      <c r="Q169" t="n">
        <v>0</v>
      </c>
      <c r="R169" t="n">
        <v>0</v>
      </c>
      <c r="S169">
        <f>IFERROR(O169/N169,0)</f>
        <v/>
      </c>
      <c r="T169" t="n">
        <v>0</v>
      </c>
      <c r="V169" t="n">
        <v>0</v>
      </c>
    </row>
    <row r="171">
      <c r="A171" t="inlineStr">
        <is>
          <t>Attack% Bucket Multiplier</t>
        </is>
      </c>
      <c r="B171">
        <f>(1+(((C160=TRUE)*F160)+((C166=TRUE)*(F166-Calc!F19))+(IF(ArtifactsInput!$M$21,CHOOSE(ArtifactsInput!$N$21+1,25,30,35,40,45,50)*(IF(OR(Inputs!$B$4="Chapter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2">
      <c r="A172" t="inlineStr">
        <is>
          <t>Global Crit Rate Bonus %</t>
        </is>
      </c>
      <c r="B172" t="n">
        <v>0</v>
      </c>
    </row>
    <row r="173">
      <c r="A173" t="inlineStr">
        <is>
          <t>Attack Speed Buff Bonus % (unused)</t>
        </is>
      </c>
      <c r="B173" t="n">
        <v>0</v>
      </c>
    </row>
    <row r="174">
      <c r="A174" t="inlineStr">
        <is>
          <t>Actions Per Second</t>
        </is>
      </c>
      <c r="B174">
        <f>1+MIN(150,150*(1-(1-(Inputs!$B$11+((C164=TRUE)*(F164-Calc!F17))+((C165=TRUE)*(F165-Calc!F18)))/150)*(1-B173/150)))/100</f>
        <v/>
      </c>
    </row>
    <row r="175">
      <c r="A175" t="inlineStr">
        <is>
          <t>Skill + Buff Cast Rate</t>
        </is>
      </c>
      <c r="B175">
        <f>IF(AND(Inputs!$B$38&lt;&gt;"pvp",Inputs!$B$43&gt;0),SUMPRODUCT((Skills!E2:E22=TRUE)*(C149:C169=TRUE)*R149:R169*Skills!F2:F22)/Inputs!$B$43,SUMPRODUCT((Skills!E2:E22=TRUE)*(C149:C169=TRUE)*Q149:Q169*Skills!F2:F22))</f>
        <v/>
      </c>
    </row>
    <row r="176">
      <c r="A176" t="inlineStr">
        <is>
          <t>Hook Bomber Casts Per Second</t>
        </is>
      </c>
      <c r="B176">
        <f>MAX(0,B174-B175)</f>
        <v/>
      </c>
    </row>
    <row r="177">
      <c r="A177" t="inlineStr">
        <is>
          <t>Global Critical Damage Bonus % (unused)</t>
        </is>
      </c>
      <c r="B177" t="n">
        <v>0</v>
      </c>
    </row>
    <row r="178">
      <c r="A178" t="inlineStr">
        <is>
          <t>Global Final Damage Bonus % (Serpent Scale + Crossbones + Time Leap + Speed Infusion)</t>
        </is>
      </c>
      <c r="B178">
        <f>((C152=TRUE)*F152*((10+IF(Inputs!$B$3&gt;=94,5,0))/((10+IF(Inputs!$B$3&gt;=94,5,0))+5/(B176*(1+IF(Inputs!$B$3&gt;=104,1,0))))))+((C161=TRUE)*F161)+((C162=TRUE)*F162)+((Inputs!$B$3&gt;=110)*20*(B174-1))</f>
        <v/>
      </c>
    </row>
    <row r="179">
      <c r="A179" t="inlineStr">
        <is>
          <t>Buff-Casting Startup Delay (s, fixed-duration only)</t>
        </is>
      </c>
      <c r="B179">
        <f>IF(AND(Inputs!$B$38&lt;&gt;"pvp",Inputs!$B$43&gt;0),SUMPRODUCT((Skills!T2:T22&gt;0)*(Skills!E2:E22=TRUE)*(C149:C169=TRUE))/B174,0)</f>
        <v/>
      </c>
    </row>
    <row r="180">
      <c r="A180" t="inlineStr">
        <is>
          <t>Boss-Only Total DPS (this block's swept value)</t>
        </is>
      </c>
      <c r="B180">
        <f>SUM(T149:T169)</f>
        <v/>
      </c>
    </row>
    <row r="181">
      <c r="A181" t="inlineStr">
        <is>
          <t>Normal-Only Total DPS (this block's swept value)</t>
        </is>
      </c>
      <c r="B181">
        <f>SUM(V149:V169)</f>
        <v/>
      </c>
    </row>
    <row r="182">
      <c r="A182" s="6" t="inlineStr">
        <is>
          <t>TOTAL DPS</t>
        </is>
      </c>
      <c r="B182" s="6">
        <f>SUM(O149:O169)</f>
        <v/>
      </c>
    </row>
    <row r="185">
      <c r="A185" s="6" t="inlineStr">
        <is>
          <t>Stat: DAMAGE %</t>
        </is>
      </c>
    </row>
    <row r="186">
      <c r="A186" s="5" t="inlineStr">
        <is>
          <t>Key</t>
        </is>
      </c>
      <c r="B186" s="5" t="inlineStr">
        <is>
          <t>Name</t>
        </is>
      </c>
      <c r="C186" s="5" t="inlineStr">
        <is>
          <t>Unlocked</t>
        </is>
      </c>
      <c r="D186" s="5" t="inlineStr">
        <is>
          <t>InputLevel</t>
        </is>
      </c>
      <c r="E186" s="5" t="inlineStr">
        <is>
          <t>Factor</t>
        </is>
      </c>
      <c r="F186" s="5" t="inlineStr">
        <is>
          <t>CoefficientPercent</t>
        </is>
      </c>
      <c r="G186" s="5" t="inlineStr">
        <is>
          <t>EffectiveHits</t>
        </is>
      </c>
      <c r="H186" s="5" t="inlineStr">
        <is>
          <t>ProcProbability</t>
        </is>
      </c>
      <c r="I186" s="5" t="inlineStr">
        <is>
          <t>MapleHeroMultiplier</t>
        </is>
      </c>
      <c r="J186" s="5" t="inlineStr">
        <is>
          <t>BaseDamage</t>
        </is>
      </c>
      <c r="K186" s="5" t="inlineStr">
        <is>
          <t>BaseHitDamage</t>
        </is>
      </c>
      <c r="L186" s="5" t="inlineStr">
        <is>
          <t>NonCritAvg</t>
        </is>
      </c>
      <c r="M186" s="5" t="inlineStr">
        <is>
          <t>CritAvg</t>
        </is>
      </c>
      <c r="N186" s="5" t="inlineStr">
        <is>
          <t>ExpectedDamage(perHit)</t>
        </is>
      </c>
      <c r="O186" s="5" t="inlineStr">
        <is>
          <t>DPS</t>
        </is>
      </c>
      <c r="P186" s="5" t="inlineStr">
        <is>
          <t>% of Total</t>
        </is>
      </c>
      <c r="Q186" s="5" t="inlineStr">
        <is>
          <t>InvCooldown</t>
        </is>
      </c>
      <c r="R186" s="5" t="inlineStr">
        <is>
          <t>CastsInFight</t>
        </is>
      </c>
      <c r="S186" s="5" t="inlineStr">
        <is>
          <t>HitRate(perSec)</t>
        </is>
      </c>
      <c r="U186" t="inlineStr">
        <is>
          <t>helpers</t>
        </is>
      </c>
    </row>
    <row r="187">
      <c r="A187">
        <f>Skills!A2</f>
        <v/>
      </c>
      <c r="B187">
        <f>Skills!B2</f>
        <v/>
      </c>
      <c r="C187">
        <f>Inputs!$B$3&gt;=100</f>
        <v/>
      </c>
      <c r="D187" t="inlineStr"/>
      <c r="E187" t="inlineStr"/>
      <c r="F187">
        <f>U189+Skills!O2</f>
        <v/>
      </c>
      <c r="G187">
        <f>Skills!G2*IF(Skills!H2&gt;0,Skills!I2/Skills!H2,1)</f>
        <v/>
      </c>
      <c r="H187">
        <f>1-(1-Skills!J2/100)^Skills!K2</f>
        <v/>
      </c>
      <c r="I187" t="inlineStr">
        <is>
          <t>1</t>
        </is>
      </c>
      <c r="J187">
        <f>((Inputs!$B$6*(1+Inputs!$B$7/100))+(((Inputs!$B$12*(1+Inputs!$B$13/100))-(Inputs!$B$12*(1+Inputs!$B$13/100)))+0.25*(Inputs!$B$14-Inputs!$B$14))*(1+Inputs!$B$7/100))*(F187/100)</f>
        <v/>
      </c>
      <c r="K187">
        <f>J187*(1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f>
        <v/>
      </c>
      <c r="L187">
        <f>K187*(MIN(Inputs!$B$22+((C205=TRUE)*(F205-Calc!F20)),(Inputs!$B$23+0+(IF(ArtifactsInput!$M$15,CHOOSE(ArtifactsInput!$N$15+1,25,30,35,40,45,50)/100*(Inputs!$B$11-Inputs!$B$11),0))))/100+(Inputs!$B$23+0+(IF(ArtifactsInput!$M$15,CHOOSE(ArtifactsInput!$N$15+1,25,30,35,40,45,50)/100*(Inputs!$B$11-Inputs!$B$11),0)))/100)/2</f>
        <v/>
      </c>
      <c r="M187">
        <f>L187*(1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
        <f>L187*(1-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
        <f>(1-Summary!$B$11)*T187+Summary!$B$11*V187</f>
        <v/>
      </c>
      <c r="P187">
        <f>IF(B220=0,0,O187/B220)</f>
        <v/>
      </c>
      <c r="Q187" t="n">
        <v>0</v>
      </c>
      <c r="R187" t="n">
        <v>0</v>
      </c>
      <c r="S187">
        <f>IFERROR(O187/N187,0)</f>
        <v/>
      </c>
      <c r="T187">
        <f>IF(C187,(Skills!G2*N187*B214)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
        <f>MAX(0,(Inputs!$B$3-100)*3)+Inputs!$B$28+Inputs!$B$29</f>
        <v/>
      </c>
      <c r="V187">
        <f>IF(C187,(Skills!G2*N187*B214)*IF(Inputs!$B$38="pvp",1,(1+(Inputs!$B$21+Skills!Q2+(IF(ArtifactsInput!$M$33,CHOOSE(ArtifactsInput!$N$33+1,30,36,42,48,54,60),0))+(IF(AND(ArtifactsInput!$M$35,Inputs!$B$4&lt;&gt;"Chapter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
      <c r="A188">
        <f>Skills!A3</f>
        <v/>
      </c>
      <c r="B188">
        <f>Skills!B3</f>
        <v/>
      </c>
      <c r="C188">
        <f>Inputs!$B$3&gt;=35</f>
        <v/>
      </c>
      <c r="D188">
        <f>IF(Skills!C3=1,60+Inputs!$B$25+Inputs!$B$29,IF(Skills!C3=2,90+Inputs!$B$26+Inputs!$B$29,IF(Skills!C3=3,120+Inputs!$B$27+Inputs!$B$29,MAX(0,(Inputs!$B$3-100)*3)+Inputs!$B$28+Inputs!$B$29)))</f>
        <v/>
      </c>
      <c r="E188">
        <f>INDEX(FactorTable!$B$2:$Y$301, MATCH(ROUND(MIN(300,MAX(1,D188)),0), FactorTable!$A$2:$A$301,0), Skills!M3+1)</f>
        <v/>
      </c>
      <c r="F188">
        <f>IF(Skills!N3=TRUE,(Skills!L3/10)*(E188/1000),Skills!L3/10)+Skills!O3</f>
        <v/>
      </c>
      <c r="G188">
        <f>Skills!G3*IF(Skills!H3&gt;0,Skills!I3/Skills!H3,1)</f>
        <v/>
      </c>
      <c r="H188">
        <f>1-(1-Skills!J3/100)^Skills!K3</f>
        <v/>
      </c>
      <c r="I188" t="inlineStr">
        <is>
          <t>1</t>
        </is>
      </c>
      <c r="J188">
        <f>((Inputs!$B$6*(1+Inputs!$B$7/100))+(((Inputs!$B$12*(1+Inputs!$B$13/100))-(Inputs!$B$12*(1+Inputs!$B$13/100)))+0.25*(Inputs!$B$14-Inputs!$B$14))*(1+Inputs!$B$7/100))*(F188/100)</f>
        <v/>
      </c>
      <c r="K188">
        <f>J188*(1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f>
        <v/>
      </c>
      <c r="L188">
        <f>K188*(MIN(Inputs!$B$22+((C205=TRUE)*(F205-Calc!F20)),(Inputs!$B$23+0+(IF(ArtifactsInput!$M$15,CHOOSE(ArtifactsInput!$N$15+1,25,30,35,40,45,50)/100*(Inputs!$B$11-Inputs!$B$11),0))))/100+(Inputs!$B$23+0+(IF(ArtifactsInput!$M$15,CHOOSE(ArtifactsInput!$N$15+1,25,30,35,40,45,50)/100*(Inputs!$B$11-Inputs!$B$11),0)))/100)/2</f>
        <v/>
      </c>
      <c r="M188">
        <f>L188*(1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
        <f>L188*(1-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
        <f>(1-Summary!$B$11)*T188+Summary!$B$11*V188</f>
        <v/>
      </c>
      <c r="P188">
        <f>IF(B220=0,0,O188/B220)</f>
        <v/>
      </c>
      <c r="Q188" t="n">
        <v>0</v>
      </c>
      <c r="R188" t="n">
        <v>0</v>
      </c>
      <c r="S188">
        <f>IFERROR(O188/N188,0)</f>
        <v/>
      </c>
      <c r="T188">
        <f>IF(C188,(Skills!G3*H188*N188*B214)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
        <f>INDEX(FactorTable!$B$2:$Y$301, MATCH(ROUND(MIN(300,MAX(1,U187)),0), FactorTable!$A$2:$A$301,0), 22)</f>
        <v/>
      </c>
      <c r="V188">
        <f>IF(C188,(Skills!G3*H188*N188*B214)*IF(Inputs!$B$38="pvp",1,(1+(Inputs!$B$21+Skills!Q3+(IF(ArtifactsInput!$M$33,CHOOSE(ArtifactsInput!$N$33+1,30,36,42,48,54,60),0))+(IF(AND(ArtifactsInput!$M$35,Inputs!$B$4&lt;&gt;"Chapter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
      <c r="A189">
        <f>Skills!A4</f>
        <v/>
      </c>
      <c r="B189">
        <f>Skills!B4</f>
        <v/>
      </c>
      <c r="C189">
        <f>Inputs!$B$3&gt;=60</f>
        <v/>
      </c>
      <c r="D189">
        <f>IF(Skills!C4=1,60+Inputs!$B$25+Inputs!$B$29,IF(Skills!C4=2,90+Inputs!$B$26+Inputs!$B$29,IF(Skills!C4=3,120+Inputs!$B$27+Inputs!$B$29,MAX(0,(Inputs!$B$3-100)*3)+Inputs!$B$28+Inputs!$B$29)))</f>
        <v/>
      </c>
      <c r="E189">
        <f>INDEX(FactorTable!$B$2:$Y$301, MATCH(ROUND(MIN(300,MAX(1,D189)),0), FactorTable!$A$2:$A$301,0), Skills!M4+1)</f>
        <v/>
      </c>
      <c r="F189">
        <f>IF(Skills!N4=TRUE,(Skills!L4/10)*(E189/1000),Skills!L4/10)+Skills!O4</f>
        <v/>
      </c>
      <c r="G189">
        <f>Skills!G4*IF(Skills!H4&gt;0,Skills!I4/Skills!H4,1)</f>
        <v/>
      </c>
      <c r="H189">
        <f>1-(1-Skills!J4/100)^Skills!K4</f>
        <v/>
      </c>
      <c r="I189" t="inlineStr">
        <is>
          <t>1</t>
        </is>
      </c>
      <c r="J189">
        <f>((Inputs!$B$6*(1+Inputs!$B$7/100))+(((Inputs!$B$12*(1+Inputs!$B$13/100))-(Inputs!$B$12*(1+Inputs!$B$13/100)))+0.25*(Inputs!$B$14-Inputs!$B$14))*(1+Inputs!$B$7/100))*(F189/100)</f>
        <v/>
      </c>
      <c r="K189">
        <f>J189*(1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TRUE,F197,0)/100)*(1+(IF(Skills!A4="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f>
        <v/>
      </c>
      <c r="L189">
        <f>K189*(MIN(Inputs!$B$22+((C205=TRUE)*(F205-Calc!F20)),(Inputs!$B$23+0+(IF(ArtifactsInput!$M$15,CHOOSE(ArtifactsInput!$N$15+1,25,30,35,40,45,50)/100*(Inputs!$B$11-Inputs!$B$11),0))))/100+(Inputs!$B$23+0+(IF(ArtifactsInput!$M$15,CHOOSE(ArtifactsInput!$N$15+1,25,30,35,40,45,50)/100*(Inputs!$B$11-Inputs!$B$11),0)))/100)/2</f>
        <v/>
      </c>
      <c r="M189">
        <f>L189*(1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
        <f>L189*(1-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
        <f>(1-Summary!$B$11)*T189+Summary!$B$11*V189</f>
        <v/>
      </c>
      <c r="P189">
        <f>IF(B220=0,0,O189/B220)</f>
        <v/>
      </c>
      <c r="Q189" t="n">
        <v>0</v>
      </c>
      <c r="R189" t="n">
        <v>0</v>
      </c>
      <c r="S189">
        <f>IFERROR(O189/N189,0)</f>
        <v/>
      </c>
      <c r="T189">
        <f>IF(C189,(Skills!G4*H189*N189*B214)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189*(1-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
        <f>290*U188/1000</f>
        <v/>
      </c>
      <c r="V189">
        <f>IF(C189,(Skills!G4*H189*N189*B214)*IF(Inputs!$B$38="pvp",1,(1+(Inputs!$B$21+Skills!Q4+(IF(ArtifactsInput!$M$33,CHOOSE(ArtifactsInput!$N$33+1,30,36,42,48,54,60),0))+(IF(AND(ArtifactsInput!$M$35,Inputs!$B$4&lt;&gt;"Chapter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
      <c r="A190">
        <f>Skills!A5</f>
        <v/>
      </c>
      <c r="B190">
        <f>Skills!B5</f>
        <v/>
      </c>
      <c r="C190">
        <f>Inputs!$B$3&gt;=60</f>
        <v/>
      </c>
      <c r="D190">
        <f>IF(Skills!C5=1,60+Inputs!$B$25+Inputs!$B$29,IF(Skills!C5=2,90+Inputs!$B$26+Inputs!$B$29,IF(Skills!C5=3,120+Inputs!$B$27+Inputs!$B$29,MAX(0,(Inputs!$B$3-100)*3)+Inputs!$B$28+Inputs!$B$29)))</f>
        <v/>
      </c>
      <c r="E190">
        <f>INDEX(FactorTable!$B$2:$Y$301, MATCH(ROUND(MIN(300,MAX(1,D190)),0), FactorTable!$A$2:$A$301,0), Skills!M5+1)</f>
        <v/>
      </c>
      <c r="F190">
        <f>IF(Skills!N5=TRUE,(Skills!L5/10)*(E190/1000),Skills!L5/10)+Skills!O5</f>
        <v/>
      </c>
      <c r="G190">
        <f>Skills!G5*IF(Skills!H5&gt;0,Skills!I5/Skills!H5,1)</f>
        <v/>
      </c>
      <c r="H190">
        <f>1-(1-Skills!J5/100)^Skills!K5</f>
        <v/>
      </c>
      <c r="I190" t="inlineStr">
        <is>
          <t>1</t>
        </is>
      </c>
      <c r="J190" t="inlineStr"/>
      <c r="K190" t="inlineStr"/>
      <c r="L190" t="inlineStr"/>
      <c r="M190" t="inlineStr"/>
      <c r="N190" t="inlineStr"/>
      <c r="O190">
        <f>(1-Summary!$B$11)*T190+Summary!$B$11*V190</f>
        <v/>
      </c>
      <c r="P190">
        <f>IF(B220=0,0,O190/B220)</f>
        <v/>
      </c>
      <c r="Q190" t="n">
        <v>0</v>
      </c>
      <c r="R190" t="n">
        <v>0</v>
      </c>
      <c r="S190">
        <f>IFERROR(O190/N190,0)</f>
        <v/>
      </c>
      <c r="T190" t="n">
        <v>0</v>
      </c>
      <c r="V190" t="n">
        <v>0</v>
      </c>
    </row>
    <row r="191">
      <c r="A191">
        <f>Skills!A6</f>
        <v/>
      </c>
      <c r="B191">
        <f>Skills!B6</f>
        <v/>
      </c>
      <c r="C191">
        <f>Inputs!$B$3&gt;=63</f>
        <v/>
      </c>
      <c r="D191">
        <f>IF(Skills!C6=1,60+Inputs!$B$25+Inputs!$B$29,IF(Skills!C6=2,90+Inputs!$B$26+Inputs!$B$29,IF(Skills!C6=3,120+Inputs!$B$27+Inputs!$B$29,MAX(0,(Inputs!$B$3-100)*3)+Inputs!$B$28+Inputs!$B$29)))</f>
        <v/>
      </c>
      <c r="E191">
        <f>INDEX(FactorTable!$B$2:$Y$301, MATCH(ROUND(MIN(300,MAX(1,D191)),0), FactorTable!$A$2:$A$301,0), Skills!M6+1)</f>
        <v/>
      </c>
      <c r="F191">
        <f>IF(Skills!N6=TRUE,(Skills!L6/10)*(E191/1000),Skills!L6/10)+Skills!O6</f>
        <v/>
      </c>
      <c r="G191">
        <f>Skills!G6*IF(Skills!H6&gt;0,Skills!I6/Skills!H6,1)</f>
        <v/>
      </c>
      <c r="H191">
        <f>1-(1-Skills!J6/100)^Skills!K6</f>
        <v/>
      </c>
      <c r="I191" t="inlineStr">
        <is>
          <t>1</t>
        </is>
      </c>
      <c r="J191">
        <f>((Inputs!$B$6*(1+Inputs!$B$7/100))+(((Inputs!$B$12*(1+Inputs!$B$13/100))-(Inputs!$B$12*(1+Inputs!$B$13/100)))+0.25*(Inputs!$B$14-Inputs!$B$14))*(1+Inputs!$B$7/100))*(F191/100)</f>
        <v/>
      </c>
      <c r="K191">
        <f>J191*(1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f>
        <v/>
      </c>
      <c r="L191">
        <f>K191*(MIN(Inputs!$B$22+((C205=TRUE)*(F205-Calc!F20)),(Inputs!$B$23+0+(IF(ArtifactsInput!$M$15,CHOOSE(ArtifactsInput!$N$15+1,25,30,35,40,45,50)/100*(Inputs!$B$11-Inputs!$B$11),0))))/100+(Inputs!$B$23+0+(IF(ArtifactsInput!$M$15,CHOOSE(ArtifactsInput!$N$15+1,25,30,35,40,45,50)/100*(Inputs!$B$11-Inputs!$B$11),0)))/100)/2</f>
        <v/>
      </c>
      <c r="M191">
        <f>L191*(1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
        <f>L191*(1-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
        <f>(1-Summary!$B$11)*T191+Summary!$B$11*V191</f>
        <v/>
      </c>
      <c r="P191">
        <f>IF(B220=0,0,O191/B220)</f>
        <v/>
      </c>
      <c r="Q191">
        <f>IFERROR(1/(IF(Inputs!$B$38="pvp",15,MAX(0.1,Skills!D6-IF(Skills!E6=TRUE,Inputs!$B$32,0)))*(1-IF(AND(ArtifactsInput!$M$27,Inputs!$B$4="Chapter Hunt"),CHOOSE(ArtifactsInput!$N$27+1,20,24,28,32,36,40),0)/100)),0)</f>
        <v/>
      </c>
      <c r="R191">
        <f>IF(AND(Inputs!$B$38&lt;&gt;"pvp",Inputs!$B$43&gt;0),IF(MAX(0,Inputs!$B$43-B217)&lt;=0,0,(INT(MAX(0,Inputs!$B$43-B217)/(IF(Inputs!$B$38="pvp",15,MAX(0.1,Skills!D6-IF(Skills!E6=TRUE,Inputs!$B$32,0)))*(1-IF(AND(ArtifactsInput!$M$27,Inputs!$B$4="Chapter Hunt"),CHOOSE(ArtifactsInput!$N$27+1,20,24,28,32,36,40),0)/100)))+1)),0)</f>
        <v/>
      </c>
      <c r="S191">
        <f>IFERROR(O191/N191,0)</f>
        <v/>
      </c>
      <c r="T191">
        <f>IF(C191,(H191*N191*IF(AND(Inputs!$B$38&lt;&gt;"pvp",Inputs!$B$43&gt;0),((Skills!G6*((R191-1)*IF(Skills!H6&gt;0,Skills!I6/Skills!H6,1)+IF(Skills!H6&gt;0,MIN(Skills!I6,MAX(0,MAX(0,Inputs!$B$43-B217)-((R191-1)*(IF(Inputs!$B$38="pvp",15,MAX(0.1,Skills!D6-IF(Skills!E6=TRUE,Inputs!$B$32,0)))*(1-IF(AND(ArtifactsInput!$M$27,Inputs!$B$4="Chapter Hunt"),CHOOSE(ArtifactsInput!$N$27+1,20,24,28,32,36,40),0)/100)))))/Skills!H6,1)))/Inputs!$B$43),G191*Q191)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
        <f>IF(C191,(H191*N191*IF(AND(Inputs!$B$38&lt;&gt;"pvp",Inputs!$B$43&gt;0),((Skills!G6*((R191-1)*IF(Skills!H6&gt;0,Skills!I6/Skills!H6,1)+IF(Skills!H6&gt;0,MIN(Skills!I6,MAX(0,MAX(0,Inputs!$B$43-B217)-((R191-1)*(IF(Inputs!$B$38="pvp",15,MAX(0.1,Skills!D6-IF(Skills!E6=TRUE,Inputs!$B$32,0)))*(1-IF(AND(ArtifactsInput!$M$27,Inputs!$B$4="Chapter Hunt"),CHOOSE(ArtifactsInput!$N$27+1,20,24,28,32,36,40),0)/100)))))/Skills!H6,1)))/Inputs!$B$43),G191*Q191))*IF(Inputs!$B$38="pvp",1,(1+(Inputs!$B$21+Skills!Q6+(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
      <c r="A192">
        <f>Skills!A7</f>
        <v/>
      </c>
      <c r="B192">
        <f>Skills!B7</f>
        <v/>
      </c>
      <c r="C192">
        <f>Inputs!$B$3&gt;=100</f>
        <v/>
      </c>
      <c r="D192">
        <f>IF(Skills!C7=1,60+Inputs!$B$25+Inputs!$B$29,IF(Skills!C7=2,90+Inputs!$B$26+Inputs!$B$29,IF(Skills!C7=3,120+Inputs!$B$27+Inputs!$B$29,MAX(0,(Inputs!$B$3-100)*3)+Inputs!$B$28+Inputs!$B$29)))</f>
        <v/>
      </c>
      <c r="E192">
        <f>INDEX(FactorTable!$B$2:$Y$301, MATCH(ROUND(MIN(300,MAX(1,D192)),0), FactorTable!$A$2:$A$301,0), Skills!M7+1)</f>
        <v/>
      </c>
      <c r="F192">
        <f>IF(Skills!N7=TRUE,(Skills!L7/10)*(E192/1000),Skills!L7/10)+Skills!O7</f>
        <v/>
      </c>
      <c r="G192">
        <f>Skills!G7*IF(Skills!H7&gt;0,Skills!I7/Skills!H7,1)</f>
        <v/>
      </c>
      <c r="H192">
        <f>1-(1-Skills!J7/100)^Skills!K7</f>
        <v/>
      </c>
      <c r="I192" t="inlineStr">
        <is>
          <t>1</t>
        </is>
      </c>
      <c r="J192">
        <f>((Inputs!$B$6*(1+Inputs!$B$7/100))+(((Inputs!$B$12*(1+Inputs!$B$13/100))-(Inputs!$B$12*(1+Inputs!$B$13/100)))+0.25*(Inputs!$B$14-Inputs!$B$14))*(1+Inputs!$B$7/100))*(F192/100)</f>
        <v/>
      </c>
      <c r="K192">
        <f>J192*(1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f>
        <v/>
      </c>
      <c r="L192">
        <f>K192*(MIN(Inputs!$B$22+((C205=TRUE)*(F205-Calc!F20)),(Inputs!$B$23+0+(IF(ArtifactsInput!$M$15,CHOOSE(ArtifactsInput!$N$15+1,25,30,35,40,45,50)/100*(Inputs!$B$11-Inputs!$B$11),0))))/100+(Inputs!$B$23+0+(IF(ArtifactsInput!$M$15,CHOOSE(ArtifactsInput!$N$15+1,25,30,35,40,45,50)/100*(Inputs!$B$11-Inputs!$B$11),0)))/100)/2</f>
        <v/>
      </c>
      <c r="M192">
        <f>L192*(1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
        <f>L192*(1-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
        <f>(1-Summary!$B$11)*T192+Summary!$B$11*V192</f>
        <v/>
      </c>
      <c r="P192">
        <f>IF(B220=0,0,O192/B220)</f>
        <v/>
      </c>
      <c r="Q192">
        <f>IFERROR(1/(IF(Inputs!$B$38="pvp",15,MAX(0.1,Skills!D7-IF(Skills!E7=TRUE,Inputs!$B$32,0)))*(1-IF(AND(ArtifactsInput!$M$27,Inputs!$B$4="Chapter Hunt"),CHOOSE(ArtifactsInput!$N$27+1,20,24,28,32,36,40),0)/100)),0)</f>
        <v/>
      </c>
      <c r="R192">
        <f>IF(AND(Inputs!$B$38&lt;&gt;"pvp",Inputs!$B$43&gt;0),IF(MAX(0,Inputs!$B$43-B217)&lt;=0,0,(INT(MAX(0,Inputs!$B$43-B217)/(IF(Inputs!$B$38="pvp",15,MAX(0.1,Skills!D7-IF(Skills!E7=TRUE,Inputs!$B$32,0)))*(1-IF(AND(ArtifactsInput!$M$27,Inputs!$B$4="Chapter Hunt"),CHOOSE(ArtifactsInput!$N$27+1,20,24,28,32,36,40),0)/100)))+1)),0)</f>
        <v/>
      </c>
      <c r="S192">
        <f>IFERROR(O192/N192,0)</f>
        <v/>
      </c>
      <c r="T192">
        <f>IF(C192,(H192*N192*IF(AND(Inputs!$B$38&lt;&gt;"pvp",Inputs!$B$43&gt;0),((Skills!G7*((R192-1)*IF(Skills!H7&gt;0,Skills!I7/Skills!H7,1)+IF(Skills!H7&gt;0,MIN(Skills!I7,MAX(0,MAX(0,Inputs!$B$43-B217)-((R192-1)*(IF(Inputs!$B$38="pvp",15,MAX(0.1,Skills!D7-IF(Skills!E7=TRUE,Inputs!$B$32,0)))*(1-IF(AND(ArtifactsInput!$M$27,Inputs!$B$4="Chapter Hunt"),CHOOSE(ArtifactsInput!$N$27+1,20,24,28,32,36,40),0)/100)))))/Skills!H7,1)))/Inputs!$B$43),G192*Q192)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
        <f>IF(C192,(H192*N192*IF(AND(Inputs!$B$38&lt;&gt;"pvp",Inputs!$B$43&gt;0),((Skills!G7*((R192-1)*IF(Skills!H7&gt;0,Skills!I7/Skills!H7,1)+IF(Skills!H7&gt;0,MIN(Skills!I7,MAX(0,MAX(0,Inputs!$B$43-B217)-((R192-1)*(IF(Inputs!$B$38="pvp",15,MAX(0.1,Skills!D7-IF(Skills!E7=TRUE,Inputs!$B$32,0)))*(1-IF(AND(ArtifactsInput!$M$27,Inputs!$B$4="Chapter Hunt"),CHOOSE(ArtifactsInput!$N$27+1,20,24,28,32,36,40),0)/100)))))/Skills!H7,1)))/Inputs!$B$43),G192*Q192))*IF(Inputs!$B$38="pvp",1,(1+(Inputs!$B$21+Skills!Q7+(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
      <c r="A193">
        <f>Skills!A8</f>
        <v/>
      </c>
      <c r="B193">
        <f>Skills!B8</f>
        <v/>
      </c>
      <c r="C193">
        <f>Inputs!$B$3&gt;=110</f>
        <v/>
      </c>
      <c r="D193">
        <f>IF(Skills!C8=1,60+Inputs!$B$25+Inputs!$B$29,IF(Skills!C8=2,90+Inputs!$B$26+Inputs!$B$29,IF(Skills!C8=3,120+Inputs!$B$27+Inputs!$B$29,MAX(0,(Inputs!$B$3-100)*3)+Inputs!$B$28+Inputs!$B$29)))</f>
        <v/>
      </c>
      <c r="E193">
        <f>INDEX(FactorTable!$B$2:$Y$301, MATCH(ROUND(MIN(300,MAX(1,D193)),0), FactorTable!$A$2:$A$301,0), Skills!M8+1)</f>
        <v/>
      </c>
      <c r="F193">
        <f>IF(Skills!N8=TRUE,(Skills!L8/10)*(E193/1000),Skills!L8/10)+Skills!O8</f>
        <v/>
      </c>
      <c r="G193">
        <f>Skills!G8*IF(Skills!H8&gt;0,Skills!I8/Skills!H8,1)</f>
        <v/>
      </c>
      <c r="H193">
        <f>1-(1-Skills!J8/100)^Skills!K8</f>
        <v/>
      </c>
      <c r="I193" t="inlineStr">
        <is>
          <t>1</t>
        </is>
      </c>
      <c r="J193">
        <f>((Inputs!$B$6*(1+Inputs!$B$7/100))+(((Inputs!$B$12*(1+Inputs!$B$13/100))-(Inputs!$B$12*(1+Inputs!$B$13/100)))+0.25*(Inputs!$B$14-Inputs!$B$14))*(1+Inputs!$B$7/100))*(F193/100)</f>
        <v/>
      </c>
      <c r="K193">
        <f>J193*(1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f>
        <v/>
      </c>
      <c r="L193">
        <f>K193*(MIN(Inputs!$B$22+((C205=TRUE)*(F205-Calc!F20)),(Inputs!$B$23+0+(IF(ArtifactsInput!$M$15,CHOOSE(ArtifactsInput!$N$15+1,25,30,35,40,45,50)/100*(Inputs!$B$11-Inputs!$B$11),0))))/100+(Inputs!$B$23+0+(IF(ArtifactsInput!$M$15,CHOOSE(ArtifactsInput!$N$15+1,25,30,35,40,45,50)/100*(Inputs!$B$11-Inputs!$B$11),0)))/100)/2</f>
        <v/>
      </c>
      <c r="M193">
        <f>L193*(1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
        <f>L193*(1-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
        <f>(1-Summary!$B$11)*T193+Summary!$B$11*V193</f>
        <v/>
      </c>
      <c r="P193">
        <f>IF(B220=0,0,O193/B220)</f>
        <v/>
      </c>
      <c r="Q193">
        <f>IFERROR(1/(IF(Inputs!$B$38="pvp",15,MAX(0.1,Skills!D8-IF(Skills!E8=TRUE,Inputs!$B$32,0)))*(1-IF(AND(ArtifactsInput!$M$27,Inputs!$B$4="Chapter Hunt"),CHOOSE(ArtifactsInput!$N$27+1,20,24,28,32,36,40),0)/100)),0)</f>
        <v/>
      </c>
      <c r="R193">
        <f>IF(AND(Inputs!$B$38&lt;&gt;"pvp",Inputs!$B$43&gt;0),IF(MAX(0,Inputs!$B$43-B217)&lt;=0,0,(INT(MAX(0,Inputs!$B$43-B217)/(IF(Inputs!$B$38="pvp",15,MAX(0.1,Skills!D8-IF(Skills!E8=TRUE,Inputs!$B$32,0)))*(1-IF(AND(ArtifactsInput!$M$27,Inputs!$B$4="Chapter Hunt"),CHOOSE(ArtifactsInput!$N$27+1,20,24,28,32,36,40),0)/100)))+1)),0)</f>
        <v/>
      </c>
      <c r="S193">
        <f>IFERROR(O193/N193,0)</f>
        <v/>
      </c>
      <c r="T193">
        <f>IF(C193,(H193*N193*IF(AND(Inputs!$B$38&lt;&gt;"pvp",Inputs!$B$43&gt;0),((Skills!G8*((R193-1)*IF(Skills!H8&gt;0,Skills!I8/Skills!H8,1)+IF(Skills!H8&gt;0,MIN(Skills!I8,MAX(0,MAX(0,Inputs!$B$43-B217)-((R193-1)*(IF(Inputs!$B$38="pvp",15,MAX(0.1,Skills!D8-IF(Skills!E8=TRUE,Inputs!$B$32,0)))*(1-IF(AND(ArtifactsInput!$M$27,Inputs!$B$4="Chapter Hunt"),CHOOSE(ArtifactsInput!$N$27+1,20,24,28,32,36,40),0)/100)))))/Skills!H8,1)))/Inputs!$B$43),G193*Q193)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
        <f>IF(C193,(H193*N193*IF(AND(Inputs!$B$38&lt;&gt;"pvp",Inputs!$B$43&gt;0),((Skills!G8*((R193-1)*IF(Skills!H8&gt;0,Skills!I8/Skills!H8,1)+IF(Skills!H8&gt;0,MIN(Skills!I8,MAX(0,MAX(0,Inputs!$B$43-B217)-((R193-1)*(IF(Inputs!$B$38="pvp",15,MAX(0.1,Skills!D8-IF(Skills!E8=TRUE,Inputs!$B$32,0)))*(1-IF(AND(ArtifactsInput!$M$27,Inputs!$B$4="Chapter Hunt"),CHOOSE(ArtifactsInput!$N$27+1,20,24,28,32,36,40),0)/100)))))/Skills!H8,1)))/Inputs!$B$43),G193*Q193))*IF(Inputs!$B$38="pvp",1,(1+(Inputs!$B$21+Skills!Q8+(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
      <c r="A194">
        <f>Skills!A9</f>
        <v/>
      </c>
      <c r="B194">
        <f>Skills!B9</f>
        <v/>
      </c>
      <c r="C194">
        <f>Inputs!$B$3&gt;=110</f>
        <v/>
      </c>
      <c r="D194">
        <f>IF(Skills!C9=1,60+Inputs!$B$25+Inputs!$B$29,IF(Skills!C9=2,90+Inputs!$B$26+Inputs!$B$29,IF(Skills!C9=3,120+Inputs!$B$27+Inputs!$B$29,MAX(0,(Inputs!$B$3-100)*3)+Inputs!$B$28+Inputs!$B$29)))</f>
        <v/>
      </c>
      <c r="E194">
        <f>INDEX(FactorTable!$B$2:$Y$301, MATCH(ROUND(MIN(300,MAX(1,D194)),0), FactorTable!$A$2:$A$301,0), Skills!M9+1)</f>
        <v/>
      </c>
      <c r="F194">
        <f>IF(Skills!N9=TRUE,(Skills!L9/10)*(E194/1000),Skills!L9/10)+Skills!O9</f>
        <v/>
      </c>
      <c r="G194">
        <f>Skills!G9*IF(Skills!H9&gt;0,Skills!I9/Skills!H9,1)</f>
        <v/>
      </c>
      <c r="H194">
        <f>1-(1-Skills!J9/100)^Skills!K9</f>
        <v/>
      </c>
      <c r="I194" t="inlineStr">
        <is>
          <t>1</t>
        </is>
      </c>
      <c r="J194">
        <f>((Inputs!$B$6*(1+Inputs!$B$7/100))+(((Inputs!$B$12*(1+Inputs!$B$13/100))-(Inputs!$B$12*(1+Inputs!$B$13/100)))+0.25*(Inputs!$B$14-Inputs!$B$14))*(1+Inputs!$B$7/100))*(F194/100)</f>
        <v/>
      </c>
      <c r="K194">
        <f>J194*(1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f>
        <v/>
      </c>
      <c r="L194">
        <f>K194*(MIN(Inputs!$B$22+((C205=TRUE)*(F205-Calc!F20)),(Inputs!$B$23+0+(IF(ArtifactsInput!$M$15,CHOOSE(ArtifactsInput!$N$15+1,25,30,35,40,45,50)/100*(Inputs!$B$11-Inputs!$B$11),0))))/100+(Inputs!$B$23+0+(IF(ArtifactsInput!$M$15,CHOOSE(ArtifactsInput!$N$15+1,25,30,35,40,45,50)/100*(Inputs!$B$11-Inputs!$B$11),0)))/100)/2</f>
        <v/>
      </c>
      <c r="M194">
        <f>L194*(1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
        <f>L194*(1-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
        <f>(1-Summary!$B$11)*T194+Summary!$B$11*V194</f>
        <v/>
      </c>
      <c r="P194">
        <f>IF(B220=0,0,O194/B220)</f>
        <v/>
      </c>
      <c r="Q194">
        <f>IFERROR(1/(IF(Inputs!$B$38="pvp",15,MAX(0.1,Skills!D9-IF(Skills!E9=TRUE,Inputs!$B$32,0)))*(1-IF(AND(ArtifactsInput!$M$27,Inputs!$B$4="Chapter Hunt"),CHOOSE(ArtifactsInput!$N$27+1,20,24,28,32,36,40),0)/100)),0)</f>
        <v/>
      </c>
      <c r="R194">
        <f>IF(AND(Inputs!$B$38&lt;&gt;"pvp",Inputs!$B$43&gt;0),IF(MAX(0,Inputs!$B$43-B217)&lt;=0,0,(INT(MAX(0,Inputs!$B$43-B217)/(IF(Inputs!$B$38="pvp",15,MAX(0.1,Skills!D9-IF(Skills!E9=TRUE,Inputs!$B$32,0)))*(1-IF(AND(ArtifactsInput!$M$27,Inputs!$B$4="Chapter Hunt"),CHOOSE(ArtifactsInput!$N$27+1,20,24,28,32,36,40),0)/100)))+1)),0)</f>
        <v/>
      </c>
      <c r="S194">
        <f>IFERROR(O194/N194,0)</f>
        <v/>
      </c>
      <c r="T194">
        <f>IF(C194,(H194*N194*IF(AND(Inputs!$B$38&lt;&gt;"pvp",Inputs!$B$43&gt;0),((Skills!G9*((R194-1)*IF(Skills!H9&gt;0,Skills!I9/Skills!H9,1)+IF(Skills!H9&gt;0,MIN(Skills!I9,MAX(0,MAX(0,Inputs!$B$43-B217)-((R194-1)*(IF(Inputs!$B$38="pvp",15,MAX(0.1,Skills!D9-IF(Skills!E9=TRUE,Inputs!$B$32,0)))*(1-IF(AND(ArtifactsInput!$M$27,Inputs!$B$4="Chapter Hunt"),CHOOSE(ArtifactsInput!$N$27+1,20,24,28,32,36,40),0)/100)))))/Skills!H9,1)))/Inputs!$B$43),G194*Q194)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
        <f>IF(C194,(H194*N194*IF(AND(Inputs!$B$38&lt;&gt;"pvp",Inputs!$B$43&gt;0),((Skills!G9*((R194-1)*IF(Skills!H9&gt;0,Skills!I9/Skills!H9,1)+IF(Skills!H9&gt;0,MIN(Skills!I9,MAX(0,MAX(0,Inputs!$B$43-B217)-((R194-1)*(IF(Inputs!$B$38="pvp",15,MAX(0.1,Skills!D9-IF(Skills!E9=TRUE,Inputs!$B$32,0)))*(1-IF(AND(ArtifactsInput!$M$27,Inputs!$B$4="Chapter Hunt"),CHOOSE(ArtifactsInput!$N$27+1,20,24,28,32,36,40),0)/100)))))/Skills!H9,1)))/Inputs!$B$43),G194*Q194))*IF(Inputs!$B$38="pvp",1,(1+(Inputs!$B$21+Skills!Q9+(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
      <c r="A195">
        <f>Skills!A10</f>
        <v/>
      </c>
      <c r="B195">
        <f>Skills!B10</f>
        <v/>
      </c>
      <c r="C195">
        <f>Inputs!$B$3&gt;=103</f>
        <v/>
      </c>
      <c r="D195">
        <f>IF(Skills!C10=1,60+Inputs!$B$25+Inputs!$B$29,IF(Skills!C10=2,90+Inputs!$B$26+Inputs!$B$29,IF(Skills!C10=3,120+Inputs!$B$27+Inputs!$B$29,MAX(0,(Inputs!$B$3-100)*3)+Inputs!$B$28+Inputs!$B$29)))</f>
        <v/>
      </c>
      <c r="E195">
        <f>INDEX(FactorTable!$B$2:$Y$301, MATCH(ROUND(MIN(300,MAX(1,D195)),0), FactorTable!$A$2:$A$301,0), Skills!M10+1)</f>
        <v/>
      </c>
      <c r="F195">
        <f>IF(Skills!N10=TRUE,(Skills!L10/10)*(E195/1000),Skills!L10/10)+Skills!O10</f>
        <v/>
      </c>
      <c r="G195">
        <f>Skills!G10*IF(Skills!H10&gt;0,Skills!I10/Skills!H10,1)</f>
        <v/>
      </c>
      <c r="H195">
        <f>1-(1-Skills!J10/100)^Skills!K10</f>
        <v/>
      </c>
      <c r="I195" t="inlineStr">
        <is>
          <t>1</t>
        </is>
      </c>
      <c r="J195">
        <f>((Inputs!$B$6*(1+Inputs!$B$7/100))+(((Inputs!$B$12*(1+Inputs!$B$13/100))-(Inputs!$B$12*(1+Inputs!$B$13/100)))+0.25*(Inputs!$B$14-Inputs!$B$14))*(1+Inputs!$B$7/100))*(F195/100)</f>
        <v/>
      </c>
      <c r="K195">
        <f>J195*(1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C205=TRUE)*(F205-Calc!F20)),(Inputs!$B$23+0+(IF(ArtifactsInput!$M$15,CHOOSE(ArtifactsInput!$N$15+1,25,30,35,40,45,50)/100*(Inputs!$B$11-Inputs!$B$11),0))))/100+(Inputs!$B$23+0+(IF(ArtifactsInput!$M$15,CHOOSE(ArtifactsInput!$N$15+1,25,30,35,40,45,50)/100*(Inputs!$B$11-Inputs!$B$11),0)))/100)/2</f>
        <v/>
      </c>
      <c r="M195">
        <f>L195*(1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(1-Summary!$B$11)*T195+Summary!$B$11*V195</f>
        <v/>
      </c>
      <c r="P195">
        <f>IF(B220=0,0,O195/B220)</f>
        <v/>
      </c>
      <c r="Q195">
        <f>IFERROR(1/(IF(Inputs!$B$38="pvp",15,MAX(0.1,Skills!D10-IF(Skills!E10=TRUE,Inputs!$B$32,0)))*(1-IF(AND(ArtifactsInput!$M$27,Inputs!$B$4="Chapter Hunt"),CHOOSE(ArtifactsInput!$N$27+1,20,24,28,32,36,40),0)/100)),0)</f>
        <v/>
      </c>
      <c r="R195">
        <f>IF(AND(Inputs!$B$38&lt;&gt;"pvp",Inputs!$B$43&gt;0),IF(MAX(0,Inputs!$B$43-B217)&lt;=0,0,(INT(MAX(0,Inputs!$B$43-B217)/(IF(Inputs!$B$38="pvp",15,MAX(0.1,Skills!D10-IF(Skills!E10=TRUE,Inputs!$B$32,0)))*(1-IF(AND(ArtifactsInput!$M$27,Inputs!$B$4="Chapter Hunt"),CHOOSE(ArtifactsInput!$N$27+1,20,24,28,32,36,40),0)/100)))+1)),0)</f>
        <v/>
      </c>
      <c r="S195">
        <f>IFERROR(O195/N195,0)</f>
        <v/>
      </c>
      <c r="T195">
        <f>IF(C195,(H195*N195*IF(AND(Inputs!$B$38&lt;&gt;"pvp",Inputs!$B$43&gt;0),((Skills!G10*((R195-1)*IF(Skills!H10&gt;0,Skills!I10/Skills!H10,1)+IF(Skills!H10&gt;0,MIN(Skills!I10,MAX(0,MAX(0,Inputs!$B$43-B217)-((R195-1)*(IF(Inputs!$B$38="pvp",15,MAX(0.1,Skills!D10-IF(Skills!E10=TRUE,Inputs!$B$32,0)))*(1-IF(AND(ArtifactsInput!$M$27,Inputs!$B$4="Chapter Hunt"),CHOOSE(ArtifactsInput!$N$27+1,20,24,28,32,36,40),0)/100)))))/Skills!H10,1)))/Inputs!$B$43),G195*Q195)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
        <f>IF(C195,(H195*N195*IF(AND(Inputs!$B$38&lt;&gt;"pvp",Inputs!$B$43&gt;0),((Skills!G10*((R195-1)*IF(Skills!H10&gt;0,Skills!I10/Skills!H10,1)+IF(Skills!H10&gt;0,MIN(Skills!I10,MAX(0,MAX(0,Inputs!$B$43-B217)-((R195-1)*(IF(Inputs!$B$38="pvp",15,MAX(0.1,Skills!D10-IF(Skills!E10=TRUE,Inputs!$B$32,0)))*(1-IF(AND(ArtifactsInput!$M$27,Inputs!$B$4="Chapter Hunt"),CHOOSE(ArtifactsInput!$N$27+1,20,24,28,32,36,40),0)/100)))))/Skills!H10,1)))/Inputs!$B$43),G195*Q195))*IF(Inputs!$B$38="pvp",1,(1+(Inputs!$B$21+Skills!Q10+(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Skills!A11</f>
        <v/>
      </c>
      <c r="B196">
        <f>Skills!B11</f>
        <v/>
      </c>
      <c r="C196">
        <f>Inputs!$B$3&gt;=113</f>
        <v/>
      </c>
      <c r="D196">
        <f>IF(Skills!C11=1,60+Inputs!$B$25+Inputs!$B$29,IF(Skills!C11=2,90+Inputs!$B$26+Inputs!$B$29,IF(Skills!C11=3,120+Inputs!$B$27+Inputs!$B$29,MAX(0,(Inputs!$B$3-100)*3)+Inputs!$B$28+Inputs!$B$29)))</f>
        <v/>
      </c>
      <c r="E196">
        <f>INDEX(FactorTable!$B$2:$Y$301, MATCH(ROUND(MIN(300,MAX(1,D196)),0), FactorTable!$A$2:$A$301,0), Skills!M11+1)</f>
        <v/>
      </c>
      <c r="F196">
        <f>IF(Skills!N11=TRUE,(Skills!L11/10)*(E196/1000),Skills!L11/10)+Skills!O11</f>
        <v/>
      </c>
      <c r="G196">
        <f>Skills!G11*IF(Skills!H11&gt;0,Skills!I11/Skills!H11,1)</f>
        <v/>
      </c>
      <c r="H196">
        <f>1-(1-Skills!J11/100)^Skills!K11</f>
        <v/>
      </c>
      <c r="I196" t="inlineStr">
        <is>
          <t>1</t>
        </is>
      </c>
      <c r="J196">
        <f>((Inputs!$B$6*(1+Inputs!$B$7/100))+(((Inputs!$B$12*(1+Inputs!$B$13/100))-(Inputs!$B$12*(1+Inputs!$B$13/100)))+0.25*(Inputs!$B$14-Inputs!$B$14))*(1+Inputs!$B$7/100))*(F196/100)</f>
        <v/>
      </c>
      <c r="K196">
        <f>J196*(1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C205=TRUE)*(F205-Calc!F20)),(Inputs!$B$23+0+(IF(ArtifactsInput!$M$15,CHOOSE(ArtifactsInput!$N$15+1,25,30,35,40,45,50)/100*(Inputs!$B$11-Inputs!$B$11),0))))/100+(Inputs!$B$23+0+(IF(ArtifactsInput!$M$15,CHOOSE(ArtifactsInput!$N$15+1,25,30,35,40,45,50)/100*(Inputs!$B$11-Inputs!$B$11),0)))/100)/2</f>
        <v/>
      </c>
      <c r="M196">
        <f>L196*(1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(1-Summary!$B$11)*T196+Summary!$B$11*V196</f>
        <v/>
      </c>
      <c r="P196">
        <f>IF(B220=0,0,O196/B220)</f>
        <v/>
      </c>
      <c r="Q196">
        <f>IFERROR(1/(IF(Inputs!$B$38="pvp",15,MAX(0.1,Skills!D11-IF(Skills!E11=TRUE,Inputs!$B$32,0)))*(1-IF(AND(ArtifactsInput!$M$27,Inputs!$B$4="Chapter Hunt"),CHOOSE(ArtifactsInput!$N$27+1,20,24,28,32,36,40),0)/100)),0)</f>
        <v/>
      </c>
      <c r="R196">
        <f>IF(AND(Inputs!$B$38&lt;&gt;"pvp",Inputs!$B$43&gt;0),IF(MAX(0,Inputs!$B$43-B217)&lt;=0,0,(INT(MAX(0,Inputs!$B$43-B217)/(IF(Inputs!$B$38="pvp",15,MAX(0.1,Skills!D11-IF(Skills!E11=TRUE,Inputs!$B$32,0)))*(1-IF(AND(ArtifactsInput!$M$27,Inputs!$B$4="Chapter Hunt"),CHOOSE(ArtifactsInput!$N$27+1,20,24,28,32,36,40),0)/100)))+1)),0)</f>
        <v/>
      </c>
      <c r="S196">
        <f>IFERROR(O196/N196,0)</f>
        <v/>
      </c>
      <c r="T196">
        <f>IF(C196,(H196*N196*IF(AND(Inputs!$B$38&lt;&gt;"pvp",Inputs!$B$43&gt;0),((Skills!G11*((R196-1)*IF(Skills!H11&gt;0,Skills!I11/Skills!H11,1)+IF(Skills!H11&gt;0,MIN(Skills!I11,MAX(0,MAX(0,Inputs!$B$43-B217)-((R196-1)*(IF(Inputs!$B$38="pvp",15,MAX(0.1,Skills!D11-IF(Skills!E11=TRUE,Inputs!$B$32,0)))*(1-IF(AND(ArtifactsInput!$M$27,Inputs!$B$4="Chapter Hunt"),CHOOSE(ArtifactsInput!$N$27+1,20,24,28,32,36,40),0)/100)))))/Skills!H11,1)))/Inputs!$B$43),G196*Q196)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
        <f>IF(C196,(H196*N196*IF(AND(Inputs!$B$38&lt;&gt;"pvp",Inputs!$B$43&gt;0),((Skills!G11*((R196-1)*IF(Skills!H11&gt;0,Skills!I11/Skills!H11,1)+IF(Skills!H11&gt;0,MIN(Skills!I11,MAX(0,MAX(0,Inputs!$B$43-B217)-((R196-1)*(IF(Inputs!$B$38="pvp",15,MAX(0.1,Skills!D11-IF(Skills!E11=TRUE,Inputs!$B$32,0)))*(1-IF(AND(ArtifactsInput!$M$27,Inputs!$B$4="Chapter Hunt"),CHOOSE(ArtifactsInput!$N$27+1,20,24,28,32,36,40),0)/100)))))/Skills!H11,1)))/Inputs!$B$43),G196*Q196))*IF(Inputs!$B$38="pvp",1,(1+(Inputs!$B$21+Skills!Q11+(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Skills!A12</f>
        <v/>
      </c>
      <c r="B197">
        <f>Skills!B12</f>
        <v/>
      </c>
      <c r="C197">
        <f>Inputs!$B$3&gt;=100</f>
        <v/>
      </c>
      <c r="D197">
        <f>IF(Skills!C12=1,60+Inputs!$B$25+Inputs!$B$29,IF(Skills!C12=2,90+Inputs!$B$26+Inputs!$B$29,IF(Skills!C12=3,120+Inputs!$B$27+Inputs!$B$29,MAX(0,(Inputs!$B$3-100)*3)+Inputs!$B$28+Inputs!$B$29)))</f>
        <v/>
      </c>
      <c r="E197">
        <f>INDEX(FactorTable!$B$2:$Y$301, MATCH(ROUND(MIN(300,MAX(1,D197)),0), FactorTable!$A$2:$A$301,0), Skills!M12+1)</f>
        <v/>
      </c>
      <c r="F197">
        <f>IF(Skills!N12=TRUE,(Skills!L12/10)*(E197/1000),Skills!L12/10)+Skills!O12</f>
        <v/>
      </c>
      <c r="G197" t="inlineStr"/>
      <c r="H197" t="inlineStr"/>
      <c r="I197" t="inlineStr">
        <is>
          <t>1</t>
        </is>
      </c>
      <c r="J197" t="inlineStr"/>
      <c r="K197" t="inlineStr"/>
      <c r="L197" t="inlineStr"/>
      <c r="M197" t="inlineStr"/>
      <c r="N197" t="inlineStr"/>
      <c r="O197" t="inlineStr"/>
      <c r="P197" t="inlineStr"/>
      <c r="Q197" t="inlineStr"/>
      <c r="R197" t="inlineStr"/>
      <c r="S197" t="inlineStr"/>
      <c r="T197" t="inlineStr"/>
      <c r="V197" t="inlineStr"/>
    </row>
    <row r="198">
      <c r="A198">
        <f>Skills!A13</f>
        <v/>
      </c>
      <c r="B198">
        <f>Skills!B13</f>
        <v/>
      </c>
      <c r="C198">
        <f>Inputs!$B$3&gt;=66</f>
        <v/>
      </c>
      <c r="D198">
        <f>IF(Skills!C13=1,60+Inputs!$B$25+Inputs!$B$29,IF(Skills!C13=2,90+Inputs!$B$26+Inputs!$B$29,IF(Skills!C13=3,120+Inputs!$B$27+Inputs!$B$29,MAX(0,(Inputs!$B$3-100)*3)+Inputs!$B$28+Inputs!$B$29)))</f>
        <v/>
      </c>
      <c r="E198">
        <f>INDEX(FactorTable!$B$2:$Y$301, MATCH(ROUND(MIN(300,MAX(1,D198)),0), FactorTable!$A$2:$A$301,0), Skills!M13+1)</f>
        <v/>
      </c>
      <c r="F198">
        <f>IF(Skills!N13=TRUE,(Skills!L13/10)*(E198/1000),Skills!L13/10)+Skills!O13</f>
        <v/>
      </c>
      <c r="G198">
        <f>Skills!G13*IF(Skills!H13&gt;0,Skills!I13/Skills!H13,1)</f>
        <v/>
      </c>
      <c r="H198">
        <f>1-(1-Skills!J13/100)^Skills!K13</f>
        <v/>
      </c>
      <c r="I198" t="inlineStr">
        <is>
          <t>1</t>
        </is>
      </c>
      <c r="J198" t="inlineStr"/>
      <c r="K198" t="inlineStr"/>
      <c r="L198" t="inlineStr"/>
      <c r="M198" t="inlineStr"/>
      <c r="N198" t="inlineStr"/>
      <c r="O198">
        <f>(1-Summary!$B$11)*T198+Summary!$B$11*V198</f>
        <v/>
      </c>
      <c r="P198">
        <f>IF(B220=0,0,O198/B220)</f>
        <v/>
      </c>
      <c r="Q198" t="n">
        <v>0</v>
      </c>
      <c r="R198" t="n">
        <v>0</v>
      </c>
      <c r="S198">
        <f>IFERROR(O198/N198,0)</f>
        <v/>
      </c>
      <c r="T198" t="n">
        <v>0</v>
      </c>
      <c r="V198" t="n">
        <v>0</v>
      </c>
    </row>
    <row r="199">
      <c r="A199">
        <f>Skills!A14</f>
        <v/>
      </c>
      <c r="B199">
        <f>Skills!B14</f>
        <v/>
      </c>
      <c r="C199">
        <f>Inputs!$B$3&gt;=107</f>
        <v/>
      </c>
      <c r="D199">
        <f>IF(Skills!C14=1,60+Inputs!$B$25+Inputs!$B$29,IF(Skills!C14=2,90+Inputs!$B$26+Inputs!$B$29,IF(Skills!C14=3,120+Inputs!$B$27+Inputs!$B$29,MAX(0,(Inputs!$B$3-100)*3)+Inputs!$B$28+Inputs!$B$29)))</f>
        <v/>
      </c>
      <c r="E199">
        <f>INDEX(FactorTable!$B$2:$Y$301, MATCH(ROUND(MIN(300,MAX(1,D199)),0), FactorTable!$A$2:$A$301,0), Skills!M14+1)</f>
        <v/>
      </c>
      <c r="F199">
        <f>IF(Skills!N14=TRUE,(Skills!L14/10)*(E199/1000),Skills!L14/10)+Skills!O14</f>
        <v/>
      </c>
      <c r="G199">
        <f>Skills!G14*IF(Skills!H14&gt;0,Skills!I14/Skills!H14,1)</f>
        <v/>
      </c>
      <c r="H199">
        <f>1-(1-Skills!J14/100)^Skills!K14</f>
        <v/>
      </c>
      <c r="I199" t="inlineStr">
        <is>
          <t>1</t>
        </is>
      </c>
      <c r="J199" t="inlineStr"/>
      <c r="K199" t="inlineStr"/>
      <c r="L199" t="inlineStr"/>
      <c r="M199" t="inlineStr"/>
      <c r="N199" t="inlineStr"/>
      <c r="O199">
        <f>(1-Summary!$B$11)*T199+Summary!$B$11*V199</f>
        <v/>
      </c>
      <c r="P199">
        <f>IF(B220=0,0,O199/B220)</f>
        <v/>
      </c>
      <c r="Q199" t="n">
        <v>0</v>
      </c>
      <c r="R199" t="n">
        <v>0</v>
      </c>
      <c r="S199">
        <f>IFERROR(O199/N199,0)</f>
        <v/>
      </c>
      <c r="T199" t="n">
        <v>0</v>
      </c>
      <c r="V199" t="n">
        <v>0</v>
      </c>
    </row>
    <row r="200">
      <c r="A200">
        <f>Skills!A15</f>
        <v/>
      </c>
      <c r="B200">
        <f>Skills!B15</f>
        <v/>
      </c>
      <c r="C200">
        <f>Inputs!$B$3&gt;=115</f>
        <v/>
      </c>
      <c r="D200">
        <f>IF(Skills!C15=1,60+Inputs!$B$25+Inputs!$B$29,IF(Skills!C15=2,90+Inputs!$B$26+Inputs!$B$29,IF(Skills!C15=3,120+Inputs!$B$27+Inputs!$B$29,MAX(0,(Inputs!$B$3-100)*3)+Inputs!$B$28+Inputs!$B$29)))</f>
        <v/>
      </c>
      <c r="E200">
        <f>INDEX(FactorTable!$B$2:$Y$301, MATCH(ROUND(MIN(300,MAX(1,D200)),0), FactorTable!$A$2:$A$301,0), Skills!M15+1)</f>
        <v/>
      </c>
      <c r="F200">
        <f>IF(Skills!N15=TRUE,(Skills!L15/10)*(E200/1000),Skills!L15/10)+Skills!O15</f>
        <v/>
      </c>
      <c r="G200">
        <f>Skills!G15*IF(Skills!H15&gt;0,Skills!I15/Skills!H15,1)</f>
        <v/>
      </c>
      <c r="H200">
        <f>1-(1-Skills!J15/100)^Skills!K15</f>
        <v/>
      </c>
      <c r="I200" t="inlineStr">
        <is>
          <t>1</t>
        </is>
      </c>
      <c r="J200" t="inlineStr"/>
      <c r="K200" t="inlineStr"/>
      <c r="L200" t="inlineStr"/>
      <c r="M200" t="inlineStr"/>
      <c r="N200" t="inlineStr"/>
      <c r="O200">
        <f>(1-Summary!$B$11)*T200+Summary!$B$11*V200</f>
        <v/>
      </c>
      <c r="P200">
        <f>IF(B220=0,0,O200/B220)</f>
        <v/>
      </c>
      <c r="Q200" t="n">
        <v>0</v>
      </c>
      <c r="R200" t="n">
        <v>0</v>
      </c>
      <c r="S200">
        <f>IFERROR(O200/N200,0)</f>
        <v/>
      </c>
      <c r="T200" t="n">
        <v>0</v>
      </c>
      <c r="V200" t="n">
        <v>0</v>
      </c>
    </row>
    <row r="201">
      <c r="A201">
        <f>Skills!A16</f>
        <v/>
      </c>
      <c r="B201">
        <f>Skills!B16</f>
        <v/>
      </c>
      <c r="C201">
        <f>Inputs!$B$3&gt;=15</f>
        <v/>
      </c>
      <c r="D201">
        <f>IF(Skills!C16=1,60+Inputs!$B$25+Inputs!$B$29,IF(Skills!C16=2,90+Inputs!$B$26+Inputs!$B$29,IF(Skills!C16=3,120+Inputs!$B$27+Inputs!$B$29,MAX(0,(Inputs!$B$3-100)*3)+Inputs!$B$28+Inputs!$B$29)))</f>
        <v/>
      </c>
      <c r="E201">
        <f>INDEX(FactorTable!$B$2:$Y$301, MATCH(ROUND(MIN(300,MAX(1,D201)),0), FactorTable!$A$2:$A$301,0), Skills!M16+1)</f>
        <v/>
      </c>
      <c r="F201">
        <f>IF(Skills!N16=TRUE,(Skills!L16/10)*(E201/1000),Skills!L16/10)+Skills!O16</f>
        <v/>
      </c>
      <c r="G201">
        <f>Skills!G16*IF(Skills!H16&gt;0,Skills!I16/Skills!H16,1)</f>
        <v/>
      </c>
      <c r="H201">
        <f>1-(1-Skills!J16/100)^Skills!K16</f>
        <v/>
      </c>
      <c r="I201" t="inlineStr">
        <is>
          <t>1</t>
        </is>
      </c>
      <c r="J201" t="inlineStr"/>
      <c r="K201" t="inlineStr"/>
      <c r="L201" t="inlineStr"/>
      <c r="M201" t="inlineStr"/>
      <c r="N201" t="inlineStr"/>
      <c r="O201">
        <f>(1-Summary!$B$11)*T201+Summary!$B$11*V201</f>
        <v/>
      </c>
      <c r="P201">
        <f>IF(B220=0,0,O201/B220)</f>
        <v/>
      </c>
      <c r="Q201" t="n">
        <v>0</v>
      </c>
      <c r="R201" t="n">
        <v>0</v>
      </c>
      <c r="S201">
        <f>IFERROR(O201/N201,0)</f>
        <v/>
      </c>
      <c r="T201" t="n">
        <v>0</v>
      </c>
      <c r="V201" t="n">
        <v>0</v>
      </c>
    </row>
    <row r="202">
      <c r="A202">
        <f>Skills!A17</f>
        <v/>
      </c>
      <c r="B202">
        <f>Skills!B17</f>
        <v/>
      </c>
      <c r="C202">
        <f>Inputs!$B$3&gt;=10</f>
        <v/>
      </c>
      <c r="D202">
        <f>IF(Skills!C17=1,60+Inputs!$B$25+Inputs!$B$29,IF(Skills!C17=2,90+Inputs!$B$26+Inputs!$B$29,IF(Skills!C17=3,120+Inputs!$B$27+Inputs!$B$29,MAX(0,(Inputs!$B$3-100)*3)+Inputs!$B$28+Inputs!$B$29)))</f>
        <v/>
      </c>
      <c r="E202">
        <f>INDEX(FactorTable!$B$2:$Y$301, MATCH(ROUND(MIN(300,MAX(1,D202)),0), FactorTable!$A$2:$A$301,0), Skills!M17+1)</f>
        <v/>
      </c>
      <c r="F202">
        <f>IF(Skills!N17=TRUE,(Skills!L17/10)*(E202/1000),Skills!L17/10)+Skills!O17</f>
        <v/>
      </c>
      <c r="G202">
        <f>Skills!G17*IF(Skills!H17&gt;0,Skills!I17/Skills!H17,1)</f>
        <v/>
      </c>
      <c r="H202">
        <f>1-(1-Skills!J17/100)^Skills!K17</f>
        <v/>
      </c>
      <c r="I202" t="inlineStr">
        <is>
          <t>1</t>
        </is>
      </c>
      <c r="J202" t="inlineStr"/>
      <c r="K202" t="inlineStr"/>
      <c r="L202" t="inlineStr"/>
      <c r="M202" t="inlineStr"/>
      <c r="N202" t="inlineStr"/>
      <c r="O202">
        <f>(1-Summary!$B$11)*T202+Summary!$B$11*V202</f>
        <v/>
      </c>
      <c r="P202">
        <f>IF(B220=0,0,O202/B220)</f>
        <v/>
      </c>
      <c r="Q202" t="n">
        <v>0</v>
      </c>
      <c r="R202" t="n">
        <v>0</v>
      </c>
      <c r="S202">
        <f>IFERROR(O202/N202,0)</f>
        <v/>
      </c>
      <c r="T202" t="n">
        <v>0</v>
      </c>
      <c r="V202" t="n">
        <v>0</v>
      </c>
    </row>
    <row r="203">
      <c r="A203">
        <f>Skills!A18</f>
        <v/>
      </c>
      <c r="B203">
        <f>Skills!B18</f>
        <v/>
      </c>
      <c r="C203">
        <f>Inputs!$B$3&gt;=33</f>
        <v/>
      </c>
      <c r="D203">
        <f>IF(Skills!C18=1,60+Inputs!$B$25+Inputs!$B$29,IF(Skills!C18=2,90+Inputs!$B$26+Inputs!$B$29,IF(Skills!C18=3,120+Inputs!$B$27+Inputs!$B$29,MAX(0,(Inputs!$B$3-100)*3)+Inputs!$B$28+Inputs!$B$29)))</f>
        <v/>
      </c>
      <c r="E203">
        <f>INDEX(FactorTable!$B$2:$Y$301, MATCH(ROUND(MIN(300,MAX(1,D203)),0), FactorTable!$A$2:$A$301,0), Skills!M18+1)</f>
        <v/>
      </c>
      <c r="F203">
        <f>IF(Skills!N18=TRUE,(Skills!L18/10)*(E203/1000),Skills!L18/10)+Skills!O18</f>
        <v/>
      </c>
      <c r="G203">
        <f>Skills!G18*IF(Skills!H18&gt;0,Skills!I18/Skills!H18,1)</f>
        <v/>
      </c>
      <c r="H203">
        <f>1-(1-Skills!J18/100)^Skills!K18</f>
        <v/>
      </c>
      <c r="I203" t="inlineStr">
        <is>
          <t>1</t>
        </is>
      </c>
      <c r="J203" t="inlineStr"/>
      <c r="K203" t="inlineStr"/>
      <c r="L203" t="inlineStr"/>
      <c r="M203" t="inlineStr"/>
      <c r="N203" t="inlineStr"/>
      <c r="O203">
        <f>(1-Summary!$B$11)*T203+Summary!$B$11*V203</f>
        <v/>
      </c>
      <c r="P203">
        <f>IF(B220=0,0,O203/B220)</f>
        <v/>
      </c>
      <c r="Q203" t="n">
        <v>0</v>
      </c>
      <c r="R203" t="n">
        <v>0</v>
      </c>
      <c r="S203">
        <f>IFERROR(O203/N203,0)</f>
        <v/>
      </c>
      <c r="T203" t="n">
        <v>0</v>
      </c>
      <c r="V203" t="n">
        <v>0</v>
      </c>
    </row>
    <row r="204">
      <c r="A204">
        <f>Skills!A19</f>
        <v/>
      </c>
      <c r="B204">
        <f>Skills!B19</f>
        <v/>
      </c>
      <c r="C204">
        <f>Inputs!$B$3&gt;=40</f>
        <v/>
      </c>
      <c r="D204">
        <f>IF(Skills!C19=1,60+Inputs!$B$25+Inputs!$B$29,IF(Skills!C19=2,90+Inputs!$B$26+Inputs!$B$29,IF(Skills!C19=3,120+Inputs!$B$27+Inputs!$B$29,MAX(0,(Inputs!$B$3-100)*3)+Inputs!$B$28+Inputs!$B$29)))</f>
        <v/>
      </c>
      <c r="E204">
        <f>INDEX(FactorTable!$B$2:$Y$301, MATCH(ROUND(MIN(300,MAX(1,D204)),0), FactorTable!$A$2:$A$301,0), Skills!M19+1)</f>
        <v/>
      </c>
      <c r="F204">
        <f>IF(Skills!N19=TRUE,(Skills!L19/10)*(E204/1000),Skills!L19/10)+Skills!O19</f>
        <v/>
      </c>
      <c r="G204">
        <f>Skills!G19*IF(Skills!H19&gt;0,Skills!I19/Skills!H19,1)</f>
        <v/>
      </c>
      <c r="H204">
        <f>1-(1-Skills!J19/100)^Skills!K19</f>
        <v/>
      </c>
      <c r="I204" t="inlineStr">
        <is>
          <t>1</t>
        </is>
      </c>
      <c r="J204" t="inlineStr"/>
      <c r="K204" t="inlineStr"/>
      <c r="L204" t="inlineStr"/>
      <c r="M204" t="inlineStr"/>
      <c r="N204" t="inlineStr"/>
      <c r="O204">
        <f>(1-Summary!$B$11)*T204+Summary!$B$11*V204</f>
        <v/>
      </c>
      <c r="P204">
        <f>IF(B220=0,0,O204/B220)</f>
        <v/>
      </c>
      <c r="Q204" t="n">
        <v>0</v>
      </c>
      <c r="R204" t="n">
        <v>0</v>
      </c>
      <c r="S204">
        <f>IFERROR(O204/N204,0)</f>
        <v/>
      </c>
      <c r="T204" t="n">
        <v>0</v>
      </c>
      <c r="V204" t="n">
        <v>0</v>
      </c>
    </row>
    <row r="205">
      <c r="A205">
        <f>Skills!A20</f>
        <v/>
      </c>
      <c r="B205">
        <f>Skills!B20</f>
        <v/>
      </c>
      <c r="C205">
        <f>Inputs!$B$3&gt;=43</f>
        <v/>
      </c>
      <c r="D205">
        <f>IF(Skills!C20=1,60+Inputs!$B$25+Inputs!$B$29,IF(Skills!C20=2,90+Inputs!$B$26+Inputs!$B$29,IF(Skills!C20=3,120+Inputs!$B$27+Inputs!$B$29,MAX(0,(Inputs!$B$3-100)*3)+Inputs!$B$28+Inputs!$B$29)))</f>
        <v/>
      </c>
      <c r="E205">
        <f>INDEX(FactorTable!$B$2:$Y$301, MATCH(ROUND(MIN(300,MAX(1,D205)),0), FactorTable!$A$2:$A$301,0), Skills!M20+1)</f>
        <v/>
      </c>
      <c r="F205">
        <f>IF(Skills!N20=TRUE,(Skills!L20/10)*(E205/1000),Skills!L20/10)+Skills!O20</f>
        <v/>
      </c>
      <c r="G205">
        <f>Skills!G20*IF(Skills!H20&gt;0,Skills!I20/Skills!H20,1)</f>
        <v/>
      </c>
      <c r="H205">
        <f>1-(1-Skills!J20/100)^Skills!K20</f>
        <v/>
      </c>
      <c r="I205" t="inlineStr">
        <is>
          <t>1</t>
        </is>
      </c>
      <c r="J205" t="inlineStr"/>
      <c r="K205" t="inlineStr"/>
      <c r="L205" t="inlineStr"/>
      <c r="M205" t="inlineStr"/>
      <c r="N205" t="inlineStr"/>
      <c r="O205">
        <f>(1-Summary!$B$11)*T205+Summary!$B$11*V205</f>
        <v/>
      </c>
      <c r="P205">
        <f>IF(B220=0,0,O205/B220)</f>
        <v/>
      </c>
      <c r="Q205" t="n">
        <v>0</v>
      </c>
      <c r="R205" t="n">
        <v>0</v>
      </c>
      <c r="S205">
        <f>IFERROR(O205/N205,0)</f>
        <v/>
      </c>
      <c r="T205" t="n">
        <v>0</v>
      </c>
      <c r="V205" t="n">
        <v>0</v>
      </c>
    </row>
    <row r="206">
      <c r="A206">
        <f>Skills!A21</f>
        <v/>
      </c>
      <c r="B206">
        <f>Skills!B21</f>
        <v/>
      </c>
      <c r="C206">
        <f>Inputs!$B$3&gt;=38</f>
        <v/>
      </c>
      <c r="D206">
        <f>IF(Skills!C21=1,60+Inputs!$B$25+Inputs!$B$29,IF(Skills!C21=2,90+Inputs!$B$26+Inputs!$B$29,IF(Skills!C21=3,120+Inputs!$B$27+Inputs!$B$29,MAX(0,(Inputs!$B$3-100)*3)+Inputs!$B$28+Inputs!$B$29)))</f>
        <v/>
      </c>
      <c r="E206">
        <f>INDEX(FactorTable!$B$2:$Y$301, MATCH(ROUND(MIN(300,MAX(1,D206)),0), FactorTable!$A$2:$A$301,0), Skills!M21+1)</f>
        <v/>
      </c>
      <c r="F206">
        <f>IF(Skills!N21=TRUE,(Skills!L21/10)*(E206/1000),Skills!L21/10)+Skills!O21</f>
        <v/>
      </c>
      <c r="G206">
        <f>Skills!G21*IF(Skills!H21&gt;0,Skills!I21/Skills!H21,1)</f>
        <v/>
      </c>
      <c r="H206">
        <f>1-(1-Skills!J21/100)^Skills!K21</f>
        <v/>
      </c>
      <c r="I206" t="inlineStr">
        <is>
          <t>1</t>
        </is>
      </c>
      <c r="J206" t="inlineStr"/>
      <c r="K206" t="inlineStr"/>
      <c r="L206" t="inlineStr"/>
      <c r="M206" t="inlineStr"/>
      <c r="N206" t="inlineStr"/>
      <c r="O206">
        <f>(1-Summary!$B$11)*T206+Summary!$B$11*V206</f>
        <v/>
      </c>
      <c r="P206">
        <f>IF(B220=0,0,O206/B220)</f>
        <v/>
      </c>
      <c r="Q206" t="n">
        <v>0</v>
      </c>
      <c r="R206" t="n">
        <v>0</v>
      </c>
      <c r="S206">
        <f>IFERROR(O206/N206,0)</f>
        <v/>
      </c>
      <c r="T206" t="n">
        <v>0</v>
      </c>
      <c r="V206" t="n">
        <v>0</v>
      </c>
    </row>
    <row r="207">
      <c r="A207">
        <f>Skills!A22</f>
        <v/>
      </c>
      <c r="B207">
        <f>Skills!B22</f>
        <v/>
      </c>
      <c r="C207">
        <f>Inputs!$B$3&gt;=75</f>
        <v/>
      </c>
      <c r="D207">
        <f>IF(Skills!C22=1,60+Inputs!$B$25+Inputs!$B$29,IF(Skills!C22=2,90+Inputs!$B$26+Inputs!$B$29,IF(Skills!C22=3,120+Inputs!$B$27+Inputs!$B$29,MAX(0,(Inputs!$B$3-100)*3)+Inputs!$B$28+Inputs!$B$29)))</f>
        <v/>
      </c>
      <c r="E207">
        <f>INDEX(FactorTable!$B$2:$Y$301, MATCH(ROUND(MIN(300,MAX(1,D207)),0), FactorTable!$A$2:$A$301,0), Skills!M22+1)</f>
        <v/>
      </c>
      <c r="F207">
        <f>IF(Skills!N22=TRUE,(Skills!L22/10)*(E207/1000),Skills!L22/10)+Skills!O22</f>
        <v/>
      </c>
      <c r="G207">
        <f>Skills!G22*IF(Skills!H22&gt;0,Skills!I22/Skills!H22,1)</f>
        <v/>
      </c>
      <c r="H207">
        <f>1-(1-Skills!J22/100)^Skills!K22</f>
        <v/>
      </c>
      <c r="I207" t="inlineStr">
        <is>
          <t>1</t>
        </is>
      </c>
      <c r="J207" t="inlineStr"/>
      <c r="K207" t="inlineStr"/>
      <c r="L207" t="inlineStr"/>
      <c r="M207" t="inlineStr"/>
      <c r="N207" t="inlineStr"/>
      <c r="O207">
        <f>(1-Summary!$B$11)*T207+Summary!$B$11*V207</f>
        <v/>
      </c>
      <c r="P207">
        <f>IF(B220=0,0,O207/B220)</f>
        <v/>
      </c>
      <c r="Q207" t="n">
        <v>0</v>
      </c>
      <c r="R207" t="n">
        <v>0</v>
      </c>
      <c r="S207">
        <f>IFERROR(O207/N207,0)</f>
        <v/>
      </c>
      <c r="T207" t="n">
        <v>0</v>
      </c>
      <c r="V207" t="n">
        <v>0</v>
      </c>
    </row>
    <row r="209">
      <c r="A209" t="inlineStr">
        <is>
          <t>Attack% Bucket Multiplier</t>
        </is>
      </c>
      <c r="B209">
        <f>(1+(((C198=TRUE)*F198)+((C204=TRUE)*(F204-Calc!F19))+(IF(ArtifactsInput!$M$21,CHOOSE(ArtifactsInput!$N$21+1,25,30,35,40,45,50)*(IF(OR(Inputs!$B$4="Chapter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0">
      <c r="A210" t="inlineStr">
        <is>
          <t>Global Crit Rate Bonus %</t>
        </is>
      </c>
      <c r="B210" t="n">
        <v>0</v>
      </c>
    </row>
    <row r="211">
      <c r="A211" t="inlineStr">
        <is>
          <t>Attack Speed Buff Bonus % (unused)</t>
        </is>
      </c>
      <c r="B211" t="n">
        <v>0</v>
      </c>
    </row>
    <row r="212">
      <c r="A212" t="inlineStr">
        <is>
          <t>Actions Per Second</t>
        </is>
      </c>
      <c r="B212">
        <f>1+MIN(150,150*(1-(1-(Inputs!$B$11+((C202=TRUE)*(F202-Calc!F17))+((C203=TRUE)*(F203-Calc!F18)))/150)*(1-B211/150)))/100</f>
        <v/>
      </c>
    </row>
    <row r="213">
      <c r="A213" t="inlineStr">
        <is>
          <t>Skill + Buff Cast Rate</t>
        </is>
      </c>
      <c r="B213">
        <f>IF(AND(Inputs!$B$38&lt;&gt;"pvp",Inputs!$B$43&gt;0),SUMPRODUCT((Skills!E2:E22=TRUE)*(C187:C207=TRUE)*R187:R207*Skills!F2:F22)/Inputs!$B$43,SUMPRODUCT((Skills!E2:E22=TRUE)*(C187:C207=TRUE)*Q187:Q207*Skills!F2:F22))</f>
        <v/>
      </c>
    </row>
    <row r="214">
      <c r="A214" t="inlineStr">
        <is>
          <t>Hook Bomber Casts Per Second</t>
        </is>
      </c>
      <c r="B214">
        <f>MAX(0,B212-B213)</f>
        <v/>
      </c>
    </row>
    <row r="215">
      <c r="A215" t="inlineStr">
        <is>
          <t>Global Critical Damage Bonus % (unused)</t>
        </is>
      </c>
      <c r="B215" t="n">
        <v>0</v>
      </c>
    </row>
    <row r="216">
      <c r="A216" t="inlineStr">
        <is>
          <t>Global Final Damage Bonus % (Serpent Scale + Crossbones + Time Leap + Speed Infusion)</t>
        </is>
      </c>
      <c r="B216">
        <f>((C190=TRUE)*F190*((10+IF(Inputs!$B$3&gt;=94,5,0))/((10+IF(Inputs!$B$3&gt;=94,5,0))+5/(B214*(1+IF(Inputs!$B$3&gt;=104,1,0))))))+((C199=TRUE)*F199)+((C200=TRUE)*F200)+((Inputs!$B$3&gt;=110)*20*(B212-1))</f>
        <v/>
      </c>
    </row>
    <row r="217">
      <c r="A217" t="inlineStr">
        <is>
          <t>Buff-Casting Startup Delay (s, fixed-duration only)</t>
        </is>
      </c>
      <c r="B217">
        <f>IF(AND(Inputs!$B$38&lt;&gt;"pvp",Inputs!$B$43&gt;0),SUMPRODUCT((Skills!T2:T22&gt;0)*(Skills!E2:E22=TRUE)*(C187:C207=TRUE))/B212,0)</f>
        <v/>
      </c>
    </row>
    <row r="218">
      <c r="A218" t="inlineStr">
        <is>
          <t>Boss-Only Total DPS (this block's swept value)</t>
        </is>
      </c>
      <c r="B218">
        <f>SUM(T187:T207)</f>
        <v/>
      </c>
    </row>
    <row r="219">
      <c r="A219" t="inlineStr">
        <is>
          <t>Normal-Only Total DPS (this block's swept value)</t>
        </is>
      </c>
      <c r="B219">
        <f>SUM(V187:V207)</f>
        <v/>
      </c>
    </row>
    <row r="220">
      <c r="A220" s="6" t="inlineStr">
        <is>
          <t>TOTAL DPS</t>
        </is>
      </c>
      <c r="B220" s="6">
        <f>SUM(O187:O207)</f>
        <v/>
      </c>
    </row>
    <row r="223">
      <c r="A223" s="6" t="inlineStr">
        <is>
          <t>Stat: DAMAGE_AMP %</t>
        </is>
      </c>
    </row>
    <row r="224">
      <c r="A224" s="5" t="inlineStr">
        <is>
          <t>Key</t>
        </is>
      </c>
      <c r="B224" s="5" t="inlineStr">
        <is>
          <t>Name</t>
        </is>
      </c>
      <c r="C224" s="5" t="inlineStr">
        <is>
          <t>Unlocked</t>
        </is>
      </c>
      <c r="D224" s="5" t="inlineStr">
        <is>
          <t>InputLevel</t>
        </is>
      </c>
      <c r="E224" s="5" t="inlineStr">
        <is>
          <t>Factor</t>
        </is>
      </c>
      <c r="F224" s="5" t="inlineStr">
        <is>
          <t>CoefficientPercent</t>
        </is>
      </c>
      <c r="G224" s="5" t="inlineStr">
        <is>
          <t>EffectiveHits</t>
        </is>
      </c>
      <c r="H224" s="5" t="inlineStr">
        <is>
          <t>ProcProbability</t>
        </is>
      </c>
      <c r="I224" s="5" t="inlineStr">
        <is>
          <t>MapleHeroMultiplier</t>
        </is>
      </c>
      <c r="J224" s="5" t="inlineStr">
        <is>
          <t>BaseDamage</t>
        </is>
      </c>
      <c r="K224" s="5" t="inlineStr">
        <is>
          <t>BaseHitDamage</t>
        </is>
      </c>
      <c r="L224" s="5" t="inlineStr">
        <is>
          <t>NonCritAvg</t>
        </is>
      </c>
      <c r="M224" s="5" t="inlineStr">
        <is>
          <t>CritAvg</t>
        </is>
      </c>
      <c r="N224" s="5" t="inlineStr">
        <is>
          <t>ExpectedDamage(perHit)</t>
        </is>
      </c>
      <c r="O224" s="5" t="inlineStr">
        <is>
          <t>DPS</t>
        </is>
      </c>
      <c r="P224" s="5" t="inlineStr">
        <is>
          <t>% of Total</t>
        </is>
      </c>
      <c r="Q224" s="5" t="inlineStr">
        <is>
          <t>InvCooldown</t>
        </is>
      </c>
      <c r="R224" s="5" t="inlineStr">
        <is>
          <t>CastsInFight</t>
        </is>
      </c>
      <c r="S224" s="5" t="inlineStr">
        <is>
          <t>HitRate(perSec)</t>
        </is>
      </c>
      <c r="U224" t="inlineStr">
        <is>
          <t>helpers</t>
        </is>
      </c>
    </row>
    <row r="225">
      <c r="A225">
        <f>Skills!A2</f>
        <v/>
      </c>
      <c r="B225">
        <f>Skills!B2</f>
        <v/>
      </c>
      <c r="C225">
        <f>Inputs!$B$3&gt;=100</f>
        <v/>
      </c>
      <c r="D225" t="inlineStr"/>
      <c r="E225" t="inlineStr"/>
      <c r="F225">
        <f>U227+Skills!O2</f>
        <v/>
      </c>
      <c r="G225">
        <f>Skills!G2*IF(Skills!H2&gt;0,Skills!I2/Skills!H2,1)</f>
        <v/>
      </c>
      <c r="H225">
        <f>1-(1-Skills!J2/100)^Skills!K2</f>
        <v/>
      </c>
      <c r="I225" t="inlineStr">
        <is>
          <t>1</t>
        </is>
      </c>
      <c r="J225">
        <f>((Inputs!$B$6*(1+Inputs!$B$7/100))+(((Inputs!$B$12*(1+Inputs!$B$13/100))-(Inputs!$B$12*(1+Inputs!$B$13/100)))+0.25*(Inputs!$B$14-Inputs!$B$14))*(1+Inputs!$B$7/100))*(F225/100)</f>
        <v/>
      </c>
      <c r="K225">
        <f>J225*(1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f>
        <v/>
      </c>
      <c r="L225">
        <f>K225*(MIN(Inputs!$B$22+((C243=TRUE)*(F243-Calc!F20)),(Inputs!$B$23+0+(IF(ArtifactsInput!$M$15,CHOOSE(ArtifactsInput!$N$15+1,25,30,35,40,45,50)/100*(Inputs!$B$11-Inputs!$B$11),0))))/100+(Inputs!$B$23+0+(IF(ArtifactsInput!$M$15,CHOOSE(ArtifactsInput!$N$15+1,25,30,35,40,45,50)/100*(Inputs!$B$11-Inputs!$B$11),0)))/100)/2</f>
        <v/>
      </c>
      <c r="M225">
        <f>L225*(1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
        <f>L225*(1-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
        <f>(1-Summary!$B$11)*T225+Summary!$B$11*V225</f>
        <v/>
      </c>
      <c r="P225">
        <f>IF(B258=0,0,O225/B258)</f>
        <v/>
      </c>
      <c r="Q225" t="n">
        <v>0</v>
      </c>
      <c r="R225" t="n">
        <v>0</v>
      </c>
      <c r="S225">
        <f>IFERROR(O225/N225,0)</f>
        <v/>
      </c>
      <c r="T225">
        <f>IF(C225,(Skills!G2*N225*B252)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
        <f>MAX(0,(Inputs!$B$3-100)*3)+Inputs!$B$28+Inputs!$B$29</f>
        <v/>
      </c>
      <c r="V225">
        <f>IF(C225,(Skills!G2*N225*B252)*IF(Inputs!$B$38="pvp",1,(1+(Inputs!$B$21+Skills!Q2+(IF(ArtifactsInput!$M$33,CHOOSE(ArtifactsInput!$N$33+1,30,36,42,48,54,60),0))+(IF(AND(ArtifactsInput!$M$35,Inputs!$B$4&lt;&gt;"Chapter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
      <c r="A226">
        <f>Skills!A3</f>
        <v/>
      </c>
      <c r="B226">
        <f>Skills!B3</f>
        <v/>
      </c>
      <c r="C226">
        <f>Inputs!$B$3&gt;=35</f>
        <v/>
      </c>
      <c r="D226">
        <f>IF(Skills!C3=1,60+Inputs!$B$25+Inputs!$B$29,IF(Skills!C3=2,90+Inputs!$B$26+Inputs!$B$29,IF(Skills!C3=3,120+Inputs!$B$27+Inputs!$B$29,MAX(0,(Inputs!$B$3-100)*3)+Inputs!$B$28+Inputs!$B$29)))</f>
        <v/>
      </c>
      <c r="E226">
        <f>INDEX(FactorTable!$B$2:$Y$301, MATCH(ROUND(MIN(300,MAX(1,D226)),0), FactorTable!$A$2:$A$301,0), Skills!M3+1)</f>
        <v/>
      </c>
      <c r="F226">
        <f>IF(Skills!N3=TRUE,(Skills!L3/10)*(E226/1000),Skills!L3/10)+Skills!O3</f>
        <v/>
      </c>
      <c r="G226">
        <f>Skills!G3*IF(Skills!H3&gt;0,Skills!I3/Skills!H3,1)</f>
        <v/>
      </c>
      <c r="H226">
        <f>1-(1-Skills!J3/100)^Skills!K3</f>
        <v/>
      </c>
      <c r="I226" t="inlineStr">
        <is>
          <t>1</t>
        </is>
      </c>
      <c r="J226">
        <f>((Inputs!$B$6*(1+Inputs!$B$7/100))+(((Inputs!$B$12*(1+Inputs!$B$13/100))-(Inputs!$B$12*(1+Inputs!$B$13/100)))+0.25*(Inputs!$B$14-Inputs!$B$14))*(1+Inputs!$B$7/100))*(F226/100)</f>
        <v/>
      </c>
      <c r="K226">
        <f>J226*(1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f>
        <v/>
      </c>
      <c r="L226">
        <f>K226*(MIN(Inputs!$B$22+((C243=TRUE)*(F243-Calc!F20)),(Inputs!$B$23+0+(IF(ArtifactsInput!$M$15,CHOOSE(ArtifactsInput!$N$15+1,25,30,35,40,45,50)/100*(Inputs!$B$11-Inputs!$B$11),0))))/100+(Inputs!$B$23+0+(IF(ArtifactsInput!$M$15,CHOOSE(ArtifactsInput!$N$15+1,25,30,35,40,45,50)/100*(Inputs!$B$11-Inputs!$B$11),0)))/100)/2</f>
        <v/>
      </c>
      <c r="M226">
        <f>L226*(1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
        <f>L226*(1-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
        <f>(1-Summary!$B$11)*T226+Summary!$B$11*V226</f>
        <v/>
      </c>
      <c r="P226">
        <f>IF(B258=0,0,O226/B258)</f>
        <v/>
      </c>
      <c r="Q226" t="n">
        <v>0</v>
      </c>
      <c r="R226" t="n">
        <v>0</v>
      </c>
      <c r="S226">
        <f>IFERROR(O226/N226,0)</f>
        <v/>
      </c>
      <c r="T226">
        <f>IF(C226,(Skills!G3*H226*N226*B252)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
        <f>INDEX(FactorTable!$B$2:$Y$301, MATCH(ROUND(MIN(300,MAX(1,U225)),0), FactorTable!$A$2:$A$301,0), 22)</f>
        <v/>
      </c>
      <c r="V226">
        <f>IF(C226,(Skills!G3*H226*N226*B252)*IF(Inputs!$B$38="pvp",1,(1+(Inputs!$B$21+Skills!Q3+(IF(ArtifactsInput!$M$33,CHOOSE(ArtifactsInput!$N$33+1,30,36,42,48,54,60),0))+(IF(AND(ArtifactsInput!$M$35,Inputs!$B$4&lt;&gt;"Chapter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
      <c r="A227">
        <f>Skills!A4</f>
        <v/>
      </c>
      <c r="B227">
        <f>Skills!B4</f>
        <v/>
      </c>
      <c r="C227">
        <f>Inputs!$B$3&gt;=60</f>
        <v/>
      </c>
      <c r="D227">
        <f>IF(Skills!C4=1,60+Inputs!$B$25+Inputs!$B$29,IF(Skills!C4=2,90+Inputs!$B$26+Inputs!$B$29,IF(Skills!C4=3,120+Inputs!$B$27+Inputs!$B$29,MAX(0,(Inputs!$B$3-100)*3)+Inputs!$B$28+Inputs!$B$29)))</f>
        <v/>
      </c>
      <c r="E227">
        <f>INDEX(FactorTable!$B$2:$Y$301, MATCH(ROUND(MIN(300,MAX(1,D227)),0), FactorTable!$A$2:$A$301,0), Skills!M4+1)</f>
        <v/>
      </c>
      <c r="F227">
        <f>IF(Skills!N4=TRUE,(Skills!L4/10)*(E227/1000),Skills!L4/10)+Skills!O4</f>
        <v/>
      </c>
      <c r="G227">
        <f>Skills!G4*IF(Skills!H4&gt;0,Skills!I4/Skills!H4,1)</f>
        <v/>
      </c>
      <c r="H227">
        <f>1-(1-Skills!J4/100)^Skills!K4</f>
        <v/>
      </c>
      <c r="I227" t="inlineStr">
        <is>
          <t>1</t>
        </is>
      </c>
      <c r="J227">
        <f>((Inputs!$B$6*(1+Inputs!$B$7/100))+(((Inputs!$B$12*(1+Inputs!$B$13/100))-(Inputs!$B$12*(1+Inputs!$B$13/100)))+0.25*(Inputs!$B$14-Inputs!$B$14))*(1+Inputs!$B$7/100))*(F227/100)</f>
        <v/>
      </c>
      <c r="K227">
        <f>J227*(1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235=TRUE,F235,0)/100)*(1+(IF(Skills!A4="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f>
        <v/>
      </c>
      <c r="L227">
        <f>K227*(MIN(Inputs!$B$22+((C243=TRUE)*(F243-Calc!F20)),(Inputs!$B$23+0+(IF(ArtifactsInput!$M$15,CHOOSE(ArtifactsInput!$N$15+1,25,30,35,40,45,50)/100*(Inputs!$B$11-Inputs!$B$11),0))))/100+(Inputs!$B$23+0+(IF(ArtifactsInput!$M$15,CHOOSE(ArtifactsInput!$N$15+1,25,30,35,40,45,50)/100*(Inputs!$B$11-Inputs!$B$11),0)))/100)/2</f>
        <v/>
      </c>
      <c r="M227">
        <f>L227*(1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
        <f>L227*(1-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
        <f>(1-Summary!$B$11)*T227+Summary!$B$11*V227</f>
        <v/>
      </c>
      <c r="P227">
        <f>IF(B258=0,0,O227/B258)</f>
        <v/>
      </c>
      <c r="Q227" t="n">
        <v>0</v>
      </c>
      <c r="R227" t="n">
        <v>0</v>
      </c>
      <c r="S227">
        <f>IFERROR(O227/N227,0)</f>
        <v/>
      </c>
      <c r="T227">
        <f>IF(C227,(Skills!G4*H227*N227*B252)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
        <f>290*U226/1000</f>
        <v/>
      </c>
      <c r="V227">
        <f>IF(C227,(Skills!G4*H227*N227*B252)*IF(Inputs!$B$38="pvp",1,(1+(Inputs!$B$21+Skills!Q4+(IF(ArtifactsInput!$M$33,CHOOSE(ArtifactsInput!$N$33+1,30,36,42,48,54,60),0))+(IF(AND(ArtifactsInput!$M$35,Inputs!$B$4&lt;&gt;"Chapter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
      <c r="A228">
        <f>Skills!A5</f>
        <v/>
      </c>
      <c r="B228">
        <f>Skills!B5</f>
        <v/>
      </c>
      <c r="C228">
        <f>Inputs!$B$3&gt;=60</f>
        <v/>
      </c>
      <c r="D228">
        <f>IF(Skills!C5=1,60+Inputs!$B$25+Inputs!$B$29,IF(Skills!C5=2,90+Inputs!$B$26+Inputs!$B$29,IF(Skills!C5=3,120+Inputs!$B$27+Inputs!$B$29,MAX(0,(Inputs!$B$3-100)*3)+Inputs!$B$28+Inputs!$B$29)))</f>
        <v/>
      </c>
      <c r="E228">
        <f>INDEX(FactorTable!$B$2:$Y$301, MATCH(ROUND(MIN(300,MAX(1,D228)),0), FactorTable!$A$2:$A$301,0), Skills!M5+1)</f>
        <v/>
      </c>
      <c r="F228">
        <f>IF(Skills!N5=TRUE,(Skills!L5/10)*(E228/1000),Skills!L5/10)+Skills!O5</f>
        <v/>
      </c>
      <c r="G228">
        <f>Skills!G5*IF(Skills!H5&gt;0,Skills!I5/Skills!H5,1)</f>
        <v/>
      </c>
      <c r="H228">
        <f>1-(1-Skills!J5/100)^Skills!K5</f>
        <v/>
      </c>
      <c r="I228" t="inlineStr">
        <is>
          <t>1</t>
        </is>
      </c>
      <c r="J228" t="inlineStr"/>
      <c r="K228" t="inlineStr"/>
      <c r="L228" t="inlineStr"/>
      <c r="M228" t="inlineStr"/>
      <c r="N228" t="inlineStr"/>
      <c r="O228">
        <f>(1-Summary!$B$11)*T228+Summary!$B$11*V228</f>
        <v/>
      </c>
      <c r="P228">
        <f>IF(B258=0,0,O228/B258)</f>
        <v/>
      </c>
      <c r="Q228" t="n">
        <v>0</v>
      </c>
      <c r="R228" t="n">
        <v>0</v>
      </c>
      <c r="S228">
        <f>IFERROR(O228/N228,0)</f>
        <v/>
      </c>
      <c r="T228" t="n">
        <v>0</v>
      </c>
      <c r="V228" t="n">
        <v>0</v>
      </c>
    </row>
    <row r="229">
      <c r="A229">
        <f>Skills!A6</f>
        <v/>
      </c>
      <c r="B229">
        <f>Skills!B6</f>
        <v/>
      </c>
      <c r="C229">
        <f>Inputs!$B$3&gt;=63</f>
        <v/>
      </c>
      <c r="D229">
        <f>IF(Skills!C6=1,60+Inputs!$B$25+Inputs!$B$29,IF(Skills!C6=2,90+Inputs!$B$26+Inputs!$B$29,IF(Skills!C6=3,120+Inputs!$B$27+Inputs!$B$29,MAX(0,(Inputs!$B$3-100)*3)+Inputs!$B$28+Inputs!$B$29)))</f>
        <v/>
      </c>
      <c r="E229">
        <f>INDEX(FactorTable!$B$2:$Y$301, MATCH(ROUND(MIN(300,MAX(1,D229)),0), FactorTable!$A$2:$A$301,0), Skills!M6+1)</f>
        <v/>
      </c>
      <c r="F229">
        <f>IF(Skills!N6=TRUE,(Skills!L6/10)*(E229/1000),Skills!L6/10)+Skills!O6</f>
        <v/>
      </c>
      <c r="G229">
        <f>Skills!G6*IF(Skills!H6&gt;0,Skills!I6/Skills!H6,1)</f>
        <v/>
      </c>
      <c r="H229">
        <f>1-(1-Skills!J6/100)^Skills!K6</f>
        <v/>
      </c>
      <c r="I229" t="inlineStr">
        <is>
          <t>1</t>
        </is>
      </c>
      <c r="J229">
        <f>((Inputs!$B$6*(1+Inputs!$B$7/100))+(((Inputs!$B$12*(1+Inputs!$B$13/100))-(Inputs!$B$12*(1+Inputs!$B$13/100)))+0.25*(Inputs!$B$14-Inputs!$B$14))*(1+Inputs!$B$7/100))*(F229/100)</f>
        <v/>
      </c>
      <c r="K229">
        <f>J229*(1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f>
        <v/>
      </c>
      <c r="L229">
        <f>K229*(MIN(Inputs!$B$22+((C243=TRUE)*(F243-Calc!F20)),(Inputs!$B$23+0+(IF(ArtifactsInput!$M$15,CHOOSE(ArtifactsInput!$N$15+1,25,30,35,40,45,50)/100*(Inputs!$B$11-Inputs!$B$11),0))))/100+(Inputs!$B$23+0+(IF(ArtifactsInput!$M$15,CHOOSE(ArtifactsInput!$N$15+1,25,30,35,40,45,50)/100*(Inputs!$B$11-Inputs!$B$11),0)))/100)/2</f>
        <v/>
      </c>
      <c r="M229">
        <f>L229*(1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
        <f>L229*(1-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
        <f>(1-Summary!$B$11)*T229+Summary!$B$11*V229</f>
        <v/>
      </c>
      <c r="P229">
        <f>IF(B258=0,0,O229/B258)</f>
        <v/>
      </c>
      <c r="Q229">
        <f>IFERROR(1/(IF(Inputs!$B$38="pvp",15,MAX(0.1,Skills!D6-IF(Skills!E6=TRUE,Inputs!$B$32,0)))*(1-IF(AND(ArtifactsInput!$M$27,Inputs!$B$4="Chapter Hunt"),CHOOSE(ArtifactsInput!$N$27+1,20,24,28,32,36,40),0)/100)),0)</f>
        <v/>
      </c>
      <c r="R229">
        <f>IF(AND(Inputs!$B$38&lt;&gt;"pvp",Inputs!$B$43&gt;0),IF(MAX(0,Inputs!$B$43-B255)&lt;=0,0,(INT(MAX(0,Inputs!$B$43-B255)/(IF(Inputs!$B$38="pvp",15,MAX(0.1,Skills!D6-IF(Skills!E6=TRUE,Inputs!$B$32,0)))*(1-IF(AND(ArtifactsInput!$M$27,Inputs!$B$4="Chapter Hunt"),CHOOSE(ArtifactsInput!$N$27+1,20,24,28,32,36,40),0)/100)))+1)),0)</f>
        <v/>
      </c>
      <c r="S229">
        <f>IFERROR(O229/N229,0)</f>
        <v/>
      </c>
      <c r="T229">
        <f>IF(C229,(H229*N229*IF(AND(Inputs!$B$38&lt;&gt;"pvp",Inputs!$B$43&gt;0),((Skills!G6*((R229-1)*IF(Skills!H6&gt;0,Skills!I6/Skills!H6,1)+IF(Skills!H6&gt;0,MIN(Skills!I6,MAX(0,MAX(0,Inputs!$B$43-B255)-((R229-1)*(IF(Inputs!$B$38="pvp",15,MAX(0.1,Skills!D6-IF(Skills!E6=TRUE,Inputs!$B$32,0)))*(1-IF(AND(ArtifactsInput!$M$27,Inputs!$B$4="Chapter Hunt"),CHOOSE(ArtifactsInput!$N$27+1,20,24,28,32,36,40),0)/100)))))/Skills!H6,1)))/Inputs!$B$43),G229*Q229)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
        <f>IF(C229,(H229*N229*IF(AND(Inputs!$B$38&lt;&gt;"pvp",Inputs!$B$43&gt;0),((Skills!G6*((R229-1)*IF(Skills!H6&gt;0,Skills!I6/Skills!H6,1)+IF(Skills!H6&gt;0,MIN(Skills!I6,MAX(0,MAX(0,Inputs!$B$43-B255)-((R229-1)*(IF(Inputs!$B$38="pvp",15,MAX(0.1,Skills!D6-IF(Skills!E6=TRUE,Inputs!$B$32,0)))*(1-IF(AND(ArtifactsInput!$M$27,Inputs!$B$4="Chapter Hunt"),CHOOSE(ArtifactsInput!$N$27+1,20,24,28,32,36,40),0)/100)))))/Skills!H6,1)))/Inputs!$B$43),G229*Q229))*IF(Inputs!$B$38="pvp",1,(1+(Inputs!$B$21+Skills!Q6+(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
      <c r="A230">
        <f>Skills!A7</f>
        <v/>
      </c>
      <c r="B230">
        <f>Skills!B7</f>
        <v/>
      </c>
      <c r="C230">
        <f>Inputs!$B$3&gt;=100</f>
        <v/>
      </c>
      <c r="D230">
        <f>IF(Skills!C7=1,60+Inputs!$B$25+Inputs!$B$29,IF(Skills!C7=2,90+Inputs!$B$26+Inputs!$B$29,IF(Skills!C7=3,120+Inputs!$B$27+Inputs!$B$29,MAX(0,(Inputs!$B$3-100)*3)+Inputs!$B$28+Inputs!$B$29)))</f>
        <v/>
      </c>
      <c r="E230">
        <f>INDEX(FactorTable!$B$2:$Y$301, MATCH(ROUND(MIN(300,MAX(1,D230)),0), FactorTable!$A$2:$A$301,0), Skills!M7+1)</f>
        <v/>
      </c>
      <c r="F230">
        <f>IF(Skills!N7=TRUE,(Skills!L7/10)*(E230/1000),Skills!L7/10)+Skills!O7</f>
        <v/>
      </c>
      <c r="G230">
        <f>Skills!G7*IF(Skills!H7&gt;0,Skills!I7/Skills!H7,1)</f>
        <v/>
      </c>
      <c r="H230">
        <f>1-(1-Skills!J7/100)^Skills!K7</f>
        <v/>
      </c>
      <c r="I230" t="inlineStr">
        <is>
          <t>1</t>
        </is>
      </c>
      <c r="J230">
        <f>((Inputs!$B$6*(1+Inputs!$B$7/100))+(((Inputs!$B$12*(1+Inputs!$B$13/100))-(Inputs!$B$12*(1+Inputs!$B$13/100)))+0.25*(Inputs!$B$14-Inputs!$B$14))*(1+Inputs!$B$7/100))*(F230/100)</f>
        <v/>
      </c>
      <c r="K230">
        <f>J230*(1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f>
        <v/>
      </c>
      <c r="L230">
        <f>K230*(MIN(Inputs!$B$22+((C243=TRUE)*(F243-Calc!F20)),(Inputs!$B$23+0+(IF(ArtifactsInput!$M$15,CHOOSE(ArtifactsInput!$N$15+1,25,30,35,40,45,50)/100*(Inputs!$B$11-Inputs!$B$11),0))))/100+(Inputs!$B$23+0+(IF(ArtifactsInput!$M$15,CHOOSE(ArtifactsInput!$N$15+1,25,30,35,40,45,50)/100*(Inputs!$B$11-Inputs!$B$11),0)))/100)/2</f>
        <v/>
      </c>
      <c r="M230">
        <f>L230*(1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
        <f>L230*(1-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
        <f>(1-Summary!$B$11)*T230+Summary!$B$11*V230</f>
        <v/>
      </c>
      <c r="P230">
        <f>IF(B258=0,0,O230/B258)</f>
        <v/>
      </c>
      <c r="Q230">
        <f>IFERROR(1/(IF(Inputs!$B$38="pvp",15,MAX(0.1,Skills!D7-IF(Skills!E7=TRUE,Inputs!$B$32,0)))*(1-IF(AND(ArtifactsInput!$M$27,Inputs!$B$4="Chapter Hunt"),CHOOSE(ArtifactsInput!$N$27+1,20,24,28,32,36,40),0)/100)),0)</f>
        <v/>
      </c>
      <c r="R230">
        <f>IF(AND(Inputs!$B$38&lt;&gt;"pvp",Inputs!$B$43&gt;0),IF(MAX(0,Inputs!$B$43-B255)&lt;=0,0,(INT(MAX(0,Inputs!$B$43-B255)/(IF(Inputs!$B$38="pvp",15,MAX(0.1,Skills!D7-IF(Skills!E7=TRUE,Inputs!$B$32,0)))*(1-IF(AND(ArtifactsInput!$M$27,Inputs!$B$4="Chapter Hunt"),CHOOSE(ArtifactsInput!$N$27+1,20,24,28,32,36,40),0)/100)))+1)),0)</f>
        <v/>
      </c>
      <c r="S230">
        <f>IFERROR(O230/N230,0)</f>
        <v/>
      </c>
      <c r="T230">
        <f>IF(C230,(H230*N230*IF(AND(Inputs!$B$38&lt;&gt;"pvp",Inputs!$B$43&gt;0),((Skills!G7*((R230-1)*IF(Skills!H7&gt;0,Skills!I7/Skills!H7,1)+IF(Skills!H7&gt;0,MIN(Skills!I7,MAX(0,MAX(0,Inputs!$B$43-B255)-((R230-1)*(IF(Inputs!$B$38="pvp",15,MAX(0.1,Skills!D7-IF(Skills!E7=TRUE,Inputs!$B$32,0)))*(1-IF(AND(ArtifactsInput!$M$27,Inputs!$B$4="Chapter Hunt"),CHOOSE(ArtifactsInput!$N$27+1,20,24,28,32,36,40),0)/100)))))/Skills!H7,1)))/Inputs!$B$43),G230*Q230)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
        <f>IF(C230,(H230*N230*IF(AND(Inputs!$B$38&lt;&gt;"pvp",Inputs!$B$43&gt;0),((Skills!G7*((R230-1)*IF(Skills!H7&gt;0,Skills!I7/Skills!H7,1)+IF(Skills!H7&gt;0,MIN(Skills!I7,MAX(0,MAX(0,Inputs!$B$43-B255)-((R230-1)*(IF(Inputs!$B$38="pvp",15,MAX(0.1,Skills!D7-IF(Skills!E7=TRUE,Inputs!$B$32,0)))*(1-IF(AND(ArtifactsInput!$M$27,Inputs!$B$4="Chapter Hunt"),CHOOSE(ArtifactsInput!$N$27+1,20,24,28,32,36,40),0)/100)))))/Skills!H7,1)))/Inputs!$B$43),G230*Q230))*IF(Inputs!$B$38="pvp",1,(1+(Inputs!$B$21+Skills!Q7+(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
      <c r="A231">
        <f>Skills!A8</f>
        <v/>
      </c>
      <c r="B231">
        <f>Skills!B8</f>
        <v/>
      </c>
      <c r="C231">
        <f>Inputs!$B$3&gt;=110</f>
        <v/>
      </c>
      <c r="D231">
        <f>IF(Skills!C8=1,60+Inputs!$B$25+Inputs!$B$29,IF(Skills!C8=2,90+Inputs!$B$26+Inputs!$B$29,IF(Skills!C8=3,120+Inputs!$B$27+Inputs!$B$29,MAX(0,(Inputs!$B$3-100)*3)+Inputs!$B$28+Inputs!$B$29)))</f>
        <v/>
      </c>
      <c r="E231">
        <f>INDEX(FactorTable!$B$2:$Y$301, MATCH(ROUND(MIN(300,MAX(1,D231)),0), FactorTable!$A$2:$A$301,0), Skills!M8+1)</f>
        <v/>
      </c>
      <c r="F231">
        <f>IF(Skills!N8=TRUE,(Skills!L8/10)*(E231/1000),Skills!L8/10)+Skills!O8</f>
        <v/>
      </c>
      <c r="G231">
        <f>Skills!G8*IF(Skills!H8&gt;0,Skills!I8/Skills!H8,1)</f>
        <v/>
      </c>
      <c r="H231">
        <f>1-(1-Skills!J8/100)^Skills!K8</f>
        <v/>
      </c>
      <c r="I231" t="inlineStr">
        <is>
          <t>1</t>
        </is>
      </c>
      <c r="J231">
        <f>((Inputs!$B$6*(1+Inputs!$B$7/100))+(((Inputs!$B$12*(1+Inputs!$B$13/100))-(Inputs!$B$12*(1+Inputs!$B$13/100)))+0.25*(Inputs!$B$14-Inputs!$B$14))*(1+Inputs!$B$7/100))*(F231/100)</f>
        <v/>
      </c>
      <c r="K231">
        <f>J231*(1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f>
        <v/>
      </c>
      <c r="L231">
        <f>K231*(MIN(Inputs!$B$22+((C243=TRUE)*(F243-Calc!F20)),(Inputs!$B$23+0+(IF(ArtifactsInput!$M$15,CHOOSE(ArtifactsInput!$N$15+1,25,30,35,40,45,50)/100*(Inputs!$B$11-Inputs!$B$11),0))))/100+(Inputs!$B$23+0+(IF(ArtifactsInput!$M$15,CHOOSE(ArtifactsInput!$N$15+1,25,30,35,40,45,50)/100*(Inputs!$B$11-Inputs!$B$11),0)))/100)/2</f>
        <v/>
      </c>
      <c r="M231">
        <f>L231*(1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
        <f>L231*(1-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
        <f>(1-Summary!$B$11)*T231+Summary!$B$11*V231</f>
        <v/>
      </c>
      <c r="P231">
        <f>IF(B258=0,0,O231/B258)</f>
        <v/>
      </c>
      <c r="Q231">
        <f>IFERROR(1/(IF(Inputs!$B$38="pvp",15,MAX(0.1,Skills!D8-IF(Skills!E8=TRUE,Inputs!$B$32,0)))*(1-IF(AND(ArtifactsInput!$M$27,Inputs!$B$4="Chapter Hunt"),CHOOSE(ArtifactsInput!$N$27+1,20,24,28,32,36,40),0)/100)),0)</f>
        <v/>
      </c>
      <c r="R231">
        <f>IF(AND(Inputs!$B$38&lt;&gt;"pvp",Inputs!$B$43&gt;0),IF(MAX(0,Inputs!$B$43-B255)&lt;=0,0,(INT(MAX(0,Inputs!$B$43-B255)/(IF(Inputs!$B$38="pvp",15,MAX(0.1,Skills!D8-IF(Skills!E8=TRUE,Inputs!$B$32,0)))*(1-IF(AND(ArtifactsInput!$M$27,Inputs!$B$4="Chapter Hunt"),CHOOSE(ArtifactsInput!$N$27+1,20,24,28,32,36,40),0)/100)))+1)),0)</f>
        <v/>
      </c>
      <c r="S231">
        <f>IFERROR(O231/N231,0)</f>
        <v/>
      </c>
      <c r="T231">
        <f>IF(C231,(H231*N231*IF(AND(Inputs!$B$38&lt;&gt;"pvp",Inputs!$B$43&gt;0),((Skills!G8*((R231-1)*IF(Skills!H8&gt;0,Skills!I8/Skills!H8,1)+IF(Skills!H8&gt;0,MIN(Skills!I8,MAX(0,MAX(0,Inputs!$B$43-B255)-((R231-1)*(IF(Inputs!$B$38="pvp",15,MAX(0.1,Skills!D8-IF(Skills!E8=TRUE,Inputs!$B$32,0)))*(1-IF(AND(ArtifactsInput!$M$27,Inputs!$B$4="Chapter Hunt"),CHOOSE(ArtifactsInput!$N$27+1,20,24,28,32,36,40),0)/100)))))/Skills!H8,1)))/Inputs!$B$43),G231*Q231)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
        <f>IF(C231,(H231*N231*IF(AND(Inputs!$B$38&lt;&gt;"pvp",Inputs!$B$43&gt;0),((Skills!G8*((R231-1)*IF(Skills!H8&gt;0,Skills!I8/Skills!H8,1)+IF(Skills!H8&gt;0,MIN(Skills!I8,MAX(0,MAX(0,Inputs!$B$43-B255)-((R231-1)*(IF(Inputs!$B$38="pvp",15,MAX(0.1,Skills!D8-IF(Skills!E8=TRUE,Inputs!$B$32,0)))*(1-IF(AND(ArtifactsInput!$M$27,Inputs!$B$4="Chapter Hunt"),CHOOSE(ArtifactsInput!$N$27+1,20,24,28,32,36,40),0)/100)))))/Skills!H8,1)))/Inputs!$B$43),G231*Q231))*IF(Inputs!$B$38="pvp",1,(1+(Inputs!$B$21+Skills!Q8+(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
      <c r="A232">
        <f>Skills!A9</f>
        <v/>
      </c>
      <c r="B232">
        <f>Skills!B9</f>
        <v/>
      </c>
      <c r="C232">
        <f>Inputs!$B$3&gt;=110</f>
        <v/>
      </c>
      <c r="D232">
        <f>IF(Skills!C9=1,60+Inputs!$B$25+Inputs!$B$29,IF(Skills!C9=2,90+Inputs!$B$26+Inputs!$B$29,IF(Skills!C9=3,120+Inputs!$B$27+Inputs!$B$29,MAX(0,(Inputs!$B$3-100)*3)+Inputs!$B$28+Inputs!$B$29)))</f>
        <v/>
      </c>
      <c r="E232">
        <f>INDEX(FactorTable!$B$2:$Y$301, MATCH(ROUND(MIN(300,MAX(1,D232)),0), FactorTable!$A$2:$A$301,0), Skills!M9+1)</f>
        <v/>
      </c>
      <c r="F232">
        <f>IF(Skills!N9=TRUE,(Skills!L9/10)*(E232/1000),Skills!L9/10)+Skills!O9</f>
        <v/>
      </c>
      <c r="G232">
        <f>Skills!G9*IF(Skills!H9&gt;0,Skills!I9/Skills!H9,1)</f>
        <v/>
      </c>
      <c r="H232">
        <f>1-(1-Skills!J9/100)^Skills!K9</f>
        <v/>
      </c>
      <c r="I232" t="inlineStr">
        <is>
          <t>1</t>
        </is>
      </c>
      <c r="J232">
        <f>((Inputs!$B$6*(1+Inputs!$B$7/100))+(((Inputs!$B$12*(1+Inputs!$B$13/100))-(Inputs!$B$12*(1+Inputs!$B$13/100)))+0.25*(Inputs!$B$14-Inputs!$B$14))*(1+Inputs!$B$7/100))*(F232/100)</f>
        <v/>
      </c>
      <c r="K232">
        <f>J232*(1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f>
        <v/>
      </c>
      <c r="L232">
        <f>K232*(MIN(Inputs!$B$22+((C243=TRUE)*(F243-Calc!F20)),(Inputs!$B$23+0+(IF(ArtifactsInput!$M$15,CHOOSE(ArtifactsInput!$N$15+1,25,30,35,40,45,50)/100*(Inputs!$B$11-Inputs!$B$11),0))))/100+(Inputs!$B$23+0+(IF(ArtifactsInput!$M$15,CHOOSE(ArtifactsInput!$N$15+1,25,30,35,40,45,50)/100*(Inputs!$B$11-Inputs!$B$11),0)))/100)/2</f>
        <v/>
      </c>
      <c r="M232">
        <f>L232*(1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
        <f>L232*(1-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
        <f>(1-Summary!$B$11)*T232+Summary!$B$11*V232</f>
        <v/>
      </c>
      <c r="P232">
        <f>IF(B258=0,0,O232/B258)</f>
        <v/>
      </c>
      <c r="Q232">
        <f>IFERROR(1/(IF(Inputs!$B$38="pvp",15,MAX(0.1,Skills!D9-IF(Skills!E9=TRUE,Inputs!$B$32,0)))*(1-IF(AND(ArtifactsInput!$M$27,Inputs!$B$4="Chapter Hunt"),CHOOSE(ArtifactsInput!$N$27+1,20,24,28,32,36,40),0)/100)),0)</f>
        <v/>
      </c>
      <c r="R232">
        <f>IF(AND(Inputs!$B$38&lt;&gt;"pvp",Inputs!$B$43&gt;0),IF(MAX(0,Inputs!$B$43-B255)&lt;=0,0,(INT(MAX(0,Inputs!$B$43-B255)/(IF(Inputs!$B$38="pvp",15,MAX(0.1,Skills!D9-IF(Skills!E9=TRUE,Inputs!$B$32,0)))*(1-IF(AND(ArtifactsInput!$M$27,Inputs!$B$4="Chapter Hunt"),CHOOSE(ArtifactsInput!$N$27+1,20,24,28,32,36,40),0)/100)))+1)),0)</f>
        <v/>
      </c>
      <c r="S232">
        <f>IFERROR(O232/N232,0)</f>
        <v/>
      </c>
      <c r="T232">
        <f>IF(C232,(H232*N232*IF(AND(Inputs!$B$38&lt;&gt;"pvp",Inputs!$B$43&gt;0),((Skills!G9*((R232-1)*IF(Skills!H9&gt;0,Skills!I9/Skills!H9,1)+IF(Skills!H9&gt;0,MIN(Skills!I9,MAX(0,MAX(0,Inputs!$B$43-B255)-((R232-1)*(IF(Inputs!$B$38="pvp",15,MAX(0.1,Skills!D9-IF(Skills!E9=TRUE,Inputs!$B$32,0)))*(1-IF(AND(ArtifactsInput!$M$27,Inputs!$B$4="Chapter Hunt"),CHOOSE(ArtifactsInput!$N$27+1,20,24,28,32,36,40),0)/100)))))/Skills!H9,1)))/Inputs!$B$43),G232*Q232)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
        <f>IF(C232,(H232*N232*IF(AND(Inputs!$B$38&lt;&gt;"pvp",Inputs!$B$43&gt;0),((Skills!G9*((R232-1)*IF(Skills!H9&gt;0,Skills!I9/Skills!H9,1)+IF(Skills!H9&gt;0,MIN(Skills!I9,MAX(0,MAX(0,Inputs!$B$43-B255)-((R232-1)*(IF(Inputs!$B$38="pvp",15,MAX(0.1,Skills!D9-IF(Skills!E9=TRUE,Inputs!$B$32,0)))*(1-IF(AND(ArtifactsInput!$M$27,Inputs!$B$4="Chapter Hunt"),CHOOSE(ArtifactsInput!$N$27+1,20,24,28,32,36,40),0)/100)))))/Skills!H9,1)))/Inputs!$B$43),G232*Q232))*IF(Inputs!$B$38="pvp",1,(1+(Inputs!$B$21+Skills!Q9+(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
      <c r="A233">
        <f>Skills!A10</f>
        <v/>
      </c>
      <c r="B233">
        <f>Skills!B10</f>
        <v/>
      </c>
      <c r="C233">
        <f>Inputs!$B$3&gt;=103</f>
        <v/>
      </c>
      <c r="D233">
        <f>IF(Skills!C10=1,60+Inputs!$B$25+Inputs!$B$29,IF(Skills!C10=2,90+Inputs!$B$26+Inputs!$B$29,IF(Skills!C10=3,120+Inputs!$B$27+Inputs!$B$29,MAX(0,(Inputs!$B$3-100)*3)+Inputs!$B$28+Inputs!$B$29)))</f>
        <v/>
      </c>
      <c r="E233">
        <f>INDEX(FactorTable!$B$2:$Y$301, MATCH(ROUND(MIN(300,MAX(1,D233)),0), FactorTable!$A$2:$A$301,0), Skills!M10+1)</f>
        <v/>
      </c>
      <c r="F233">
        <f>IF(Skills!N10=TRUE,(Skills!L10/10)*(E233/1000),Skills!L10/10)+Skills!O10</f>
        <v/>
      </c>
      <c r="G233">
        <f>Skills!G10*IF(Skills!H10&gt;0,Skills!I10/Skills!H10,1)</f>
        <v/>
      </c>
      <c r="H233">
        <f>1-(1-Skills!J10/100)^Skills!K10</f>
        <v/>
      </c>
      <c r="I233" t="inlineStr">
        <is>
          <t>1</t>
        </is>
      </c>
      <c r="J233">
        <f>((Inputs!$B$6*(1+Inputs!$B$7/100))+(((Inputs!$B$12*(1+Inputs!$B$13/100))-(Inputs!$B$12*(1+Inputs!$B$13/100)))+0.25*(Inputs!$B$14-Inputs!$B$14))*(1+Inputs!$B$7/100))*(F233/100)</f>
        <v/>
      </c>
      <c r="K233">
        <f>J233*(1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f>
        <v/>
      </c>
      <c r="L233">
        <f>K233*(MIN(Inputs!$B$22+((C243=TRUE)*(F243-Calc!F20)),(Inputs!$B$23+0+(IF(ArtifactsInput!$M$15,CHOOSE(ArtifactsInput!$N$15+1,25,30,35,40,45,50)/100*(Inputs!$B$11-Inputs!$B$11),0))))/100+(Inputs!$B$23+0+(IF(ArtifactsInput!$M$15,CHOOSE(ArtifactsInput!$N$15+1,25,30,35,40,45,50)/100*(Inputs!$B$11-Inputs!$B$11),0)))/100)/2</f>
        <v/>
      </c>
      <c r="M233">
        <f>L233*(1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
        <f>L233*(1-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
        <f>(1-Summary!$B$11)*T233+Summary!$B$11*V233</f>
        <v/>
      </c>
      <c r="P233">
        <f>IF(B258=0,0,O233/B258)</f>
        <v/>
      </c>
      <c r="Q233">
        <f>IFERROR(1/(IF(Inputs!$B$38="pvp",15,MAX(0.1,Skills!D10-IF(Skills!E10=TRUE,Inputs!$B$32,0)))*(1-IF(AND(ArtifactsInput!$M$27,Inputs!$B$4="Chapter Hunt"),CHOOSE(ArtifactsInput!$N$27+1,20,24,28,32,36,40),0)/100)),0)</f>
        <v/>
      </c>
      <c r="R233">
        <f>IF(AND(Inputs!$B$38&lt;&gt;"pvp",Inputs!$B$43&gt;0),IF(MAX(0,Inputs!$B$43-B255)&lt;=0,0,(INT(MAX(0,Inputs!$B$43-B255)/(IF(Inputs!$B$38="pvp",15,MAX(0.1,Skills!D10-IF(Skills!E10=TRUE,Inputs!$B$32,0)))*(1-IF(AND(ArtifactsInput!$M$27,Inputs!$B$4="Chapter Hunt"),CHOOSE(ArtifactsInput!$N$27+1,20,24,28,32,36,40),0)/100)))+1)),0)</f>
        <v/>
      </c>
      <c r="S233">
        <f>IFERROR(O233/N233,0)</f>
        <v/>
      </c>
      <c r="T233">
        <f>IF(C233,(H233*N233*IF(AND(Inputs!$B$38&lt;&gt;"pvp",Inputs!$B$43&gt;0),((Skills!G10*((R233-1)*IF(Skills!H10&gt;0,Skills!I10/Skills!H10,1)+IF(Skills!H10&gt;0,MIN(Skills!I10,MAX(0,MAX(0,Inputs!$B$43-B255)-((R233-1)*(IF(Inputs!$B$38="pvp",15,MAX(0.1,Skills!D10-IF(Skills!E10=TRUE,Inputs!$B$32,0)))*(1-IF(AND(ArtifactsInput!$M$27,Inputs!$B$4="Chapter Hunt"),CHOOSE(ArtifactsInput!$N$27+1,20,24,28,32,36,40),0)/100)))))/Skills!H10,1)))/Inputs!$B$43),G233*Q233)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
        <f>IF(C233,(H233*N233*IF(AND(Inputs!$B$38&lt;&gt;"pvp",Inputs!$B$43&gt;0),((Skills!G10*((R233-1)*IF(Skills!H10&gt;0,Skills!I10/Skills!H10,1)+IF(Skills!H10&gt;0,MIN(Skills!I10,MAX(0,MAX(0,Inputs!$B$43-B255)-((R233-1)*(IF(Inputs!$B$38="pvp",15,MAX(0.1,Skills!D10-IF(Skills!E10=TRUE,Inputs!$B$32,0)))*(1-IF(AND(ArtifactsInput!$M$27,Inputs!$B$4="Chapter Hunt"),CHOOSE(ArtifactsInput!$N$27+1,20,24,28,32,36,40),0)/100)))))/Skills!H10,1)))/Inputs!$B$43),G233*Q233))*IF(Inputs!$B$38="pvp",1,(1+(Inputs!$B$21+Skills!Q10+(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
      <c r="A234">
        <f>Skills!A11</f>
        <v/>
      </c>
      <c r="B234">
        <f>Skills!B11</f>
        <v/>
      </c>
      <c r="C234">
        <f>Inputs!$B$3&gt;=113</f>
        <v/>
      </c>
      <c r="D234">
        <f>IF(Skills!C11=1,60+Inputs!$B$25+Inputs!$B$29,IF(Skills!C11=2,90+Inputs!$B$26+Inputs!$B$29,IF(Skills!C11=3,120+Inputs!$B$27+Inputs!$B$29,MAX(0,(Inputs!$B$3-100)*3)+Inputs!$B$28+Inputs!$B$29)))</f>
        <v/>
      </c>
      <c r="E234">
        <f>INDEX(FactorTable!$B$2:$Y$301, MATCH(ROUND(MIN(300,MAX(1,D234)),0), FactorTable!$A$2:$A$301,0), Skills!M11+1)</f>
        <v/>
      </c>
      <c r="F234">
        <f>IF(Skills!N11=TRUE,(Skills!L11/10)*(E234/1000),Skills!L11/10)+Skills!O11</f>
        <v/>
      </c>
      <c r="G234">
        <f>Skills!G11*IF(Skills!H11&gt;0,Skills!I11/Skills!H11,1)</f>
        <v/>
      </c>
      <c r="H234">
        <f>1-(1-Skills!J11/100)^Skills!K11</f>
        <v/>
      </c>
      <c r="I234" t="inlineStr">
        <is>
          <t>1</t>
        </is>
      </c>
      <c r="J234">
        <f>((Inputs!$B$6*(1+Inputs!$B$7/100))+(((Inputs!$B$12*(1+Inputs!$B$13/100))-(Inputs!$B$12*(1+Inputs!$B$13/100)))+0.25*(Inputs!$B$14-Inputs!$B$14))*(1+Inputs!$B$7/100))*(F234/100)</f>
        <v/>
      </c>
      <c r="K234">
        <f>J234*(1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f>
        <v/>
      </c>
      <c r="L234">
        <f>K234*(MIN(Inputs!$B$22+((C243=TRUE)*(F243-Calc!F20)),(Inputs!$B$23+0+(IF(ArtifactsInput!$M$15,CHOOSE(ArtifactsInput!$N$15+1,25,30,35,40,45,50)/100*(Inputs!$B$11-Inputs!$B$11),0))))/100+(Inputs!$B$23+0+(IF(ArtifactsInput!$M$15,CHOOSE(ArtifactsInput!$N$15+1,25,30,35,40,45,50)/100*(Inputs!$B$11-Inputs!$B$11),0)))/100)/2</f>
        <v/>
      </c>
      <c r="M234">
        <f>L234*(1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
        <f>L234*(1-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
        <f>(1-Summary!$B$11)*T234+Summary!$B$11*V234</f>
        <v/>
      </c>
      <c r="P234">
        <f>IF(B258=0,0,O234/B258)</f>
        <v/>
      </c>
      <c r="Q234">
        <f>IFERROR(1/(IF(Inputs!$B$38="pvp",15,MAX(0.1,Skills!D11-IF(Skills!E11=TRUE,Inputs!$B$32,0)))*(1-IF(AND(ArtifactsInput!$M$27,Inputs!$B$4="Chapter Hunt"),CHOOSE(ArtifactsInput!$N$27+1,20,24,28,32,36,40),0)/100)),0)</f>
        <v/>
      </c>
      <c r="R234">
        <f>IF(AND(Inputs!$B$38&lt;&gt;"pvp",Inputs!$B$43&gt;0),IF(MAX(0,Inputs!$B$43-B255)&lt;=0,0,(INT(MAX(0,Inputs!$B$43-B255)/(IF(Inputs!$B$38="pvp",15,MAX(0.1,Skills!D11-IF(Skills!E11=TRUE,Inputs!$B$32,0)))*(1-IF(AND(ArtifactsInput!$M$27,Inputs!$B$4="Chapter Hunt"),CHOOSE(ArtifactsInput!$N$27+1,20,24,28,32,36,40),0)/100)))+1)),0)</f>
        <v/>
      </c>
      <c r="S234">
        <f>IFERROR(O234/N234,0)</f>
        <v/>
      </c>
      <c r="T234">
        <f>IF(C234,(H234*N234*IF(AND(Inputs!$B$38&lt;&gt;"pvp",Inputs!$B$43&gt;0),((Skills!G11*((R234-1)*IF(Skills!H11&gt;0,Skills!I11/Skills!H11,1)+IF(Skills!H11&gt;0,MIN(Skills!I11,MAX(0,MAX(0,Inputs!$B$43-B255)-((R234-1)*(IF(Inputs!$B$38="pvp",15,MAX(0.1,Skills!D11-IF(Skills!E11=TRUE,Inputs!$B$32,0)))*(1-IF(AND(ArtifactsInput!$M$27,Inputs!$B$4="Chapter Hunt"),CHOOSE(ArtifactsInput!$N$27+1,20,24,28,32,36,40),0)/100)))))/Skills!H11,1)))/Inputs!$B$43),G234*Q234)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
        <f>IF(C234,(H234*N234*IF(AND(Inputs!$B$38&lt;&gt;"pvp",Inputs!$B$43&gt;0),((Skills!G11*((R234-1)*IF(Skills!H11&gt;0,Skills!I11/Skills!H11,1)+IF(Skills!H11&gt;0,MIN(Skills!I11,MAX(0,MAX(0,Inputs!$B$43-B255)-((R234-1)*(IF(Inputs!$B$38="pvp",15,MAX(0.1,Skills!D11-IF(Skills!E11=TRUE,Inputs!$B$32,0)))*(1-IF(AND(ArtifactsInput!$M$27,Inputs!$B$4="Chapter Hunt"),CHOOSE(ArtifactsInput!$N$27+1,20,24,28,32,36,40),0)/100)))))/Skills!H11,1)))/Inputs!$B$43),G234*Q234))*IF(Inputs!$B$38="pvp",1,(1+(Inputs!$B$21+Skills!Q11+(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
      <c r="A235">
        <f>Skills!A12</f>
        <v/>
      </c>
      <c r="B235">
        <f>Skills!B12</f>
        <v/>
      </c>
      <c r="C235">
        <f>Inputs!$B$3&gt;=100</f>
        <v/>
      </c>
      <c r="D235">
        <f>IF(Skills!C12=1,60+Inputs!$B$25+Inputs!$B$29,IF(Skills!C12=2,90+Inputs!$B$26+Inputs!$B$29,IF(Skills!C12=3,120+Inputs!$B$27+Inputs!$B$29,MAX(0,(Inputs!$B$3-100)*3)+Inputs!$B$28+Inputs!$B$29)))</f>
        <v/>
      </c>
      <c r="E235">
        <f>INDEX(FactorTable!$B$2:$Y$301, MATCH(ROUND(MIN(300,MAX(1,D235)),0), FactorTable!$A$2:$A$301,0), Skills!M12+1)</f>
        <v/>
      </c>
      <c r="F235">
        <f>IF(Skills!N12=TRUE,(Skills!L12/10)*(E235/1000),Skills!L12/10)+Skills!O12</f>
        <v/>
      </c>
      <c r="G235" t="inlineStr"/>
      <c r="H235" t="inlineStr"/>
      <c r="I235" t="inlineStr">
        <is>
          <t>1</t>
        </is>
      </c>
      <c r="J235" t="inlineStr"/>
      <c r="K235" t="inlineStr"/>
      <c r="L235" t="inlineStr"/>
      <c r="M235" t="inlineStr"/>
      <c r="N235" t="inlineStr"/>
      <c r="O235" t="inlineStr"/>
      <c r="P235" t="inlineStr"/>
      <c r="Q235" t="inlineStr"/>
      <c r="R235" t="inlineStr"/>
      <c r="S235" t="inlineStr"/>
      <c r="T235" t="inlineStr"/>
      <c r="V235" t="inlineStr"/>
    </row>
    <row r="236">
      <c r="A236">
        <f>Skills!A13</f>
        <v/>
      </c>
      <c r="B236">
        <f>Skills!B13</f>
        <v/>
      </c>
      <c r="C236">
        <f>Inputs!$B$3&gt;=66</f>
        <v/>
      </c>
      <c r="D236">
        <f>IF(Skills!C13=1,60+Inputs!$B$25+Inputs!$B$29,IF(Skills!C13=2,90+Inputs!$B$26+Inputs!$B$29,IF(Skills!C13=3,120+Inputs!$B$27+Inputs!$B$29,MAX(0,(Inputs!$B$3-100)*3)+Inputs!$B$28+Inputs!$B$29)))</f>
        <v/>
      </c>
      <c r="E236">
        <f>INDEX(FactorTable!$B$2:$Y$301, MATCH(ROUND(MIN(300,MAX(1,D236)),0), FactorTable!$A$2:$A$301,0), Skills!M13+1)</f>
        <v/>
      </c>
      <c r="F236">
        <f>IF(Skills!N13=TRUE,(Skills!L13/10)*(E236/1000),Skills!L13/10)+Skills!O13</f>
        <v/>
      </c>
      <c r="G236">
        <f>Skills!G13*IF(Skills!H13&gt;0,Skills!I13/Skills!H13,1)</f>
        <v/>
      </c>
      <c r="H236">
        <f>1-(1-Skills!J13/100)^Skills!K13</f>
        <v/>
      </c>
      <c r="I236" t="inlineStr">
        <is>
          <t>1</t>
        </is>
      </c>
      <c r="J236" t="inlineStr"/>
      <c r="K236" t="inlineStr"/>
      <c r="L236" t="inlineStr"/>
      <c r="M236" t="inlineStr"/>
      <c r="N236" t="inlineStr"/>
      <c r="O236">
        <f>(1-Summary!$B$11)*T236+Summary!$B$11*V236</f>
        <v/>
      </c>
      <c r="P236">
        <f>IF(B258=0,0,O236/B258)</f>
        <v/>
      </c>
      <c r="Q236" t="n">
        <v>0</v>
      </c>
      <c r="R236" t="n">
        <v>0</v>
      </c>
      <c r="S236">
        <f>IFERROR(O236/N236,0)</f>
        <v/>
      </c>
      <c r="T236" t="n">
        <v>0</v>
      </c>
      <c r="V236" t="n">
        <v>0</v>
      </c>
    </row>
    <row r="237">
      <c r="A237">
        <f>Skills!A14</f>
        <v/>
      </c>
      <c r="B237">
        <f>Skills!B14</f>
        <v/>
      </c>
      <c r="C237">
        <f>Inputs!$B$3&gt;=107</f>
        <v/>
      </c>
      <c r="D237">
        <f>IF(Skills!C14=1,60+Inputs!$B$25+Inputs!$B$29,IF(Skills!C14=2,90+Inputs!$B$26+Inputs!$B$29,IF(Skills!C14=3,120+Inputs!$B$27+Inputs!$B$29,MAX(0,(Inputs!$B$3-100)*3)+Inputs!$B$28+Inputs!$B$29)))</f>
        <v/>
      </c>
      <c r="E237">
        <f>INDEX(FactorTable!$B$2:$Y$301, MATCH(ROUND(MIN(300,MAX(1,D237)),0), FactorTable!$A$2:$A$301,0), Skills!M14+1)</f>
        <v/>
      </c>
      <c r="F237">
        <f>IF(Skills!N14=TRUE,(Skills!L14/10)*(E237/1000),Skills!L14/10)+Skills!O14</f>
        <v/>
      </c>
      <c r="G237">
        <f>Skills!G14*IF(Skills!H14&gt;0,Skills!I14/Skills!H14,1)</f>
        <v/>
      </c>
      <c r="H237">
        <f>1-(1-Skills!J14/100)^Skills!K14</f>
        <v/>
      </c>
      <c r="I237" t="inlineStr">
        <is>
          <t>1</t>
        </is>
      </c>
      <c r="J237" t="inlineStr"/>
      <c r="K237" t="inlineStr"/>
      <c r="L237" t="inlineStr"/>
      <c r="M237" t="inlineStr"/>
      <c r="N237" t="inlineStr"/>
      <c r="O237">
        <f>(1-Summary!$B$11)*T237+Summary!$B$11*V237</f>
        <v/>
      </c>
      <c r="P237">
        <f>IF(B258=0,0,O237/B258)</f>
        <v/>
      </c>
      <c r="Q237" t="n">
        <v>0</v>
      </c>
      <c r="R237" t="n">
        <v>0</v>
      </c>
      <c r="S237">
        <f>IFERROR(O237/N237,0)</f>
        <v/>
      </c>
      <c r="T237" t="n">
        <v>0</v>
      </c>
      <c r="V237" t="n">
        <v>0</v>
      </c>
    </row>
    <row r="238">
      <c r="A238">
        <f>Skills!A15</f>
        <v/>
      </c>
      <c r="B238">
        <f>Skills!B15</f>
        <v/>
      </c>
      <c r="C238">
        <f>Inputs!$B$3&gt;=115</f>
        <v/>
      </c>
      <c r="D238">
        <f>IF(Skills!C15=1,60+Inputs!$B$25+Inputs!$B$29,IF(Skills!C15=2,90+Inputs!$B$26+Inputs!$B$29,IF(Skills!C15=3,120+Inputs!$B$27+Inputs!$B$29,MAX(0,(Inputs!$B$3-100)*3)+Inputs!$B$28+Inputs!$B$29)))</f>
        <v/>
      </c>
      <c r="E238">
        <f>INDEX(FactorTable!$B$2:$Y$301, MATCH(ROUND(MIN(300,MAX(1,D238)),0), FactorTable!$A$2:$A$301,0), Skills!M15+1)</f>
        <v/>
      </c>
      <c r="F238">
        <f>IF(Skills!N15=TRUE,(Skills!L15/10)*(E238/1000),Skills!L15/10)+Skills!O15</f>
        <v/>
      </c>
      <c r="G238">
        <f>Skills!G15*IF(Skills!H15&gt;0,Skills!I15/Skills!H15,1)</f>
        <v/>
      </c>
      <c r="H238">
        <f>1-(1-Skills!J15/100)^Skills!K15</f>
        <v/>
      </c>
      <c r="I238" t="inlineStr">
        <is>
          <t>1</t>
        </is>
      </c>
      <c r="J238" t="inlineStr"/>
      <c r="K238" t="inlineStr"/>
      <c r="L238" t="inlineStr"/>
      <c r="M238" t="inlineStr"/>
      <c r="N238" t="inlineStr"/>
      <c r="O238">
        <f>(1-Summary!$B$11)*T238+Summary!$B$11*V238</f>
        <v/>
      </c>
      <c r="P238">
        <f>IF(B258=0,0,O238/B258)</f>
        <v/>
      </c>
      <c r="Q238" t="n">
        <v>0</v>
      </c>
      <c r="R238" t="n">
        <v>0</v>
      </c>
      <c r="S238">
        <f>IFERROR(O238/N238,0)</f>
        <v/>
      </c>
      <c r="T238" t="n">
        <v>0</v>
      </c>
      <c r="V238" t="n">
        <v>0</v>
      </c>
    </row>
    <row r="239">
      <c r="A239">
        <f>Skills!A16</f>
        <v/>
      </c>
      <c r="B239">
        <f>Skills!B16</f>
        <v/>
      </c>
      <c r="C239">
        <f>Inputs!$B$3&gt;=15</f>
        <v/>
      </c>
      <c r="D239">
        <f>IF(Skills!C16=1,60+Inputs!$B$25+Inputs!$B$29,IF(Skills!C16=2,90+Inputs!$B$26+Inputs!$B$29,IF(Skills!C16=3,120+Inputs!$B$27+Inputs!$B$29,MAX(0,(Inputs!$B$3-100)*3)+Inputs!$B$28+Inputs!$B$29)))</f>
        <v/>
      </c>
      <c r="E239">
        <f>INDEX(FactorTable!$B$2:$Y$301, MATCH(ROUND(MIN(300,MAX(1,D239)),0), FactorTable!$A$2:$A$301,0), Skills!M16+1)</f>
        <v/>
      </c>
      <c r="F239">
        <f>IF(Skills!N16=TRUE,(Skills!L16/10)*(E239/1000),Skills!L16/10)+Skills!O16</f>
        <v/>
      </c>
      <c r="G239">
        <f>Skills!G16*IF(Skills!H16&gt;0,Skills!I16/Skills!H16,1)</f>
        <v/>
      </c>
      <c r="H239">
        <f>1-(1-Skills!J16/100)^Skills!K16</f>
        <v/>
      </c>
      <c r="I239" t="inlineStr">
        <is>
          <t>1</t>
        </is>
      </c>
      <c r="J239" t="inlineStr"/>
      <c r="K239" t="inlineStr"/>
      <c r="L239" t="inlineStr"/>
      <c r="M239" t="inlineStr"/>
      <c r="N239" t="inlineStr"/>
      <c r="O239">
        <f>(1-Summary!$B$11)*T239+Summary!$B$11*V239</f>
        <v/>
      </c>
      <c r="P239">
        <f>IF(B258=0,0,O239/B258)</f>
        <v/>
      </c>
      <c r="Q239" t="n">
        <v>0</v>
      </c>
      <c r="R239" t="n">
        <v>0</v>
      </c>
      <c r="S239">
        <f>IFERROR(O239/N239,0)</f>
        <v/>
      </c>
      <c r="T239" t="n">
        <v>0</v>
      </c>
      <c r="V239" t="n">
        <v>0</v>
      </c>
    </row>
    <row r="240">
      <c r="A240">
        <f>Skills!A17</f>
        <v/>
      </c>
      <c r="B240">
        <f>Skills!B17</f>
        <v/>
      </c>
      <c r="C240">
        <f>Inputs!$B$3&gt;=10</f>
        <v/>
      </c>
      <c r="D240">
        <f>IF(Skills!C17=1,60+Inputs!$B$25+Inputs!$B$29,IF(Skills!C17=2,90+Inputs!$B$26+Inputs!$B$29,IF(Skills!C17=3,120+Inputs!$B$27+Inputs!$B$29,MAX(0,(Inputs!$B$3-100)*3)+Inputs!$B$28+Inputs!$B$29)))</f>
        <v/>
      </c>
      <c r="E240">
        <f>INDEX(FactorTable!$B$2:$Y$301, MATCH(ROUND(MIN(300,MAX(1,D240)),0), FactorTable!$A$2:$A$301,0), Skills!M17+1)</f>
        <v/>
      </c>
      <c r="F240">
        <f>IF(Skills!N17=TRUE,(Skills!L17/10)*(E240/1000),Skills!L17/10)+Skills!O17</f>
        <v/>
      </c>
      <c r="G240">
        <f>Skills!G17*IF(Skills!H17&gt;0,Skills!I17/Skills!H17,1)</f>
        <v/>
      </c>
      <c r="H240">
        <f>1-(1-Skills!J17/100)^Skills!K17</f>
        <v/>
      </c>
      <c r="I240" t="inlineStr">
        <is>
          <t>1</t>
        </is>
      </c>
      <c r="J240" t="inlineStr"/>
      <c r="K240" t="inlineStr"/>
      <c r="L240" t="inlineStr"/>
      <c r="M240" t="inlineStr"/>
      <c r="N240" t="inlineStr"/>
      <c r="O240">
        <f>(1-Summary!$B$11)*T240+Summary!$B$11*V240</f>
        <v/>
      </c>
      <c r="P240">
        <f>IF(B258=0,0,O240/B258)</f>
        <v/>
      </c>
      <c r="Q240" t="n">
        <v>0</v>
      </c>
      <c r="R240" t="n">
        <v>0</v>
      </c>
      <c r="S240">
        <f>IFERROR(O240/N240,0)</f>
        <v/>
      </c>
      <c r="T240" t="n">
        <v>0</v>
      </c>
      <c r="V240" t="n">
        <v>0</v>
      </c>
    </row>
    <row r="241">
      <c r="A241">
        <f>Skills!A18</f>
        <v/>
      </c>
      <c r="B241">
        <f>Skills!B18</f>
        <v/>
      </c>
      <c r="C241">
        <f>Inputs!$B$3&gt;=33</f>
        <v/>
      </c>
      <c r="D241">
        <f>IF(Skills!C18=1,60+Inputs!$B$25+Inputs!$B$29,IF(Skills!C18=2,90+Inputs!$B$26+Inputs!$B$29,IF(Skills!C18=3,120+Inputs!$B$27+Inputs!$B$29,MAX(0,(Inputs!$B$3-100)*3)+Inputs!$B$28+Inputs!$B$29)))</f>
        <v/>
      </c>
      <c r="E241">
        <f>INDEX(FactorTable!$B$2:$Y$301, MATCH(ROUND(MIN(300,MAX(1,D241)),0), FactorTable!$A$2:$A$301,0), Skills!M18+1)</f>
        <v/>
      </c>
      <c r="F241">
        <f>IF(Skills!N18=TRUE,(Skills!L18/10)*(E241/1000),Skills!L18/10)+Skills!O18</f>
        <v/>
      </c>
      <c r="G241">
        <f>Skills!G18*IF(Skills!H18&gt;0,Skills!I18/Skills!H18,1)</f>
        <v/>
      </c>
      <c r="H241">
        <f>1-(1-Skills!J18/100)^Skills!K18</f>
        <v/>
      </c>
      <c r="I241" t="inlineStr">
        <is>
          <t>1</t>
        </is>
      </c>
      <c r="J241" t="inlineStr"/>
      <c r="K241" t="inlineStr"/>
      <c r="L241" t="inlineStr"/>
      <c r="M241" t="inlineStr"/>
      <c r="N241" t="inlineStr"/>
      <c r="O241">
        <f>(1-Summary!$B$11)*T241+Summary!$B$11*V241</f>
        <v/>
      </c>
      <c r="P241">
        <f>IF(B258=0,0,O241/B258)</f>
        <v/>
      </c>
      <c r="Q241" t="n">
        <v>0</v>
      </c>
      <c r="R241" t="n">
        <v>0</v>
      </c>
      <c r="S241">
        <f>IFERROR(O241/N241,0)</f>
        <v/>
      </c>
      <c r="T241" t="n">
        <v>0</v>
      </c>
      <c r="V241" t="n">
        <v>0</v>
      </c>
    </row>
    <row r="242">
      <c r="A242">
        <f>Skills!A19</f>
        <v/>
      </c>
      <c r="B242">
        <f>Skills!B19</f>
        <v/>
      </c>
      <c r="C242">
        <f>Inputs!$B$3&gt;=40</f>
        <v/>
      </c>
      <c r="D242">
        <f>IF(Skills!C19=1,60+Inputs!$B$25+Inputs!$B$29,IF(Skills!C19=2,90+Inputs!$B$26+Inputs!$B$29,IF(Skills!C19=3,120+Inputs!$B$27+Inputs!$B$29,MAX(0,(Inputs!$B$3-100)*3)+Inputs!$B$28+Inputs!$B$29)))</f>
        <v/>
      </c>
      <c r="E242">
        <f>INDEX(FactorTable!$B$2:$Y$301, MATCH(ROUND(MIN(300,MAX(1,D242)),0), FactorTable!$A$2:$A$301,0), Skills!M19+1)</f>
        <v/>
      </c>
      <c r="F242">
        <f>IF(Skills!N19=TRUE,(Skills!L19/10)*(E242/1000),Skills!L19/10)+Skills!O19</f>
        <v/>
      </c>
      <c r="G242">
        <f>Skills!G19*IF(Skills!H19&gt;0,Skills!I19/Skills!H19,1)</f>
        <v/>
      </c>
      <c r="H242">
        <f>1-(1-Skills!J19/100)^Skills!K19</f>
        <v/>
      </c>
      <c r="I242" t="inlineStr">
        <is>
          <t>1</t>
        </is>
      </c>
      <c r="J242" t="inlineStr"/>
      <c r="K242" t="inlineStr"/>
      <c r="L242" t="inlineStr"/>
      <c r="M242" t="inlineStr"/>
      <c r="N242" t="inlineStr"/>
      <c r="O242">
        <f>(1-Summary!$B$11)*T242+Summary!$B$11*V242</f>
        <v/>
      </c>
      <c r="P242">
        <f>IF(B258=0,0,O242/B258)</f>
        <v/>
      </c>
      <c r="Q242" t="n">
        <v>0</v>
      </c>
      <c r="R242" t="n">
        <v>0</v>
      </c>
      <c r="S242">
        <f>IFERROR(O242/N242,0)</f>
        <v/>
      </c>
      <c r="T242" t="n">
        <v>0</v>
      </c>
      <c r="V242" t="n">
        <v>0</v>
      </c>
    </row>
    <row r="243">
      <c r="A243">
        <f>Skills!A20</f>
        <v/>
      </c>
      <c r="B243">
        <f>Skills!B20</f>
        <v/>
      </c>
      <c r="C243">
        <f>Inputs!$B$3&gt;=43</f>
        <v/>
      </c>
      <c r="D243">
        <f>IF(Skills!C20=1,60+Inputs!$B$25+Inputs!$B$29,IF(Skills!C20=2,90+Inputs!$B$26+Inputs!$B$29,IF(Skills!C20=3,120+Inputs!$B$27+Inputs!$B$29,MAX(0,(Inputs!$B$3-100)*3)+Inputs!$B$28+Inputs!$B$29)))</f>
        <v/>
      </c>
      <c r="E243">
        <f>INDEX(FactorTable!$B$2:$Y$301, MATCH(ROUND(MIN(300,MAX(1,D243)),0), FactorTable!$A$2:$A$301,0), Skills!M20+1)</f>
        <v/>
      </c>
      <c r="F243">
        <f>IF(Skills!N20=TRUE,(Skills!L20/10)*(E243/1000),Skills!L20/10)+Skills!O20</f>
        <v/>
      </c>
      <c r="G243">
        <f>Skills!G20*IF(Skills!H20&gt;0,Skills!I20/Skills!H20,1)</f>
        <v/>
      </c>
      <c r="H243">
        <f>1-(1-Skills!J20/100)^Skills!K20</f>
        <v/>
      </c>
      <c r="I243" t="inlineStr">
        <is>
          <t>1</t>
        </is>
      </c>
      <c r="J243" t="inlineStr"/>
      <c r="K243" t="inlineStr"/>
      <c r="L243" t="inlineStr"/>
      <c r="M243" t="inlineStr"/>
      <c r="N243" t="inlineStr"/>
      <c r="O243">
        <f>(1-Summary!$B$11)*T243+Summary!$B$11*V243</f>
        <v/>
      </c>
      <c r="P243">
        <f>IF(B258=0,0,O243/B258)</f>
        <v/>
      </c>
      <c r="Q243" t="n">
        <v>0</v>
      </c>
      <c r="R243" t="n">
        <v>0</v>
      </c>
      <c r="S243">
        <f>IFERROR(O243/N243,0)</f>
        <v/>
      </c>
      <c r="T243" t="n">
        <v>0</v>
      </c>
      <c r="V243" t="n">
        <v>0</v>
      </c>
    </row>
    <row r="244">
      <c r="A244">
        <f>Skills!A21</f>
        <v/>
      </c>
      <c r="B244">
        <f>Skills!B21</f>
        <v/>
      </c>
      <c r="C244">
        <f>Inputs!$B$3&gt;=38</f>
        <v/>
      </c>
      <c r="D244">
        <f>IF(Skills!C21=1,60+Inputs!$B$25+Inputs!$B$29,IF(Skills!C21=2,90+Inputs!$B$26+Inputs!$B$29,IF(Skills!C21=3,120+Inputs!$B$27+Inputs!$B$29,MAX(0,(Inputs!$B$3-100)*3)+Inputs!$B$28+Inputs!$B$29)))</f>
        <v/>
      </c>
      <c r="E244">
        <f>INDEX(FactorTable!$B$2:$Y$301, MATCH(ROUND(MIN(300,MAX(1,D244)),0), FactorTable!$A$2:$A$301,0), Skills!M21+1)</f>
        <v/>
      </c>
      <c r="F244">
        <f>IF(Skills!N21=TRUE,(Skills!L21/10)*(E244/1000),Skills!L21/10)+Skills!O21</f>
        <v/>
      </c>
      <c r="G244">
        <f>Skills!G21*IF(Skills!H21&gt;0,Skills!I21/Skills!H21,1)</f>
        <v/>
      </c>
      <c r="H244">
        <f>1-(1-Skills!J21/100)^Skills!K21</f>
        <v/>
      </c>
      <c r="I244" t="inlineStr">
        <is>
          <t>1</t>
        </is>
      </c>
      <c r="J244" t="inlineStr"/>
      <c r="K244" t="inlineStr"/>
      <c r="L244" t="inlineStr"/>
      <c r="M244" t="inlineStr"/>
      <c r="N244" t="inlineStr"/>
      <c r="O244">
        <f>(1-Summary!$B$11)*T244+Summary!$B$11*V244</f>
        <v/>
      </c>
      <c r="P244">
        <f>IF(B258=0,0,O244/B258)</f>
        <v/>
      </c>
      <c r="Q244" t="n">
        <v>0</v>
      </c>
      <c r="R244" t="n">
        <v>0</v>
      </c>
      <c r="S244">
        <f>IFERROR(O244/N244,0)</f>
        <v/>
      </c>
      <c r="T244" t="n">
        <v>0</v>
      </c>
      <c r="V244" t="n">
        <v>0</v>
      </c>
    </row>
    <row r="245">
      <c r="A245">
        <f>Skills!A22</f>
        <v/>
      </c>
      <c r="B245">
        <f>Skills!B22</f>
        <v/>
      </c>
      <c r="C245">
        <f>Inputs!$B$3&gt;=75</f>
        <v/>
      </c>
      <c r="D245">
        <f>IF(Skills!C22=1,60+Inputs!$B$25+Inputs!$B$29,IF(Skills!C22=2,90+Inputs!$B$26+Inputs!$B$29,IF(Skills!C22=3,120+Inputs!$B$27+Inputs!$B$29,MAX(0,(Inputs!$B$3-100)*3)+Inputs!$B$28+Inputs!$B$29)))</f>
        <v/>
      </c>
      <c r="E245">
        <f>INDEX(FactorTable!$B$2:$Y$301, MATCH(ROUND(MIN(300,MAX(1,D245)),0), FactorTable!$A$2:$A$301,0), Skills!M22+1)</f>
        <v/>
      </c>
      <c r="F245">
        <f>IF(Skills!N22=TRUE,(Skills!L22/10)*(E245/1000),Skills!L22/10)+Skills!O22</f>
        <v/>
      </c>
      <c r="G245">
        <f>Skills!G22*IF(Skills!H22&gt;0,Skills!I22/Skills!H22,1)</f>
        <v/>
      </c>
      <c r="H245">
        <f>1-(1-Skills!J22/100)^Skills!K22</f>
        <v/>
      </c>
      <c r="I245" t="inlineStr">
        <is>
          <t>1</t>
        </is>
      </c>
      <c r="J245" t="inlineStr"/>
      <c r="K245" t="inlineStr"/>
      <c r="L245" t="inlineStr"/>
      <c r="M245" t="inlineStr"/>
      <c r="N245" t="inlineStr"/>
      <c r="O245">
        <f>(1-Summary!$B$11)*T245+Summary!$B$11*V245</f>
        <v/>
      </c>
      <c r="P245">
        <f>IF(B258=0,0,O245/B258)</f>
        <v/>
      </c>
      <c r="Q245" t="n">
        <v>0</v>
      </c>
      <c r="R245" t="n">
        <v>0</v>
      </c>
      <c r="S245">
        <f>IFERROR(O245/N245,0)</f>
        <v/>
      </c>
      <c r="T245" t="n">
        <v>0</v>
      </c>
      <c r="V245" t="n">
        <v>0</v>
      </c>
    </row>
    <row r="247">
      <c r="A247" t="inlineStr">
        <is>
          <t>Attack% Bucket Multiplier</t>
        </is>
      </c>
      <c r="B247">
        <f>(1+(((C236=TRUE)*F236)+((C242=TRUE)*(F242-Calc!F19))+(IF(ArtifactsInput!$M$21,CHOOSE(ArtifactsInput!$N$21+1,25,30,35,40,45,50)*(IF(OR(Inputs!$B$4="Chapter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8">
      <c r="A248" t="inlineStr">
        <is>
          <t>Global Crit Rate Bonus %</t>
        </is>
      </c>
      <c r="B248" t="n">
        <v>0</v>
      </c>
    </row>
    <row r="249">
      <c r="A249" t="inlineStr">
        <is>
          <t>Attack Speed Buff Bonus % (unused)</t>
        </is>
      </c>
      <c r="B249" t="n">
        <v>0</v>
      </c>
    </row>
    <row r="250">
      <c r="A250" t="inlineStr">
        <is>
          <t>Actions Per Second</t>
        </is>
      </c>
      <c r="B250">
        <f>1+MIN(150,150*(1-(1-(Inputs!$B$11+((C240=TRUE)*(F240-Calc!F17))+((C241=TRUE)*(F241-Calc!F18)))/150)*(1-B249/150)))/100</f>
        <v/>
      </c>
    </row>
    <row r="251">
      <c r="A251" t="inlineStr">
        <is>
          <t>Skill + Buff Cast Rate</t>
        </is>
      </c>
      <c r="B251">
        <f>IF(AND(Inputs!$B$38&lt;&gt;"pvp",Inputs!$B$43&gt;0),SUMPRODUCT((Skills!E2:E22=TRUE)*(C225:C245=TRUE)*R225:R245*Skills!F2:F22)/Inputs!$B$43,SUMPRODUCT((Skills!E2:E22=TRUE)*(C225:C245=TRUE)*Q225:Q245*Skills!F2:F22))</f>
        <v/>
      </c>
    </row>
    <row r="252">
      <c r="A252" t="inlineStr">
        <is>
          <t>Hook Bomber Casts Per Second</t>
        </is>
      </c>
      <c r="B252">
        <f>MAX(0,B250-B251)</f>
        <v/>
      </c>
    </row>
    <row r="253">
      <c r="A253" t="inlineStr">
        <is>
          <t>Global Critical Damage Bonus % (unused)</t>
        </is>
      </c>
      <c r="B253" t="n">
        <v>0</v>
      </c>
    </row>
    <row r="254">
      <c r="A254" t="inlineStr">
        <is>
          <t>Global Final Damage Bonus % (Serpent Scale + Crossbones + Time Leap + Speed Infusion)</t>
        </is>
      </c>
      <c r="B254">
        <f>((C228=TRUE)*F228*((10+IF(Inputs!$B$3&gt;=94,5,0))/((10+IF(Inputs!$B$3&gt;=94,5,0))+5/(B252*(1+IF(Inputs!$B$3&gt;=104,1,0))))))+((C237=TRUE)*F237)+((C238=TRUE)*F238)+((Inputs!$B$3&gt;=110)*20*(B250-1))</f>
        <v/>
      </c>
    </row>
    <row r="255">
      <c r="A255" t="inlineStr">
        <is>
          <t>Buff-Casting Startup Delay (s, fixed-duration only)</t>
        </is>
      </c>
      <c r="B255">
        <f>IF(AND(Inputs!$B$38&lt;&gt;"pvp",Inputs!$B$43&gt;0),SUMPRODUCT((Skills!T2:T22&gt;0)*(Skills!E2:E22=TRUE)*(C225:C245=TRUE))/B250,0)</f>
        <v/>
      </c>
    </row>
    <row r="256">
      <c r="A256" t="inlineStr">
        <is>
          <t>Boss-Only Total DPS (this block's swept value)</t>
        </is>
      </c>
      <c r="B256">
        <f>SUM(T225:T245)</f>
        <v/>
      </c>
    </row>
    <row r="257">
      <c r="A257" t="inlineStr">
        <is>
          <t>Normal-Only Total DPS (this block's swept value)</t>
        </is>
      </c>
      <c r="B257">
        <f>SUM(V225:V245)</f>
        <v/>
      </c>
    </row>
    <row r="258">
      <c r="A258" s="6" t="inlineStr">
        <is>
          <t>TOTAL DPS</t>
        </is>
      </c>
      <c r="B258" s="6">
        <f>SUM(O225:O245)</f>
        <v/>
      </c>
    </row>
    <row r="261">
      <c r="A261" s="6" t="inlineStr">
        <is>
          <t>Stat: BOSS_DAMAGE %</t>
        </is>
      </c>
    </row>
    <row r="262">
      <c r="A262" s="5" t="inlineStr">
        <is>
          <t>Key</t>
        </is>
      </c>
      <c r="B262" s="5" t="inlineStr">
        <is>
          <t>Name</t>
        </is>
      </c>
      <c r="C262" s="5" t="inlineStr">
        <is>
          <t>Unlocked</t>
        </is>
      </c>
      <c r="D262" s="5" t="inlineStr">
        <is>
          <t>InputLevel</t>
        </is>
      </c>
      <c r="E262" s="5" t="inlineStr">
        <is>
          <t>Factor</t>
        </is>
      </c>
      <c r="F262" s="5" t="inlineStr">
        <is>
          <t>CoefficientPercent</t>
        </is>
      </c>
      <c r="G262" s="5" t="inlineStr">
        <is>
          <t>EffectiveHits</t>
        </is>
      </c>
      <c r="H262" s="5" t="inlineStr">
        <is>
          <t>ProcProbability</t>
        </is>
      </c>
      <c r="I262" s="5" t="inlineStr">
        <is>
          <t>MapleHeroMultiplier</t>
        </is>
      </c>
      <c r="J262" s="5" t="inlineStr">
        <is>
          <t>BaseDamage</t>
        </is>
      </c>
      <c r="K262" s="5" t="inlineStr">
        <is>
          <t>BaseHitDamage</t>
        </is>
      </c>
      <c r="L262" s="5" t="inlineStr">
        <is>
          <t>NonCritAvg</t>
        </is>
      </c>
      <c r="M262" s="5" t="inlineStr">
        <is>
          <t>CritAvg</t>
        </is>
      </c>
      <c r="N262" s="5" t="inlineStr">
        <is>
          <t>ExpectedDamage(perHit)</t>
        </is>
      </c>
      <c r="O262" s="5" t="inlineStr">
        <is>
          <t>DPS</t>
        </is>
      </c>
      <c r="P262" s="5" t="inlineStr">
        <is>
          <t>% of Total</t>
        </is>
      </c>
      <c r="Q262" s="5" t="inlineStr">
        <is>
          <t>InvCooldown</t>
        </is>
      </c>
      <c r="R262" s="5" t="inlineStr">
        <is>
          <t>CastsInFight</t>
        </is>
      </c>
      <c r="S262" s="5" t="inlineStr">
        <is>
          <t>HitRate(perSec)</t>
        </is>
      </c>
      <c r="U262" t="inlineStr">
        <is>
          <t>helpers</t>
        </is>
      </c>
    </row>
    <row r="263">
      <c r="A263">
        <f>Skills!A2</f>
        <v/>
      </c>
      <c r="B263">
        <f>Skills!B2</f>
        <v/>
      </c>
      <c r="C263">
        <f>Inputs!$B$3&gt;=100</f>
        <v/>
      </c>
      <c r="D263" t="inlineStr"/>
      <c r="E263" t="inlineStr"/>
      <c r="F263">
        <f>U265+Skills!O2</f>
        <v/>
      </c>
      <c r="G263">
        <f>Skills!G2*IF(Skills!H2&gt;0,Skills!I2/Skills!H2,1)</f>
        <v/>
      </c>
      <c r="H263">
        <f>1-(1-Skills!J2/100)^Skills!K2</f>
        <v/>
      </c>
      <c r="I263" t="inlineStr">
        <is>
          <t>1</t>
        </is>
      </c>
      <c r="J263">
        <f>((Inputs!$B$6*(1+Inputs!$B$7/100))+(((Inputs!$B$12*(1+Inputs!$B$13/100))-(Inputs!$B$12*(1+Inputs!$B$13/100)))+0.25*(Inputs!$B$14-Inputs!$B$14))*(1+Inputs!$B$7/100))*(F263/100)</f>
        <v/>
      </c>
      <c r="K263">
        <f>J263*(1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f>
        <v/>
      </c>
      <c r="L263">
        <f>K263*(MIN(Inputs!$B$22+((C281=TRUE)*(F281-Calc!F20)),(Inputs!$B$23+0+(IF(ArtifactsInput!$M$15,CHOOSE(ArtifactsInput!$N$15+1,25,30,35,40,45,50)/100*(Inputs!$B$11-Inputs!$B$11),0))))/100+(Inputs!$B$23+0+(IF(ArtifactsInput!$M$15,CHOOSE(ArtifactsInput!$N$15+1,25,30,35,40,45,50)/100*(Inputs!$B$11-Inputs!$B$11),0)))/100)/2</f>
        <v/>
      </c>
      <c r="M263">
        <f>L263*(1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
        <f>L263*(1-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
        <f>(1-Summary!$B$11)*T263+Summary!$B$11*V263</f>
        <v/>
      </c>
      <c r="P263">
        <f>IF(B296=0,0,O263/B296)</f>
        <v/>
      </c>
      <c r="Q263" t="n">
        <v>0</v>
      </c>
      <c r="R263" t="n">
        <v>0</v>
      </c>
      <c r="S263">
        <f>IFERROR(O263/N263,0)</f>
        <v/>
      </c>
      <c r="T263">
        <f>IF(C263,(Skills!G2*N263*B290)*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
        <f>MAX(0,(Inputs!$B$3-100)*3)+Inputs!$B$28+Inputs!$B$29</f>
        <v/>
      </c>
      <c r="V263">
        <f>IF(C263,(Skills!G2*N263*B290)*IF(Inputs!$B$38="pvp",1,(1+(Inputs!$B$21+Skills!Q2+(IF(ArtifactsInput!$M$33,CHOOSE(ArtifactsInput!$N$33+1,30,36,42,48,54,60),0))+(IF(AND(ArtifactsInput!$M$35,Inputs!$B$4&lt;&gt;"Chapter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
      <c r="A264">
        <f>Skills!A3</f>
        <v/>
      </c>
      <c r="B264">
        <f>Skills!B3</f>
        <v/>
      </c>
      <c r="C264">
        <f>Inputs!$B$3&gt;=35</f>
        <v/>
      </c>
      <c r="D264">
        <f>IF(Skills!C3=1,60+Inputs!$B$25+Inputs!$B$29,IF(Skills!C3=2,90+Inputs!$B$26+Inputs!$B$29,IF(Skills!C3=3,120+Inputs!$B$27+Inputs!$B$29,MAX(0,(Inputs!$B$3-100)*3)+Inputs!$B$28+Inputs!$B$29)))</f>
        <v/>
      </c>
      <c r="E264">
        <f>INDEX(FactorTable!$B$2:$Y$301, MATCH(ROUND(MIN(300,MAX(1,D264)),0), FactorTable!$A$2:$A$301,0), Skills!M3+1)</f>
        <v/>
      </c>
      <c r="F264">
        <f>IF(Skills!N3=TRUE,(Skills!L3/10)*(E264/1000),Skills!L3/10)+Skills!O3</f>
        <v/>
      </c>
      <c r="G264">
        <f>Skills!G3*IF(Skills!H3&gt;0,Skills!I3/Skills!H3,1)</f>
        <v/>
      </c>
      <c r="H264">
        <f>1-(1-Skills!J3/100)^Skills!K3</f>
        <v/>
      </c>
      <c r="I264" t="inlineStr">
        <is>
          <t>1</t>
        </is>
      </c>
      <c r="J264">
        <f>((Inputs!$B$6*(1+Inputs!$B$7/100))+(((Inputs!$B$12*(1+Inputs!$B$13/100))-(Inputs!$B$12*(1+Inputs!$B$13/100)))+0.25*(Inputs!$B$14-Inputs!$B$14))*(1+Inputs!$B$7/100))*(F264/100)</f>
        <v/>
      </c>
      <c r="K264">
        <f>J264*(1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f>
        <v/>
      </c>
      <c r="L264">
        <f>K264*(MIN(Inputs!$B$22+((C281=TRUE)*(F281-Calc!F20)),(Inputs!$B$23+0+(IF(ArtifactsInput!$M$15,CHOOSE(ArtifactsInput!$N$15+1,25,30,35,40,45,50)/100*(Inputs!$B$11-Inputs!$B$11),0))))/100+(Inputs!$B$23+0+(IF(ArtifactsInput!$M$15,CHOOSE(ArtifactsInput!$N$15+1,25,30,35,40,45,50)/100*(Inputs!$B$11-Inputs!$B$11),0)))/100)/2</f>
        <v/>
      </c>
      <c r="M264">
        <f>L264*(1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
        <f>L264*(1-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
        <f>(1-Summary!$B$11)*T264+Summary!$B$11*V264</f>
        <v/>
      </c>
      <c r="P264">
        <f>IF(B296=0,0,O264/B296)</f>
        <v/>
      </c>
      <c r="Q264" t="n">
        <v>0</v>
      </c>
      <c r="R264" t="n">
        <v>0</v>
      </c>
      <c r="S264">
        <f>IFERROR(O264/N264,0)</f>
        <v/>
      </c>
      <c r="T264">
        <f>IF(C264,(Skills!G3*H264*N264*B290)*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
        <f>INDEX(FactorTable!$B$2:$Y$301, MATCH(ROUND(MIN(300,MAX(1,U263)),0), FactorTable!$A$2:$A$301,0), 22)</f>
        <v/>
      </c>
      <c r="V264">
        <f>IF(C264,(Skills!G3*H264*N264*B290)*IF(Inputs!$B$38="pvp",1,(1+(Inputs!$B$21+Skills!Q3+(IF(ArtifactsInput!$M$33,CHOOSE(ArtifactsInput!$N$33+1,30,36,42,48,54,60),0))+(IF(AND(ArtifactsInput!$M$35,Inputs!$B$4&lt;&gt;"Chapter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
      <c r="A265">
        <f>Skills!A4</f>
        <v/>
      </c>
      <c r="B265">
        <f>Skills!B4</f>
        <v/>
      </c>
      <c r="C265">
        <f>Inputs!$B$3&gt;=60</f>
        <v/>
      </c>
      <c r="D265">
        <f>IF(Skills!C4=1,60+Inputs!$B$25+Inputs!$B$29,IF(Skills!C4=2,90+Inputs!$B$26+Inputs!$B$29,IF(Skills!C4=3,120+Inputs!$B$27+Inputs!$B$29,MAX(0,(Inputs!$B$3-100)*3)+Inputs!$B$28+Inputs!$B$29)))</f>
        <v/>
      </c>
      <c r="E265">
        <f>INDEX(FactorTable!$B$2:$Y$301, MATCH(ROUND(MIN(300,MAX(1,D265)),0), FactorTable!$A$2:$A$301,0), Skills!M4+1)</f>
        <v/>
      </c>
      <c r="F265">
        <f>IF(Skills!N4=TRUE,(Skills!L4/10)*(E265/1000),Skills!L4/10)+Skills!O4</f>
        <v/>
      </c>
      <c r="G265">
        <f>Skills!G4*IF(Skills!H4&gt;0,Skills!I4/Skills!H4,1)</f>
        <v/>
      </c>
      <c r="H265">
        <f>1-(1-Skills!J4/100)^Skills!K4</f>
        <v/>
      </c>
      <c r="I265" t="inlineStr">
        <is>
          <t>1</t>
        </is>
      </c>
      <c r="J265">
        <f>((Inputs!$B$6*(1+Inputs!$B$7/100))+(((Inputs!$B$12*(1+Inputs!$B$13/100))-(Inputs!$B$12*(1+Inputs!$B$13/100)))+0.25*(Inputs!$B$14-Inputs!$B$14))*(1+Inputs!$B$7/100))*(F265/100)</f>
        <v/>
      </c>
      <c r="K265">
        <f>J265*(1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TRUE,F273,0)/100)*(1+(IF(Skills!A4="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f>
        <v/>
      </c>
      <c r="L265">
        <f>K265*(MIN(Inputs!$B$22+((C281=TRUE)*(F281-Calc!F20)),(Inputs!$B$23+0+(IF(ArtifactsInput!$M$15,CHOOSE(ArtifactsInput!$N$15+1,25,30,35,40,45,50)/100*(Inputs!$B$11-Inputs!$B$11),0))))/100+(Inputs!$B$23+0+(IF(ArtifactsInput!$M$15,CHOOSE(ArtifactsInput!$N$15+1,25,30,35,40,45,50)/100*(Inputs!$B$11-Inputs!$B$11),0)))/100)/2</f>
        <v/>
      </c>
      <c r="M265">
        <f>L265*(1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
        <f>L265*(1-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
        <f>(1-Summary!$B$11)*T265+Summary!$B$11*V265</f>
        <v/>
      </c>
      <c r="P265">
        <f>IF(B296=0,0,O265/B296)</f>
        <v/>
      </c>
      <c r="Q265" t="n">
        <v>0</v>
      </c>
      <c r="R265" t="n">
        <v>0</v>
      </c>
      <c r="S265">
        <f>IFERROR(O265/N265,0)</f>
        <v/>
      </c>
      <c r="T265">
        <f>IF(C265,(Skills!G4*H265*N265*B290)*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
        <f>290*U264/1000</f>
        <v/>
      </c>
      <c r="V265">
        <f>IF(C265,(Skills!G4*H265*N265*B290)*IF(Inputs!$B$38="pvp",1,(1+(Inputs!$B$21+Skills!Q4+(IF(ArtifactsInput!$M$33,CHOOSE(ArtifactsInput!$N$33+1,30,36,42,48,54,60),0))+(IF(AND(ArtifactsInput!$M$35,Inputs!$B$4&lt;&gt;"Chapter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
      <c r="A266">
        <f>Skills!A5</f>
        <v/>
      </c>
      <c r="B266">
        <f>Skills!B5</f>
        <v/>
      </c>
      <c r="C266">
        <f>Inputs!$B$3&gt;=60</f>
        <v/>
      </c>
      <c r="D266">
        <f>IF(Skills!C5=1,60+Inputs!$B$25+Inputs!$B$29,IF(Skills!C5=2,90+Inputs!$B$26+Inputs!$B$29,IF(Skills!C5=3,120+Inputs!$B$27+Inputs!$B$29,MAX(0,(Inputs!$B$3-100)*3)+Inputs!$B$28+Inputs!$B$29)))</f>
        <v/>
      </c>
      <c r="E266">
        <f>INDEX(FactorTable!$B$2:$Y$301, MATCH(ROUND(MIN(300,MAX(1,D266)),0), FactorTable!$A$2:$A$301,0), Skills!M5+1)</f>
        <v/>
      </c>
      <c r="F266">
        <f>IF(Skills!N5=TRUE,(Skills!L5/10)*(E266/1000),Skills!L5/10)+Skills!O5</f>
        <v/>
      </c>
      <c r="G266">
        <f>Skills!G5*IF(Skills!H5&gt;0,Skills!I5/Skills!H5,1)</f>
        <v/>
      </c>
      <c r="H266">
        <f>1-(1-Skills!J5/100)^Skills!K5</f>
        <v/>
      </c>
      <c r="I266" t="inlineStr">
        <is>
          <t>1</t>
        </is>
      </c>
      <c r="J266" t="inlineStr"/>
      <c r="K266" t="inlineStr"/>
      <c r="L266" t="inlineStr"/>
      <c r="M266" t="inlineStr"/>
      <c r="N266" t="inlineStr"/>
      <c r="O266">
        <f>(1-Summary!$B$11)*T266+Summary!$B$11*V266</f>
        <v/>
      </c>
      <c r="P266">
        <f>IF(B296=0,0,O266/B296)</f>
        <v/>
      </c>
      <c r="Q266" t="n">
        <v>0</v>
      </c>
      <c r="R266" t="n">
        <v>0</v>
      </c>
      <c r="S266">
        <f>IFERROR(O266/N266,0)</f>
        <v/>
      </c>
      <c r="T266" t="n">
        <v>0</v>
      </c>
      <c r="V266" t="n">
        <v>0</v>
      </c>
    </row>
    <row r="267">
      <c r="A267">
        <f>Skills!A6</f>
        <v/>
      </c>
      <c r="B267">
        <f>Skills!B6</f>
        <v/>
      </c>
      <c r="C267">
        <f>Inputs!$B$3&gt;=63</f>
        <v/>
      </c>
      <c r="D267">
        <f>IF(Skills!C6=1,60+Inputs!$B$25+Inputs!$B$29,IF(Skills!C6=2,90+Inputs!$B$26+Inputs!$B$29,IF(Skills!C6=3,120+Inputs!$B$27+Inputs!$B$29,MAX(0,(Inputs!$B$3-100)*3)+Inputs!$B$28+Inputs!$B$29)))</f>
        <v/>
      </c>
      <c r="E267">
        <f>INDEX(FactorTable!$B$2:$Y$301, MATCH(ROUND(MIN(300,MAX(1,D267)),0), FactorTable!$A$2:$A$301,0), Skills!M6+1)</f>
        <v/>
      </c>
      <c r="F267">
        <f>IF(Skills!N6=TRUE,(Skills!L6/10)*(E267/1000),Skills!L6/10)+Skills!O6</f>
        <v/>
      </c>
      <c r="G267">
        <f>Skills!G6*IF(Skills!H6&gt;0,Skills!I6/Skills!H6,1)</f>
        <v/>
      </c>
      <c r="H267">
        <f>1-(1-Skills!J6/100)^Skills!K6</f>
        <v/>
      </c>
      <c r="I267" t="inlineStr">
        <is>
          <t>1</t>
        </is>
      </c>
      <c r="J267">
        <f>((Inputs!$B$6*(1+Inputs!$B$7/100))+(((Inputs!$B$12*(1+Inputs!$B$13/100))-(Inputs!$B$12*(1+Inputs!$B$13/100)))+0.25*(Inputs!$B$14-Inputs!$B$14))*(1+Inputs!$B$7/100))*(F267/100)</f>
        <v/>
      </c>
      <c r="K267">
        <f>J267*(1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f>
        <v/>
      </c>
      <c r="L267">
        <f>K267*(MIN(Inputs!$B$22+((C281=TRUE)*(F281-Calc!F20)),(Inputs!$B$23+0+(IF(ArtifactsInput!$M$15,CHOOSE(ArtifactsInput!$N$15+1,25,30,35,40,45,50)/100*(Inputs!$B$11-Inputs!$B$11),0))))/100+(Inputs!$B$23+0+(IF(ArtifactsInput!$M$15,CHOOSE(ArtifactsInput!$N$15+1,25,30,35,40,45,50)/100*(Inputs!$B$11-Inputs!$B$11),0)))/100)/2</f>
        <v/>
      </c>
      <c r="M267">
        <f>L267*(1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
        <f>L267*(1-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
        <f>(1-Summary!$B$11)*T267+Summary!$B$11*V267</f>
        <v/>
      </c>
      <c r="P267">
        <f>IF(B296=0,0,O267/B296)</f>
        <v/>
      </c>
      <c r="Q267">
        <f>IFERROR(1/(IF(Inputs!$B$38="pvp",15,MAX(0.1,Skills!D6-IF(Skills!E6=TRUE,Inputs!$B$32,0)))*(1-IF(AND(ArtifactsInput!$M$27,Inputs!$B$4="Chapter Hunt"),CHOOSE(ArtifactsInput!$N$27+1,20,24,28,32,36,40),0)/100)),0)</f>
        <v/>
      </c>
      <c r="R267">
        <f>IF(AND(Inputs!$B$38&lt;&gt;"pvp",Inputs!$B$43&gt;0),IF(MAX(0,Inputs!$B$43-B293)&lt;=0,0,(INT(MAX(0,Inputs!$B$43-B293)/(IF(Inputs!$B$38="pvp",15,MAX(0.1,Skills!D6-IF(Skills!E6=TRUE,Inputs!$B$32,0)))*(1-IF(AND(ArtifactsInput!$M$27,Inputs!$B$4="Chapter Hunt"),CHOOSE(ArtifactsInput!$N$27+1,20,24,28,32,36,40),0)/100)))+1)),0)</f>
        <v/>
      </c>
      <c r="S267">
        <f>IFERROR(O267/N267,0)</f>
        <v/>
      </c>
      <c r="T267">
        <f>IF(C267,(H267*N267*IF(AND(Inputs!$B$38&lt;&gt;"pvp",Inputs!$B$43&gt;0),((Skills!G6*((R267-1)*IF(Skills!H6&gt;0,Skills!I6/Skills!H6,1)+IF(Skills!H6&gt;0,MIN(Skills!I6,MAX(0,MAX(0,Inputs!$B$43-B293)-((R267-1)*(IF(Inputs!$B$38="pvp",15,MAX(0.1,Skills!D6-IF(Skills!E6=TRUE,Inputs!$B$32,0)))*(1-IF(AND(ArtifactsInput!$M$27,Inputs!$B$4="Chapter Hunt"),CHOOSE(ArtifactsInput!$N$27+1,20,24,28,32,36,40),0)/100)))))/Skills!H6,1)))/Inputs!$B$43),G267*Q267)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
        <f>IF(C267,(H267*N267*IF(AND(Inputs!$B$38&lt;&gt;"pvp",Inputs!$B$43&gt;0),((Skills!G6*((R267-1)*IF(Skills!H6&gt;0,Skills!I6/Skills!H6,1)+IF(Skills!H6&gt;0,MIN(Skills!I6,MAX(0,MAX(0,Inputs!$B$43-B293)-((R267-1)*(IF(Inputs!$B$38="pvp",15,MAX(0.1,Skills!D6-IF(Skills!E6=TRUE,Inputs!$B$32,0)))*(1-IF(AND(ArtifactsInput!$M$27,Inputs!$B$4="Chapter Hunt"),CHOOSE(ArtifactsInput!$N$27+1,20,24,28,32,36,40),0)/100)))))/Skills!H6,1)))/Inputs!$B$43),G267*Q267))*IF(Inputs!$B$38="pvp",1,(1+(Inputs!$B$21+Skills!Q6+(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
      <c r="A268">
        <f>Skills!A7</f>
        <v/>
      </c>
      <c r="B268">
        <f>Skills!B7</f>
        <v/>
      </c>
      <c r="C268">
        <f>Inputs!$B$3&gt;=100</f>
        <v/>
      </c>
      <c r="D268">
        <f>IF(Skills!C7=1,60+Inputs!$B$25+Inputs!$B$29,IF(Skills!C7=2,90+Inputs!$B$26+Inputs!$B$29,IF(Skills!C7=3,120+Inputs!$B$27+Inputs!$B$29,MAX(0,(Inputs!$B$3-100)*3)+Inputs!$B$28+Inputs!$B$29)))</f>
        <v/>
      </c>
      <c r="E268">
        <f>INDEX(FactorTable!$B$2:$Y$301, MATCH(ROUND(MIN(300,MAX(1,D268)),0), FactorTable!$A$2:$A$301,0), Skills!M7+1)</f>
        <v/>
      </c>
      <c r="F268">
        <f>IF(Skills!N7=TRUE,(Skills!L7/10)*(E268/1000),Skills!L7/10)+Skills!O7</f>
        <v/>
      </c>
      <c r="G268">
        <f>Skills!G7*IF(Skills!H7&gt;0,Skills!I7/Skills!H7,1)</f>
        <v/>
      </c>
      <c r="H268">
        <f>1-(1-Skills!J7/100)^Skills!K7</f>
        <v/>
      </c>
      <c r="I268" t="inlineStr">
        <is>
          <t>1</t>
        </is>
      </c>
      <c r="J268">
        <f>((Inputs!$B$6*(1+Inputs!$B$7/100))+(((Inputs!$B$12*(1+Inputs!$B$13/100))-(Inputs!$B$12*(1+Inputs!$B$13/100)))+0.25*(Inputs!$B$14-Inputs!$B$14))*(1+Inputs!$B$7/100))*(F268/100)</f>
        <v/>
      </c>
      <c r="K268">
        <f>J268*(1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f>
        <v/>
      </c>
      <c r="L268">
        <f>K268*(MIN(Inputs!$B$22+((C281=TRUE)*(F281-Calc!F20)),(Inputs!$B$23+0+(IF(ArtifactsInput!$M$15,CHOOSE(ArtifactsInput!$N$15+1,25,30,35,40,45,50)/100*(Inputs!$B$11-Inputs!$B$11),0))))/100+(Inputs!$B$23+0+(IF(ArtifactsInput!$M$15,CHOOSE(ArtifactsInput!$N$15+1,25,30,35,40,45,50)/100*(Inputs!$B$11-Inputs!$B$11),0)))/100)/2</f>
        <v/>
      </c>
      <c r="M268">
        <f>L268*(1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
        <f>L268*(1-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
        <f>(1-Summary!$B$11)*T268+Summary!$B$11*V268</f>
        <v/>
      </c>
      <c r="P268">
        <f>IF(B296=0,0,O268/B296)</f>
        <v/>
      </c>
      <c r="Q268">
        <f>IFERROR(1/(IF(Inputs!$B$38="pvp",15,MAX(0.1,Skills!D7-IF(Skills!E7=TRUE,Inputs!$B$32,0)))*(1-IF(AND(ArtifactsInput!$M$27,Inputs!$B$4="Chapter Hunt"),CHOOSE(ArtifactsInput!$N$27+1,20,24,28,32,36,40),0)/100)),0)</f>
        <v/>
      </c>
      <c r="R268">
        <f>IF(AND(Inputs!$B$38&lt;&gt;"pvp",Inputs!$B$43&gt;0),IF(MAX(0,Inputs!$B$43-B293)&lt;=0,0,(INT(MAX(0,Inputs!$B$43-B293)/(IF(Inputs!$B$38="pvp",15,MAX(0.1,Skills!D7-IF(Skills!E7=TRUE,Inputs!$B$32,0)))*(1-IF(AND(ArtifactsInput!$M$27,Inputs!$B$4="Chapter Hunt"),CHOOSE(ArtifactsInput!$N$27+1,20,24,28,32,36,40),0)/100)))+1)),0)</f>
        <v/>
      </c>
      <c r="S268">
        <f>IFERROR(O268/N268,0)</f>
        <v/>
      </c>
      <c r="T268">
        <f>IF(C268,(H268*N268*IF(AND(Inputs!$B$38&lt;&gt;"pvp",Inputs!$B$43&gt;0),((Skills!G7*((R268-1)*IF(Skills!H7&gt;0,Skills!I7/Skills!H7,1)+IF(Skills!H7&gt;0,MIN(Skills!I7,MAX(0,MAX(0,Inputs!$B$43-B293)-((R268-1)*(IF(Inputs!$B$38="pvp",15,MAX(0.1,Skills!D7-IF(Skills!E7=TRUE,Inputs!$B$32,0)))*(1-IF(AND(ArtifactsInput!$M$27,Inputs!$B$4="Chapter Hunt"),CHOOSE(ArtifactsInput!$N$27+1,20,24,28,32,36,40),0)/100)))))/Skills!H7,1)))/Inputs!$B$43),G268*Q268)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
        <f>IF(C268,(H268*N268*IF(AND(Inputs!$B$38&lt;&gt;"pvp",Inputs!$B$43&gt;0),((Skills!G7*((R268-1)*IF(Skills!H7&gt;0,Skills!I7/Skills!H7,1)+IF(Skills!H7&gt;0,MIN(Skills!I7,MAX(0,MAX(0,Inputs!$B$43-B293)-((R268-1)*(IF(Inputs!$B$38="pvp",15,MAX(0.1,Skills!D7-IF(Skills!E7=TRUE,Inputs!$B$32,0)))*(1-IF(AND(ArtifactsInput!$M$27,Inputs!$B$4="Chapter Hunt"),CHOOSE(ArtifactsInput!$N$27+1,20,24,28,32,36,40),0)/100)))))/Skills!H7,1)))/Inputs!$B$43),G268*Q268))*IF(Inputs!$B$38="pvp",1,(1+(Inputs!$B$21+Skills!Q7+(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
      <c r="A269">
        <f>Skills!A8</f>
        <v/>
      </c>
      <c r="B269">
        <f>Skills!B8</f>
        <v/>
      </c>
      <c r="C269">
        <f>Inputs!$B$3&gt;=110</f>
        <v/>
      </c>
      <c r="D269">
        <f>IF(Skills!C8=1,60+Inputs!$B$25+Inputs!$B$29,IF(Skills!C8=2,90+Inputs!$B$26+Inputs!$B$29,IF(Skills!C8=3,120+Inputs!$B$27+Inputs!$B$29,MAX(0,(Inputs!$B$3-100)*3)+Inputs!$B$28+Inputs!$B$29)))</f>
        <v/>
      </c>
      <c r="E269">
        <f>INDEX(FactorTable!$B$2:$Y$301, MATCH(ROUND(MIN(300,MAX(1,D269)),0), FactorTable!$A$2:$A$301,0), Skills!M8+1)</f>
        <v/>
      </c>
      <c r="F269">
        <f>IF(Skills!N8=TRUE,(Skills!L8/10)*(E269/1000),Skills!L8/10)+Skills!O8</f>
        <v/>
      </c>
      <c r="G269">
        <f>Skills!G8*IF(Skills!H8&gt;0,Skills!I8/Skills!H8,1)</f>
        <v/>
      </c>
      <c r="H269">
        <f>1-(1-Skills!J8/100)^Skills!K8</f>
        <v/>
      </c>
      <c r="I269" t="inlineStr">
        <is>
          <t>1</t>
        </is>
      </c>
      <c r="J269">
        <f>((Inputs!$B$6*(1+Inputs!$B$7/100))+(((Inputs!$B$12*(1+Inputs!$B$13/100))-(Inputs!$B$12*(1+Inputs!$B$13/100)))+0.25*(Inputs!$B$14-Inputs!$B$14))*(1+Inputs!$B$7/100))*(F269/100)</f>
        <v/>
      </c>
      <c r="K269">
        <f>J269*(1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f>
        <v/>
      </c>
      <c r="L269">
        <f>K269*(MIN(Inputs!$B$22+((C281=TRUE)*(F281-Calc!F20)),(Inputs!$B$23+0+(IF(ArtifactsInput!$M$15,CHOOSE(ArtifactsInput!$N$15+1,25,30,35,40,45,50)/100*(Inputs!$B$11-Inputs!$B$11),0))))/100+(Inputs!$B$23+0+(IF(ArtifactsInput!$M$15,CHOOSE(ArtifactsInput!$N$15+1,25,30,35,40,45,50)/100*(Inputs!$B$11-Inputs!$B$11),0)))/100)/2</f>
        <v/>
      </c>
      <c r="M269">
        <f>L269*(1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
        <f>L269*(1-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
        <f>(1-Summary!$B$11)*T269+Summary!$B$11*V269</f>
        <v/>
      </c>
      <c r="P269">
        <f>IF(B296=0,0,O269/B296)</f>
        <v/>
      </c>
      <c r="Q269">
        <f>IFERROR(1/(IF(Inputs!$B$38="pvp",15,MAX(0.1,Skills!D8-IF(Skills!E8=TRUE,Inputs!$B$32,0)))*(1-IF(AND(ArtifactsInput!$M$27,Inputs!$B$4="Chapter Hunt"),CHOOSE(ArtifactsInput!$N$27+1,20,24,28,32,36,40),0)/100)),0)</f>
        <v/>
      </c>
      <c r="R269">
        <f>IF(AND(Inputs!$B$38&lt;&gt;"pvp",Inputs!$B$43&gt;0),IF(MAX(0,Inputs!$B$43-B293)&lt;=0,0,(INT(MAX(0,Inputs!$B$43-B293)/(IF(Inputs!$B$38="pvp",15,MAX(0.1,Skills!D8-IF(Skills!E8=TRUE,Inputs!$B$32,0)))*(1-IF(AND(ArtifactsInput!$M$27,Inputs!$B$4="Chapter Hunt"),CHOOSE(ArtifactsInput!$N$27+1,20,24,28,32,36,40),0)/100)))+1)),0)</f>
        <v/>
      </c>
      <c r="S269">
        <f>IFERROR(O269/N269,0)</f>
        <v/>
      </c>
      <c r="T269">
        <f>IF(C269,(H269*N269*IF(AND(Inputs!$B$38&lt;&gt;"pvp",Inputs!$B$43&gt;0),((Skills!G8*((R269-1)*IF(Skills!H8&gt;0,Skills!I8/Skills!H8,1)+IF(Skills!H8&gt;0,MIN(Skills!I8,MAX(0,MAX(0,Inputs!$B$43-B293)-((R269-1)*(IF(Inputs!$B$38="pvp",15,MAX(0.1,Skills!D8-IF(Skills!E8=TRUE,Inputs!$B$32,0)))*(1-IF(AND(ArtifactsInput!$M$27,Inputs!$B$4="Chapter Hunt"),CHOOSE(ArtifactsInput!$N$27+1,20,24,28,32,36,40),0)/100)))))/Skills!H8,1)))/Inputs!$B$43),G269*Q269)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
        <f>IF(C269,(H269*N269*IF(AND(Inputs!$B$38&lt;&gt;"pvp",Inputs!$B$43&gt;0),((Skills!G8*((R269-1)*IF(Skills!H8&gt;0,Skills!I8/Skills!H8,1)+IF(Skills!H8&gt;0,MIN(Skills!I8,MAX(0,MAX(0,Inputs!$B$43-B293)-((R269-1)*(IF(Inputs!$B$38="pvp",15,MAX(0.1,Skills!D8-IF(Skills!E8=TRUE,Inputs!$B$32,0)))*(1-IF(AND(ArtifactsInput!$M$27,Inputs!$B$4="Chapter Hunt"),CHOOSE(ArtifactsInput!$N$27+1,20,24,28,32,36,40),0)/100)))))/Skills!H8,1)))/Inputs!$B$43),G269*Q269))*IF(Inputs!$B$38="pvp",1,(1+(Inputs!$B$21+Skills!Q8+(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
      <c r="A270">
        <f>Skills!A9</f>
        <v/>
      </c>
      <c r="B270">
        <f>Skills!B9</f>
        <v/>
      </c>
      <c r="C270">
        <f>Inputs!$B$3&gt;=110</f>
        <v/>
      </c>
      <c r="D270">
        <f>IF(Skills!C9=1,60+Inputs!$B$25+Inputs!$B$29,IF(Skills!C9=2,90+Inputs!$B$26+Inputs!$B$29,IF(Skills!C9=3,120+Inputs!$B$27+Inputs!$B$29,MAX(0,(Inputs!$B$3-100)*3)+Inputs!$B$28+Inputs!$B$29)))</f>
        <v/>
      </c>
      <c r="E270">
        <f>INDEX(FactorTable!$B$2:$Y$301, MATCH(ROUND(MIN(300,MAX(1,D270)),0), FactorTable!$A$2:$A$301,0), Skills!M9+1)</f>
        <v/>
      </c>
      <c r="F270">
        <f>IF(Skills!N9=TRUE,(Skills!L9/10)*(E270/1000),Skills!L9/10)+Skills!O9</f>
        <v/>
      </c>
      <c r="G270">
        <f>Skills!G9*IF(Skills!H9&gt;0,Skills!I9/Skills!H9,1)</f>
        <v/>
      </c>
      <c r="H270">
        <f>1-(1-Skills!J9/100)^Skills!K9</f>
        <v/>
      </c>
      <c r="I270" t="inlineStr">
        <is>
          <t>1</t>
        </is>
      </c>
      <c r="J270">
        <f>((Inputs!$B$6*(1+Inputs!$B$7/100))+(((Inputs!$B$12*(1+Inputs!$B$13/100))-(Inputs!$B$12*(1+Inputs!$B$13/100)))+0.25*(Inputs!$B$14-Inputs!$B$14))*(1+Inputs!$B$7/100))*(F270/100)</f>
        <v/>
      </c>
      <c r="K270">
        <f>J270*(1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
      </c>
      <c r="L270">
        <f>K270*(MIN(Inputs!$B$22+((C281=TRUE)*(F281-Calc!F20)),(Inputs!$B$23+0+(IF(ArtifactsInput!$M$15,CHOOSE(ArtifactsInput!$N$15+1,25,30,35,40,45,50)/100*(Inputs!$B$11-Inputs!$B$11),0))))/100+(Inputs!$B$23+0+(IF(ArtifactsInput!$M$15,CHOOSE(ArtifactsInput!$N$15+1,25,30,35,40,45,50)/100*(Inputs!$B$11-Inputs!$B$11),0)))/100)/2</f>
        <v/>
      </c>
      <c r="M270">
        <f>L270*(1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
        <f>L270*(1-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
        <f>(1-Summary!$B$11)*T270+Summary!$B$11*V270</f>
        <v/>
      </c>
      <c r="P270">
        <f>IF(B296=0,0,O270/B296)</f>
        <v/>
      </c>
      <c r="Q270">
        <f>IFERROR(1/(IF(Inputs!$B$38="pvp",15,MAX(0.1,Skills!D9-IF(Skills!E9=TRUE,Inputs!$B$32,0)))*(1-IF(AND(ArtifactsInput!$M$27,Inputs!$B$4="Chapter Hunt"),CHOOSE(ArtifactsInput!$N$27+1,20,24,28,32,36,40),0)/100)),0)</f>
        <v/>
      </c>
      <c r="R270">
        <f>IF(AND(Inputs!$B$38&lt;&gt;"pvp",Inputs!$B$43&gt;0),IF(MAX(0,Inputs!$B$43-B293)&lt;=0,0,(INT(MAX(0,Inputs!$B$43-B293)/(IF(Inputs!$B$38="pvp",15,MAX(0.1,Skills!D9-IF(Skills!E9=TRUE,Inputs!$B$32,0)))*(1-IF(AND(ArtifactsInput!$M$27,Inputs!$B$4="Chapter Hunt"),CHOOSE(ArtifactsInput!$N$27+1,20,24,28,32,36,40),0)/100)))+1)),0)</f>
        <v/>
      </c>
      <c r="S270">
        <f>IFERROR(O270/N270,0)</f>
        <v/>
      </c>
      <c r="T270">
        <f>IF(C270,(H270*N270*IF(AND(Inputs!$B$38&lt;&gt;"pvp",Inputs!$B$43&gt;0),((Skills!G9*((R270-1)*IF(Skills!H9&gt;0,Skills!I9/Skills!H9,1)+IF(Skills!H9&gt;0,MIN(Skills!I9,MAX(0,MAX(0,Inputs!$B$43-B293)-((R270-1)*(IF(Inputs!$B$38="pvp",15,MAX(0.1,Skills!D9-IF(Skills!E9=TRUE,Inputs!$B$32,0)))*(1-IF(AND(ArtifactsInput!$M$27,Inputs!$B$4="Chapter Hunt"),CHOOSE(ArtifactsInput!$N$27+1,20,24,28,32,36,40),0)/100)))))/Skills!H9,1)))/Inputs!$B$43),G270*Q270)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
        <f>IF(C270,(H270*N270*IF(AND(Inputs!$B$38&lt;&gt;"pvp",Inputs!$B$43&gt;0),((Skills!G9*((R270-1)*IF(Skills!H9&gt;0,Skills!I9/Skills!H9,1)+IF(Skills!H9&gt;0,MIN(Skills!I9,MAX(0,MAX(0,Inputs!$B$43-B293)-((R270-1)*(IF(Inputs!$B$38="pvp",15,MAX(0.1,Skills!D9-IF(Skills!E9=TRUE,Inputs!$B$32,0)))*(1-IF(AND(ArtifactsInput!$M$27,Inputs!$B$4="Chapter Hunt"),CHOOSE(ArtifactsInput!$N$27+1,20,24,28,32,36,40),0)/100)))))/Skills!H9,1)))/Inputs!$B$43),G270*Q270))*IF(Inputs!$B$38="pvp",1,(1+(Inputs!$B$21+Skills!Q9+(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
      <c r="A271">
        <f>Skills!A10</f>
        <v/>
      </c>
      <c r="B271">
        <f>Skills!B10</f>
        <v/>
      </c>
      <c r="C271">
        <f>Inputs!$B$3&gt;=103</f>
        <v/>
      </c>
      <c r="D271">
        <f>IF(Skills!C10=1,60+Inputs!$B$25+Inputs!$B$29,IF(Skills!C10=2,90+Inputs!$B$26+Inputs!$B$29,IF(Skills!C10=3,120+Inputs!$B$27+Inputs!$B$29,MAX(0,(Inputs!$B$3-100)*3)+Inputs!$B$28+Inputs!$B$29)))</f>
        <v/>
      </c>
      <c r="E271">
        <f>INDEX(FactorTable!$B$2:$Y$301, MATCH(ROUND(MIN(300,MAX(1,D271)),0), FactorTable!$A$2:$A$301,0), Skills!M10+1)</f>
        <v/>
      </c>
      <c r="F271">
        <f>IF(Skills!N10=TRUE,(Skills!L10/10)*(E271/1000),Skills!L10/10)+Skills!O10</f>
        <v/>
      </c>
      <c r="G271">
        <f>Skills!G10*IF(Skills!H10&gt;0,Skills!I10/Skills!H10,1)</f>
        <v/>
      </c>
      <c r="H271">
        <f>1-(1-Skills!J10/100)^Skills!K10</f>
        <v/>
      </c>
      <c r="I271" t="inlineStr">
        <is>
          <t>1</t>
        </is>
      </c>
      <c r="J271">
        <f>((Inputs!$B$6*(1+Inputs!$B$7/100))+(((Inputs!$B$12*(1+Inputs!$B$13/100))-(Inputs!$B$12*(1+Inputs!$B$13/100)))+0.25*(Inputs!$B$14-Inputs!$B$14))*(1+Inputs!$B$7/100))*(F271/100)</f>
        <v/>
      </c>
      <c r="K271">
        <f>J271*(1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f>
        <v/>
      </c>
      <c r="L271">
        <f>K271*(MIN(Inputs!$B$22+((C281=TRUE)*(F281-Calc!F20)),(Inputs!$B$23+0+(IF(ArtifactsInput!$M$15,CHOOSE(ArtifactsInput!$N$15+1,25,30,35,40,45,50)/100*(Inputs!$B$11-Inputs!$B$11),0))))/100+(Inputs!$B$23+0+(IF(ArtifactsInput!$M$15,CHOOSE(ArtifactsInput!$N$15+1,25,30,35,40,45,50)/100*(Inputs!$B$11-Inputs!$B$11),0)))/100)/2</f>
        <v/>
      </c>
      <c r="M271">
        <f>L271*(1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
        <f>L271*(1-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
        <f>(1-Summary!$B$11)*T271+Summary!$B$11*V271</f>
        <v/>
      </c>
      <c r="P271">
        <f>IF(B296=0,0,O271/B296)</f>
        <v/>
      </c>
      <c r="Q271">
        <f>IFERROR(1/(IF(Inputs!$B$38="pvp",15,MAX(0.1,Skills!D10-IF(Skills!E10=TRUE,Inputs!$B$32,0)))*(1-IF(AND(ArtifactsInput!$M$27,Inputs!$B$4="Chapter Hunt"),CHOOSE(ArtifactsInput!$N$27+1,20,24,28,32,36,40),0)/100)),0)</f>
        <v/>
      </c>
      <c r="R271">
        <f>IF(AND(Inputs!$B$38&lt;&gt;"pvp",Inputs!$B$43&gt;0),IF(MAX(0,Inputs!$B$43-B293)&lt;=0,0,(INT(MAX(0,Inputs!$B$43-B293)/(IF(Inputs!$B$38="pvp",15,MAX(0.1,Skills!D10-IF(Skills!E10=TRUE,Inputs!$B$32,0)))*(1-IF(AND(ArtifactsInput!$M$27,Inputs!$B$4="Chapter Hunt"),CHOOSE(ArtifactsInput!$N$27+1,20,24,28,32,36,40),0)/100)))+1)),0)</f>
        <v/>
      </c>
      <c r="S271">
        <f>IFERROR(O271/N271,0)</f>
        <v/>
      </c>
      <c r="T271">
        <f>IF(C271,(H271*N271*IF(AND(Inputs!$B$38&lt;&gt;"pvp",Inputs!$B$43&gt;0),((Skills!G10*((R271-1)*IF(Skills!H10&gt;0,Skills!I10/Skills!H10,1)+IF(Skills!H10&gt;0,MIN(Skills!I10,MAX(0,MAX(0,Inputs!$B$43-B293)-((R271-1)*(IF(Inputs!$B$38="pvp",15,MAX(0.1,Skills!D10-IF(Skills!E10=TRUE,Inputs!$B$32,0)))*(1-IF(AND(ArtifactsInput!$M$27,Inputs!$B$4="Chapter Hunt"),CHOOSE(ArtifactsInput!$N$27+1,20,24,28,32,36,40),0)/100)))))/Skills!H10,1)))/Inputs!$B$43),G271*Q271)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
        <f>IF(C271,(H271*N271*IF(AND(Inputs!$B$38&lt;&gt;"pvp",Inputs!$B$43&gt;0),((Skills!G10*((R271-1)*IF(Skills!H10&gt;0,Skills!I10/Skills!H10,1)+IF(Skills!H10&gt;0,MIN(Skills!I10,MAX(0,MAX(0,Inputs!$B$43-B293)-((R271-1)*(IF(Inputs!$B$38="pvp",15,MAX(0.1,Skills!D10-IF(Skills!E10=TRUE,Inputs!$B$32,0)))*(1-IF(AND(ArtifactsInput!$M$27,Inputs!$B$4="Chapter Hunt"),CHOOSE(ArtifactsInput!$N$27+1,20,24,28,32,36,40),0)/100)))))/Skills!H10,1)))/Inputs!$B$43),G271*Q271))*IF(Inputs!$B$38="pvp",1,(1+(Inputs!$B$21+Skills!Q10+(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
      <c r="A272">
        <f>Skills!A11</f>
        <v/>
      </c>
      <c r="B272">
        <f>Skills!B11</f>
        <v/>
      </c>
      <c r="C272">
        <f>Inputs!$B$3&gt;=113</f>
        <v/>
      </c>
      <c r="D272">
        <f>IF(Skills!C11=1,60+Inputs!$B$25+Inputs!$B$29,IF(Skills!C11=2,90+Inputs!$B$26+Inputs!$B$29,IF(Skills!C11=3,120+Inputs!$B$27+Inputs!$B$29,MAX(0,(Inputs!$B$3-100)*3)+Inputs!$B$28+Inputs!$B$29)))</f>
        <v/>
      </c>
      <c r="E272">
        <f>INDEX(FactorTable!$B$2:$Y$301, MATCH(ROUND(MIN(300,MAX(1,D272)),0), FactorTable!$A$2:$A$301,0), Skills!M11+1)</f>
        <v/>
      </c>
      <c r="F272">
        <f>IF(Skills!N11=TRUE,(Skills!L11/10)*(E272/1000),Skills!L11/10)+Skills!O11</f>
        <v/>
      </c>
      <c r="G272">
        <f>Skills!G11*IF(Skills!H11&gt;0,Skills!I11/Skills!H11,1)</f>
        <v/>
      </c>
      <c r="H272">
        <f>1-(1-Skills!J11/100)^Skills!K11</f>
        <v/>
      </c>
      <c r="I272" t="inlineStr">
        <is>
          <t>1</t>
        </is>
      </c>
      <c r="J272">
        <f>((Inputs!$B$6*(1+Inputs!$B$7/100))+(((Inputs!$B$12*(1+Inputs!$B$13/100))-(Inputs!$B$12*(1+Inputs!$B$13/100)))+0.25*(Inputs!$B$14-Inputs!$B$14))*(1+Inputs!$B$7/100))*(F272/100)</f>
        <v/>
      </c>
      <c r="K272">
        <f>J272*(1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f>
        <v/>
      </c>
      <c r="L272">
        <f>K272*(MIN(Inputs!$B$22+((C281=TRUE)*(F281-Calc!F20)),(Inputs!$B$23+0+(IF(ArtifactsInput!$M$15,CHOOSE(ArtifactsInput!$N$15+1,25,30,35,40,45,50)/100*(Inputs!$B$11-Inputs!$B$11),0))))/100+(Inputs!$B$23+0+(IF(ArtifactsInput!$M$15,CHOOSE(ArtifactsInput!$N$15+1,25,30,35,40,45,50)/100*(Inputs!$B$11-Inputs!$B$11),0)))/100)/2</f>
        <v/>
      </c>
      <c r="M272">
        <f>L272*(1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
        <f>L272*(1-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
        <f>(1-Summary!$B$11)*T272+Summary!$B$11*V272</f>
        <v/>
      </c>
      <c r="P272">
        <f>IF(B296=0,0,O272/B296)</f>
        <v/>
      </c>
      <c r="Q272">
        <f>IFERROR(1/(IF(Inputs!$B$38="pvp",15,MAX(0.1,Skills!D11-IF(Skills!E11=TRUE,Inputs!$B$32,0)))*(1-IF(AND(ArtifactsInput!$M$27,Inputs!$B$4="Chapter Hunt"),CHOOSE(ArtifactsInput!$N$27+1,20,24,28,32,36,40),0)/100)),0)</f>
        <v/>
      </c>
      <c r="R272">
        <f>IF(AND(Inputs!$B$38&lt;&gt;"pvp",Inputs!$B$43&gt;0),IF(MAX(0,Inputs!$B$43-B293)&lt;=0,0,(INT(MAX(0,Inputs!$B$43-B293)/(IF(Inputs!$B$38="pvp",15,MAX(0.1,Skills!D11-IF(Skills!E11=TRUE,Inputs!$B$32,0)))*(1-IF(AND(ArtifactsInput!$M$27,Inputs!$B$4="Chapter Hunt"),CHOOSE(ArtifactsInput!$N$27+1,20,24,28,32,36,40),0)/100)))+1)),0)</f>
        <v/>
      </c>
      <c r="S272">
        <f>IFERROR(O272/N272,0)</f>
        <v/>
      </c>
      <c r="T272">
        <f>IF(C272,(H272*N272*IF(AND(Inputs!$B$38&lt;&gt;"pvp",Inputs!$B$43&gt;0),((Skills!G11*((R272-1)*IF(Skills!H11&gt;0,Skills!I11/Skills!H11,1)+IF(Skills!H11&gt;0,MIN(Skills!I11,MAX(0,MAX(0,Inputs!$B$43-B293)-((R272-1)*(IF(Inputs!$B$38="pvp",15,MAX(0.1,Skills!D11-IF(Skills!E11=TRUE,Inputs!$B$32,0)))*(1-IF(AND(ArtifactsInput!$M$27,Inputs!$B$4="Chapter Hunt"),CHOOSE(ArtifactsInput!$N$27+1,20,24,28,32,36,40),0)/100)))))/Skills!H11,1)))/Inputs!$B$43),G272*Q272)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
        <f>IF(C272,(H272*N272*IF(AND(Inputs!$B$38&lt;&gt;"pvp",Inputs!$B$43&gt;0),((Skills!G11*((R272-1)*IF(Skills!H11&gt;0,Skills!I11/Skills!H11,1)+IF(Skills!H11&gt;0,MIN(Skills!I11,MAX(0,MAX(0,Inputs!$B$43-B293)-((R272-1)*(IF(Inputs!$B$38="pvp",15,MAX(0.1,Skills!D11-IF(Skills!E11=TRUE,Inputs!$B$32,0)))*(1-IF(AND(ArtifactsInput!$M$27,Inputs!$B$4="Chapter Hunt"),CHOOSE(ArtifactsInput!$N$27+1,20,24,28,32,36,40),0)/100)))))/Skills!H11,1)))/Inputs!$B$43),G272*Q272))*IF(Inputs!$B$38="pvp",1,(1+(Inputs!$B$21+Skills!Q11+(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
      <c r="A273">
        <f>Skills!A12</f>
        <v/>
      </c>
      <c r="B273">
        <f>Skills!B12</f>
        <v/>
      </c>
      <c r="C273">
        <f>Inputs!$B$3&gt;=100</f>
        <v/>
      </c>
      <c r="D273">
        <f>IF(Skills!C12=1,60+Inputs!$B$25+Inputs!$B$29,IF(Skills!C12=2,90+Inputs!$B$26+Inputs!$B$29,IF(Skills!C12=3,120+Inputs!$B$27+Inputs!$B$29,MAX(0,(Inputs!$B$3-100)*3)+Inputs!$B$28+Inputs!$B$29)))</f>
        <v/>
      </c>
      <c r="E273">
        <f>INDEX(FactorTable!$B$2:$Y$301, MATCH(ROUND(MIN(300,MAX(1,D273)),0), FactorTable!$A$2:$A$301,0), Skills!M12+1)</f>
        <v/>
      </c>
      <c r="F273">
        <f>IF(Skills!N12=TRUE,(Skills!L12/10)*(E273/1000),Skills!L12/10)+Skills!O12</f>
        <v/>
      </c>
      <c r="G273" t="inlineStr"/>
      <c r="H273" t="inlineStr"/>
      <c r="I273" t="inlineStr">
        <is>
          <t>1</t>
        </is>
      </c>
      <c r="J273" t="inlineStr"/>
      <c r="K273" t="inlineStr"/>
      <c r="L273" t="inlineStr"/>
      <c r="M273" t="inlineStr"/>
      <c r="N273" t="inlineStr"/>
      <c r="O273" t="inlineStr"/>
      <c r="P273" t="inlineStr"/>
      <c r="Q273" t="inlineStr"/>
      <c r="R273" t="inlineStr"/>
      <c r="S273" t="inlineStr"/>
      <c r="T273" t="inlineStr"/>
      <c r="V273" t="inlineStr"/>
    </row>
    <row r="274">
      <c r="A274">
        <f>Skills!A13</f>
        <v/>
      </c>
      <c r="B274">
        <f>Skills!B13</f>
        <v/>
      </c>
      <c r="C274">
        <f>Inputs!$B$3&gt;=66</f>
        <v/>
      </c>
      <c r="D274">
        <f>IF(Skills!C13=1,60+Inputs!$B$25+Inputs!$B$29,IF(Skills!C13=2,90+Inputs!$B$26+Inputs!$B$29,IF(Skills!C13=3,120+Inputs!$B$27+Inputs!$B$29,MAX(0,(Inputs!$B$3-100)*3)+Inputs!$B$28+Inputs!$B$29)))</f>
        <v/>
      </c>
      <c r="E274">
        <f>INDEX(FactorTable!$B$2:$Y$301, MATCH(ROUND(MIN(300,MAX(1,D274)),0), FactorTable!$A$2:$A$301,0), Skills!M13+1)</f>
        <v/>
      </c>
      <c r="F274">
        <f>IF(Skills!N13=TRUE,(Skills!L13/10)*(E274/1000),Skills!L13/10)+Skills!O13</f>
        <v/>
      </c>
      <c r="G274">
        <f>Skills!G13*IF(Skills!H13&gt;0,Skills!I13/Skills!H13,1)</f>
        <v/>
      </c>
      <c r="H274">
        <f>1-(1-Skills!J13/100)^Skills!K13</f>
        <v/>
      </c>
      <c r="I274" t="inlineStr">
        <is>
          <t>1</t>
        </is>
      </c>
      <c r="J274" t="inlineStr"/>
      <c r="K274" t="inlineStr"/>
      <c r="L274" t="inlineStr"/>
      <c r="M274" t="inlineStr"/>
      <c r="N274" t="inlineStr"/>
      <c r="O274">
        <f>(1-Summary!$B$11)*T274+Summary!$B$11*V274</f>
        <v/>
      </c>
      <c r="P274">
        <f>IF(B296=0,0,O274/B296)</f>
        <v/>
      </c>
      <c r="Q274" t="n">
        <v>0</v>
      </c>
      <c r="R274" t="n">
        <v>0</v>
      </c>
      <c r="S274">
        <f>IFERROR(O274/N274,0)</f>
        <v/>
      </c>
      <c r="T274" t="n">
        <v>0</v>
      </c>
      <c r="V274" t="n">
        <v>0</v>
      </c>
    </row>
    <row r="275">
      <c r="A275">
        <f>Skills!A14</f>
        <v/>
      </c>
      <c r="B275">
        <f>Skills!B14</f>
        <v/>
      </c>
      <c r="C275">
        <f>Inputs!$B$3&gt;=107</f>
        <v/>
      </c>
      <c r="D275">
        <f>IF(Skills!C14=1,60+Inputs!$B$25+Inputs!$B$29,IF(Skills!C14=2,90+Inputs!$B$26+Inputs!$B$29,IF(Skills!C14=3,120+Inputs!$B$27+Inputs!$B$29,MAX(0,(Inputs!$B$3-100)*3)+Inputs!$B$28+Inputs!$B$29)))</f>
        <v/>
      </c>
      <c r="E275">
        <f>INDEX(FactorTable!$B$2:$Y$301, MATCH(ROUND(MIN(300,MAX(1,D275)),0), FactorTable!$A$2:$A$301,0), Skills!M14+1)</f>
        <v/>
      </c>
      <c r="F275">
        <f>IF(Skills!N14=TRUE,(Skills!L14/10)*(E275/1000),Skills!L14/10)+Skills!O14</f>
        <v/>
      </c>
      <c r="G275">
        <f>Skills!G14*IF(Skills!H14&gt;0,Skills!I14/Skills!H14,1)</f>
        <v/>
      </c>
      <c r="H275">
        <f>1-(1-Skills!J14/100)^Skills!K14</f>
        <v/>
      </c>
      <c r="I275" t="inlineStr">
        <is>
          <t>1</t>
        </is>
      </c>
      <c r="J275" t="inlineStr"/>
      <c r="K275" t="inlineStr"/>
      <c r="L275" t="inlineStr"/>
      <c r="M275" t="inlineStr"/>
      <c r="N275" t="inlineStr"/>
      <c r="O275">
        <f>(1-Summary!$B$11)*T275+Summary!$B$11*V275</f>
        <v/>
      </c>
      <c r="P275">
        <f>IF(B296=0,0,O275/B296)</f>
        <v/>
      </c>
      <c r="Q275" t="n">
        <v>0</v>
      </c>
      <c r="R275" t="n">
        <v>0</v>
      </c>
      <c r="S275">
        <f>IFERROR(O275/N275,0)</f>
        <v/>
      </c>
      <c r="T275" t="n">
        <v>0</v>
      </c>
      <c r="V275" t="n">
        <v>0</v>
      </c>
    </row>
    <row r="276">
      <c r="A276">
        <f>Skills!A15</f>
        <v/>
      </c>
      <c r="B276">
        <f>Skills!B15</f>
        <v/>
      </c>
      <c r="C276">
        <f>Inputs!$B$3&gt;=115</f>
        <v/>
      </c>
      <c r="D276">
        <f>IF(Skills!C15=1,60+Inputs!$B$25+Inputs!$B$29,IF(Skills!C15=2,90+Inputs!$B$26+Inputs!$B$29,IF(Skills!C15=3,120+Inputs!$B$27+Inputs!$B$29,MAX(0,(Inputs!$B$3-100)*3)+Inputs!$B$28+Inputs!$B$29)))</f>
        <v/>
      </c>
      <c r="E276">
        <f>INDEX(FactorTable!$B$2:$Y$301, MATCH(ROUND(MIN(300,MAX(1,D276)),0), FactorTable!$A$2:$A$301,0), Skills!M15+1)</f>
        <v/>
      </c>
      <c r="F276">
        <f>IF(Skills!N15=TRUE,(Skills!L15/10)*(E276/1000),Skills!L15/10)+Skills!O15</f>
        <v/>
      </c>
      <c r="G276">
        <f>Skills!G15*IF(Skills!H15&gt;0,Skills!I15/Skills!H15,1)</f>
        <v/>
      </c>
      <c r="H276">
        <f>1-(1-Skills!J15/100)^Skills!K15</f>
        <v/>
      </c>
      <c r="I276" t="inlineStr">
        <is>
          <t>1</t>
        </is>
      </c>
      <c r="J276" t="inlineStr"/>
      <c r="K276" t="inlineStr"/>
      <c r="L276" t="inlineStr"/>
      <c r="M276" t="inlineStr"/>
      <c r="N276" t="inlineStr"/>
      <c r="O276">
        <f>(1-Summary!$B$11)*T276+Summary!$B$11*V276</f>
        <v/>
      </c>
      <c r="P276">
        <f>IF(B296=0,0,O276/B296)</f>
        <v/>
      </c>
      <c r="Q276" t="n">
        <v>0</v>
      </c>
      <c r="R276" t="n">
        <v>0</v>
      </c>
      <c r="S276">
        <f>IFERROR(O276/N276,0)</f>
        <v/>
      </c>
      <c r="T276" t="n">
        <v>0</v>
      </c>
      <c r="V276" t="n">
        <v>0</v>
      </c>
    </row>
    <row r="277">
      <c r="A277">
        <f>Skills!A16</f>
        <v/>
      </c>
      <c r="B277">
        <f>Skills!B16</f>
        <v/>
      </c>
      <c r="C277">
        <f>Inputs!$B$3&gt;=15</f>
        <v/>
      </c>
      <c r="D277">
        <f>IF(Skills!C16=1,60+Inputs!$B$25+Inputs!$B$29,IF(Skills!C16=2,90+Inputs!$B$26+Inputs!$B$29,IF(Skills!C16=3,120+Inputs!$B$27+Inputs!$B$29,MAX(0,(Inputs!$B$3-100)*3)+Inputs!$B$28+Inputs!$B$29)))</f>
        <v/>
      </c>
      <c r="E277">
        <f>INDEX(FactorTable!$B$2:$Y$301, MATCH(ROUND(MIN(300,MAX(1,D277)),0), FactorTable!$A$2:$A$301,0), Skills!M16+1)</f>
        <v/>
      </c>
      <c r="F277">
        <f>IF(Skills!N16=TRUE,(Skills!L16/10)*(E277/1000),Skills!L16/10)+Skills!O16</f>
        <v/>
      </c>
      <c r="G277">
        <f>Skills!G16*IF(Skills!H16&gt;0,Skills!I16/Skills!H16,1)</f>
        <v/>
      </c>
      <c r="H277">
        <f>1-(1-Skills!J16/100)^Skills!K16</f>
        <v/>
      </c>
      <c r="I277" t="inlineStr">
        <is>
          <t>1</t>
        </is>
      </c>
      <c r="J277" t="inlineStr"/>
      <c r="K277" t="inlineStr"/>
      <c r="L277" t="inlineStr"/>
      <c r="M277" t="inlineStr"/>
      <c r="N277" t="inlineStr"/>
      <c r="O277">
        <f>(1-Summary!$B$11)*T277+Summary!$B$11*V277</f>
        <v/>
      </c>
      <c r="P277">
        <f>IF(B296=0,0,O277/B296)</f>
        <v/>
      </c>
      <c r="Q277" t="n">
        <v>0</v>
      </c>
      <c r="R277" t="n">
        <v>0</v>
      </c>
      <c r="S277">
        <f>IFERROR(O277/N277,0)</f>
        <v/>
      </c>
      <c r="T277" t="n">
        <v>0</v>
      </c>
      <c r="V277" t="n">
        <v>0</v>
      </c>
    </row>
    <row r="278">
      <c r="A278">
        <f>Skills!A17</f>
        <v/>
      </c>
      <c r="B278">
        <f>Skills!B17</f>
        <v/>
      </c>
      <c r="C278">
        <f>Inputs!$B$3&gt;=10</f>
        <v/>
      </c>
      <c r="D278">
        <f>IF(Skills!C17=1,60+Inputs!$B$25+Inputs!$B$29,IF(Skills!C17=2,90+Inputs!$B$26+Inputs!$B$29,IF(Skills!C17=3,120+Inputs!$B$27+Inputs!$B$29,MAX(0,(Inputs!$B$3-100)*3)+Inputs!$B$28+Inputs!$B$29)))</f>
        <v/>
      </c>
      <c r="E278">
        <f>INDEX(FactorTable!$B$2:$Y$301, MATCH(ROUND(MIN(300,MAX(1,D278)),0), FactorTable!$A$2:$A$301,0), Skills!M17+1)</f>
        <v/>
      </c>
      <c r="F278">
        <f>IF(Skills!N17=TRUE,(Skills!L17/10)*(E278/1000),Skills!L17/10)+Skills!O17</f>
        <v/>
      </c>
      <c r="G278">
        <f>Skills!G17*IF(Skills!H17&gt;0,Skills!I17/Skills!H17,1)</f>
        <v/>
      </c>
      <c r="H278">
        <f>1-(1-Skills!J17/100)^Skills!K17</f>
        <v/>
      </c>
      <c r="I278" t="inlineStr">
        <is>
          <t>1</t>
        </is>
      </c>
      <c r="J278" t="inlineStr"/>
      <c r="K278" t="inlineStr"/>
      <c r="L278" t="inlineStr"/>
      <c r="M278" t="inlineStr"/>
      <c r="N278" t="inlineStr"/>
      <c r="O278">
        <f>(1-Summary!$B$11)*T278+Summary!$B$11*V278</f>
        <v/>
      </c>
      <c r="P278">
        <f>IF(B296=0,0,O278/B296)</f>
        <v/>
      </c>
      <c r="Q278" t="n">
        <v>0</v>
      </c>
      <c r="R278" t="n">
        <v>0</v>
      </c>
      <c r="S278">
        <f>IFERROR(O278/N278,0)</f>
        <v/>
      </c>
      <c r="T278" t="n">
        <v>0</v>
      </c>
      <c r="V278" t="n">
        <v>0</v>
      </c>
    </row>
    <row r="279">
      <c r="A279">
        <f>Skills!A18</f>
        <v/>
      </c>
      <c r="B279">
        <f>Skills!B18</f>
        <v/>
      </c>
      <c r="C279">
        <f>Inputs!$B$3&gt;=33</f>
        <v/>
      </c>
      <c r="D279">
        <f>IF(Skills!C18=1,60+Inputs!$B$25+Inputs!$B$29,IF(Skills!C18=2,90+Inputs!$B$26+Inputs!$B$29,IF(Skills!C18=3,120+Inputs!$B$27+Inputs!$B$29,MAX(0,(Inputs!$B$3-100)*3)+Inputs!$B$28+Inputs!$B$29)))</f>
        <v/>
      </c>
      <c r="E279">
        <f>INDEX(FactorTable!$B$2:$Y$301, MATCH(ROUND(MIN(300,MAX(1,D279)),0), FactorTable!$A$2:$A$301,0), Skills!M18+1)</f>
        <v/>
      </c>
      <c r="F279">
        <f>IF(Skills!N18=TRUE,(Skills!L18/10)*(E279/1000),Skills!L18/10)+Skills!O18</f>
        <v/>
      </c>
      <c r="G279">
        <f>Skills!G18*IF(Skills!H18&gt;0,Skills!I18/Skills!H18,1)</f>
        <v/>
      </c>
      <c r="H279">
        <f>1-(1-Skills!J18/100)^Skills!K18</f>
        <v/>
      </c>
      <c r="I279" t="inlineStr">
        <is>
          <t>1</t>
        </is>
      </c>
      <c r="J279" t="inlineStr"/>
      <c r="K279" t="inlineStr"/>
      <c r="L279" t="inlineStr"/>
      <c r="M279" t="inlineStr"/>
      <c r="N279" t="inlineStr"/>
      <c r="O279">
        <f>(1-Summary!$B$11)*T279+Summary!$B$11*V279</f>
        <v/>
      </c>
      <c r="P279">
        <f>IF(B296=0,0,O279/B296)</f>
        <v/>
      </c>
      <c r="Q279" t="n">
        <v>0</v>
      </c>
      <c r="R279" t="n">
        <v>0</v>
      </c>
      <c r="S279">
        <f>IFERROR(O279/N279,0)</f>
        <v/>
      </c>
      <c r="T279" t="n">
        <v>0</v>
      </c>
      <c r="V279" t="n">
        <v>0</v>
      </c>
    </row>
    <row r="280">
      <c r="A280">
        <f>Skills!A19</f>
        <v/>
      </c>
      <c r="B280">
        <f>Skills!B19</f>
        <v/>
      </c>
      <c r="C280">
        <f>Inputs!$B$3&gt;=40</f>
        <v/>
      </c>
      <c r="D280">
        <f>IF(Skills!C19=1,60+Inputs!$B$25+Inputs!$B$29,IF(Skills!C19=2,90+Inputs!$B$26+Inputs!$B$29,IF(Skills!C19=3,120+Inputs!$B$27+Inputs!$B$29,MAX(0,(Inputs!$B$3-100)*3)+Inputs!$B$28+Inputs!$B$29)))</f>
        <v/>
      </c>
      <c r="E280">
        <f>INDEX(FactorTable!$B$2:$Y$301, MATCH(ROUND(MIN(300,MAX(1,D280)),0), FactorTable!$A$2:$A$301,0), Skills!M19+1)</f>
        <v/>
      </c>
      <c r="F280">
        <f>IF(Skills!N19=TRUE,(Skills!L19/10)*(E280/1000),Skills!L19/10)+Skills!O19</f>
        <v/>
      </c>
      <c r="G280">
        <f>Skills!G19*IF(Skills!H19&gt;0,Skills!I19/Skills!H19,1)</f>
        <v/>
      </c>
      <c r="H280">
        <f>1-(1-Skills!J19/100)^Skills!K19</f>
        <v/>
      </c>
      <c r="I280" t="inlineStr">
        <is>
          <t>1</t>
        </is>
      </c>
      <c r="J280" t="inlineStr"/>
      <c r="K280" t="inlineStr"/>
      <c r="L280" t="inlineStr"/>
      <c r="M280" t="inlineStr"/>
      <c r="N280" t="inlineStr"/>
      <c r="O280">
        <f>(1-Summary!$B$11)*T280+Summary!$B$11*V280</f>
        <v/>
      </c>
      <c r="P280">
        <f>IF(B296=0,0,O280/B296)</f>
        <v/>
      </c>
      <c r="Q280" t="n">
        <v>0</v>
      </c>
      <c r="R280" t="n">
        <v>0</v>
      </c>
      <c r="S280">
        <f>IFERROR(O280/N280,0)</f>
        <v/>
      </c>
      <c r="T280" t="n">
        <v>0</v>
      </c>
      <c r="V280" t="n">
        <v>0</v>
      </c>
    </row>
    <row r="281">
      <c r="A281">
        <f>Skills!A20</f>
        <v/>
      </c>
      <c r="B281">
        <f>Skills!B20</f>
        <v/>
      </c>
      <c r="C281">
        <f>Inputs!$B$3&gt;=43</f>
        <v/>
      </c>
      <c r="D281">
        <f>IF(Skills!C20=1,60+Inputs!$B$25+Inputs!$B$29,IF(Skills!C20=2,90+Inputs!$B$26+Inputs!$B$29,IF(Skills!C20=3,120+Inputs!$B$27+Inputs!$B$29,MAX(0,(Inputs!$B$3-100)*3)+Inputs!$B$28+Inputs!$B$29)))</f>
        <v/>
      </c>
      <c r="E281">
        <f>INDEX(FactorTable!$B$2:$Y$301, MATCH(ROUND(MIN(300,MAX(1,D281)),0), FactorTable!$A$2:$A$301,0), Skills!M20+1)</f>
        <v/>
      </c>
      <c r="F281">
        <f>IF(Skills!N20=TRUE,(Skills!L20/10)*(E281/1000),Skills!L20/10)+Skills!O20</f>
        <v/>
      </c>
      <c r="G281">
        <f>Skills!G20*IF(Skills!H20&gt;0,Skills!I20/Skills!H20,1)</f>
        <v/>
      </c>
      <c r="H281">
        <f>1-(1-Skills!J20/100)^Skills!K20</f>
        <v/>
      </c>
      <c r="I281" t="inlineStr">
        <is>
          <t>1</t>
        </is>
      </c>
      <c r="J281" t="inlineStr"/>
      <c r="K281" t="inlineStr"/>
      <c r="L281" t="inlineStr"/>
      <c r="M281" t="inlineStr"/>
      <c r="N281" t="inlineStr"/>
      <c r="O281">
        <f>(1-Summary!$B$11)*T281+Summary!$B$11*V281</f>
        <v/>
      </c>
      <c r="P281">
        <f>IF(B296=0,0,O281/B296)</f>
        <v/>
      </c>
      <c r="Q281" t="n">
        <v>0</v>
      </c>
      <c r="R281" t="n">
        <v>0</v>
      </c>
      <c r="S281">
        <f>IFERROR(O281/N281,0)</f>
        <v/>
      </c>
      <c r="T281" t="n">
        <v>0</v>
      </c>
      <c r="V281" t="n">
        <v>0</v>
      </c>
    </row>
    <row r="282">
      <c r="A282">
        <f>Skills!A21</f>
        <v/>
      </c>
      <c r="B282">
        <f>Skills!B21</f>
        <v/>
      </c>
      <c r="C282">
        <f>Inputs!$B$3&gt;=38</f>
        <v/>
      </c>
      <c r="D282">
        <f>IF(Skills!C21=1,60+Inputs!$B$25+Inputs!$B$29,IF(Skills!C21=2,90+Inputs!$B$26+Inputs!$B$29,IF(Skills!C21=3,120+Inputs!$B$27+Inputs!$B$29,MAX(0,(Inputs!$B$3-100)*3)+Inputs!$B$28+Inputs!$B$29)))</f>
        <v/>
      </c>
      <c r="E282">
        <f>INDEX(FactorTable!$B$2:$Y$301, MATCH(ROUND(MIN(300,MAX(1,D282)),0), FactorTable!$A$2:$A$301,0), Skills!M21+1)</f>
        <v/>
      </c>
      <c r="F282">
        <f>IF(Skills!N21=TRUE,(Skills!L21/10)*(E282/1000),Skills!L21/10)+Skills!O21</f>
        <v/>
      </c>
      <c r="G282">
        <f>Skills!G21*IF(Skills!H21&gt;0,Skills!I21/Skills!H21,1)</f>
        <v/>
      </c>
      <c r="H282">
        <f>1-(1-Skills!J21/100)^Skills!K21</f>
        <v/>
      </c>
      <c r="I282" t="inlineStr">
        <is>
          <t>1</t>
        </is>
      </c>
      <c r="J282" t="inlineStr"/>
      <c r="K282" t="inlineStr"/>
      <c r="L282" t="inlineStr"/>
      <c r="M282" t="inlineStr"/>
      <c r="N282" t="inlineStr"/>
      <c r="O282">
        <f>(1-Summary!$B$11)*T282+Summary!$B$11*V282</f>
        <v/>
      </c>
      <c r="P282">
        <f>IF(B296=0,0,O282/B296)</f>
        <v/>
      </c>
      <c r="Q282" t="n">
        <v>0</v>
      </c>
      <c r="R282" t="n">
        <v>0</v>
      </c>
      <c r="S282">
        <f>IFERROR(O282/N282,0)</f>
        <v/>
      </c>
      <c r="T282" t="n">
        <v>0</v>
      </c>
      <c r="V282" t="n">
        <v>0</v>
      </c>
    </row>
    <row r="283">
      <c r="A283">
        <f>Skills!A22</f>
        <v/>
      </c>
      <c r="B283">
        <f>Skills!B22</f>
        <v/>
      </c>
      <c r="C283">
        <f>Inputs!$B$3&gt;=75</f>
        <v/>
      </c>
      <c r="D283">
        <f>IF(Skills!C22=1,60+Inputs!$B$25+Inputs!$B$29,IF(Skills!C22=2,90+Inputs!$B$26+Inputs!$B$29,IF(Skills!C22=3,120+Inputs!$B$27+Inputs!$B$29,MAX(0,(Inputs!$B$3-100)*3)+Inputs!$B$28+Inputs!$B$29)))</f>
        <v/>
      </c>
      <c r="E283">
        <f>INDEX(FactorTable!$B$2:$Y$301, MATCH(ROUND(MIN(300,MAX(1,D283)),0), FactorTable!$A$2:$A$301,0), Skills!M22+1)</f>
        <v/>
      </c>
      <c r="F283">
        <f>IF(Skills!N22=TRUE,(Skills!L22/10)*(E283/1000),Skills!L22/10)+Skills!O22</f>
        <v/>
      </c>
      <c r="G283">
        <f>Skills!G22*IF(Skills!H22&gt;0,Skills!I22/Skills!H22,1)</f>
        <v/>
      </c>
      <c r="H283">
        <f>1-(1-Skills!J22/100)^Skills!K22</f>
        <v/>
      </c>
      <c r="I283" t="inlineStr">
        <is>
          <t>1</t>
        </is>
      </c>
      <c r="J283" t="inlineStr"/>
      <c r="K283" t="inlineStr"/>
      <c r="L283" t="inlineStr"/>
      <c r="M283" t="inlineStr"/>
      <c r="N283" t="inlineStr"/>
      <c r="O283">
        <f>(1-Summary!$B$11)*T283+Summary!$B$11*V283</f>
        <v/>
      </c>
      <c r="P283">
        <f>IF(B296=0,0,O283/B296)</f>
        <v/>
      </c>
      <c r="Q283" t="n">
        <v>0</v>
      </c>
      <c r="R283" t="n">
        <v>0</v>
      </c>
      <c r="S283">
        <f>IFERROR(O283/N283,0)</f>
        <v/>
      </c>
      <c r="T283" t="n">
        <v>0</v>
      </c>
      <c r="V283" t="n">
        <v>0</v>
      </c>
    </row>
    <row r="285">
      <c r="A285" t="inlineStr">
        <is>
          <t>Attack% Bucket Multiplier</t>
        </is>
      </c>
      <c r="B285">
        <f>(1+(((C274=TRUE)*F274)+((C280=TRUE)*(F280-Calc!F19))+(IF(ArtifactsInput!$M$21,CHOOSE(ArtifactsInput!$N$21+1,25,30,35,40,45,50)*(IF(OR(Inputs!$B$4="Chapter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6">
      <c r="A286" t="inlineStr">
        <is>
          <t>Global Crit Rate Bonus %</t>
        </is>
      </c>
      <c r="B286" t="n">
        <v>0</v>
      </c>
    </row>
    <row r="287">
      <c r="A287" t="inlineStr">
        <is>
          <t>Attack Speed Buff Bonus % (unused)</t>
        </is>
      </c>
      <c r="B287" t="n">
        <v>0</v>
      </c>
    </row>
    <row r="288">
      <c r="A288" t="inlineStr">
        <is>
          <t>Actions Per Second</t>
        </is>
      </c>
      <c r="B288">
        <f>1+MIN(150,150*(1-(1-(Inputs!$B$11+((C278=TRUE)*(F278-Calc!F17))+((C279=TRUE)*(F279-Calc!F18)))/150)*(1-B287/150)))/100</f>
        <v/>
      </c>
    </row>
    <row r="289">
      <c r="A289" t="inlineStr">
        <is>
          <t>Skill + Buff Cast Rate</t>
        </is>
      </c>
      <c r="B289">
        <f>IF(AND(Inputs!$B$38&lt;&gt;"pvp",Inputs!$B$43&gt;0),SUMPRODUCT((Skills!E2:E22=TRUE)*(C263:C283=TRUE)*R263:R283*Skills!F2:F22)/Inputs!$B$43,SUMPRODUCT((Skills!E2:E22=TRUE)*(C263:C283=TRUE)*Q263:Q283*Skills!F2:F22))</f>
        <v/>
      </c>
    </row>
    <row r="290">
      <c r="A290" t="inlineStr">
        <is>
          <t>Hook Bomber Casts Per Second</t>
        </is>
      </c>
      <c r="B290">
        <f>MAX(0,B288-B289)</f>
        <v/>
      </c>
    </row>
    <row r="291">
      <c r="A291" t="inlineStr">
        <is>
          <t>Global Critical Damage Bonus % (unused)</t>
        </is>
      </c>
      <c r="B291" t="n">
        <v>0</v>
      </c>
    </row>
    <row r="292">
      <c r="A292" t="inlineStr">
        <is>
          <t>Global Final Damage Bonus % (Serpent Scale + Crossbones + Time Leap + Speed Infusion)</t>
        </is>
      </c>
      <c r="B292">
        <f>((C266=TRUE)*F266*((10+IF(Inputs!$B$3&gt;=94,5,0))/((10+IF(Inputs!$B$3&gt;=94,5,0))+5/(B290*(1+IF(Inputs!$B$3&gt;=104,1,0))))))+((C275=TRUE)*F275)+((C276=TRUE)*F276)+((Inputs!$B$3&gt;=110)*20*(B288-1))</f>
        <v/>
      </c>
    </row>
    <row r="293">
      <c r="A293" t="inlineStr">
        <is>
          <t>Buff-Casting Startup Delay (s, fixed-duration only)</t>
        </is>
      </c>
      <c r="B293">
        <f>IF(AND(Inputs!$B$38&lt;&gt;"pvp",Inputs!$B$43&gt;0),SUMPRODUCT((Skills!T2:T22&gt;0)*(Skills!E2:E22=TRUE)*(C263:C283=TRUE))/B288,0)</f>
        <v/>
      </c>
    </row>
    <row r="294">
      <c r="A294" t="inlineStr">
        <is>
          <t>Boss-Only Total DPS (this block's swept value)</t>
        </is>
      </c>
      <c r="B294">
        <f>SUM(T263:T283)</f>
        <v/>
      </c>
    </row>
    <row r="295">
      <c r="A295" t="inlineStr">
        <is>
          <t>Normal-Only Total DPS (this block's swept value)</t>
        </is>
      </c>
      <c r="B295">
        <f>SUM(V263:V283)</f>
        <v/>
      </c>
    </row>
    <row r="296">
      <c r="A296" s="6" t="inlineStr">
        <is>
          <t>TOTAL DPS</t>
        </is>
      </c>
      <c r="B296" s="6">
        <f>SUM(O263:O283)</f>
        <v/>
      </c>
    </row>
    <row r="299">
      <c r="A299" s="6" t="inlineStr">
        <is>
          <t>Stat: NORMAL_DAMAGE %</t>
        </is>
      </c>
    </row>
    <row r="300">
      <c r="A300" s="5" t="inlineStr">
        <is>
          <t>Key</t>
        </is>
      </c>
      <c r="B300" s="5" t="inlineStr">
        <is>
          <t>Name</t>
        </is>
      </c>
      <c r="C300" s="5" t="inlineStr">
        <is>
          <t>Unlocked</t>
        </is>
      </c>
      <c r="D300" s="5" t="inlineStr">
        <is>
          <t>InputLevel</t>
        </is>
      </c>
      <c r="E300" s="5" t="inlineStr">
        <is>
          <t>Factor</t>
        </is>
      </c>
      <c r="F300" s="5" t="inlineStr">
        <is>
          <t>CoefficientPercent</t>
        </is>
      </c>
      <c r="G300" s="5" t="inlineStr">
        <is>
          <t>EffectiveHits</t>
        </is>
      </c>
      <c r="H300" s="5" t="inlineStr">
        <is>
          <t>ProcProbability</t>
        </is>
      </c>
      <c r="I300" s="5" t="inlineStr">
        <is>
          <t>MapleHeroMultiplier</t>
        </is>
      </c>
      <c r="J300" s="5" t="inlineStr">
        <is>
          <t>BaseDamage</t>
        </is>
      </c>
      <c r="K300" s="5" t="inlineStr">
        <is>
          <t>BaseHitDamage</t>
        </is>
      </c>
      <c r="L300" s="5" t="inlineStr">
        <is>
          <t>NonCritAvg</t>
        </is>
      </c>
      <c r="M300" s="5" t="inlineStr">
        <is>
          <t>CritAvg</t>
        </is>
      </c>
      <c r="N300" s="5" t="inlineStr">
        <is>
          <t>ExpectedDamage(perHit)</t>
        </is>
      </c>
      <c r="O300" s="5" t="inlineStr">
        <is>
          <t>DPS</t>
        </is>
      </c>
      <c r="P300" s="5" t="inlineStr">
        <is>
          <t>% of Total</t>
        </is>
      </c>
      <c r="Q300" s="5" t="inlineStr">
        <is>
          <t>InvCooldown</t>
        </is>
      </c>
      <c r="R300" s="5" t="inlineStr">
        <is>
          <t>CastsInFight</t>
        </is>
      </c>
      <c r="S300" s="5" t="inlineStr">
        <is>
          <t>HitRate(perSec)</t>
        </is>
      </c>
      <c r="U300" t="inlineStr">
        <is>
          <t>helpers</t>
        </is>
      </c>
    </row>
    <row r="301">
      <c r="A301">
        <f>Skills!A2</f>
        <v/>
      </c>
      <c r="B301">
        <f>Skills!B2</f>
        <v/>
      </c>
      <c r="C301">
        <f>Inputs!$B$3&gt;=100</f>
        <v/>
      </c>
      <c r="D301" t="inlineStr"/>
      <c r="E301" t="inlineStr"/>
      <c r="F301">
        <f>U303+Skills!O2</f>
        <v/>
      </c>
      <c r="G301">
        <f>Skills!G2*IF(Skills!H2&gt;0,Skills!I2/Skills!H2,1)</f>
        <v/>
      </c>
      <c r="H301">
        <f>1-(1-Skills!J2/100)^Skills!K2</f>
        <v/>
      </c>
      <c r="I301" t="inlineStr">
        <is>
          <t>1</t>
        </is>
      </c>
      <c r="J301">
        <f>((Inputs!$B$6*(1+Inputs!$B$7/100))+(((Inputs!$B$12*(1+Inputs!$B$13/100))-(Inputs!$B$12*(1+Inputs!$B$13/100)))+0.25*(Inputs!$B$14-Inputs!$B$14))*(1+Inputs!$B$7/100))*(F301/100)</f>
        <v/>
      </c>
      <c r="K301">
        <f>J301*(1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f>
        <v/>
      </c>
      <c r="L301">
        <f>K301*(MIN(Inputs!$B$22+((C319=TRUE)*(F319-Calc!F20)),(Inputs!$B$23+0+(IF(ArtifactsInput!$M$15,CHOOSE(ArtifactsInput!$N$15+1,25,30,35,40,45,50)/100*(Inputs!$B$11-Inputs!$B$11),0))))/100+(Inputs!$B$23+0+(IF(ArtifactsInput!$M$15,CHOOSE(ArtifactsInput!$N$15+1,25,30,35,40,45,50)/100*(Inputs!$B$11-Inputs!$B$11),0)))/100)/2</f>
        <v/>
      </c>
      <c r="M301">
        <f>L301*(1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
        <f>L301*(1-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
        <f>(1-Summary!$B$11)*T301+Summary!$B$11*V301</f>
        <v/>
      </c>
      <c r="P301">
        <f>IF(B334=0,0,O301/B334)</f>
        <v/>
      </c>
      <c r="Q301" t="n">
        <v>0</v>
      </c>
      <c r="R301" t="n">
        <v>0</v>
      </c>
      <c r="S301">
        <f>IFERROR(O301/N301,0)</f>
        <v/>
      </c>
      <c r="T301">
        <f>IF(C301,(Skills!G2*N301*B328)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
        <f>MAX(0,(Inputs!$B$3-100)*3)+Inputs!$B$28+Inputs!$B$29</f>
        <v/>
      </c>
      <c r="V301">
        <f>IF(C301,(Skills!G2*N301*B328)*IF(Inputs!$B$38="pvp",1,(1+((Inputs!$B$21+1)+Skills!Q2+(IF(ArtifactsInput!$M$33,CHOOSE(ArtifactsInput!$N$33+1,30,36,42,48,54,60),0))+(IF(AND(ArtifactsInput!$M$35,Inputs!$B$4&lt;&gt;"Chapter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
      <c r="A302">
        <f>Skills!A3</f>
        <v/>
      </c>
      <c r="B302">
        <f>Skills!B3</f>
        <v/>
      </c>
      <c r="C302">
        <f>Inputs!$B$3&gt;=35</f>
        <v/>
      </c>
      <c r="D302">
        <f>IF(Skills!C3=1,60+Inputs!$B$25+Inputs!$B$29,IF(Skills!C3=2,90+Inputs!$B$26+Inputs!$B$29,IF(Skills!C3=3,120+Inputs!$B$27+Inputs!$B$29,MAX(0,(Inputs!$B$3-100)*3)+Inputs!$B$28+Inputs!$B$29)))</f>
        <v/>
      </c>
      <c r="E302">
        <f>INDEX(FactorTable!$B$2:$Y$301, MATCH(ROUND(MIN(300,MAX(1,D302)),0), FactorTable!$A$2:$A$301,0), Skills!M3+1)</f>
        <v/>
      </c>
      <c r="F302">
        <f>IF(Skills!N3=TRUE,(Skills!L3/10)*(E302/1000),Skills!L3/10)+Skills!O3</f>
        <v/>
      </c>
      <c r="G302">
        <f>Skills!G3*IF(Skills!H3&gt;0,Skills!I3/Skills!H3,1)</f>
        <v/>
      </c>
      <c r="H302">
        <f>1-(1-Skills!J3/100)^Skills!K3</f>
        <v/>
      </c>
      <c r="I302" t="inlineStr">
        <is>
          <t>1</t>
        </is>
      </c>
      <c r="J302">
        <f>((Inputs!$B$6*(1+Inputs!$B$7/100))+(((Inputs!$B$12*(1+Inputs!$B$13/100))-(Inputs!$B$12*(1+Inputs!$B$13/100)))+0.25*(Inputs!$B$14-Inputs!$B$14))*(1+Inputs!$B$7/100))*(F302/100)</f>
        <v/>
      </c>
      <c r="K302">
        <f>J302*(1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f>
        <v/>
      </c>
      <c r="L302">
        <f>K302*(MIN(Inputs!$B$22+((C319=TRUE)*(F319-Calc!F20)),(Inputs!$B$23+0+(IF(ArtifactsInput!$M$15,CHOOSE(ArtifactsInput!$N$15+1,25,30,35,40,45,50)/100*(Inputs!$B$11-Inputs!$B$11),0))))/100+(Inputs!$B$23+0+(IF(ArtifactsInput!$M$15,CHOOSE(ArtifactsInput!$N$15+1,25,30,35,40,45,50)/100*(Inputs!$B$11-Inputs!$B$11),0)))/100)/2</f>
        <v/>
      </c>
      <c r="M302">
        <f>L302*(1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
        <f>L302*(1-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
        <f>(1-Summary!$B$11)*T302+Summary!$B$11*V302</f>
        <v/>
      </c>
      <c r="P302">
        <f>IF(B334=0,0,O302/B334)</f>
        <v/>
      </c>
      <c r="Q302" t="n">
        <v>0</v>
      </c>
      <c r="R302" t="n">
        <v>0</v>
      </c>
      <c r="S302">
        <f>IFERROR(O302/N302,0)</f>
        <v/>
      </c>
      <c r="T302">
        <f>IF(C302,(Skills!G3*H302*N302*B328)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2">
        <f>INDEX(FactorTable!$B$2:$Y$301, MATCH(ROUND(MIN(300,MAX(1,U301)),0), FactorTable!$A$2:$A$301,0), 22)</f>
        <v/>
      </c>
      <c r="V302">
        <f>IF(C302,(Skills!G3*H302*N302*B328)*IF(Inputs!$B$38="pvp",1,(1+((Inputs!$B$21+1)+Skills!Q3+(IF(ArtifactsInput!$M$33,CHOOSE(ArtifactsInput!$N$33+1,30,36,42,48,54,60),0))+(IF(AND(ArtifactsInput!$M$35,Inputs!$B$4&lt;&gt;"Chapter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
      <c r="A303">
        <f>Skills!A4</f>
        <v/>
      </c>
      <c r="B303">
        <f>Skills!B4</f>
        <v/>
      </c>
      <c r="C303">
        <f>Inputs!$B$3&gt;=60</f>
        <v/>
      </c>
      <c r="D303">
        <f>IF(Skills!C4=1,60+Inputs!$B$25+Inputs!$B$29,IF(Skills!C4=2,90+Inputs!$B$26+Inputs!$B$29,IF(Skills!C4=3,120+Inputs!$B$27+Inputs!$B$29,MAX(0,(Inputs!$B$3-100)*3)+Inputs!$B$28+Inputs!$B$29)))</f>
        <v/>
      </c>
      <c r="E303">
        <f>INDEX(FactorTable!$B$2:$Y$301, MATCH(ROUND(MIN(300,MAX(1,D303)),0), FactorTable!$A$2:$A$301,0), Skills!M4+1)</f>
        <v/>
      </c>
      <c r="F303">
        <f>IF(Skills!N4=TRUE,(Skills!L4/10)*(E303/1000),Skills!L4/10)+Skills!O4</f>
        <v/>
      </c>
      <c r="G303">
        <f>Skills!G4*IF(Skills!H4&gt;0,Skills!I4/Skills!H4,1)</f>
        <v/>
      </c>
      <c r="H303">
        <f>1-(1-Skills!J4/100)^Skills!K4</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311=TRUE,F311,0)/100)*(1+(IF(Skills!A4="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319=TRUE)*(F319-Calc!F20)),(Inputs!$B$23+0+(IF(ArtifactsInput!$M$15,CHOOSE(ArtifactsInput!$N$15+1,25,30,35,40,45,50)/100*(Inputs!$B$11-Inputs!$B$11),0))))/100+(Inputs!$B$23+0+(IF(ArtifactsInput!$M$15,CHOOSE(ArtifactsInput!$N$15+1,25,30,35,40,45,50)/100*(Inputs!$B$11-Inputs!$B$11),0)))/100)/2</f>
        <v/>
      </c>
      <c r="M303">
        <f>L303*(1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IF(B334=0,0,O303/B334)</f>
        <v/>
      </c>
      <c r="Q303" t="n">
        <v>0</v>
      </c>
      <c r="R303" t="n">
        <v>0</v>
      </c>
      <c r="S303">
        <f>IFERROR(O303/N303,0)</f>
        <v/>
      </c>
      <c r="T303">
        <f>IF(C303,(Skills!G4*H303*N303*B328)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
        <f>290*U302/1000</f>
        <v/>
      </c>
      <c r="V303">
        <f>IF(C303,(Skills!G4*H303*N303*B328)*IF(Inputs!$B$38="pvp",1,(1+((Inputs!$B$21+1)+Skills!Q4+(IF(ArtifactsInput!$M$33,CHOOSE(ArtifactsInput!$N$33+1,30,36,42,48,54,60),0))+(IF(AND(ArtifactsInput!$M$35,Inputs!$B$4&lt;&gt;"Chapter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Skills!A5</f>
        <v/>
      </c>
      <c r="B304">
        <f>Skills!B5</f>
        <v/>
      </c>
      <c r="C304">
        <f>Inputs!$B$3&gt;=60</f>
        <v/>
      </c>
      <c r="D304">
        <f>IF(Skills!C5=1,60+Inputs!$B$25+Inputs!$B$29,IF(Skills!C5=2,90+Inputs!$B$26+Inputs!$B$29,IF(Skills!C5=3,120+Inputs!$B$27+Inputs!$B$29,MAX(0,(Inputs!$B$3-100)*3)+Inputs!$B$28+Inputs!$B$29)))</f>
        <v/>
      </c>
      <c r="E304">
        <f>INDEX(FactorTable!$B$2:$Y$301, MATCH(ROUND(MIN(300,MAX(1,D304)),0), FactorTable!$A$2:$A$301,0), Skills!M5+1)</f>
        <v/>
      </c>
      <c r="F304">
        <f>IF(Skills!N5=TRUE,(Skills!L5/10)*(E304/1000),Skills!L5/10)+Skills!O5</f>
        <v/>
      </c>
      <c r="G304">
        <f>Skills!G5*IF(Skills!H5&gt;0,Skills!I5/Skills!H5,1)</f>
        <v/>
      </c>
      <c r="H304">
        <f>1-(1-Skills!J5/100)^Skills!K5</f>
        <v/>
      </c>
      <c r="I304" t="inlineStr">
        <is>
          <t>1</t>
        </is>
      </c>
      <c r="J304" t="inlineStr"/>
      <c r="K304" t="inlineStr"/>
      <c r="L304" t="inlineStr"/>
      <c r="M304" t="inlineStr"/>
      <c r="N304" t="inlineStr"/>
      <c r="O304">
        <f>(1-Summary!$B$11)*T304+Summary!$B$11*V304</f>
        <v/>
      </c>
      <c r="P304">
        <f>IF(B334=0,0,O304/B334)</f>
        <v/>
      </c>
      <c r="Q304" t="n">
        <v>0</v>
      </c>
      <c r="R304" t="n">
        <v>0</v>
      </c>
      <c r="S304">
        <f>IFERROR(O304/N304,0)</f>
        <v/>
      </c>
      <c r="T304" t="n">
        <v>0</v>
      </c>
      <c r="V304" t="n">
        <v>0</v>
      </c>
    </row>
    <row r="305">
      <c r="A305">
        <f>Skills!A6</f>
        <v/>
      </c>
      <c r="B305">
        <f>Skills!B6</f>
        <v/>
      </c>
      <c r="C305">
        <f>Inputs!$B$3&gt;=63</f>
        <v/>
      </c>
      <c r="D305">
        <f>IF(Skills!C6=1,60+Inputs!$B$25+Inputs!$B$29,IF(Skills!C6=2,90+Inputs!$B$26+Inputs!$B$29,IF(Skills!C6=3,120+Inputs!$B$27+Inputs!$B$29,MAX(0,(Inputs!$B$3-100)*3)+Inputs!$B$28+Inputs!$B$29)))</f>
        <v/>
      </c>
      <c r="E305">
        <f>INDEX(FactorTable!$B$2:$Y$301, MATCH(ROUND(MIN(300,MAX(1,D305)),0), FactorTable!$A$2:$A$301,0), Skills!M6+1)</f>
        <v/>
      </c>
      <c r="F305">
        <f>IF(Skills!N6=TRUE,(Skills!L6/10)*(E305/1000),Skills!L6/10)+Skills!O6</f>
        <v/>
      </c>
      <c r="G305">
        <f>Skills!G6*IF(Skills!H6&gt;0,Skills!I6/Skills!H6,1)</f>
        <v/>
      </c>
      <c r="H305">
        <f>1-(1-Skills!J6/100)^Skills!K6</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319=TRUE)*(F319-Calc!F20)),(Inputs!$B$23+0+(IF(ArtifactsInput!$M$15,CHOOSE(ArtifactsInput!$N$15+1,25,30,35,40,45,50)/100*(Inputs!$B$11-Inputs!$B$11),0))))/100+(Inputs!$B$23+0+(IF(ArtifactsInput!$M$15,CHOOSE(ArtifactsInput!$N$15+1,25,30,35,40,45,50)/100*(Inputs!$B$11-Inputs!$B$11),0)))/100)/2</f>
        <v/>
      </c>
      <c r="M305">
        <f>L305*(1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IF(B334=0,0,O305/B334)</f>
        <v/>
      </c>
      <c r="Q305">
        <f>IFERROR(1/(IF(Inputs!$B$38="pvp",15,MAX(0.1,Skills!D6-IF(Skills!E6=TRUE,Inputs!$B$32,0)))*(1-IF(AND(ArtifactsInput!$M$27,Inputs!$B$4="Chapter Hunt"),CHOOSE(ArtifactsInput!$N$27+1,20,24,28,32,36,40),0)/100)),0)</f>
        <v/>
      </c>
      <c r="R305">
        <f>IF(AND(Inputs!$B$38&lt;&gt;"pvp",Inputs!$B$43&gt;0),IF(MAX(0,Inputs!$B$43-B331)&lt;=0,0,(INT(MAX(0,Inputs!$B$43-B331)/(IF(Inputs!$B$38="pvp",15,MAX(0.1,Skills!D6-IF(Skills!E6=TRUE,Inputs!$B$32,0)))*(1-IF(AND(ArtifactsInput!$M$27,Inputs!$B$4="Chapter Hunt"),CHOOSE(ArtifactsInput!$N$27+1,20,24,28,32,36,40),0)/100)))+1)),0)</f>
        <v/>
      </c>
      <c r="S305">
        <f>IFERROR(O305/N305,0)</f>
        <v/>
      </c>
      <c r="T305">
        <f>IF(C305,(H305*N305*IF(AND(Inputs!$B$38&lt;&gt;"pvp",Inputs!$B$43&gt;0),((Skills!G6*((R305-1)*IF(Skills!H6&gt;0,Skills!I6/Skills!H6,1)+IF(Skills!H6&gt;0,MIN(Skills!I6,MAX(0,MAX(0,Inputs!$B$43-B331)-((R305-1)*(IF(Inputs!$B$38="pvp",15,MAX(0.1,Skills!D6-IF(Skills!E6=TRUE,Inputs!$B$32,0)))*(1-IF(AND(ArtifactsInput!$M$27,Inputs!$B$4="Chapter Hunt"),CHOOSE(ArtifactsInput!$N$27+1,20,24,28,32,36,40),0)/100)))))/Skills!H6,1)))/Inputs!$B$43),G305*Q305)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
        <f>IF(C305,(H305*N305*IF(AND(Inputs!$B$38&lt;&gt;"pvp",Inputs!$B$43&gt;0),((Skills!G6*((R305-1)*IF(Skills!H6&gt;0,Skills!I6/Skills!H6,1)+IF(Skills!H6&gt;0,MIN(Skills!I6,MAX(0,MAX(0,Inputs!$B$43-B331)-((R305-1)*(IF(Inputs!$B$38="pvp",15,MAX(0.1,Skills!D6-IF(Skills!E6=TRUE,Inputs!$B$32,0)))*(1-IF(AND(ArtifactsInput!$M$27,Inputs!$B$4="Chapter Hunt"),CHOOSE(ArtifactsInput!$N$27+1,20,24,28,32,36,40),0)/100)))))/Skills!H6,1)))/Inputs!$B$43),G305*Q305))*IF(Inputs!$B$38="pvp",1,(1+((Inputs!$B$21+1)+Skills!Q6+(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Skills!A7</f>
        <v/>
      </c>
      <c r="B306">
        <f>Skills!B7</f>
        <v/>
      </c>
      <c r="C306">
        <f>Inputs!$B$3&gt;=100</f>
        <v/>
      </c>
      <c r="D306">
        <f>IF(Skills!C7=1,60+Inputs!$B$25+Inputs!$B$29,IF(Skills!C7=2,90+Inputs!$B$26+Inputs!$B$29,IF(Skills!C7=3,120+Inputs!$B$27+Inputs!$B$29,MAX(0,(Inputs!$B$3-100)*3)+Inputs!$B$28+Inputs!$B$29)))</f>
        <v/>
      </c>
      <c r="E306">
        <f>INDEX(FactorTable!$B$2:$Y$301, MATCH(ROUND(MIN(300,MAX(1,D306)),0), FactorTable!$A$2:$A$301,0), Skills!M7+1)</f>
        <v/>
      </c>
      <c r="F306">
        <f>IF(Skills!N7=TRUE,(Skills!L7/10)*(E306/1000),Skills!L7/10)+Skills!O7</f>
        <v/>
      </c>
      <c r="G306">
        <f>Skills!G7*IF(Skills!H7&gt;0,Skills!I7/Skills!H7,1)</f>
        <v/>
      </c>
      <c r="H306">
        <f>1-(1-Skills!J7/100)^Skills!K7</f>
        <v/>
      </c>
      <c r="I306" t="inlineStr">
        <is>
          <t>1</t>
        </is>
      </c>
      <c r="J306">
        <f>((Inputs!$B$6*(1+Inputs!$B$7/100))+(((Inputs!$B$12*(1+Inputs!$B$13/100))-(Inputs!$B$12*(1+Inputs!$B$13/100)))+0.25*(Inputs!$B$14-Inputs!$B$14))*(1+Inputs!$B$7/100))*(F306/100)</f>
        <v/>
      </c>
      <c r="K306">
        <f>J306*(1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C319=TRUE)*(F319-Calc!F20)),(Inputs!$B$23+0+(IF(ArtifactsInput!$M$15,CHOOSE(ArtifactsInput!$N$15+1,25,30,35,40,45,50)/100*(Inputs!$B$11-Inputs!$B$11),0))))/100+(Inputs!$B$23+0+(IF(ArtifactsInput!$M$15,CHOOSE(ArtifactsInput!$N$15+1,25,30,35,40,45,50)/100*(Inputs!$B$11-Inputs!$B$11),0)))/100)/2</f>
        <v/>
      </c>
      <c r="M306">
        <f>L306*(1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(1-Summary!$B$11)*T306+Summary!$B$11*V306</f>
        <v/>
      </c>
      <c r="P306">
        <f>IF(B334=0,0,O306/B334)</f>
        <v/>
      </c>
      <c r="Q306">
        <f>IFERROR(1/(IF(Inputs!$B$38="pvp",15,MAX(0.1,Skills!D7-IF(Skills!E7=TRUE,Inputs!$B$32,0)))*(1-IF(AND(ArtifactsInput!$M$27,Inputs!$B$4="Chapter Hunt"),CHOOSE(ArtifactsInput!$N$27+1,20,24,28,32,36,40),0)/100)),0)</f>
        <v/>
      </c>
      <c r="R306">
        <f>IF(AND(Inputs!$B$38&lt;&gt;"pvp",Inputs!$B$43&gt;0),IF(MAX(0,Inputs!$B$43-B331)&lt;=0,0,(INT(MAX(0,Inputs!$B$43-B331)/(IF(Inputs!$B$38="pvp",15,MAX(0.1,Skills!D7-IF(Skills!E7=TRUE,Inputs!$B$32,0)))*(1-IF(AND(ArtifactsInput!$M$27,Inputs!$B$4="Chapter Hunt"),CHOOSE(ArtifactsInput!$N$27+1,20,24,28,32,36,40),0)/100)))+1)),0)</f>
        <v/>
      </c>
      <c r="S306">
        <f>IFERROR(O306/N306,0)</f>
        <v/>
      </c>
      <c r="T306">
        <f>IF(C306,(H306*N306*IF(AND(Inputs!$B$38&lt;&gt;"pvp",Inputs!$B$43&gt;0),((Skills!G7*((R306-1)*IF(Skills!H7&gt;0,Skills!I7/Skills!H7,1)+IF(Skills!H7&gt;0,MIN(Skills!I7,MAX(0,MAX(0,Inputs!$B$43-B331)-((R306-1)*(IF(Inputs!$B$38="pvp",15,MAX(0.1,Skills!D7-IF(Skills!E7=TRUE,Inputs!$B$32,0)))*(1-IF(AND(ArtifactsInput!$M$27,Inputs!$B$4="Chapter Hunt"),CHOOSE(ArtifactsInput!$N$27+1,20,24,28,32,36,40),0)/100)))))/Skills!H7,1)))/Inputs!$B$43),G306*Q306)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
        <f>IF(C306,(H306*N306*IF(AND(Inputs!$B$38&lt;&gt;"pvp",Inputs!$B$43&gt;0),((Skills!G7*((R306-1)*IF(Skills!H7&gt;0,Skills!I7/Skills!H7,1)+IF(Skills!H7&gt;0,MIN(Skills!I7,MAX(0,MAX(0,Inputs!$B$43-B331)-((R306-1)*(IF(Inputs!$B$38="pvp",15,MAX(0.1,Skills!D7-IF(Skills!E7=TRUE,Inputs!$B$32,0)))*(1-IF(AND(ArtifactsInput!$M$27,Inputs!$B$4="Chapter Hunt"),CHOOSE(ArtifactsInput!$N$27+1,20,24,28,32,36,40),0)/100)))))/Skills!H7,1)))/Inputs!$B$43),G306*Q306))*IF(Inputs!$B$38="pvp",1,(1+((Inputs!$B$21+1)+Skills!Q7+(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Skills!A8</f>
        <v/>
      </c>
      <c r="B307">
        <f>Skills!B8</f>
        <v/>
      </c>
      <c r="C307">
        <f>Inputs!$B$3&gt;=110</f>
        <v/>
      </c>
      <c r="D307">
        <f>IF(Skills!C8=1,60+Inputs!$B$25+Inputs!$B$29,IF(Skills!C8=2,90+Inputs!$B$26+Inputs!$B$29,IF(Skills!C8=3,120+Inputs!$B$27+Inputs!$B$29,MAX(0,(Inputs!$B$3-100)*3)+Inputs!$B$28+Inputs!$B$29)))</f>
        <v/>
      </c>
      <c r="E307">
        <f>INDEX(FactorTable!$B$2:$Y$301, MATCH(ROUND(MIN(300,MAX(1,D307)),0), FactorTable!$A$2:$A$301,0), Skills!M8+1)</f>
        <v/>
      </c>
      <c r="F307">
        <f>IF(Skills!N8=TRUE,(Skills!L8/10)*(E307/1000),Skills!L8/10)+Skills!O8</f>
        <v/>
      </c>
      <c r="G307">
        <f>Skills!G8*IF(Skills!H8&gt;0,Skills!I8/Skills!H8,1)</f>
        <v/>
      </c>
      <c r="H307">
        <f>1-(1-Skills!J8/100)^Skills!K8</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319=TRUE)*(F319-Calc!F20)),(Inputs!$B$23+0+(IF(ArtifactsInput!$M$15,CHOOSE(ArtifactsInput!$N$15+1,25,30,35,40,45,50)/100*(Inputs!$B$11-Inputs!$B$11),0))))/100+(Inputs!$B$23+0+(IF(ArtifactsInput!$M$15,CHOOSE(ArtifactsInput!$N$15+1,25,30,35,40,45,50)/100*(Inputs!$B$11-Inputs!$B$11),0)))/100)/2</f>
        <v/>
      </c>
      <c r="M307">
        <f>L307*(1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IF(B334=0,0,O307/B334)</f>
        <v/>
      </c>
      <c r="Q307">
        <f>IFERROR(1/(IF(Inputs!$B$38="pvp",15,MAX(0.1,Skills!D8-IF(Skills!E8=TRUE,Inputs!$B$32,0)))*(1-IF(AND(ArtifactsInput!$M$27,Inputs!$B$4="Chapter Hunt"),CHOOSE(ArtifactsInput!$N$27+1,20,24,28,32,36,40),0)/100)),0)</f>
        <v/>
      </c>
      <c r="R307">
        <f>IF(AND(Inputs!$B$38&lt;&gt;"pvp",Inputs!$B$43&gt;0),IF(MAX(0,Inputs!$B$43-B331)&lt;=0,0,(INT(MAX(0,Inputs!$B$43-B331)/(IF(Inputs!$B$38="pvp",15,MAX(0.1,Skills!D8-IF(Skills!E8=TRUE,Inputs!$B$32,0)))*(1-IF(AND(ArtifactsInput!$M$27,Inputs!$B$4="Chapter Hunt"),CHOOSE(ArtifactsInput!$N$27+1,20,24,28,32,36,40),0)/100)))+1)),0)</f>
        <v/>
      </c>
      <c r="S307">
        <f>IFERROR(O307/N307,0)</f>
        <v/>
      </c>
      <c r="T307">
        <f>IF(C307,(H307*N307*IF(AND(Inputs!$B$38&lt;&gt;"pvp",Inputs!$B$43&gt;0),((Skills!G8*((R307-1)*IF(Skills!H8&gt;0,Skills!I8/Skills!H8,1)+IF(Skills!H8&gt;0,MIN(Skills!I8,MAX(0,MAX(0,Inputs!$B$43-B331)-((R307-1)*(IF(Inputs!$B$38="pvp",15,MAX(0.1,Skills!D8-IF(Skills!E8=TRUE,Inputs!$B$32,0)))*(1-IF(AND(ArtifactsInput!$M$27,Inputs!$B$4="Chapter Hunt"),CHOOSE(ArtifactsInput!$N$27+1,20,24,28,32,36,40),0)/100)))))/Skills!H8,1)))/Inputs!$B$43),G307*Q307)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
        <f>IF(C307,(H307*N307*IF(AND(Inputs!$B$38&lt;&gt;"pvp",Inputs!$B$43&gt;0),((Skills!G8*((R307-1)*IF(Skills!H8&gt;0,Skills!I8/Skills!H8,1)+IF(Skills!H8&gt;0,MIN(Skills!I8,MAX(0,MAX(0,Inputs!$B$43-B331)-((R307-1)*(IF(Inputs!$B$38="pvp",15,MAX(0.1,Skills!D8-IF(Skills!E8=TRUE,Inputs!$B$32,0)))*(1-IF(AND(ArtifactsInput!$M$27,Inputs!$B$4="Chapter Hunt"),CHOOSE(ArtifactsInput!$N$27+1,20,24,28,32,36,40),0)/100)))))/Skills!H8,1)))/Inputs!$B$43),G307*Q307))*IF(Inputs!$B$38="pvp",1,(1+((Inputs!$B$21+1)+Skills!Q8+(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Skills!A9</f>
        <v/>
      </c>
      <c r="B308">
        <f>Skills!B9</f>
        <v/>
      </c>
      <c r="C308">
        <f>Inputs!$B$3&gt;=110</f>
        <v/>
      </c>
      <c r="D308">
        <f>IF(Skills!C9=1,60+Inputs!$B$25+Inputs!$B$29,IF(Skills!C9=2,90+Inputs!$B$26+Inputs!$B$29,IF(Skills!C9=3,120+Inputs!$B$27+Inputs!$B$29,MAX(0,(Inputs!$B$3-100)*3)+Inputs!$B$28+Inputs!$B$29)))</f>
        <v/>
      </c>
      <c r="E308">
        <f>INDEX(FactorTable!$B$2:$Y$301, MATCH(ROUND(MIN(300,MAX(1,D308)),0), FactorTable!$A$2:$A$301,0), Skills!M9+1)</f>
        <v/>
      </c>
      <c r="F308">
        <f>IF(Skills!N9=TRUE,(Skills!L9/10)*(E308/1000),Skills!L9/10)+Skills!O9</f>
        <v/>
      </c>
      <c r="G308">
        <f>Skills!G9*IF(Skills!H9&gt;0,Skills!I9/Skills!H9,1)</f>
        <v/>
      </c>
      <c r="H308">
        <f>1-(1-Skills!J9/100)^Skills!K9</f>
        <v/>
      </c>
      <c r="I308" t="inlineStr">
        <is>
          <t>1</t>
        </is>
      </c>
      <c r="J308">
        <f>((Inputs!$B$6*(1+Inputs!$B$7/100))+(((Inputs!$B$12*(1+Inputs!$B$13/100))-(Inputs!$B$12*(1+Inputs!$B$13/100)))+0.25*(Inputs!$B$14-Inputs!$B$14))*(1+Inputs!$B$7/100))*(F308/100)</f>
        <v/>
      </c>
      <c r="K308">
        <f>J308*(1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f>
        <v/>
      </c>
      <c r="L308">
        <f>K308*(MIN(Inputs!$B$22+((C319=TRUE)*(F319-Calc!F20)),(Inputs!$B$23+0+(IF(ArtifactsInput!$M$15,CHOOSE(ArtifactsInput!$N$15+1,25,30,35,40,45,50)/100*(Inputs!$B$11-Inputs!$B$11),0))))/100+(Inputs!$B$23+0+(IF(ArtifactsInput!$M$15,CHOOSE(ArtifactsInput!$N$15+1,25,30,35,40,45,50)/100*(Inputs!$B$11-Inputs!$B$11),0)))/100)/2</f>
        <v/>
      </c>
      <c r="M308">
        <f>L308*(1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
        <f>L308*(1-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
        <f>(1-Summary!$B$11)*T308+Summary!$B$11*V308</f>
        <v/>
      </c>
      <c r="P308">
        <f>IF(B334=0,0,O308/B334)</f>
        <v/>
      </c>
      <c r="Q308">
        <f>IFERROR(1/(IF(Inputs!$B$38="pvp",15,MAX(0.1,Skills!D9-IF(Skills!E9=TRUE,Inputs!$B$32,0)))*(1-IF(AND(ArtifactsInput!$M$27,Inputs!$B$4="Chapter Hunt"),CHOOSE(ArtifactsInput!$N$27+1,20,24,28,32,36,40),0)/100)),0)</f>
        <v/>
      </c>
      <c r="R308">
        <f>IF(AND(Inputs!$B$38&lt;&gt;"pvp",Inputs!$B$43&gt;0),IF(MAX(0,Inputs!$B$43-B331)&lt;=0,0,(INT(MAX(0,Inputs!$B$43-B331)/(IF(Inputs!$B$38="pvp",15,MAX(0.1,Skills!D9-IF(Skills!E9=TRUE,Inputs!$B$32,0)))*(1-IF(AND(ArtifactsInput!$M$27,Inputs!$B$4="Chapter Hunt"),CHOOSE(ArtifactsInput!$N$27+1,20,24,28,32,36,40),0)/100)))+1)),0)</f>
        <v/>
      </c>
      <c r="S308">
        <f>IFERROR(O308/N308,0)</f>
        <v/>
      </c>
      <c r="T308">
        <f>IF(C308,(H308*N308*IF(AND(Inputs!$B$38&lt;&gt;"pvp",Inputs!$B$43&gt;0),((Skills!G9*((R308-1)*IF(Skills!H9&gt;0,Skills!I9/Skills!H9,1)+IF(Skills!H9&gt;0,MIN(Skills!I9,MAX(0,MAX(0,Inputs!$B$43-B331)-((R308-1)*(IF(Inputs!$B$38="pvp",15,MAX(0.1,Skills!D9-IF(Skills!E9=TRUE,Inputs!$B$32,0)))*(1-IF(AND(ArtifactsInput!$M$27,Inputs!$B$4="Chapter Hunt"),CHOOSE(ArtifactsInput!$N$27+1,20,24,28,32,36,40),0)/100)))))/Skills!H9,1)))/Inputs!$B$43),G308*Q308)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
        <f>IF(C308,(H308*N308*IF(AND(Inputs!$B$38&lt;&gt;"pvp",Inputs!$B$43&gt;0),((Skills!G9*((R308-1)*IF(Skills!H9&gt;0,Skills!I9/Skills!H9,1)+IF(Skills!H9&gt;0,MIN(Skills!I9,MAX(0,MAX(0,Inputs!$B$43-B331)-((R308-1)*(IF(Inputs!$B$38="pvp",15,MAX(0.1,Skills!D9-IF(Skills!E9=TRUE,Inputs!$B$32,0)))*(1-IF(AND(ArtifactsInput!$M$27,Inputs!$B$4="Chapter Hunt"),CHOOSE(ArtifactsInput!$N$27+1,20,24,28,32,36,40),0)/100)))))/Skills!H9,1)))/Inputs!$B$43),G308*Q308))*IF(Inputs!$B$38="pvp",1,(1+((Inputs!$B$21+1)+Skills!Q9+(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
      <c r="A309">
        <f>Skills!A10</f>
        <v/>
      </c>
      <c r="B309">
        <f>Skills!B10</f>
        <v/>
      </c>
      <c r="C309">
        <f>Inputs!$B$3&gt;=103</f>
        <v/>
      </c>
      <c r="D309">
        <f>IF(Skills!C10=1,60+Inputs!$B$25+Inputs!$B$29,IF(Skills!C10=2,90+Inputs!$B$26+Inputs!$B$29,IF(Skills!C10=3,120+Inputs!$B$27+Inputs!$B$29,MAX(0,(Inputs!$B$3-100)*3)+Inputs!$B$28+Inputs!$B$29)))</f>
        <v/>
      </c>
      <c r="E309">
        <f>INDEX(FactorTable!$B$2:$Y$301, MATCH(ROUND(MIN(300,MAX(1,D309)),0), FactorTable!$A$2:$A$301,0), Skills!M10+1)</f>
        <v/>
      </c>
      <c r="F309">
        <f>IF(Skills!N10=TRUE,(Skills!L10/10)*(E309/1000),Skills!L10/10)+Skills!O10</f>
        <v/>
      </c>
      <c r="G309">
        <f>Skills!G10*IF(Skills!H10&gt;0,Skills!I10/Skills!H10,1)</f>
        <v/>
      </c>
      <c r="H309">
        <f>1-(1-Skills!J10/100)^Skills!K10</f>
        <v/>
      </c>
      <c r="I309" t="inlineStr">
        <is>
          <t>1</t>
        </is>
      </c>
      <c r="J309">
        <f>((Inputs!$B$6*(1+Inputs!$B$7/100))+(((Inputs!$B$12*(1+Inputs!$B$13/100))-(Inputs!$B$12*(1+Inputs!$B$13/100)))+0.25*(Inputs!$B$14-Inputs!$B$14))*(1+Inputs!$B$7/100))*(F309/100)</f>
        <v/>
      </c>
      <c r="K309">
        <f>J309*(1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f>
        <v/>
      </c>
      <c r="L309">
        <f>K309*(MIN(Inputs!$B$22+((C319=TRUE)*(F319-Calc!F20)),(Inputs!$B$23+0+(IF(ArtifactsInput!$M$15,CHOOSE(ArtifactsInput!$N$15+1,25,30,35,40,45,50)/100*(Inputs!$B$11-Inputs!$B$11),0))))/100+(Inputs!$B$23+0+(IF(ArtifactsInput!$M$15,CHOOSE(ArtifactsInput!$N$15+1,25,30,35,40,45,50)/100*(Inputs!$B$11-Inputs!$B$11),0)))/100)/2</f>
        <v/>
      </c>
      <c r="M309">
        <f>L309*(1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
        <f>L309*(1-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
        <f>(1-Summary!$B$11)*T309+Summary!$B$11*V309</f>
        <v/>
      </c>
      <c r="P309">
        <f>IF(B334=0,0,O309/B334)</f>
        <v/>
      </c>
      <c r="Q309">
        <f>IFERROR(1/(IF(Inputs!$B$38="pvp",15,MAX(0.1,Skills!D10-IF(Skills!E10=TRUE,Inputs!$B$32,0)))*(1-IF(AND(ArtifactsInput!$M$27,Inputs!$B$4="Chapter Hunt"),CHOOSE(ArtifactsInput!$N$27+1,20,24,28,32,36,40),0)/100)),0)</f>
        <v/>
      </c>
      <c r="R309">
        <f>IF(AND(Inputs!$B$38&lt;&gt;"pvp",Inputs!$B$43&gt;0),IF(MAX(0,Inputs!$B$43-B331)&lt;=0,0,(INT(MAX(0,Inputs!$B$43-B331)/(IF(Inputs!$B$38="pvp",15,MAX(0.1,Skills!D10-IF(Skills!E10=TRUE,Inputs!$B$32,0)))*(1-IF(AND(ArtifactsInput!$M$27,Inputs!$B$4="Chapter Hunt"),CHOOSE(ArtifactsInput!$N$27+1,20,24,28,32,36,40),0)/100)))+1)),0)</f>
        <v/>
      </c>
      <c r="S309">
        <f>IFERROR(O309/N309,0)</f>
        <v/>
      </c>
      <c r="T309">
        <f>IF(C309,(H309*N309*IF(AND(Inputs!$B$38&lt;&gt;"pvp",Inputs!$B$43&gt;0),((Skills!G10*((R309-1)*IF(Skills!H10&gt;0,Skills!I10/Skills!H10,1)+IF(Skills!H10&gt;0,MIN(Skills!I10,MAX(0,MAX(0,Inputs!$B$43-B331)-((R309-1)*(IF(Inputs!$B$38="pvp",15,MAX(0.1,Skills!D10-IF(Skills!E10=TRUE,Inputs!$B$32,0)))*(1-IF(AND(ArtifactsInput!$M$27,Inputs!$B$4="Chapter Hunt"),CHOOSE(ArtifactsInput!$N$27+1,20,24,28,32,36,40),0)/100)))))/Skills!H10,1)))/Inputs!$B$43),G309*Q309)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
        <f>IF(C309,(H309*N309*IF(AND(Inputs!$B$38&lt;&gt;"pvp",Inputs!$B$43&gt;0),((Skills!G10*((R309-1)*IF(Skills!H10&gt;0,Skills!I10/Skills!H10,1)+IF(Skills!H10&gt;0,MIN(Skills!I10,MAX(0,MAX(0,Inputs!$B$43-B331)-((R309-1)*(IF(Inputs!$B$38="pvp",15,MAX(0.1,Skills!D10-IF(Skills!E10=TRUE,Inputs!$B$32,0)))*(1-IF(AND(ArtifactsInput!$M$27,Inputs!$B$4="Chapter Hunt"),CHOOSE(ArtifactsInput!$N$27+1,20,24,28,32,36,40),0)/100)))))/Skills!H10,1)))/Inputs!$B$43),G309*Q309))*IF(Inputs!$B$38="pvp",1,(1+((Inputs!$B$21+1)+Skills!Q10+(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
      <c r="A310">
        <f>Skills!A11</f>
        <v/>
      </c>
      <c r="B310">
        <f>Skills!B11</f>
        <v/>
      </c>
      <c r="C310">
        <f>Inputs!$B$3&gt;=113</f>
        <v/>
      </c>
      <c r="D310">
        <f>IF(Skills!C11=1,60+Inputs!$B$25+Inputs!$B$29,IF(Skills!C11=2,90+Inputs!$B$26+Inputs!$B$29,IF(Skills!C11=3,120+Inputs!$B$27+Inputs!$B$29,MAX(0,(Inputs!$B$3-100)*3)+Inputs!$B$28+Inputs!$B$29)))</f>
        <v/>
      </c>
      <c r="E310">
        <f>INDEX(FactorTable!$B$2:$Y$301, MATCH(ROUND(MIN(300,MAX(1,D310)),0), FactorTable!$A$2:$A$301,0), Skills!M11+1)</f>
        <v/>
      </c>
      <c r="F310">
        <f>IF(Skills!N11=TRUE,(Skills!L11/10)*(E310/1000),Skills!L11/10)+Skills!O11</f>
        <v/>
      </c>
      <c r="G310">
        <f>Skills!G11*IF(Skills!H11&gt;0,Skills!I11/Skills!H11,1)</f>
        <v/>
      </c>
      <c r="H310">
        <f>1-(1-Skills!J11/100)^Skills!K11</f>
        <v/>
      </c>
      <c r="I310" t="inlineStr">
        <is>
          <t>1</t>
        </is>
      </c>
      <c r="J310">
        <f>((Inputs!$B$6*(1+Inputs!$B$7/100))+(((Inputs!$B$12*(1+Inputs!$B$13/100))-(Inputs!$B$12*(1+Inputs!$B$13/100)))+0.25*(Inputs!$B$14-Inputs!$B$14))*(1+Inputs!$B$7/100))*(F310/100)</f>
        <v/>
      </c>
      <c r="K310">
        <f>J310*(1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f>
        <v/>
      </c>
      <c r="L310">
        <f>K310*(MIN(Inputs!$B$22+((C319=TRUE)*(F319-Calc!F20)),(Inputs!$B$23+0+(IF(ArtifactsInput!$M$15,CHOOSE(ArtifactsInput!$N$15+1,25,30,35,40,45,50)/100*(Inputs!$B$11-Inputs!$B$11),0))))/100+(Inputs!$B$23+0+(IF(ArtifactsInput!$M$15,CHOOSE(ArtifactsInput!$N$15+1,25,30,35,40,45,50)/100*(Inputs!$B$11-Inputs!$B$11),0)))/100)/2</f>
        <v/>
      </c>
      <c r="M310">
        <f>L310*(1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
        <f>L310*(1-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
        <f>(1-Summary!$B$11)*T310+Summary!$B$11*V310</f>
        <v/>
      </c>
      <c r="P310">
        <f>IF(B334=0,0,O310/B334)</f>
        <v/>
      </c>
      <c r="Q310">
        <f>IFERROR(1/(IF(Inputs!$B$38="pvp",15,MAX(0.1,Skills!D11-IF(Skills!E11=TRUE,Inputs!$B$32,0)))*(1-IF(AND(ArtifactsInput!$M$27,Inputs!$B$4="Chapter Hunt"),CHOOSE(ArtifactsInput!$N$27+1,20,24,28,32,36,40),0)/100)),0)</f>
        <v/>
      </c>
      <c r="R310">
        <f>IF(AND(Inputs!$B$38&lt;&gt;"pvp",Inputs!$B$43&gt;0),IF(MAX(0,Inputs!$B$43-B331)&lt;=0,0,(INT(MAX(0,Inputs!$B$43-B331)/(IF(Inputs!$B$38="pvp",15,MAX(0.1,Skills!D11-IF(Skills!E11=TRUE,Inputs!$B$32,0)))*(1-IF(AND(ArtifactsInput!$M$27,Inputs!$B$4="Chapter Hunt"),CHOOSE(ArtifactsInput!$N$27+1,20,24,28,32,36,40),0)/100)))+1)),0)</f>
        <v/>
      </c>
      <c r="S310">
        <f>IFERROR(O310/N310,0)</f>
        <v/>
      </c>
      <c r="T310">
        <f>IF(C310,(H310*N310*IF(AND(Inputs!$B$38&lt;&gt;"pvp",Inputs!$B$43&gt;0),((Skills!G11*((R310-1)*IF(Skills!H11&gt;0,Skills!I11/Skills!H11,1)+IF(Skills!H11&gt;0,MIN(Skills!I11,MAX(0,MAX(0,Inputs!$B$43-B331)-((R310-1)*(IF(Inputs!$B$38="pvp",15,MAX(0.1,Skills!D11-IF(Skills!E11=TRUE,Inputs!$B$32,0)))*(1-IF(AND(ArtifactsInput!$M$27,Inputs!$B$4="Chapter Hunt"),CHOOSE(ArtifactsInput!$N$27+1,20,24,28,32,36,40),0)/100)))))/Skills!H11,1)))/Inputs!$B$43),G310*Q310)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
        <f>IF(C310,(H310*N310*IF(AND(Inputs!$B$38&lt;&gt;"pvp",Inputs!$B$43&gt;0),((Skills!G11*((R310-1)*IF(Skills!H11&gt;0,Skills!I11/Skills!H11,1)+IF(Skills!H11&gt;0,MIN(Skills!I11,MAX(0,MAX(0,Inputs!$B$43-B331)-((R310-1)*(IF(Inputs!$B$38="pvp",15,MAX(0.1,Skills!D11-IF(Skills!E11=TRUE,Inputs!$B$32,0)))*(1-IF(AND(ArtifactsInput!$M$27,Inputs!$B$4="Chapter Hunt"),CHOOSE(ArtifactsInput!$N$27+1,20,24,28,32,36,40),0)/100)))))/Skills!H11,1)))/Inputs!$B$43),G310*Q310))*IF(Inputs!$B$38="pvp",1,(1+((Inputs!$B$21+1)+Skills!Q11+(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
      <c r="A311">
        <f>Skills!A12</f>
        <v/>
      </c>
      <c r="B311">
        <f>Skills!B12</f>
        <v/>
      </c>
      <c r="C311">
        <f>Inputs!$B$3&gt;=100</f>
        <v/>
      </c>
      <c r="D311">
        <f>IF(Skills!C12=1,60+Inputs!$B$25+Inputs!$B$29,IF(Skills!C12=2,90+Inputs!$B$26+Inputs!$B$29,IF(Skills!C12=3,120+Inputs!$B$27+Inputs!$B$29,MAX(0,(Inputs!$B$3-100)*3)+Inputs!$B$28+Inputs!$B$29)))</f>
        <v/>
      </c>
      <c r="E311">
        <f>INDEX(FactorTable!$B$2:$Y$301, MATCH(ROUND(MIN(300,MAX(1,D311)),0), FactorTable!$A$2:$A$301,0), Skills!M12+1)</f>
        <v/>
      </c>
      <c r="F311">
        <f>IF(Skills!N12=TRUE,(Skills!L12/10)*(E311/1000),Skills!L12/10)+Skills!O12</f>
        <v/>
      </c>
      <c r="G311" t="inlineStr"/>
      <c r="H311" t="inlineStr"/>
      <c r="I311" t="inlineStr">
        <is>
          <t>1</t>
        </is>
      </c>
      <c r="J311" t="inlineStr"/>
      <c r="K311" t="inlineStr"/>
      <c r="L311" t="inlineStr"/>
      <c r="M311" t="inlineStr"/>
      <c r="N311" t="inlineStr"/>
      <c r="O311" t="inlineStr"/>
      <c r="P311" t="inlineStr"/>
      <c r="Q311" t="inlineStr"/>
      <c r="R311" t="inlineStr"/>
      <c r="S311" t="inlineStr"/>
      <c r="T311" t="inlineStr"/>
      <c r="V311" t="inlineStr"/>
    </row>
    <row r="312">
      <c r="A312">
        <f>Skills!A13</f>
        <v/>
      </c>
      <c r="B312">
        <f>Skills!B13</f>
        <v/>
      </c>
      <c r="C312">
        <f>Inputs!$B$3&gt;=66</f>
        <v/>
      </c>
      <c r="D312">
        <f>IF(Skills!C13=1,60+Inputs!$B$25+Inputs!$B$29,IF(Skills!C13=2,90+Inputs!$B$26+Inputs!$B$29,IF(Skills!C13=3,120+Inputs!$B$27+Inputs!$B$29,MAX(0,(Inputs!$B$3-100)*3)+Inputs!$B$28+Inputs!$B$29)))</f>
        <v/>
      </c>
      <c r="E312">
        <f>INDEX(FactorTable!$B$2:$Y$301, MATCH(ROUND(MIN(300,MAX(1,D312)),0), FactorTable!$A$2:$A$301,0), Skills!M13+1)</f>
        <v/>
      </c>
      <c r="F312">
        <f>IF(Skills!N13=TRUE,(Skills!L13/10)*(E312/1000),Skills!L13/10)+Skills!O13</f>
        <v/>
      </c>
      <c r="G312">
        <f>Skills!G13*IF(Skills!H13&gt;0,Skills!I13/Skills!H13,1)</f>
        <v/>
      </c>
      <c r="H312">
        <f>1-(1-Skills!J13/100)^Skills!K13</f>
        <v/>
      </c>
      <c r="I312" t="inlineStr">
        <is>
          <t>1</t>
        </is>
      </c>
      <c r="J312" t="inlineStr"/>
      <c r="K312" t="inlineStr"/>
      <c r="L312" t="inlineStr"/>
      <c r="M312" t="inlineStr"/>
      <c r="N312" t="inlineStr"/>
      <c r="O312">
        <f>(1-Summary!$B$11)*T312+Summary!$B$11*V312</f>
        <v/>
      </c>
      <c r="P312">
        <f>IF(B334=0,0,O312/B334)</f>
        <v/>
      </c>
      <c r="Q312" t="n">
        <v>0</v>
      </c>
      <c r="R312" t="n">
        <v>0</v>
      </c>
      <c r="S312">
        <f>IFERROR(O312/N312,0)</f>
        <v/>
      </c>
      <c r="T312" t="n">
        <v>0</v>
      </c>
      <c r="V312" t="n">
        <v>0</v>
      </c>
    </row>
    <row r="313">
      <c r="A313">
        <f>Skills!A14</f>
        <v/>
      </c>
      <c r="B313">
        <f>Skills!B14</f>
        <v/>
      </c>
      <c r="C313">
        <f>Inputs!$B$3&gt;=107</f>
        <v/>
      </c>
      <c r="D313">
        <f>IF(Skills!C14=1,60+Inputs!$B$25+Inputs!$B$29,IF(Skills!C14=2,90+Inputs!$B$26+Inputs!$B$29,IF(Skills!C14=3,120+Inputs!$B$27+Inputs!$B$29,MAX(0,(Inputs!$B$3-100)*3)+Inputs!$B$28+Inputs!$B$29)))</f>
        <v/>
      </c>
      <c r="E313">
        <f>INDEX(FactorTable!$B$2:$Y$301, MATCH(ROUND(MIN(300,MAX(1,D313)),0), FactorTable!$A$2:$A$301,0), Skills!M14+1)</f>
        <v/>
      </c>
      <c r="F313">
        <f>IF(Skills!N14=TRUE,(Skills!L14/10)*(E313/1000),Skills!L14/10)+Skills!O14</f>
        <v/>
      </c>
      <c r="G313">
        <f>Skills!G14*IF(Skills!H14&gt;0,Skills!I14/Skills!H14,1)</f>
        <v/>
      </c>
      <c r="H313">
        <f>1-(1-Skills!J14/100)^Skills!K14</f>
        <v/>
      </c>
      <c r="I313" t="inlineStr">
        <is>
          <t>1</t>
        </is>
      </c>
      <c r="J313" t="inlineStr"/>
      <c r="K313" t="inlineStr"/>
      <c r="L313" t="inlineStr"/>
      <c r="M313" t="inlineStr"/>
      <c r="N313" t="inlineStr"/>
      <c r="O313">
        <f>(1-Summary!$B$11)*T313+Summary!$B$11*V313</f>
        <v/>
      </c>
      <c r="P313">
        <f>IF(B334=0,0,O313/B334)</f>
        <v/>
      </c>
      <c r="Q313" t="n">
        <v>0</v>
      </c>
      <c r="R313" t="n">
        <v>0</v>
      </c>
      <c r="S313">
        <f>IFERROR(O313/N313,0)</f>
        <v/>
      </c>
      <c r="T313" t="n">
        <v>0</v>
      </c>
      <c r="V313" t="n">
        <v>0</v>
      </c>
    </row>
    <row r="314">
      <c r="A314">
        <f>Skills!A15</f>
        <v/>
      </c>
      <c r="B314">
        <f>Skills!B15</f>
        <v/>
      </c>
      <c r="C314">
        <f>Inputs!$B$3&gt;=115</f>
        <v/>
      </c>
      <c r="D314">
        <f>IF(Skills!C15=1,60+Inputs!$B$25+Inputs!$B$29,IF(Skills!C15=2,90+Inputs!$B$26+Inputs!$B$29,IF(Skills!C15=3,120+Inputs!$B$27+Inputs!$B$29,MAX(0,(Inputs!$B$3-100)*3)+Inputs!$B$28+Inputs!$B$29)))</f>
        <v/>
      </c>
      <c r="E314">
        <f>INDEX(FactorTable!$B$2:$Y$301, MATCH(ROUND(MIN(300,MAX(1,D314)),0), FactorTable!$A$2:$A$301,0), Skills!M15+1)</f>
        <v/>
      </c>
      <c r="F314">
        <f>IF(Skills!N15=TRUE,(Skills!L15/10)*(E314/1000),Skills!L15/10)+Skills!O15</f>
        <v/>
      </c>
      <c r="G314">
        <f>Skills!G15*IF(Skills!H15&gt;0,Skills!I15/Skills!H15,1)</f>
        <v/>
      </c>
      <c r="H314">
        <f>1-(1-Skills!J15/100)^Skills!K15</f>
        <v/>
      </c>
      <c r="I314" t="inlineStr">
        <is>
          <t>1</t>
        </is>
      </c>
      <c r="J314" t="inlineStr"/>
      <c r="K314" t="inlineStr"/>
      <c r="L314" t="inlineStr"/>
      <c r="M314" t="inlineStr"/>
      <c r="N314" t="inlineStr"/>
      <c r="O314">
        <f>(1-Summary!$B$11)*T314+Summary!$B$11*V314</f>
        <v/>
      </c>
      <c r="P314">
        <f>IF(B334=0,0,O314/B334)</f>
        <v/>
      </c>
      <c r="Q314" t="n">
        <v>0</v>
      </c>
      <c r="R314" t="n">
        <v>0</v>
      </c>
      <c r="S314">
        <f>IFERROR(O314/N314,0)</f>
        <v/>
      </c>
      <c r="T314" t="n">
        <v>0</v>
      </c>
      <c r="V314" t="n">
        <v>0</v>
      </c>
    </row>
    <row r="315">
      <c r="A315">
        <f>Skills!A16</f>
        <v/>
      </c>
      <c r="B315">
        <f>Skills!B16</f>
        <v/>
      </c>
      <c r="C315">
        <f>Inputs!$B$3&gt;=15</f>
        <v/>
      </c>
      <c r="D315">
        <f>IF(Skills!C16=1,60+Inputs!$B$25+Inputs!$B$29,IF(Skills!C16=2,90+Inputs!$B$26+Inputs!$B$29,IF(Skills!C16=3,120+Inputs!$B$27+Inputs!$B$29,MAX(0,(Inputs!$B$3-100)*3)+Inputs!$B$28+Inputs!$B$29)))</f>
        <v/>
      </c>
      <c r="E315">
        <f>INDEX(FactorTable!$B$2:$Y$301, MATCH(ROUND(MIN(300,MAX(1,D315)),0), FactorTable!$A$2:$A$301,0), Skills!M16+1)</f>
        <v/>
      </c>
      <c r="F315">
        <f>IF(Skills!N16=TRUE,(Skills!L16/10)*(E315/1000),Skills!L16/10)+Skills!O16</f>
        <v/>
      </c>
      <c r="G315">
        <f>Skills!G16*IF(Skills!H16&gt;0,Skills!I16/Skills!H16,1)</f>
        <v/>
      </c>
      <c r="H315">
        <f>1-(1-Skills!J16/100)^Skills!K16</f>
        <v/>
      </c>
      <c r="I315" t="inlineStr">
        <is>
          <t>1</t>
        </is>
      </c>
      <c r="J315" t="inlineStr"/>
      <c r="K315" t="inlineStr"/>
      <c r="L315" t="inlineStr"/>
      <c r="M315" t="inlineStr"/>
      <c r="N315" t="inlineStr"/>
      <c r="O315">
        <f>(1-Summary!$B$11)*T315+Summary!$B$11*V315</f>
        <v/>
      </c>
      <c r="P315">
        <f>IF(B334=0,0,O315/B334)</f>
        <v/>
      </c>
      <c r="Q315" t="n">
        <v>0</v>
      </c>
      <c r="R315" t="n">
        <v>0</v>
      </c>
      <c r="S315">
        <f>IFERROR(O315/N315,0)</f>
        <v/>
      </c>
      <c r="T315" t="n">
        <v>0</v>
      </c>
      <c r="V315" t="n">
        <v>0</v>
      </c>
    </row>
    <row r="316">
      <c r="A316">
        <f>Skills!A17</f>
        <v/>
      </c>
      <c r="B316">
        <f>Skills!B17</f>
        <v/>
      </c>
      <c r="C316">
        <f>Inputs!$B$3&gt;=10</f>
        <v/>
      </c>
      <c r="D316">
        <f>IF(Skills!C17=1,60+Inputs!$B$25+Inputs!$B$29,IF(Skills!C17=2,90+Inputs!$B$26+Inputs!$B$29,IF(Skills!C17=3,120+Inputs!$B$27+Inputs!$B$29,MAX(0,(Inputs!$B$3-100)*3)+Inputs!$B$28+Inputs!$B$29)))</f>
        <v/>
      </c>
      <c r="E316">
        <f>INDEX(FactorTable!$B$2:$Y$301, MATCH(ROUND(MIN(300,MAX(1,D316)),0), FactorTable!$A$2:$A$301,0), Skills!M17+1)</f>
        <v/>
      </c>
      <c r="F316">
        <f>IF(Skills!N17=TRUE,(Skills!L17/10)*(E316/1000),Skills!L17/10)+Skills!O17</f>
        <v/>
      </c>
      <c r="G316">
        <f>Skills!G17*IF(Skills!H17&gt;0,Skills!I17/Skills!H17,1)</f>
        <v/>
      </c>
      <c r="H316">
        <f>1-(1-Skills!J17/100)^Skills!K17</f>
        <v/>
      </c>
      <c r="I316" t="inlineStr">
        <is>
          <t>1</t>
        </is>
      </c>
      <c r="J316" t="inlineStr"/>
      <c r="K316" t="inlineStr"/>
      <c r="L316" t="inlineStr"/>
      <c r="M316" t="inlineStr"/>
      <c r="N316" t="inlineStr"/>
      <c r="O316">
        <f>(1-Summary!$B$11)*T316+Summary!$B$11*V316</f>
        <v/>
      </c>
      <c r="P316">
        <f>IF(B334=0,0,O316/B334)</f>
        <v/>
      </c>
      <c r="Q316" t="n">
        <v>0</v>
      </c>
      <c r="R316" t="n">
        <v>0</v>
      </c>
      <c r="S316">
        <f>IFERROR(O316/N316,0)</f>
        <v/>
      </c>
      <c r="T316" t="n">
        <v>0</v>
      </c>
      <c r="V316" t="n">
        <v>0</v>
      </c>
    </row>
    <row r="317">
      <c r="A317">
        <f>Skills!A18</f>
        <v/>
      </c>
      <c r="B317">
        <f>Skills!B18</f>
        <v/>
      </c>
      <c r="C317">
        <f>Inputs!$B$3&gt;=33</f>
        <v/>
      </c>
      <c r="D317">
        <f>IF(Skills!C18=1,60+Inputs!$B$25+Inputs!$B$29,IF(Skills!C18=2,90+Inputs!$B$26+Inputs!$B$29,IF(Skills!C18=3,120+Inputs!$B$27+Inputs!$B$29,MAX(0,(Inputs!$B$3-100)*3)+Inputs!$B$28+Inputs!$B$29)))</f>
        <v/>
      </c>
      <c r="E317">
        <f>INDEX(FactorTable!$B$2:$Y$301, MATCH(ROUND(MIN(300,MAX(1,D317)),0), FactorTable!$A$2:$A$301,0), Skills!M18+1)</f>
        <v/>
      </c>
      <c r="F317">
        <f>IF(Skills!N18=TRUE,(Skills!L18/10)*(E317/1000),Skills!L18/10)+Skills!O18</f>
        <v/>
      </c>
      <c r="G317">
        <f>Skills!G18*IF(Skills!H18&gt;0,Skills!I18/Skills!H18,1)</f>
        <v/>
      </c>
      <c r="H317">
        <f>1-(1-Skills!J18/100)^Skills!K18</f>
        <v/>
      </c>
      <c r="I317" t="inlineStr">
        <is>
          <t>1</t>
        </is>
      </c>
      <c r="J317" t="inlineStr"/>
      <c r="K317" t="inlineStr"/>
      <c r="L317" t="inlineStr"/>
      <c r="M317" t="inlineStr"/>
      <c r="N317" t="inlineStr"/>
      <c r="O317">
        <f>(1-Summary!$B$11)*T317+Summary!$B$11*V317</f>
        <v/>
      </c>
      <c r="P317">
        <f>IF(B334=0,0,O317/B334)</f>
        <v/>
      </c>
      <c r="Q317" t="n">
        <v>0</v>
      </c>
      <c r="R317" t="n">
        <v>0</v>
      </c>
      <c r="S317">
        <f>IFERROR(O317/N317,0)</f>
        <v/>
      </c>
      <c r="T317" t="n">
        <v>0</v>
      </c>
      <c r="V317" t="n">
        <v>0</v>
      </c>
    </row>
    <row r="318">
      <c r="A318">
        <f>Skills!A19</f>
        <v/>
      </c>
      <c r="B318">
        <f>Skills!B19</f>
        <v/>
      </c>
      <c r="C318">
        <f>Inputs!$B$3&gt;=40</f>
        <v/>
      </c>
      <c r="D318">
        <f>IF(Skills!C19=1,60+Inputs!$B$25+Inputs!$B$29,IF(Skills!C19=2,90+Inputs!$B$26+Inputs!$B$29,IF(Skills!C19=3,120+Inputs!$B$27+Inputs!$B$29,MAX(0,(Inputs!$B$3-100)*3)+Inputs!$B$28+Inputs!$B$29)))</f>
        <v/>
      </c>
      <c r="E318">
        <f>INDEX(FactorTable!$B$2:$Y$301, MATCH(ROUND(MIN(300,MAX(1,D318)),0), FactorTable!$A$2:$A$301,0), Skills!M19+1)</f>
        <v/>
      </c>
      <c r="F318">
        <f>IF(Skills!N19=TRUE,(Skills!L19/10)*(E318/1000),Skills!L19/10)+Skills!O19</f>
        <v/>
      </c>
      <c r="G318">
        <f>Skills!G19*IF(Skills!H19&gt;0,Skills!I19/Skills!H19,1)</f>
        <v/>
      </c>
      <c r="H318">
        <f>1-(1-Skills!J19/100)^Skills!K19</f>
        <v/>
      </c>
      <c r="I318" t="inlineStr">
        <is>
          <t>1</t>
        </is>
      </c>
      <c r="J318" t="inlineStr"/>
      <c r="K318" t="inlineStr"/>
      <c r="L318" t="inlineStr"/>
      <c r="M318" t="inlineStr"/>
      <c r="N318" t="inlineStr"/>
      <c r="O318">
        <f>(1-Summary!$B$11)*T318+Summary!$B$11*V318</f>
        <v/>
      </c>
      <c r="P318">
        <f>IF(B334=0,0,O318/B334)</f>
        <v/>
      </c>
      <c r="Q318" t="n">
        <v>0</v>
      </c>
      <c r="R318" t="n">
        <v>0</v>
      </c>
      <c r="S318">
        <f>IFERROR(O318/N318,0)</f>
        <v/>
      </c>
      <c r="T318" t="n">
        <v>0</v>
      </c>
      <c r="V318" t="n">
        <v>0</v>
      </c>
    </row>
    <row r="319">
      <c r="A319">
        <f>Skills!A20</f>
        <v/>
      </c>
      <c r="B319">
        <f>Skills!B20</f>
        <v/>
      </c>
      <c r="C319">
        <f>Inputs!$B$3&gt;=43</f>
        <v/>
      </c>
      <c r="D319">
        <f>IF(Skills!C20=1,60+Inputs!$B$25+Inputs!$B$29,IF(Skills!C20=2,90+Inputs!$B$26+Inputs!$B$29,IF(Skills!C20=3,120+Inputs!$B$27+Inputs!$B$29,MAX(0,(Inputs!$B$3-100)*3)+Inputs!$B$28+Inputs!$B$29)))</f>
        <v/>
      </c>
      <c r="E319">
        <f>INDEX(FactorTable!$B$2:$Y$301, MATCH(ROUND(MIN(300,MAX(1,D319)),0), FactorTable!$A$2:$A$301,0), Skills!M20+1)</f>
        <v/>
      </c>
      <c r="F319">
        <f>IF(Skills!N20=TRUE,(Skills!L20/10)*(E319/1000),Skills!L20/10)+Skills!O20</f>
        <v/>
      </c>
      <c r="G319">
        <f>Skills!G20*IF(Skills!H20&gt;0,Skills!I20/Skills!H20,1)</f>
        <v/>
      </c>
      <c r="H319">
        <f>1-(1-Skills!J20/100)^Skills!K20</f>
        <v/>
      </c>
      <c r="I319" t="inlineStr">
        <is>
          <t>1</t>
        </is>
      </c>
      <c r="J319" t="inlineStr"/>
      <c r="K319" t="inlineStr"/>
      <c r="L319" t="inlineStr"/>
      <c r="M319" t="inlineStr"/>
      <c r="N319" t="inlineStr"/>
      <c r="O319">
        <f>(1-Summary!$B$11)*T319+Summary!$B$11*V319</f>
        <v/>
      </c>
      <c r="P319">
        <f>IF(B334=0,0,O319/B334)</f>
        <v/>
      </c>
      <c r="Q319" t="n">
        <v>0</v>
      </c>
      <c r="R319" t="n">
        <v>0</v>
      </c>
      <c r="S319">
        <f>IFERROR(O319/N319,0)</f>
        <v/>
      </c>
      <c r="T319" t="n">
        <v>0</v>
      </c>
      <c r="V319" t="n">
        <v>0</v>
      </c>
    </row>
    <row r="320">
      <c r="A320">
        <f>Skills!A21</f>
        <v/>
      </c>
      <c r="B320">
        <f>Skills!B21</f>
        <v/>
      </c>
      <c r="C320">
        <f>Inputs!$B$3&gt;=38</f>
        <v/>
      </c>
      <c r="D320">
        <f>IF(Skills!C21=1,60+Inputs!$B$25+Inputs!$B$29,IF(Skills!C21=2,90+Inputs!$B$26+Inputs!$B$29,IF(Skills!C21=3,120+Inputs!$B$27+Inputs!$B$29,MAX(0,(Inputs!$B$3-100)*3)+Inputs!$B$28+Inputs!$B$29)))</f>
        <v/>
      </c>
      <c r="E320">
        <f>INDEX(FactorTable!$B$2:$Y$301, MATCH(ROUND(MIN(300,MAX(1,D320)),0), FactorTable!$A$2:$A$301,0), Skills!M21+1)</f>
        <v/>
      </c>
      <c r="F320">
        <f>IF(Skills!N21=TRUE,(Skills!L21/10)*(E320/1000),Skills!L21/10)+Skills!O21</f>
        <v/>
      </c>
      <c r="G320">
        <f>Skills!G21*IF(Skills!H21&gt;0,Skills!I21/Skills!H21,1)</f>
        <v/>
      </c>
      <c r="H320">
        <f>1-(1-Skills!J21/100)^Skills!K21</f>
        <v/>
      </c>
      <c r="I320" t="inlineStr">
        <is>
          <t>1</t>
        </is>
      </c>
      <c r="J320" t="inlineStr"/>
      <c r="K320" t="inlineStr"/>
      <c r="L320" t="inlineStr"/>
      <c r="M320" t="inlineStr"/>
      <c r="N320" t="inlineStr"/>
      <c r="O320">
        <f>(1-Summary!$B$11)*T320+Summary!$B$11*V320</f>
        <v/>
      </c>
      <c r="P320">
        <f>IF(B334=0,0,O320/B334)</f>
        <v/>
      </c>
      <c r="Q320" t="n">
        <v>0</v>
      </c>
      <c r="R320" t="n">
        <v>0</v>
      </c>
      <c r="S320">
        <f>IFERROR(O320/N320,0)</f>
        <v/>
      </c>
      <c r="T320" t="n">
        <v>0</v>
      </c>
      <c r="V320" t="n">
        <v>0</v>
      </c>
    </row>
    <row r="321">
      <c r="A321">
        <f>Skills!A22</f>
        <v/>
      </c>
      <c r="B321">
        <f>Skills!B22</f>
        <v/>
      </c>
      <c r="C321">
        <f>Inputs!$B$3&gt;=75</f>
        <v/>
      </c>
      <c r="D321">
        <f>IF(Skills!C22=1,60+Inputs!$B$25+Inputs!$B$29,IF(Skills!C22=2,90+Inputs!$B$26+Inputs!$B$29,IF(Skills!C22=3,120+Inputs!$B$27+Inputs!$B$29,MAX(0,(Inputs!$B$3-100)*3)+Inputs!$B$28+Inputs!$B$29)))</f>
        <v/>
      </c>
      <c r="E321">
        <f>INDEX(FactorTable!$B$2:$Y$301, MATCH(ROUND(MIN(300,MAX(1,D321)),0), FactorTable!$A$2:$A$301,0), Skills!M22+1)</f>
        <v/>
      </c>
      <c r="F321">
        <f>IF(Skills!N22=TRUE,(Skills!L22/10)*(E321/1000),Skills!L22/10)+Skills!O22</f>
        <v/>
      </c>
      <c r="G321">
        <f>Skills!G22*IF(Skills!H22&gt;0,Skills!I22/Skills!H22,1)</f>
        <v/>
      </c>
      <c r="H321">
        <f>1-(1-Skills!J22/100)^Skills!K22</f>
        <v/>
      </c>
      <c r="I321" t="inlineStr">
        <is>
          <t>1</t>
        </is>
      </c>
      <c r="J321" t="inlineStr"/>
      <c r="K321" t="inlineStr"/>
      <c r="L321" t="inlineStr"/>
      <c r="M321" t="inlineStr"/>
      <c r="N321" t="inlineStr"/>
      <c r="O321">
        <f>(1-Summary!$B$11)*T321+Summary!$B$11*V321</f>
        <v/>
      </c>
      <c r="P321">
        <f>IF(B334=0,0,O321/B334)</f>
        <v/>
      </c>
      <c r="Q321" t="n">
        <v>0</v>
      </c>
      <c r="R321" t="n">
        <v>0</v>
      </c>
      <c r="S321">
        <f>IFERROR(O321/N321,0)</f>
        <v/>
      </c>
      <c r="T321" t="n">
        <v>0</v>
      </c>
      <c r="V321" t="n">
        <v>0</v>
      </c>
    </row>
    <row r="323">
      <c r="A323" t="inlineStr">
        <is>
          <t>Attack% Bucket Multiplier</t>
        </is>
      </c>
      <c r="B323">
        <f>(1+(((C312=TRUE)*F312)+((C318=TRUE)*(F318-Calc!F19))+(IF(ArtifactsInput!$M$21,CHOOSE(ArtifactsInput!$N$21+1,25,30,35,40,45,50)*(IF(OR(Inputs!$B$4="Chapter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4">
      <c r="A324" t="inlineStr">
        <is>
          <t>Global Crit Rate Bonus %</t>
        </is>
      </c>
      <c r="B324" t="n">
        <v>0</v>
      </c>
    </row>
    <row r="325">
      <c r="A325" t="inlineStr">
        <is>
          <t>Attack Speed Buff Bonus % (unused)</t>
        </is>
      </c>
      <c r="B325" t="n">
        <v>0</v>
      </c>
    </row>
    <row r="326">
      <c r="A326" t="inlineStr">
        <is>
          <t>Actions Per Second</t>
        </is>
      </c>
      <c r="B326">
        <f>1+MIN(150,150*(1-(1-(Inputs!$B$11+((C316=TRUE)*(F316-Calc!F17))+((C317=TRUE)*(F317-Calc!F18)))/150)*(1-B325/150)))/100</f>
        <v/>
      </c>
    </row>
    <row r="327">
      <c r="A327" t="inlineStr">
        <is>
          <t>Skill + Buff Cast Rate</t>
        </is>
      </c>
      <c r="B327">
        <f>IF(AND(Inputs!$B$38&lt;&gt;"pvp",Inputs!$B$43&gt;0),SUMPRODUCT((Skills!E2:E22=TRUE)*(C301:C321=TRUE)*R301:R321*Skills!F2:F22)/Inputs!$B$43,SUMPRODUCT((Skills!E2:E22=TRUE)*(C301:C321=TRUE)*Q301:Q321*Skills!F2:F22))</f>
        <v/>
      </c>
    </row>
    <row r="328">
      <c r="A328" t="inlineStr">
        <is>
          <t>Hook Bomber Casts Per Second</t>
        </is>
      </c>
      <c r="B328">
        <f>MAX(0,B326-B327)</f>
        <v/>
      </c>
    </row>
    <row r="329">
      <c r="A329" t="inlineStr">
        <is>
          <t>Global Critical Damage Bonus % (unused)</t>
        </is>
      </c>
      <c r="B329" t="n">
        <v>0</v>
      </c>
    </row>
    <row r="330">
      <c r="A330" t="inlineStr">
        <is>
          <t>Global Final Damage Bonus % (Serpent Scale + Crossbones + Time Leap + Speed Infusion)</t>
        </is>
      </c>
      <c r="B330">
        <f>((C304=TRUE)*F304*((10+IF(Inputs!$B$3&gt;=94,5,0))/((10+IF(Inputs!$B$3&gt;=94,5,0))+5/(B328*(1+IF(Inputs!$B$3&gt;=104,1,0))))))+((C313=TRUE)*F313)+((C314=TRUE)*F314)+((Inputs!$B$3&gt;=110)*20*(B326-1))</f>
        <v/>
      </c>
    </row>
    <row r="331">
      <c r="A331" t="inlineStr">
        <is>
          <t>Buff-Casting Startup Delay (s, fixed-duration only)</t>
        </is>
      </c>
      <c r="B331">
        <f>IF(AND(Inputs!$B$38&lt;&gt;"pvp",Inputs!$B$43&gt;0),SUMPRODUCT((Skills!T2:T22&gt;0)*(Skills!E2:E22=TRUE)*(C301:C321=TRUE))/B326,0)</f>
        <v/>
      </c>
    </row>
    <row r="332">
      <c r="A332" t="inlineStr">
        <is>
          <t>Boss-Only Total DPS (this block's swept value)</t>
        </is>
      </c>
      <c r="B332">
        <f>SUM(T301:T321)</f>
        <v/>
      </c>
    </row>
    <row r="333">
      <c r="A333" t="inlineStr">
        <is>
          <t>Normal-Only Total DPS (this block's swept value)</t>
        </is>
      </c>
      <c r="B333">
        <f>SUM(V301:V321)</f>
        <v/>
      </c>
    </row>
    <row r="334">
      <c r="A334" s="6" t="inlineStr">
        <is>
          <t>TOTAL DPS</t>
        </is>
      </c>
      <c r="B334" s="6">
        <f>SUM(O301:O321)</f>
        <v/>
      </c>
    </row>
    <row r="337">
      <c r="A337" s="6" t="inlineStr">
        <is>
          <t>Stat: FINAL_DAMAGE % (multiplicative source)</t>
        </is>
      </c>
    </row>
    <row r="338">
      <c r="A338" s="5" t="inlineStr">
        <is>
          <t>Key</t>
        </is>
      </c>
      <c r="B338" s="5" t="inlineStr">
        <is>
          <t>Name</t>
        </is>
      </c>
      <c r="C338" s="5" t="inlineStr">
        <is>
          <t>Unlocked</t>
        </is>
      </c>
      <c r="D338" s="5" t="inlineStr">
        <is>
          <t>InputLevel</t>
        </is>
      </c>
      <c r="E338" s="5" t="inlineStr">
        <is>
          <t>Factor</t>
        </is>
      </c>
      <c r="F338" s="5" t="inlineStr">
        <is>
          <t>CoefficientPercent</t>
        </is>
      </c>
      <c r="G338" s="5" t="inlineStr">
        <is>
          <t>EffectiveHits</t>
        </is>
      </c>
      <c r="H338" s="5" t="inlineStr">
        <is>
          <t>ProcProbability</t>
        </is>
      </c>
      <c r="I338" s="5" t="inlineStr">
        <is>
          <t>MapleHeroMultiplier</t>
        </is>
      </c>
      <c r="J338" s="5" t="inlineStr">
        <is>
          <t>BaseDamage</t>
        </is>
      </c>
      <c r="K338" s="5" t="inlineStr">
        <is>
          <t>BaseHitDamage</t>
        </is>
      </c>
      <c r="L338" s="5" t="inlineStr">
        <is>
          <t>NonCritAvg</t>
        </is>
      </c>
      <c r="M338" s="5" t="inlineStr">
        <is>
          <t>CritAvg</t>
        </is>
      </c>
      <c r="N338" s="5" t="inlineStr">
        <is>
          <t>ExpectedDamage(perHit)</t>
        </is>
      </c>
      <c r="O338" s="5" t="inlineStr">
        <is>
          <t>DPS</t>
        </is>
      </c>
      <c r="P338" s="5" t="inlineStr">
        <is>
          <t>% of Total</t>
        </is>
      </c>
      <c r="Q338" s="5" t="inlineStr">
        <is>
          <t>InvCooldown</t>
        </is>
      </c>
      <c r="R338" s="5" t="inlineStr">
        <is>
          <t>CastsInFight</t>
        </is>
      </c>
      <c r="S338" s="5" t="inlineStr">
        <is>
          <t>HitRate(perSec)</t>
        </is>
      </c>
      <c r="U338" t="inlineStr">
        <is>
          <t>helpers</t>
        </is>
      </c>
    </row>
    <row r="339">
      <c r="A339">
        <f>Skills!A2</f>
        <v/>
      </c>
      <c r="B339">
        <f>Skills!B2</f>
        <v/>
      </c>
      <c r="C339">
        <f>Inputs!$B$3&gt;=100</f>
        <v/>
      </c>
      <c r="D339" t="inlineStr"/>
      <c r="E339" t="inlineStr"/>
      <c r="F339">
        <f>U341+Skills!O2</f>
        <v/>
      </c>
      <c r="G339">
        <f>Skills!G2*IF(Skills!H2&gt;0,Skills!I2/Skills!H2,1)</f>
        <v/>
      </c>
      <c r="H339">
        <f>1-(1-Skills!J2/100)^Skills!K2</f>
        <v/>
      </c>
      <c r="I339" t="inlineStr">
        <is>
          <t>1</t>
        </is>
      </c>
      <c r="J339">
        <f>((Inputs!$B$6*(1+Inputs!$B$7/100))+(((Inputs!$B$12*(1+Inputs!$B$13/100))-(Inputs!$B$12*(1+Inputs!$B$13/100)))+0.25*(Inputs!$B$14-Inputs!$B$14))*(1+Inputs!$B$7/100))*(F339/100)</f>
        <v/>
      </c>
      <c r="K339">
        <f>J339*(1+((Inputs!$B$12*(1+Inputs!$B$13/100))*0.01+Inputs!$B$14*0.0025)/100)*(1+Inputs!$B$15/100)*(1+Inputs!$B$16/100)*(5000/(6000+Inputs!$B$42*(1-(100*(1-(1-(Inputs!$B$19+0)/100)*(1-CHOOSE(ArtifactsInput!$N$40+1,5,6,7,8,9,10)/100)^(ArtifactsInput!$M$40-ArtifactsInput!$M$40)))/100)))*(1+(((((1+Inputs!$B$24/100)*(1.01))-1)*100)+((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
      </c>
      <c r="L339">
        <f>K339*(MIN(Inputs!$B$22+((C357=TRUE)*(F357-Calc!F20)),(Inputs!$B$23+0+(IF(ArtifactsInput!$M$15,CHOOSE(ArtifactsInput!$N$15+1,25,30,35,40,45,50)/100*(Inputs!$B$11-Inputs!$B$11),0))))/100+(Inputs!$B$23+0+(IF(ArtifactsInput!$M$15,CHOOSE(ArtifactsInput!$N$15+1,25,30,35,40,45,50)/100*(Inputs!$B$11-Inputs!$B$11),0)))/100)/2</f>
        <v/>
      </c>
      <c r="M339">
        <f>L339*(1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
        <f>L339*(1-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
        <f>(1-Summary!$B$11)*T339+Summary!$B$11*V339</f>
        <v/>
      </c>
      <c r="P339">
        <f>IF(B372=0,0,O339/B372)</f>
        <v/>
      </c>
      <c r="Q339" t="n">
        <v>0</v>
      </c>
      <c r="R339" t="n">
        <v>0</v>
      </c>
      <c r="S339">
        <f>IFERROR(O339/N339,0)</f>
        <v/>
      </c>
      <c r="T339">
        <f>IF(C339,(Skills!G2*N339*B366)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339*(1-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9">
        <f>MAX(0,(Inputs!$B$3-100)*3)+Inputs!$B$28+Inputs!$B$29</f>
        <v/>
      </c>
      <c r="V339">
        <f>IF(C339,(Skills!G2*N339*B366)*IF(Inputs!$B$38="pvp",1,(1+(Inputs!$B$21+Skills!Q2+(IF(ArtifactsInput!$M$33,CHOOSE(ArtifactsInput!$N$33+1,30,36,42,48,54,60),0))+(IF(AND(ArtifactsInput!$M$35,Inputs!$B$4&lt;&gt;"Chapter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
      <c r="A340">
        <f>Skills!A3</f>
        <v/>
      </c>
      <c r="B340">
        <f>Skills!B3</f>
        <v/>
      </c>
      <c r="C340">
        <f>Inputs!$B$3&gt;=35</f>
        <v/>
      </c>
      <c r="D340">
        <f>IF(Skills!C3=1,60+Inputs!$B$25+Inputs!$B$29,IF(Skills!C3=2,90+Inputs!$B$26+Inputs!$B$29,IF(Skills!C3=3,120+Inputs!$B$27+Inputs!$B$29,MAX(0,(Inputs!$B$3-100)*3)+Inputs!$B$28+Inputs!$B$29)))</f>
        <v/>
      </c>
      <c r="E340">
        <f>INDEX(FactorTable!$B$2:$Y$301, MATCH(ROUND(MIN(300,MAX(1,D340)),0), FactorTable!$A$2:$A$301,0), Skills!M3+1)</f>
        <v/>
      </c>
      <c r="F340">
        <f>IF(Skills!N3=TRUE,(Skills!L3/10)*(E340/1000),Skills!L3/10)+Skills!O3</f>
        <v/>
      </c>
      <c r="G340">
        <f>Skills!G3*IF(Skills!H3&gt;0,Skills!I3/Skills!H3,1)</f>
        <v/>
      </c>
      <c r="H340">
        <f>1-(1-Skills!J3/100)^Skills!K3</f>
        <v/>
      </c>
      <c r="I340" t="inlineStr">
        <is>
          <t>1</t>
        </is>
      </c>
      <c r="J340">
        <f>((Inputs!$B$6*(1+Inputs!$B$7/100))+(((Inputs!$B$12*(1+Inputs!$B$13/100))-(Inputs!$B$12*(1+Inputs!$B$13/100)))+0.25*(Inputs!$B$14-Inputs!$B$14))*(1+Inputs!$B$7/100))*(F340/100)</f>
        <v/>
      </c>
      <c r="K340">
        <f>J340*(1+((Inputs!$B$12*(1+Inputs!$B$13/100))*0.01+Inputs!$B$14*0.0025)/100)*(1+Inputs!$B$15/100)*(1+Inputs!$B$16/100)*(5000/(6000+Inputs!$B$42*(1-(100*(1-(1-(Inputs!$B$19+0)/100)*(1-CHOOSE(ArtifactsInput!$N$40+1,5,6,7,8,9,10)/100)^(ArtifactsInput!$M$40-ArtifactsInput!$M$40)))/100)))*(1+(((((1+Inputs!$B$24/100)*(1.01))-1)*100)+((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f>
        <v/>
      </c>
      <c r="L340">
        <f>K340*(MIN(Inputs!$B$22+((C357=TRUE)*(F357-Calc!F20)),(Inputs!$B$23+0+(IF(ArtifactsInput!$M$15,CHOOSE(ArtifactsInput!$N$15+1,25,30,35,40,45,50)/100*(Inputs!$B$11-Inputs!$B$11),0))))/100+(Inputs!$B$23+0+(IF(ArtifactsInput!$M$15,CHOOSE(ArtifactsInput!$N$15+1,25,30,35,40,45,50)/100*(Inputs!$B$11-Inputs!$B$11),0)))/100)/2</f>
        <v/>
      </c>
      <c r="M340">
        <f>L340*(1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
        <f>L340*(1-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
        <f>(1-Summary!$B$11)*T340+Summary!$B$11*V340</f>
        <v/>
      </c>
      <c r="P340">
        <f>IF(B372=0,0,O340/B372)</f>
        <v/>
      </c>
      <c r="Q340" t="n">
        <v>0</v>
      </c>
      <c r="R340" t="n">
        <v>0</v>
      </c>
      <c r="S340">
        <f>IFERROR(O340/N340,0)</f>
        <v/>
      </c>
      <c r="T340">
        <f>IF(C340,(Skills!G3*H340*N340*B366)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340*(1-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0">
        <f>INDEX(FactorTable!$B$2:$Y$301, MATCH(ROUND(MIN(300,MAX(1,U339)),0), FactorTable!$A$2:$A$301,0), 22)</f>
        <v/>
      </c>
      <c r="V340">
        <f>IF(C340,(Skills!G3*H340*N340*B366)*IF(Inputs!$B$38="pvp",1,(1+(Inputs!$B$21+Skills!Q3+(IF(ArtifactsInput!$M$33,CHOOSE(ArtifactsInput!$N$33+1,30,36,42,48,54,60),0))+(IF(AND(ArtifactsInput!$M$35,Inputs!$B$4&lt;&gt;"Chapter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1">
      <c r="A341">
        <f>Skills!A4</f>
        <v/>
      </c>
      <c r="B341">
        <f>Skills!B4</f>
        <v/>
      </c>
      <c r="C341">
        <f>Inputs!$B$3&gt;=60</f>
        <v/>
      </c>
      <c r="D341">
        <f>IF(Skills!C4=1,60+Inputs!$B$25+Inputs!$B$29,IF(Skills!C4=2,90+Inputs!$B$26+Inputs!$B$29,IF(Skills!C4=3,120+Inputs!$B$27+Inputs!$B$29,MAX(0,(Inputs!$B$3-100)*3)+Inputs!$B$28+Inputs!$B$29)))</f>
        <v/>
      </c>
      <c r="E341">
        <f>INDEX(FactorTable!$B$2:$Y$301, MATCH(ROUND(MIN(300,MAX(1,D341)),0), FactorTable!$A$2:$A$301,0), Skills!M4+1)</f>
        <v/>
      </c>
      <c r="F341">
        <f>IF(Skills!N4=TRUE,(Skills!L4/10)*(E341/1000),Skills!L4/10)+Skills!O4</f>
        <v/>
      </c>
      <c r="G341">
        <f>Skills!G4*IF(Skills!H4&gt;0,Skills!I4/Skills!H4,1)</f>
        <v/>
      </c>
      <c r="H341">
        <f>1-(1-Skills!J4/100)^Skills!K4</f>
        <v/>
      </c>
      <c r="I341" t="inlineStr">
        <is>
          <t>1</t>
        </is>
      </c>
      <c r="J341">
        <f>((Inputs!$B$6*(1+Inputs!$B$7/100))+(((Inputs!$B$12*(1+Inputs!$B$13/100))-(Inputs!$B$12*(1+Inputs!$B$13/100)))+0.25*(Inputs!$B$14-Inputs!$B$14))*(1+Inputs!$B$7/100))*(F341/100)</f>
        <v/>
      </c>
      <c r="K341">
        <f>J341*(1+((Inputs!$B$12*(1+Inputs!$B$13/100))*0.01+Inputs!$B$14*0.0025)/100)*(1+Inputs!$B$15/100)*(1+Inputs!$B$16/100)*(5000/(6000+Inputs!$B$42*(1-(100*(1-(1-(Inputs!$B$19+0)/100)*(1-CHOOSE(ArtifactsInput!$N$40+1,5,6,7,8,9,10)/100)^(ArtifactsInput!$M$40-ArtifactsInput!$M$40)))/100)))*(1+(((((1+Inputs!$B$24/100)*(1.01))-1)*100)+((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349=TRUE,F349,0)/100)*(1+(IF(Skills!A4="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
      </c>
      <c r="L341">
        <f>K341*(MIN(Inputs!$B$22+((C357=TRUE)*(F357-Calc!F20)),(Inputs!$B$23+0+(IF(ArtifactsInput!$M$15,CHOOSE(ArtifactsInput!$N$15+1,25,30,35,40,45,50)/100*(Inputs!$B$11-Inputs!$B$11),0))))/100+(Inputs!$B$23+0+(IF(ArtifactsInput!$M$15,CHOOSE(ArtifactsInput!$N$15+1,25,30,35,40,45,50)/100*(Inputs!$B$11-Inputs!$B$11),0)))/100)/2</f>
        <v/>
      </c>
      <c r="M341">
        <f>L341*(1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
        <f>L341*(1-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
        <f>(1-Summary!$B$11)*T341+Summary!$B$11*V341</f>
        <v/>
      </c>
      <c r="P341">
        <f>IF(B372=0,0,O341/B372)</f>
        <v/>
      </c>
      <c r="Q341" t="n">
        <v>0</v>
      </c>
      <c r="R341" t="n">
        <v>0</v>
      </c>
      <c r="S341">
        <f>IFERROR(O341/N341,0)</f>
        <v/>
      </c>
      <c r="T341">
        <f>IF(C341,(Skills!G4*H341*N341*B366)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341*(1-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1">
        <f>290*U340/1000</f>
        <v/>
      </c>
      <c r="V341">
        <f>IF(C341,(Skills!G4*H341*N341*B366)*IF(Inputs!$B$38="pvp",1,(1+(Inputs!$B$21+Skills!Q4+(IF(ArtifactsInput!$M$33,CHOOSE(ArtifactsInput!$N$33+1,30,36,42,48,54,60),0))+(IF(AND(ArtifactsInput!$M$35,Inputs!$B$4&lt;&gt;"Chapter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
      <c r="A342">
        <f>Skills!A5</f>
        <v/>
      </c>
      <c r="B342">
        <f>Skills!B5</f>
        <v/>
      </c>
      <c r="C342">
        <f>Inputs!$B$3&gt;=60</f>
        <v/>
      </c>
      <c r="D342">
        <f>IF(Skills!C5=1,60+Inputs!$B$25+Inputs!$B$29,IF(Skills!C5=2,90+Inputs!$B$26+Inputs!$B$29,IF(Skills!C5=3,120+Inputs!$B$27+Inputs!$B$29,MAX(0,(Inputs!$B$3-100)*3)+Inputs!$B$28+Inputs!$B$29)))</f>
        <v/>
      </c>
      <c r="E342">
        <f>INDEX(FactorTable!$B$2:$Y$301, MATCH(ROUND(MIN(300,MAX(1,D342)),0), FactorTable!$A$2:$A$301,0), Skills!M5+1)</f>
        <v/>
      </c>
      <c r="F342">
        <f>IF(Skills!N5=TRUE,(Skills!L5/10)*(E342/1000),Skills!L5/10)+Skills!O5</f>
        <v/>
      </c>
      <c r="G342">
        <f>Skills!G5*IF(Skills!H5&gt;0,Skills!I5/Skills!H5,1)</f>
        <v/>
      </c>
      <c r="H342">
        <f>1-(1-Skills!J5/100)^Skills!K5</f>
        <v/>
      </c>
      <c r="I342" t="inlineStr">
        <is>
          <t>1</t>
        </is>
      </c>
      <c r="J342" t="inlineStr"/>
      <c r="K342" t="inlineStr"/>
      <c r="L342" t="inlineStr"/>
      <c r="M342" t="inlineStr"/>
      <c r="N342" t="inlineStr"/>
      <c r="O342">
        <f>(1-Summary!$B$11)*T342+Summary!$B$11*V342</f>
        <v/>
      </c>
      <c r="P342">
        <f>IF(B372=0,0,O342/B372)</f>
        <v/>
      </c>
      <c r="Q342" t="n">
        <v>0</v>
      </c>
      <c r="R342" t="n">
        <v>0</v>
      </c>
      <c r="S342">
        <f>IFERROR(O342/N342,0)</f>
        <v/>
      </c>
      <c r="T342" t="n">
        <v>0</v>
      </c>
      <c r="V342" t="n">
        <v>0</v>
      </c>
    </row>
    <row r="343">
      <c r="A343">
        <f>Skills!A6</f>
        <v/>
      </c>
      <c r="B343">
        <f>Skills!B6</f>
        <v/>
      </c>
      <c r="C343">
        <f>Inputs!$B$3&gt;=63</f>
        <v/>
      </c>
      <c r="D343">
        <f>IF(Skills!C6=1,60+Inputs!$B$25+Inputs!$B$29,IF(Skills!C6=2,90+Inputs!$B$26+Inputs!$B$29,IF(Skills!C6=3,120+Inputs!$B$27+Inputs!$B$29,MAX(0,(Inputs!$B$3-100)*3)+Inputs!$B$28+Inputs!$B$29)))</f>
        <v/>
      </c>
      <c r="E343">
        <f>INDEX(FactorTable!$B$2:$Y$301, MATCH(ROUND(MIN(300,MAX(1,D343)),0), FactorTable!$A$2:$A$301,0), Skills!M6+1)</f>
        <v/>
      </c>
      <c r="F343">
        <f>IF(Skills!N6=TRUE,(Skills!L6/10)*(E343/1000),Skills!L6/10)+Skills!O6</f>
        <v/>
      </c>
      <c r="G343">
        <f>Skills!G6*IF(Skills!H6&gt;0,Skills!I6/Skills!H6,1)</f>
        <v/>
      </c>
      <c r="H343">
        <f>1-(1-Skills!J6/100)^Skills!K6</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(1+Inputs!$B$24/100)*(1.01))-1)*100)+((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357=TRUE)*(F357-Calc!F20)),(Inputs!$B$23+0+(IF(ArtifactsInput!$M$15,CHOOSE(ArtifactsInput!$N$15+1,25,30,35,40,45,50)/100*(Inputs!$B$11-Inputs!$B$11),0))))/100+(Inputs!$B$23+0+(IF(ArtifactsInput!$M$15,CHOOSE(ArtifactsInput!$N$15+1,25,30,35,40,45,50)/100*(Inputs!$B$11-Inputs!$B$11),0)))/100)/2</f>
        <v/>
      </c>
      <c r="M343">
        <f>L343*(1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IF(B372=0,0,O343/B372)</f>
        <v/>
      </c>
      <c r="Q343">
        <f>IFERROR(1/(IF(Inputs!$B$38="pvp",15,MAX(0.1,Skills!D6-IF(Skills!E6=TRUE,Inputs!$B$32,0)))*(1-IF(AND(ArtifactsInput!$M$27,Inputs!$B$4="Chapter Hunt"),CHOOSE(ArtifactsInput!$N$27+1,20,24,28,32,36,40),0)/100)),0)</f>
        <v/>
      </c>
      <c r="R343">
        <f>IF(AND(Inputs!$B$38&lt;&gt;"pvp",Inputs!$B$43&gt;0),IF(MAX(0,Inputs!$B$43-B369)&lt;=0,0,(INT(MAX(0,Inputs!$B$43-B369)/(IF(Inputs!$B$38="pvp",15,MAX(0.1,Skills!D6-IF(Skills!E6=TRUE,Inputs!$B$32,0)))*(1-IF(AND(ArtifactsInput!$M$27,Inputs!$B$4="Chapter Hunt"),CHOOSE(ArtifactsInput!$N$27+1,20,24,28,32,36,40),0)/100)))+1)),0)</f>
        <v/>
      </c>
      <c r="S343">
        <f>IFERROR(O343/N343,0)</f>
        <v/>
      </c>
      <c r="T343">
        <f>IF(C343,(H343*N343*IF(AND(Inputs!$B$38&lt;&gt;"pvp",Inputs!$B$43&gt;0),((Skills!G6*((R343-1)*IF(Skills!H6&gt;0,Skills!I6/Skills!H6,1)+IF(Skills!H6&gt;0,MIN(Skills!I6,MAX(0,MAX(0,Inputs!$B$43-B369)-((R343-1)*(IF(Inputs!$B$38="pvp",15,MAX(0.1,Skills!D6-IF(Skills!E6=TRUE,Inputs!$B$32,0)))*(1-IF(AND(ArtifactsInput!$M$27,Inputs!$B$4="Chapter Hunt"),CHOOSE(ArtifactsInput!$N$27+1,20,24,28,32,36,40),0)/100)))))/Skills!H6,1)))/Inputs!$B$43),G343*Q343)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
        <f>IF(C343,(H343*N343*IF(AND(Inputs!$B$38&lt;&gt;"pvp",Inputs!$B$43&gt;0),((Skills!G6*((R343-1)*IF(Skills!H6&gt;0,Skills!I6/Skills!H6,1)+IF(Skills!H6&gt;0,MIN(Skills!I6,MAX(0,MAX(0,Inputs!$B$43-B369)-((R343-1)*(IF(Inputs!$B$38="pvp",15,MAX(0.1,Skills!D6-IF(Skills!E6=TRUE,Inputs!$B$32,0)))*(1-IF(AND(ArtifactsInput!$M$27,Inputs!$B$4="Chapter Hunt"),CHOOSE(ArtifactsInput!$N$27+1,20,24,28,32,36,40),0)/100)))))/Skills!H6,1)))/Inputs!$B$43),G343*Q343))*IF(Inputs!$B$38="pvp",1,(1+(Inputs!$B$21+Skills!Q6+(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Skills!A7</f>
        <v/>
      </c>
      <c r="B344">
        <f>Skills!B7</f>
        <v/>
      </c>
      <c r="C344">
        <f>Inputs!$B$3&gt;=100</f>
        <v/>
      </c>
      <c r="D344">
        <f>IF(Skills!C7=1,60+Inputs!$B$25+Inputs!$B$29,IF(Skills!C7=2,90+Inputs!$B$26+Inputs!$B$29,IF(Skills!C7=3,120+Inputs!$B$27+Inputs!$B$29,MAX(0,(Inputs!$B$3-100)*3)+Inputs!$B$28+Inputs!$B$29)))</f>
        <v/>
      </c>
      <c r="E344">
        <f>INDEX(FactorTable!$B$2:$Y$301, MATCH(ROUND(MIN(300,MAX(1,D344)),0), FactorTable!$A$2:$A$301,0), Skills!M7+1)</f>
        <v/>
      </c>
      <c r="F344">
        <f>IF(Skills!N7=TRUE,(Skills!L7/10)*(E344/1000),Skills!L7/10)+Skills!O7</f>
        <v/>
      </c>
      <c r="G344">
        <f>Skills!G7*IF(Skills!H7&gt;0,Skills!I7/Skills!H7,1)</f>
        <v/>
      </c>
      <c r="H344">
        <f>1-(1-Skills!J7/100)^Skills!K7</f>
        <v/>
      </c>
      <c r="I344" t="inlineStr">
        <is>
          <t>1</t>
        </is>
      </c>
      <c r="J344">
        <f>((Inputs!$B$6*(1+Inputs!$B$7/100))+(((Inputs!$B$12*(1+Inputs!$B$13/100))-(Inputs!$B$12*(1+Inputs!$B$13/100)))+0.25*(Inputs!$B$14-Inputs!$B$14))*(1+Inputs!$B$7/100))*(F344/100)</f>
        <v/>
      </c>
      <c r="K344">
        <f>J344*(1+((Inputs!$B$12*(1+Inputs!$B$13/100))*0.01+Inputs!$B$14*0.0025)/100)*(1+Inputs!$B$15/100)*(1+Inputs!$B$16/100)*(5000/(6000+Inputs!$B$42*(1-(100*(1-(1-(Inputs!$B$19+0)/100)*(1-CHOOSE(ArtifactsInput!$N$40+1,5,6,7,8,9,10)/100)^(ArtifactsInput!$M$40-ArtifactsInput!$M$40)))/100)))*(1+(((((1+Inputs!$B$24/100)*(1.01))-1)*100)+((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
      </c>
      <c r="L344">
        <f>K344*(MIN(Inputs!$B$22+((C357=TRUE)*(F357-Calc!F20)),(Inputs!$B$23+0+(IF(ArtifactsInput!$M$15,CHOOSE(ArtifactsInput!$N$15+1,25,30,35,40,45,50)/100*(Inputs!$B$11-Inputs!$B$11),0))))/100+(Inputs!$B$23+0+(IF(ArtifactsInput!$M$15,CHOOSE(ArtifactsInput!$N$15+1,25,30,35,40,45,50)/100*(Inputs!$B$11-Inputs!$B$11),0)))/100)/2</f>
        <v/>
      </c>
      <c r="M344">
        <f>L344*(1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
        <f>L344*(1-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
        <f>(1-Summary!$B$11)*T344+Summary!$B$11*V344</f>
        <v/>
      </c>
      <c r="P344">
        <f>IF(B372=0,0,O344/B372)</f>
        <v/>
      </c>
      <c r="Q344">
        <f>IFERROR(1/(IF(Inputs!$B$38="pvp",15,MAX(0.1,Skills!D7-IF(Skills!E7=TRUE,Inputs!$B$32,0)))*(1-IF(AND(ArtifactsInput!$M$27,Inputs!$B$4="Chapter Hunt"),CHOOSE(ArtifactsInput!$N$27+1,20,24,28,32,36,40),0)/100)),0)</f>
        <v/>
      </c>
      <c r="R344">
        <f>IF(AND(Inputs!$B$38&lt;&gt;"pvp",Inputs!$B$43&gt;0),IF(MAX(0,Inputs!$B$43-B369)&lt;=0,0,(INT(MAX(0,Inputs!$B$43-B369)/(IF(Inputs!$B$38="pvp",15,MAX(0.1,Skills!D7-IF(Skills!E7=TRUE,Inputs!$B$32,0)))*(1-IF(AND(ArtifactsInput!$M$27,Inputs!$B$4="Chapter Hunt"),CHOOSE(ArtifactsInput!$N$27+1,20,24,28,32,36,40),0)/100)))+1)),0)</f>
        <v/>
      </c>
      <c r="S344">
        <f>IFERROR(O344/N344,0)</f>
        <v/>
      </c>
      <c r="T344">
        <f>IF(C344,(H344*N344*IF(AND(Inputs!$B$38&lt;&gt;"pvp",Inputs!$B$43&gt;0),((Skills!G7*((R344-1)*IF(Skills!H7&gt;0,Skills!I7/Skills!H7,1)+IF(Skills!H7&gt;0,MIN(Skills!I7,MAX(0,MAX(0,Inputs!$B$43-B369)-((R344-1)*(IF(Inputs!$B$38="pvp",15,MAX(0.1,Skills!D7-IF(Skills!E7=TRUE,Inputs!$B$32,0)))*(1-IF(AND(ArtifactsInput!$M$27,Inputs!$B$4="Chapter Hunt"),CHOOSE(ArtifactsInput!$N$27+1,20,24,28,32,36,40),0)/100)))))/Skills!H7,1)))/Inputs!$B$43),G344*Q344)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344*(1-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4">
        <f>IF(C344,(H344*N344*IF(AND(Inputs!$B$38&lt;&gt;"pvp",Inputs!$B$43&gt;0),((Skills!G7*((R344-1)*IF(Skills!H7&gt;0,Skills!I7/Skills!H7,1)+IF(Skills!H7&gt;0,MIN(Skills!I7,MAX(0,MAX(0,Inputs!$B$43-B369)-((R344-1)*(IF(Inputs!$B$38="pvp",15,MAX(0.1,Skills!D7-IF(Skills!E7=TRUE,Inputs!$B$32,0)))*(1-IF(AND(ArtifactsInput!$M$27,Inputs!$B$4="Chapter Hunt"),CHOOSE(ArtifactsInput!$N$27+1,20,24,28,32,36,40),0)/100)))))/Skills!H7,1)))/Inputs!$B$43),G344*Q344))*IF(Inputs!$B$38="pvp",1,(1+(Inputs!$B$21+Skills!Q7+(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
      <c r="A345">
        <f>Skills!A8</f>
        <v/>
      </c>
      <c r="B345">
        <f>Skills!B8</f>
        <v/>
      </c>
      <c r="C345">
        <f>Inputs!$B$3&gt;=110</f>
        <v/>
      </c>
      <c r="D345">
        <f>IF(Skills!C8=1,60+Inputs!$B$25+Inputs!$B$29,IF(Skills!C8=2,90+Inputs!$B$26+Inputs!$B$29,IF(Skills!C8=3,120+Inputs!$B$27+Inputs!$B$29,MAX(0,(Inputs!$B$3-100)*3)+Inputs!$B$28+Inputs!$B$29)))</f>
        <v/>
      </c>
      <c r="E345">
        <f>INDEX(FactorTable!$B$2:$Y$301, MATCH(ROUND(MIN(300,MAX(1,D345)),0), FactorTable!$A$2:$A$301,0), Skills!M8+1)</f>
        <v/>
      </c>
      <c r="F345">
        <f>IF(Skills!N8=TRUE,(Skills!L8/10)*(E345/1000),Skills!L8/10)+Skills!O8</f>
        <v/>
      </c>
      <c r="G345">
        <f>Skills!G8*IF(Skills!H8&gt;0,Skills!I8/Skills!H8,1)</f>
        <v/>
      </c>
      <c r="H345">
        <f>1-(1-Skills!J8/100)^Skills!K8</f>
        <v/>
      </c>
      <c r="I345" t="inlineStr">
        <is>
          <t>1</t>
        </is>
      </c>
      <c r="J345">
        <f>((Inputs!$B$6*(1+Inputs!$B$7/100))+(((Inputs!$B$12*(1+Inputs!$B$13/100))-(Inputs!$B$12*(1+Inputs!$B$13/100)))+0.25*(Inputs!$B$14-Inputs!$B$14))*(1+Inputs!$B$7/100))*(F345/100)</f>
        <v/>
      </c>
      <c r="K345">
        <f>J345*(1+((Inputs!$B$12*(1+Inputs!$B$13/100))*0.01+Inputs!$B$14*0.0025)/100)*(1+Inputs!$B$15/100)*(1+Inputs!$B$16/100)*(5000/(6000+Inputs!$B$42*(1-(100*(1-(1-(Inputs!$B$19+0)/100)*(1-CHOOSE(ArtifactsInput!$N$40+1,5,6,7,8,9,10)/100)^(ArtifactsInput!$M$40-ArtifactsInput!$M$40)))/100)))*(1+(((((1+Inputs!$B$24/100)*(1.01))-1)*100)+((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f>
        <v/>
      </c>
      <c r="L345">
        <f>K345*(MIN(Inputs!$B$22+((C357=TRUE)*(F357-Calc!F20)),(Inputs!$B$23+0+(IF(ArtifactsInput!$M$15,CHOOSE(ArtifactsInput!$N$15+1,25,30,35,40,45,50)/100*(Inputs!$B$11-Inputs!$B$11),0))))/100+(Inputs!$B$23+0+(IF(ArtifactsInput!$M$15,CHOOSE(ArtifactsInput!$N$15+1,25,30,35,40,45,50)/100*(Inputs!$B$11-Inputs!$B$11),0)))/100)/2</f>
        <v/>
      </c>
      <c r="M345">
        <f>L345*(1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
        <f>L345*(1-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
        <f>(1-Summary!$B$11)*T345+Summary!$B$11*V345</f>
        <v/>
      </c>
      <c r="P345">
        <f>IF(B372=0,0,O345/B372)</f>
        <v/>
      </c>
      <c r="Q345">
        <f>IFERROR(1/(IF(Inputs!$B$38="pvp",15,MAX(0.1,Skills!D8-IF(Skills!E8=TRUE,Inputs!$B$32,0)))*(1-IF(AND(ArtifactsInput!$M$27,Inputs!$B$4="Chapter Hunt"),CHOOSE(ArtifactsInput!$N$27+1,20,24,28,32,36,40),0)/100)),0)</f>
        <v/>
      </c>
      <c r="R345">
        <f>IF(AND(Inputs!$B$38&lt;&gt;"pvp",Inputs!$B$43&gt;0),IF(MAX(0,Inputs!$B$43-B369)&lt;=0,0,(INT(MAX(0,Inputs!$B$43-B369)/(IF(Inputs!$B$38="pvp",15,MAX(0.1,Skills!D8-IF(Skills!E8=TRUE,Inputs!$B$32,0)))*(1-IF(AND(ArtifactsInput!$M$27,Inputs!$B$4="Chapter Hunt"),CHOOSE(ArtifactsInput!$N$27+1,20,24,28,32,36,40),0)/100)))+1)),0)</f>
        <v/>
      </c>
      <c r="S345">
        <f>IFERROR(O345/N345,0)</f>
        <v/>
      </c>
      <c r="T345">
        <f>IF(C345,(H345*N345*IF(AND(Inputs!$B$38&lt;&gt;"pvp",Inputs!$B$43&gt;0),((Skills!G8*((R345-1)*IF(Skills!H8&gt;0,Skills!I8/Skills!H8,1)+IF(Skills!H8&gt;0,MIN(Skills!I8,MAX(0,MAX(0,Inputs!$B$43-B369)-((R345-1)*(IF(Inputs!$B$38="pvp",15,MAX(0.1,Skills!D8-IF(Skills!E8=TRUE,Inputs!$B$32,0)))*(1-IF(AND(ArtifactsInput!$M$27,Inputs!$B$4="Chapter Hunt"),CHOOSE(ArtifactsInput!$N$27+1,20,24,28,32,36,40),0)/100)))))/Skills!H8,1)))/Inputs!$B$43),G345*Q345)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345*(1-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
        <f>IF(C345,(H345*N345*IF(AND(Inputs!$B$38&lt;&gt;"pvp",Inputs!$B$43&gt;0),((Skills!G8*((R345-1)*IF(Skills!H8&gt;0,Skills!I8/Skills!H8,1)+IF(Skills!H8&gt;0,MIN(Skills!I8,MAX(0,MAX(0,Inputs!$B$43-B369)-((R345-1)*(IF(Inputs!$B$38="pvp",15,MAX(0.1,Skills!D8-IF(Skills!E8=TRUE,Inputs!$B$32,0)))*(1-IF(AND(ArtifactsInput!$M$27,Inputs!$B$4="Chapter Hunt"),CHOOSE(ArtifactsInput!$N$27+1,20,24,28,32,36,40),0)/100)))))/Skills!H8,1)))/Inputs!$B$43),G345*Q345))*IF(Inputs!$B$38="pvp",1,(1+(Inputs!$B$21+Skills!Q8+(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6">
      <c r="A346">
        <f>Skills!A9</f>
        <v/>
      </c>
      <c r="B346">
        <f>Skills!B9</f>
        <v/>
      </c>
      <c r="C346">
        <f>Inputs!$B$3&gt;=110</f>
        <v/>
      </c>
      <c r="D346">
        <f>IF(Skills!C9=1,60+Inputs!$B$25+Inputs!$B$29,IF(Skills!C9=2,90+Inputs!$B$26+Inputs!$B$29,IF(Skills!C9=3,120+Inputs!$B$27+Inputs!$B$29,MAX(0,(Inputs!$B$3-100)*3)+Inputs!$B$28+Inputs!$B$29)))</f>
        <v/>
      </c>
      <c r="E346">
        <f>INDEX(FactorTable!$B$2:$Y$301, MATCH(ROUND(MIN(300,MAX(1,D346)),0), FactorTable!$A$2:$A$301,0), Skills!M9+1)</f>
        <v/>
      </c>
      <c r="F346">
        <f>IF(Skills!N9=TRUE,(Skills!L9/10)*(E346/1000),Skills!L9/10)+Skills!O9</f>
        <v/>
      </c>
      <c r="G346">
        <f>Skills!G9*IF(Skills!H9&gt;0,Skills!I9/Skills!H9,1)</f>
        <v/>
      </c>
      <c r="H346">
        <f>1-(1-Skills!J9/100)^Skills!K9</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(1+Inputs!$B$24/100)*(1.01))-1)*100)+((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357=TRUE)*(F357-Calc!F20)),(Inputs!$B$23+0+(IF(ArtifactsInput!$M$15,CHOOSE(ArtifactsInput!$N$15+1,25,30,35,40,45,50)/100*(Inputs!$B$11-Inputs!$B$11),0))))/100+(Inputs!$B$23+0+(IF(ArtifactsInput!$M$15,CHOOSE(ArtifactsInput!$N$15+1,25,30,35,40,45,50)/100*(Inputs!$B$11-Inputs!$B$11),0)))/100)/2</f>
        <v/>
      </c>
      <c r="M346">
        <f>L346*(1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IF(B372=0,0,O346/B372)</f>
        <v/>
      </c>
      <c r="Q346">
        <f>IFERROR(1/(IF(Inputs!$B$38="pvp",15,MAX(0.1,Skills!D9-IF(Skills!E9=TRUE,Inputs!$B$32,0)))*(1-IF(AND(ArtifactsInput!$M$27,Inputs!$B$4="Chapter Hunt"),CHOOSE(ArtifactsInput!$N$27+1,20,24,28,32,36,40),0)/100)),0)</f>
        <v/>
      </c>
      <c r="R346">
        <f>IF(AND(Inputs!$B$38&lt;&gt;"pvp",Inputs!$B$43&gt;0),IF(MAX(0,Inputs!$B$43-B369)&lt;=0,0,(INT(MAX(0,Inputs!$B$43-B369)/(IF(Inputs!$B$38="pvp",15,MAX(0.1,Skills!D9-IF(Skills!E9=TRUE,Inputs!$B$32,0)))*(1-IF(AND(ArtifactsInput!$M$27,Inputs!$B$4="Chapter Hunt"),CHOOSE(ArtifactsInput!$N$27+1,20,24,28,32,36,40),0)/100)))+1)),0)</f>
        <v/>
      </c>
      <c r="S346">
        <f>IFERROR(O346/N346,0)</f>
        <v/>
      </c>
      <c r="T346">
        <f>IF(C346,(H346*N346*IF(AND(Inputs!$B$38&lt;&gt;"pvp",Inputs!$B$43&gt;0),((Skills!G9*((R346-1)*IF(Skills!H9&gt;0,Skills!I9/Skills!H9,1)+IF(Skills!H9&gt;0,MIN(Skills!I9,MAX(0,MAX(0,Inputs!$B$43-B369)-((R346-1)*(IF(Inputs!$B$38="pvp",15,MAX(0.1,Skills!D9-IF(Skills!E9=TRUE,Inputs!$B$32,0)))*(1-IF(AND(ArtifactsInput!$M$27,Inputs!$B$4="Chapter Hunt"),CHOOSE(ArtifactsInput!$N$27+1,20,24,28,32,36,40),0)/100)))))/Skills!H9,1)))/Inputs!$B$43),G346*Q346)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6">
        <f>IF(C346,(H346*N346*IF(AND(Inputs!$B$38&lt;&gt;"pvp",Inputs!$B$43&gt;0),((Skills!G9*((R346-1)*IF(Skills!H9&gt;0,Skills!I9/Skills!H9,1)+IF(Skills!H9&gt;0,MIN(Skills!I9,MAX(0,MAX(0,Inputs!$B$43-B369)-((R346-1)*(IF(Inputs!$B$38="pvp",15,MAX(0.1,Skills!D9-IF(Skills!E9=TRUE,Inputs!$B$32,0)))*(1-IF(AND(ArtifactsInput!$M$27,Inputs!$B$4="Chapter Hunt"),CHOOSE(ArtifactsInput!$N$27+1,20,24,28,32,36,40),0)/100)))))/Skills!H9,1)))/Inputs!$B$43),G346*Q346))*IF(Inputs!$B$38="pvp",1,(1+(Inputs!$B$21+Skills!Q9+(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Skills!A10</f>
        <v/>
      </c>
      <c r="B347">
        <f>Skills!B10</f>
        <v/>
      </c>
      <c r="C347">
        <f>Inputs!$B$3&gt;=103</f>
        <v/>
      </c>
      <c r="D347">
        <f>IF(Skills!C10=1,60+Inputs!$B$25+Inputs!$B$29,IF(Skills!C10=2,90+Inputs!$B$26+Inputs!$B$29,IF(Skills!C10=3,120+Inputs!$B$27+Inputs!$B$29,MAX(0,(Inputs!$B$3-100)*3)+Inputs!$B$28+Inputs!$B$29)))</f>
        <v/>
      </c>
      <c r="E347">
        <f>INDEX(FactorTable!$B$2:$Y$301, MATCH(ROUND(MIN(300,MAX(1,D347)),0), FactorTable!$A$2:$A$301,0), Skills!M10+1)</f>
        <v/>
      </c>
      <c r="F347">
        <f>IF(Skills!N10=TRUE,(Skills!L10/10)*(E347/1000),Skills!L10/10)+Skills!O10</f>
        <v/>
      </c>
      <c r="G347">
        <f>Skills!G10*IF(Skills!H10&gt;0,Skills!I10/Skills!H10,1)</f>
        <v/>
      </c>
      <c r="H347">
        <f>1-(1-Skills!J10/100)^Skills!K10</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(1+Inputs!$B$24/100)*(1.01))-1)*100)+((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357=TRUE)*(F357-Calc!F20)),(Inputs!$B$23+0+(IF(ArtifactsInput!$M$15,CHOOSE(ArtifactsInput!$N$15+1,25,30,35,40,45,50)/100*(Inputs!$B$11-Inputs!$B$11),0))))/100+(Inputs!$B$23+0+(IF(ArtifactsInput!$M$15,CHOOSE(ArtifactsInput!$N$15+1,25,30,35,40,45,50)/100*(Inputs!$B$11-Inputs!$B$11),0)))/100)/2</f>
        <v/>
      </c>
      <c r="M347">
        <f>L347*(1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IF(B372=0,0,O347/B372)</f>
        <v/>
      </c>
      <c r="Q347">
        <f>IFERROR(1/(IF(Inputs!$B$38="pvp",15,MAX(0.1,Skills!D10-IF(Skills!E10=TRUE,Inputs!$B$32,0)))*(1-IF(AND(ArtifactsInput!$M$27,Inputs!$B$4="Chapter Hunt"),CHOOSE(ArtifactsInput!$N$27+1,20,24,28,32,36,40),0)/100)),0)</f>
        <v/>
      </c>
      <c r="R347">
        <f>IF(AND(Inputs!$B$38&lt;&gt;"pvp",Inputs!$B$43&gt;0),IF(MAX(0,Inputs!$B$43-B369)&lt;=0,0,(INT(MAX(0,Inputs!$B$43-B369)/(IF(Inputs!$B$38="pvp",15,MAX(0.1,Skills!D10-IF(Skills!E10=TRUE,Inputs!$B$32,0)))*(1-IF(AND(ArtifactsInput!$M$27,Inputs!$B$4="Chapter Hunt"),CHOOSE(ArtifactsInput!$N$27+1,20,24,28,32,36,40),0)/100)))+1)),0)</f>
        <v/>
      </c>
      <c r="S347">
        <f>IFERROR(O347/N347,0)</f>
        <v/>
      </c>
      <c r="T347">
        <f>IF(C347,(H347*N347*IF(AND(Inputs!$B$38&lt;&gt;"pvp",Inputs!$B$43&gt;0),((Skills!G10*((R347-1)*IF(Skills!H10&gt;0,Skills!I10/Skills!H10,1)+IF(Skills!H10&gt;0,MIN(Skills!I10,MAX(0,MAX(0,Inputs!$B$43-B369)-((R347-1)*(IF(Inputs!$B$38="pvp",15,MAX(0.1,Skills!D10-IF(Skills!E10=TRUE,Inputs!$B$32,0)))*(1-IF(AND(ArtifactsInput!$M$27,Inputs!$B$4="Chapter Hunt"),CHOOSE(ArtifactsInput!$N$27+1,20,24,28,32,36,40),0)/100)))))/Skills!H10,1)))/Inputs!$B$43),G347*Q347)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7">
        <f>IF(C347,(H347*N347*IF(AND(Inputs!$B$38&lt;&gt;"pvp",Inputs!$B$43&gt;0),((Skills!G10*((R347-1)*IF(Skills!H10&gt;0,Skills!I10/Skills!H10,1)+IF(Skills!H10&gt;0,MIN(Skills!I10,MAX(0,MAX(0,Inputs!$B$43-B369)-((R347-1)*(IF(Inputs!$B$38="pvp",15,MAX(0.1,Skills!D10-IF(Skills!E10=TRUE,Inputs!$B$32,0)))*(1-IF(AND(ArtifactsInput!$M$27,Inputs!$B$4="Chapter Hunt"),CHOOSE(ArtifactsInput!$N$27+1,20,24,28,32,36,40),0)/100)))))/Skills!H10,1)))/Inputs!$B$43),G347*Q347))*IF(Inputs!$B$38="pvp",1,(1+(Inputs!$B$21+Skills!Q10+(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Skills!A11</f>
        <v/>
      </c>
      <c r="B348">
        <f>Skills!B11</f>
        <v/>
      </c>
      <c r="C348">
        <f>Inputs!$B$3&gt;=113</f>
        <v/>
      </c>
      <c r="D348">
        <f>IF(Skills!C11=1,60+Inputs!$B$25+Inputs!$B$29,IF(Skills!C11=2,90+Inputs!$B$26+Inputs!$B$29,IF(Skills!C11=3,120+Inputs!$B$27+Inputs!$B$29,MAX(0,(Inputs!$B$3-100)*3)+Inputs!$B$28+Inputs!$B$29)))</f>
        <v/>
      </c>
      <c r="E348">
        <f>INDEX(FactorTable!$B$2:$Y$301, MATCH(ROUND(MIN(300,MAX(1,D348)),0), FactorTable!$A$2:$A$301,0), Skills!M11+1)</f>
        <v/>
      </c>
      <c r="F348">
        <f>IF(Skills!N11=TRUE,(Skills!L11/10)*(E348/1000),Skills!L11/10)+Skills!O11</f>
        <v/>
      </c>
      <c r="G348">
        <f>Skills!G11*IF(Skills!H11&gt;0,Skills!I11/Skills!H11,1)</f>
        <v/>
      </c>
      <c r="H348">
        <f>1-(1-Skills!J11/100)^Skills!K11</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(1+Inputs!$B$24/100)*(1.01))-1)*100)+((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357=TRUE)*(F357-Calc!F20)),(Inputs!$B$23+0+(IF(ArtifactsInput!$M$15,CHOOSE(ArtifactsInput!$N$15+1,25,30,35,40,45,50)/100*(Inputs!$B$11-Inputs!$B$11),0))))/100+(Inputs!$B$23+0+(IF(ArtifactsInput!$M$15,CHOOSE(ArtifactsInput!$N$15+1,25,30,35,40,45,50)/100*(Inputs!$B$11-Inputs!$B$11),0)))/100)/2</f>
        <v/>
      </c>
      <c r="M348">
        <f>L348*(1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IF(B372=0,0,O348/B372)</f>
        <v/>
      </c>
      <c r="Q348">
        <f>IFERROR(1/(IF(Inputs!$B$38="pvp",15,MAX(0.1,Skills!D11-IF(Skills!E11=TRUE,Inputs!$B$32,0)))*(1-IF(AND(ArtifactsInput!$M$27,Inputs!$B$4="Chapter Hunt"),CHOOSE(ArtifactsInput!$N$27+1,20,24,28,32,36,40),0)/100)),0)</f>
        <v/>
      </c>
      <c r="R348">
        <f>IF(AND(Inputs!$B$38&lt;&gt;"pvp",Inputs!$B$43&gt;0),IF(MAX(0,Inputs!$B$43-B369)&lt;=0,0,(INT(MAX(0,Inputs!$B$43-B369)/(IF(Inputs!$B$38="pvp",15,MAX(0.1,Skills!D11-IF(Skills!E11=TRUE,Inputs!$B$32,0)))*(1-IF(AND(ArtifactsInput!$M$27,Inputs!$B$4="Chapter Hunt"),CHOOSE(ArtifactsInput!$N$27+1,20,24,28,32,36,40),0)/100)))+1)),0)</f>
        <v/>
      </c>
      <c r="S348">
        <f>IFERROR(O348/N348,0)</f>
        <v/>
      </c>
      <c r="T348">
        <f>IF(C348,(H348*N348*IF(AND(Inputs!$B$38&lt;&gt;"pvp",Inputs!$B$43&gt;0),((Skills!G11*((R348-1)*IF(Skills!H11&gt;0,Skills!I11/Skills!H11,1)+IF(Skills!H11&gt;0,MIN(Skills!I11,MAX(0,MAX(0,Inputs!$B$43-B369)-((R348-1)*(IF(Inputs!$B$38="pvp",15,MAX(0.1,Skills!D11-IF(Skills!E11=TRUE,Inputs!$B$32,0)))*(1-IF(AND(ArtifactsInput!$M$27,Inputs!$B$4="Chapter Hunt"),CHOOSE(ArtifactsInput!$N$27+1,20,24,28,32,36,40),0)/100)))))/Skills!H11,1)))/Inputs!$B$43),G348*Q348)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8">
        <f>IF(C348,(H348*N348*IF(AND(Inputs!$B$38&lt;&gt;"pvp",Inputs!$B$43&gt;0),((Skills!G11*((R348-1)*IF(Skills!H11&gt;0,Skills!I11/Skills!H11,1)+IF(Skills!H11&gt;0,MIN(Skills!I11,MAX(0,MAX(0,Inputs!$B$43-B369)-((R348-1)*(IF(Inputs!$B$38="pvp",15,MAX(0.1,Skills!D11-IF(Skills!E11=TRUE,Inputs!$B$32,0)))*(1-IF(AND(ArtifactsInput!$M$27,Inputs!$B$4="Chapter Hunt"),CHOOSE(ArtifactsInput!$N$27+1,20,24,28,32,36,40),0)/100)))))/Skills!H11,1)))/Inputs!$B$43),G348*Q348))*IF(Inputs!$B$38="pvp",1,(1+(Inputs!$B$21+Skills!Q11+(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Skills!A12</f>
        <v/>
      </c>
      <c r="B349">
        <f>Skills!B12</f>
        <v/>
      </c>
      <c r="C349">
        <f>Inputs!$B$3&gt;=100</f>
        <v/>
      </c>
      <c r="D349">
        <f>IF(Skills!C12=1,60+Inputs!$B$25+Inputs!$B$29,IF(Skills!C12=2,90+Inputs!$B$26+Inputs!$B$29,IF(Skills!C12=3,120+Inputs!$B$27+Inputs!$B$29,MAX(0,(Inputs!$B$3-100)*3)+Inputs!$B$28+Inputs!$B$29)))</f>
        <v/>
      </c>
      <c r="E349">
        <f>INDEX(FactorTable!$B$2:$Y$301, MATCH(ROUND(MIN(300,MAX(1,D349)),0), FactorTable!$A$2:$A$301,0), Skills!M12+1)</f>
        <v/>
      </c>
      <c r="F349">
        <f>IF(Skills!N12=TRUE,(Skills!L12/10)*(E349/1000),Skills!L12/10)+Skills!O12</f>
        <v/>
      </c>
      <c r="G349" t="inlineStr"/>
      <c r="H349" t="inlineStr"/>
      <c r="I349" t="inlineStr">
        <is>
          <t>1</t>
        </is>
      </c>
      <c r="J349" t="inlineStr"/>
      <c r="K349" t="inlineStr"/>
      <c r="L349" t="inlineStr"/>
      <c r="M349" t="inlineStr"/>
      <c r="N349" t="inlineStr"/>
      <c r="O349" t="inlineStr"/>
      <c r="P349" t="inlineStr"/>
      <c r="Q349" t="inlineStr"/>
      <c r="R349" t="inlineStr"/>
      <c r="S349" t="inlineStr"/>
      <c r="T349" t="inlineStr"/>
      <c r="V349" t="inlineStr"/>
    </row>
    <row r="350">
      <c r="A350">
        <f>Skills!A13</f>
        <v/>
      </c>
      <c r="B350">
        <f>Skills!B13</f>
        <v/>
      </c>
      <c r="C350">
        <f>Inputs!$B$3&gt;=66</f>
        <v/>
      </c>
      <c r="D350">
        <f>IF(Skills!C13=1,60+Inputs!$B$25+Inputs!$B$29,IF(Skills!C13=2,90+Inputs!$B$26+Inputs!$B$29,IF(Skills!C13=3,120+Inputs!$B$27+Inputs!$B$29,MAX(0,(Inputs!$B$3-100)*3)+Inputs!$B$28+Inputs!$B$29)))</f>
        <v/>
      </c>
      <c r="E350">
        <f>INDEX(FactorTable!$B$2:$Y$301, MATCH(ROUND(MIN(300,MAX(1,D350)),0), FactorTable!$A$2:$A$301,0), Skills!M13+1)</f>
        <v/>
      </c>
      <c r="F350">
        <f>IF(Skills!N13=TRUE,(Skills!L13/10)*(E350/1000),Skills!L13/10)+Skills!O13</f>
        <v/>
      </c>
      <c r="G350">
        <f>Skills!G13*IF(Skills!H13&gt;0,Skills!I13/Skills!H13,1)</f>
        <v/>
      </c>
      <c r="H350">
        <f>1-(1-Skills!J13/100)^Skills!K13</f>
        <v/>
      </c>
      <c r="I350" t="inlineStr">
        <is>
          <t>1</t>
        </is>
      </c>
      <c r="J350" t="inlineStr"/>
      <c r="K350" t="inlineStr"/>
      <c r="L350" t="inlineStr"/>
      <c r="M350" t="inlineStr"/>
      <c r="N350" t="inlineStr"/>
      <c r="O350">
        <f>(1-Summary!$B$11)*T350+Summary!$B$11*V350</f>
        <v/>
      </c>
      <c r="P350">
        <f>IF(B372=0,0,O350/B372)</f>
        <v/>
      </c>
      <c r="Q350" t="n">
        <v>0</v>
      </c>
      <c r="R350" t="n">
        <v>0</v>
      </c>
      <c r="S350">
        <f>IFERROR(O350/N350,0)</f>
        <v/>
      </c>
      <c r="T350" t="n">
        <v>0</v>
      </c>
      <c r="V350" t="n">
        <v>0</v>
      </c>
    </row>
    <row r="351">
      <c r="A351">
        <f>Skills!A14</f>
        <v/>
      </c>
      <c r="B351">
        <f>Skills!B14</f>
        <v/>
      </c>
      <c r="C351">
        <f>Inputs!$B$3&gt;=107</f>
        <v/>
      </c>
      <c r="D351">
        <f>IF(Skills!C14=1,60+Inputs!$B$25+Inputs!$B$29,IF(Skills!C14=2,90+Inputs!$B$26+Inputs!$B$29,IF(Skills!C14=3,120+Inputs!$B$27+Inputs!$B$29,MAX(0,(Inputs!$B$3-100)*3)+Inputs!$B$28+Inputs!$B$29)))</f>
        <v/>
      </c>
      <c r="E351">
        <f>INDEX(FactorTable!$B$2:$Y$301, MATCH(ROUND(MIN(300,MAX(1,D351)),0), FactorTable!$A$2:$A$301,0), Skills!M14+1)</f>
        <v/>
      </c>
      <c r="F351">
        <f>IF(Skills!N14=TRUE,(Skills!L14/10)*(E351/1000),Skills!L14/10)+Skills!O14</f>
        <v/>
      </c>
      <c r="G351">
        <f>Skills!G14*IF(Skills!H14&gt;0,Skills!I14/Skills!H14,1)</f>
        <v/>
      </c>
      <c r="H351">
        <f>1-(1-Skills!J14/100)^Skills!K14</f>
        <v/>
      </c>
      <c r="I351" t="inlineStr">
        <is>
          <t>1</t>
        </is>
      </c>
      <c r="J351" t="inlineStr"/>
      <c r="K351" t="inlineStr"/>
      <c r="L351" t="inlineStr"/>
      <c r="M351" t="inlineStr"/>
      <c r="N351" t="inlineStr"/>
      <c r="O351">
        <f>(1-Summary!$B$11)*T351+Summary!$B$11*V351</f>
        <v/>
      </c>
      <c r="P351">
        <f>IF(B372=0,0,O351/B372)</f>
        <v/>
      </c>
      <c r="Q351" t="n">
        <v>0</v>
      </c>
      <c r="R351" t="n">
        <v>0</v>
      </c>
      <c r="S351">
        <f>IFERROR(O351/N351,0)</f>
        <v/>
      </c>
      <c r="T351" t="n">
        <v>0</v>
      </c>
      <c r="V351" t="n">
        <v>0</v>
      </c>
    </row>
    <row r="352">
      <c r="A352">
        <f>Skills!A15</f>
        <v/>
      </c>
      <c r="B352">
        <f>Skills!B15</f>
        <v/>
      </c>
      <c r="C352">
        <f>Inputs!$B$3&gt;=115</f>
        <v/>
      </c>
      <c r="D352">
        <f>IF(Skills!C15=1,60+Inputs!$B$25+Inputs!$B$29,IF(Skills!C15=2,90+Inputs!$B$26+Inputs!$B$29,IF(Skills!C15=3,120+Inputs!$B$27+Inputs!$B$29,MAX(0,(Inputs!$B$3-100)*3)+Inputs!$B$28+Inputs!$B$29)))</f>
        <v/>
      </c>
      <c r="E352">
        <f>INDEX(FactorTable!$B$2:$Y$301, MATCH(ROUND(MIN(300,MAX(1,D352)),0), FactorTable!$A$2:$A$301,0), Skills!M15+1)</f>
        <v/>
      </c>
      <c r="F352">
        <f>IF(Skills!N15=TRUE,(Skills!L15/10)*(E352/1000),Skills!L15/10)+Skills!O15</f>
        <v/>
      </c>
      <c r="G352">
        <f>Skills!G15*IF(Skills!H15&gt;0,Skills!I15/Skills!H15,1)</f>
        <v/>
      </c>
      <c r="H352">
        <f>1-(1-Skills!J15/100)^Skills!K15</f>
        <v/>
      </c>
      <c r="I352" t="inlineStr">
        <is>
          <t>1</t>
        </is>
      </c>
      <c r="J352" t="inlineStr"/>
      <c r="K352" t="inlineStr"/>
      <c r="L352" t="inlineStr"/>
      <c r="M352" t="inlineStr"/>
      <c r="N352" t="inlineStr"/>
      <c r="O352">
        <f>(1-Summary!$B$11)*T352+Summary!$B$11*V352</f>
        <v/>
      </c>
      <c r="P352">
        <f>IF(B372=0,0,O352/B372)</f>
        <v/>
      </c>
      <c r="Q352" t="n">
        <v>0</v>
      </c>
      <c r="R352" t="n">
        <v>0</v>
      </c>
      <c r="S352">
        <f>IFERROR(O352/N352,0)</f>
        <v/>
      </c>
      <c r="T352" t="n">
        <v>0</v>
      </c>
      <c r="V352" t="n">
        <v>0</v>
      </c>
    </row>
    <row r="353">
      <c r="A353">
        <f>Skills!A16</f>
        <v/>
      </c>
      <c r="B353">
        <f>Skills!B16</f>
        <v/>
      </c>
      <c r="C353">
        <f>Inputs!$B$3&gt;=15</f>
        <v/>
      </c>
      <c r="D353">
        <f>IF(Skills!C16=1,60+Inputs!$B$25+Inputs!$B$29,IF(Skills!C16=2,90+Inputs!$B$26+Inputs!$B$29,IF(Skills!C16=3,120+Inputs!$B$27+Inputs!$B$29,MAX(0,(Inputs!$B$3-100)*3)+Inputs!$B$28+Inputs!$B$29)))</f>
        <v/>
      </c>
      <c r="E353">
        <f>INDEX(FactorTable!$B$2:$Y$301, MATCH(ROUND(MIN(300,MAX(1,D353)),0), FactorTable!$A$2:$A$301,0), Skills!M16+1)</f>
        <v/>
      </c>
      <c r="F353">
        <f>IF(Skills!N16=TRUE,(Skills!L16/10)*(E353/1000),Skills!L16/10)+Skills!O16</f>
        <v/>
      </c>
      <c r="G353">
        <f>Skills!G16*IF(Skills!H16&gt;0,Skills!I16/Skills!H16,1)</f>
        <v/>
      </c>
      <c r="H353">
        <f>1-(1-Skills!J16/100)^Skills!K16</f>
        <v/>
      </c>
      <c r="I353" t="inlineStr">
        <is>
          <t>1</t>
        </is>
      </c>
      <c r="J353" t="inlineStr"/>
      <c r="K353" t="inlineStr"/>
      <c r="L353" t="inlineStr"/>
      <c r="M353" t="inlineStr"/>
      <c r="N353" t="inlineStr"/>
      <c r="O353">
        <f>(1-Summary!$B$11)*T353+Summary!$B$11*V353</f>
        <v/>
      </c>
      <c r="P353">
        <f>IF(B372=0,0,O353/B372)</f>
        <v/>
      </c>
      <c r="Q353" t="n">
        <v>0</v>
      </c>
      <c r="R353" t="n">
        <v>0</v>
      </c>
      <c r="S353">
        <f>IFERROR(O353/N353,0)</f>
        <v/>
      </c>
      <c r="T353" t="n">
        <v>0</v>
      </c>
      <c r="V353" t="n">
        <v>0</v>
      </c>
    </row>
    <row r="354">
      <c r="A354">
        <f>Skills!A17</f>
        <v/>
      </c>
      <c r="B354">
        <f>Skills!B17</f>
        <v/>
      </c>
      <c r="C354">
        <f>Inputs!$B$3&gt;=10</f>
        <v/>
      </c>
      <c r="D354">
        <f>IF(Skills!C17=1,60+Inputs!$B$25+Inputs!$B$29,IF(Skills!C17=2,90+Inputs!$B$26+Inputs!$B$29,IF(Skills!C17=3,120+Inputs!$B$27+Inputs!$B$29,MAX(0,(Inputs!$B$3-100)*3)+Inputs!$B$28+Inputs!$B$29)))</f>
        <v/>
      </c>
      <c r="E354">
        <f>INDEX(FactorTable!$B$2:$Y$301, MATCH(ROUND(MIN(300,MAX(1,D354)),0), FactorTable!$A$2:$A$301,0), Skills!M17+1)</f>
        <v/>
      </c>
      <c r="F354">
        <f>IF(Skills!N17=TRUE,(Skills!L17/10)*(E354/1000),Skills!L17/10)+Skills!O17</f>
        <v/>
      </c>
      <c r="G354">
        <f>Skills!G17*IF(Skills!H17&gt;0,Skills!I17/Skills!H17,1)</f>
        <v/>
      </c>
      <c r="H354">
        <f>1-(1-Skills!J17/100)^Skills!K17</f>
        <v/>
      </c>
      <c r="I354" t="inlineStr">
        <is>
          <t>1</t>
        </is>
      </c>
      <c r="J354" t="inlineStr"/>
      <c r="K354" t="inlineStr"/>
      <c r="L354" t="inlineStr"/>
      <c r="M354" t="inlineStr"/>
      <c r="N354" t="inlineStr"/>
      <c r="O354">
        <f>(1-Summary!$B$11)*T354+Summary!$B$11*V354</f>
        <v/>
      </c>
      <c r="P354">
        <f>IF(B372=0,0,O354/B372)</f>
        <v/>
      </c>
      <c r="Q354" t="n">
        <v>0</v>
      </c>
      <c r="R354" t="n">
        <v>0</v>
      </c>
      <c r="S354">
        <f>IFERROR(O354/N354,0)</f>
        <v/>
      </c>
      <c r="T354" t="n">
        <v>0</v>
      </c>
      <c r="V354" t="n">
        <v>0</v>
      </c>
    </row>
    <row r="355">
      <c r="A355">
        <f>Skills!A18</f>
        <v/>
      </c>
      <c r="B355">
        <f>Skills!B18</f>
        <v/>
      </c>
      <c r="C355">
        <f>Inputs!$B$3&gt;=33</f>
        <v/>
      </c>
      <c r="D355">
        <f>IF(Skills!C18=1,60+Inputs!$B$25+Inputs!$B$29,IF(Skills!C18=2,90+Inputs!$B$26+Inputs!$B$29,IF(Skills!C18=3,120+Inputs!$B$27+Inputs!$B$29,MAX(0,(Inputs!$B$3-100)*3)+Inputs!$B$28+Inputs!$B$29)))</f>
        <v/>
      </c>
      <c r="E355">
        <f>INDEX(FactorTable!$B$2:$Y$301, MATCH(ROUND(MIN(300,MAX(1,D355)),0), FactorTable!$A$2:$A$301,0), Skills!M18+1)</f>
        <v/>
      </c>
      <c r="F355">
        <f>IF(Skills!N18=TRUE,(Skills!L18/10)*(E355/1000),Skills!L18/10)+Skills!O18</f>
        <v/>
      </c>
      <c r="G355">
        <f>Skills!G18*IF(Skills!H18&gt;0,Skills!I18/Skills!H18,1)</f>
        <v/>
      </c>
      <c r="H355">
        <f>1-(1-Skills!J18/100)^Skills!K18</f>
        <v/>
      </c>
      <c r="I355" t="inlineStr">
        <is>
          <t>1</t>
        </is>
      </c>
      <c r="J355" t="inlineStr"/>
      <c r="K355" t="inlineStr"/>
      <c r="L355" t="inlineStr"/>
      <c r="M355" t="inlineStr"/>
      <c r="N355" t="inlineStr"/>
      <c r="O355">
        <f>(1-Summary!$B$11)*T355+Summary!$B$11*V355</f>
        <v/>
      </c>
      <c r="P355">
        <f>IF(B372=0,0,O355/B372)</f>
        <v/>
      </c>
      <c r="Q355" t="n">
        <v>0</v>
      </c>
      <c r="R355" t="n">
        <v>0</v>
      </c>
      <c r="S355">
        <f>IFERROR(O355/N355,0)</f>
        <v/>
      </c>
      <c r="T355" t="n">
        <v>0</v>
      </c>
      <c r="V355" t="n">
        <v>0</v>
      </c>
    </row>
    <row r="356">
      <c r="A356">
        <f>Skills!A19</f>
        <v/>
      </c>
      <c r="B356">
        <f>Skills!B19</f>
        <v/>
      </c>
      <c r="C356">
        <f>Inputs!$B$3&gt;=40</f>
        <v/>
      </c>
      <c r="D356">
        <f>IF(Skills!C19=1,60+Inputs!$B$25+Inputs!$B$29,IF(Skills!C19=2,90+Inputs!$B$26+Inputs!$B$29,IF(Skills!C19=3,120+Inputs!$B$27+Inputs!$B$29,MAX(0,(Inputs!$B$3-100)*3)+Inputs!$B$28+Inputs!$B$29)))</f>
        <v/>
      </c>
      <c r="E356">
        <f>INDEX(FactorTable!$B$2:$Y$301, MATCH(ROUND(MIN(300,MAX(1,D356)),0), FactorTable!$A$2:$A$301,0), Skills!M19+1)</f>
        <v/>
      </c>
      <c r="F356">
        <f>IF(Skills!N19=TRUE,(Skills!L19/10)*(E356/1000),Skills!L19/10)+Skills!O19</f>
        <v/>
      </c>
      <c r="G356">
        <f>Skills!G19*IF(Skills!H19&gt;0,Skills!I19/Skills!H19,1)</f>
        <v/>
      </c>
      <c r="H356">
        <f>1-(1-Skills!J19/100)^Skills!K19</f>
        <v/>
      </c>
      <c r="I356" t="inlineStr">
        <is>
          <t>1</t>
        </is>
      </c>
      <c r="J356" t="inlineStr"/>
      <c r="K356" t="inlineStr"/>
      <c r="L356" t="inlineStr"/>
      <c r="M356" t="inlineStr"/>
      <c r="N356" t="inlineStr"/>
      <c r="O356">
        <f>(1-Summary!$B$11)*T356+Summary!$B$11*V356</f>
        <v/>
      </c>
      <c r="P356">
        <f>IF(B372=0,0,O356/B372)</f>
        <v/>
      </c>
      <c r="Q356" t="n">
        <v>0</v>
      </c>
      <c r="R356" t="n">
        <v>0</v>
      </c>
      <c r="S356">
        <f>IFERROR(O356/N356,0)</f>
        <v/>
      </c>
      <c r="T356" t="n">
        <v>0</v>
      </c>
      <c r="V356" t="n">
        <v>0</v>
      </c>
    </row>
    <row r="357">
      <c r="A357">
        <f>Skills!A20</f>
        <v/>
      </c>
      <c r="B357">
        <f>Skills!B20</f>
        <v/>
      </c>
      <c r="C357">
        <f>Inputs!$B$3&gt;=43</f>
        <v/>
      </c>
      <c r="D357">
        <f>IF(Skills!C20=1,60+Inputs!$B$25+Inputs!$B$29,IF(Skills!C20=2,90+Inputs!$B$26+Inputs!$B$29,IF(Skills!C20=3,120+Inputs!$B$27+Inputs!$B$29,MAX(0,(Inputs!$B$3-100)*3)+Inputs!$B$28+Inputs!$B$29)))</f>
        <v/>
      </c>
      <c r="E357">
        <f>INDEX(FactorTable!$B$2:$Y$301, MATCH(ROUND(MIN(300,MAX(1,D357)),0), FactorTable!$A$2:$A$301,0), Skills!M20+1)</f>
        <v/>
      </c>
      <c r="F357">
        <f>IF(Skills!N20=TRUE,(Skills!L20/10)*(E357/1000),Skills!L20/10)+Skills!O20</f>
        <v/>
      </c>
      <c r="G357">
        <f>Skills!G20*IF(Skills!H20&gt;0,Skills!I20/Skills!H20,1)</f>
        <v/>
      </c>
      <c r="H357">
        <f>1-(1-Skills!J20/100)^Skills!K20</f>
        <v/>
      </c>
      <c r="I357" t="inlineStr">
        <is>
          <t>1</t>
        </is>
      </c>
      <c r="J357" t="inlineStr"/>
      <c r="K357" t="inlineStr"/>
      <c r="L357" t="inlineStr"/>
      <c r="M357" t="inlineStr"/>
      <c r="N357" t="inlineStr"/>
      <c r="O357">
        <f>(1-Summary!$B$11)*T357+Summary!$B$11*V357</f>
        <v/>
      </c>
      <c r="P357">
        <f>IF(B372=0,0,O357/B372)</f>
        <v/>
      </c>
      <c r="Q357" t="n">
        <v>0</v>
      </c>
      <c r="R357" t="n">
        <v>0</v>
      </c>
      <c r="S357">
        <f>IFERROR(O357/N357,0)</f>
        <v/>
      </c>
      <c r="T357" t="n">
        <v>0</v>
      </c>
      <c r="V357" t="n">
        <v>0</v>
      </c>
    </row>
    <row r="358">
      <c r="A358">
        <f>Skills!A21</f>
        <v/>
      </c>
      <c r="B358">
        <f>Skills!B21</f>
        <v/>
      </c>
      <c r="C358">
        <f>Inputs!$B$3&gt;=38</f>
        <v/>
      </c>
      <c r="D358">
        <f>IF(Skills!C21=1,60+Inputs!$B$25+Inputs!$B$29,IF(Skills!C21=2,90+Inputs!$B$26+Inputs!$B$29,IF(Skills!C21=3,120+Inputs!$B$27+Inputs!$B$29,MAX(0,(Inputs!$B$3-100)*3)+Inputs!$B$28+Inputs!$B$29)))</f>
        <v/>
      </c>
      <c r="E358">
        <f>INDEX(FactorTable!$B$2:$Y$301, MATCH(ROUND(MIN(300,MAX(1,D358)),0), FactorTable!$A$2:$A$301,0), Skills!M21+1)</f>
        <v/>
      </c>
      <c r="F358">
        <f>IF(Skills!N21=TRUE,(Skills!L21/10)*(E358/1000),Skills!L21/10)+Skills!O21</f>
        <v/>
      </c>
      <c r="G358">
        <f>Skills!G21*IF(Skills!H21&gt;0,Skills!I21/Skills!H21,1)</f>
        <v/>
      </c>
      <c r="H358">
        <f>1-(1-Skills!J21/100)^Skills!K21</f>
        <v/>
      </c>
      <c r="I358" t="inlineStr">
        <is>
          <t>1</t>
        </is>
      </c>
      <c r="J358" t="inlineStr"/>
      <c r="K358" t="inlineStr"/>
      <c r="L358" t="inlineStr"/>
      <c r="M358" t="inlineStr"/>
      <c r="N358" t="inlineStr"/>
      <c r="O358">
        <f>(1-Summary!$B$11)*T358+Summary!$B$11*V358</f>
        <v/>
      </c>
      <c r="P358">
        <f>IF(B372=0,0,O358/B372)</f>
        <v/>
      </c>
      <c r="Q358" t="n">
        <v>0</v>
      </c>
      <c r="R358" t="n">
        <v>0</v>
      </c>
      <c r="S358">
        <f>IFERROR(O358/N358,0)</f>
        <v/>
      </c>
      <c r="T358" t="n">
        <v>0</v>
      </c>
      <c r="V358" t="n">
        <v>0</v>
      </c>
    </row>
    <row r="359">
      <c r="A359">
        <f>Skills!A22</f>
        <v/>
      </c>
      <c r="B359">
        <f>Skills!B22</f>
        <v/>
      </c>
      <c r="C359">
        <f>Inputs!$B$3&gt;=75</f>
        <v/>
      </c>
      <c r="D359">
        <f>IF(Skills!C22=1,60+Inputs!$B$25+Inputs!$B$29,IF(Skills!C22=2,90+Inputs!$B$26+Inputs!$B$29,IF(Skills!C22=3,120+Inputs!$B$27+Inputs!$B$29,MAX(0,(Inputs!$B$3-100)*3)+Inputs!$B$28+Inputs!$B$29)))</f>
        <v/>
      </c>
      <c r="E359">
        <f>INDEX(FactorTable!$B$2:$Y$301, MATCH(ROUND(MIN(300,MAX(1,D359)),0), FactorTable!$A$2:$A$301,0), Skills!M22+1)</f>
        <v/>
      </c>
      <c r="F359">
        <f>IF(Skills!N22=TRUE,(Skills!L22/10)*(E359/1000),Skills!L22/10)+Skills!O22</f>
        <v/>
      </c>
      <c r="G359">
        <f>Skills!G22*IF(Skills!H22&gt;0,Skills!I22/Skills!H22,1)</f>
        <v/>
      </c>
      <c r="H359">
        <f>1-(1-Skills!J22/100)^Skills!K22</f>
        <v/>
      </c>
      <c r="I359" t="inlineStr">
        <is>
          <t>1</t>
        </is>
      </c>
      <c r="J359" t="inlineStr"/>
      <c r="K359" t="inlineStr"/>
      <c r="L359" t="inlineStr"/>
      <c r="M359" t="inlineStr"/>
      <c r="N359" t="inlineStr"/>
      <c r="O359">
        <f>(1-Summary!$B$11)*T359+Summary!$B$11*V359</f>
        <v/>
      </c>
      <c r="P359">
        <f>IF(B372=0,0,O359/B372)</f>
        <v/>
      </c>
      <c r="Q359" t="n">
        <v>0</v>
      </c>
      <c r="R359" t="n">
        <v>0</v>
      </c>
      <c r="S359">
        <f>IFERROR(O359/N359,0)</f>
        <v/>
      </c>
      <c r="T359" t="n">
        <v>0</v>
      </c>
      <c r="V359" t="n">
        <v>0</v>
      </c>
    </row>
    <row r="361">
      <c r="A361" t="inlineStr">
        <is>
          <t>Attack% Bucket Multiplier</t>
        </is>
      </c>
      <c r="B361">
        <f>(1+(((C350=TRUE)*F350)+((C356=TRUE)*(F356-Calc!F19))+(IF(ArtifactsInput!$M$21,CHOOSE(ArtifactsInput!$N$21+1,25,30,35,40,45,50)*(IF(OR(Inputs!$B$4="Chapter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62">
      <c r="A362" t="inlineStr">
        <is>
          <t>Global Crit Rate Bonus %</t>
        </is>
      </c>
      <c r="B362" t="n">
        <v>0</v>
      </c>
    </row>
    <row r="363">
      <c r="A363" t="inlineStr">
        <is>
          <t>Attack Speed Buff Bonus % (unused)</t>
        </is>
      </c>
      <c r="B363" t="n">
        <v>0</v>
      </c>
    </row>
    <row r="364">
      <c r="A364" t="inlineStr">
        <is>
          <t>Actions Per Second</t>
        </is>
      </c>
      <c r="B364">
        <f>1+MIN(150,150*(1-(1-(Inputs!$B$11+((C354=TRUE)*(F354-Calc!F17))+((C355=TRUE)*(F355-Calc!F18)))/150)*(1-B363/150)))/100</f>
        <v/>
      </c>
    </row>
    <row r="365">
      <c r="A365" t="inlineStr">
        <is>
          <t>Skill + Buff Cast Rate</t>
        </is>
      </c>
      <c r="B365">
        <f>IF(AND(Inputs!$B$38&lt;&gt;"pvp",Inputs!$B$43&gt;0),SUMPRODUCT((Skills!E2:E22=TRUE)*(C339:C359=TRUE)*R339:R359*Skills!F2:F22)/Inputs!$B$43,SUMPRODUCT((Skills!E2:E22=TRUE)*(C339:C359=TRUE)*Q339:Q359*Skills!F2:F22))</f>
        <v/>
      </c>
    </row>
    <row r="366">
      <c r="A366" t="inlineStr">
        <is>
          <t>Hook Bomber Casts Per Second</t>
        </is>
      </c>
      <c r="B366">
        <f>MAX(0,B364-B365)</f>
        <v/>
      </c>
    </row>
    <row r="367">
      <c r="A367" t="inlineStr">
        <is>
          <t>Global Critical Damage Bonus % (unused)</t>
        </is>
      </c>
      <c r="B367" t="n">
        <v>0</v>
      </c>
    </row>
    <row r="368">
      <c r="A368" t="inlineStr">
        <is>
          <t>Global Final Damage Bonus % (Serpent Scale + Crossbones + Time Leap + Speed Infusion)</t>
        </is>
      </c>
      <c r="B368">
        <f>((C342=TRUE)*F342*((10+IF(Inputs!$B$3&gt;=94,5,0))/((10+IF(Inputs!$B$3&gt;=94,5,0))+5/(B366*(1+IF(Inputs!$B$3&gt;=104,1,0))))))+((C351=TRUE)*F351)+((C352=TRUE)*F352)+((Inputs!$B$3&gt;=110)*20*(B364-1))</f>
        <v/>
      </c>
    </row>
    <row r="369">
      <c r="A369" t="inlineStr">
        <is>
          <t>Buff-Casting Startup Delay (s, fixed-duration only)</t>
        </is>
      </c>
      <c r="B369">
        <f>IF(AND(Inputs!$B$38&lt;&gt;"pvp",Inputs!$B$43&gt;0),SUMPRODUCT((Skills!T2:T22&gt;0)*(Skills!E2:E22=TRUE)*(C339:C359=TRUE))/B364,0)</f>
        <v/>
      </c>
    </row>
    <row r="370">
      <c r="A370" t="inlineStr">
        <is>
          <t>Boss-Only Total DPS (this block's swept value)</t>
        </is>
      </c>
      <c r="B370">
        <f>SUM(T339:T359)</f>
        <v/>
      </c>
    </row>
    <row r="371">
      <c r="A371" t="inlineStr">
        <is>
          <t>Normal-Only Total DPS (this block's swept value)</t>
        </is>
      </c>
      <c r="B371">
        <f>SUM(V339:V359)</f>
        <v/>
      </c>
    </row>
    <row r="372">
      <c r="A372" s="6" t="inlineStr">
        <is>
          <t>TOTAL DPS</t>
        </is>
      </c>
      <c r="B372" s="6">
        <f>SUM(O339:O359)</f>
        <v/>
      </c>
    </row>
    <row r="375">
      <c r="A375" s="6" t="inlineStr">
        <is>
          <t>Stat: MIN_DAMAGE %</t>
        </is>
      </c>
    </row>
    <row r="376">
      <c r="A376" s="5" t="inlineStr">
        <is>
          <t>Key</t>
        </is>
      </c>
      <c r="B376" s="5" t="inlineStr">
        <is>
          <t>Name</t>
        </is>
      </c>
      <c r="C376" s="5" t="inlineStr">
        <is>
          <t>Unlocked</t>
        </is>
      </c>
      <c r="D376" s="5" t="inlineStr">
        <is>
          <t>InputLevel</t>
        </is>
      </c>
      <c r="E376" s="5" t="inlineStr">
        <is>
          <t>Factor</t>
        </is>
      </c>
      <c r="F376" s="5" t="inlineStr">
        <is>
          <t>CoefficientPercent</t>
        </is>
      </c>
      <c r="G376" s="5" t="inlineStr">
        <is>
          <t>EffectiveHits</t>
        </is>
      </c>
      <c r="H376" s="5" t="inlineStr">
        <is>
          <t>ProcProbability</t>
        </is>
      </c>
      <c r="I376" s="5" t="inlineStr">
        <is>
          <t>MapleHeroMultiplier</t>
        </is>
      </c>
      <c r="J376" s="5" t="inlineStr">
        <is>
          <t>BaseDamage</t>
        </is>
      </c>
      <c r="K376" s="5" t="inlineStr">
        <is>
          <t>BaseHitDamage</t>
        </is>
      </c>
      <c r="L376" s="5" t="inlineStr">
        <is>
          <t>NonCritAvg</t>
        </is>
      </c>
      <c r="M376" s="5" t="inlineStr">
        <is>
          <t>CritAvg</t>
        </is>
      </c>
      <c r="N376" s="5" t="inlineStr">
        <is>
          <t>ExpectedDamage(perHit)</t>
        </is>
      </c>
      <c r="O376" s="5" t="inlineStr">
        <is>
          <t>DPS</t>
        </is>
      </c>
      <c r="P376" s="5" t="inlineStr">
        <is>
          <t>% of Total</t>
        </is>
      </c>
      <c r="Q376" s="5" t="inlineStr">
        <is>
          <t>InvCooldown</t>
        </is>
      </c>
      <c r="R376" s="5" t="inlineStr">
        <is>
          <t>CastsInFight</t>
        </is>
      </c>
      <c r="S376" s="5" t="inlineStr">
        <is>
          <t>HitRate(perSec)</t>
        </is>
      </c>
      <c r="U376" t="inlineStr">
        <is>
          <t>helpers</t>
        </is>
      </c>
    </row>
    <row r="377">
      <c r="A377">
        <f>Skills!A2</f>
        <v/>
      </c>
      <c r="B377">
        <f>Skills!B2</f>
        <v/>
      </c>
      <c r="C377">
        <f>Inputs!$B$3&gt;=100</f>
        <v/>
      </c>
      <c r="D377" t="inlineStr"/>
      <c r="E377" t="inlineStr"/>
      <c r="F377">
        <f>U379+Skills!O2</f>
        <v/>
      </c>
      <c r="G377">
        <f>Skills!G2*IF(Skills!H2&gt;0,Skills!I2/Skills!H2,1)</f>
        <v/>
      </c>
      <c r="H377">
        <f>1-(1-Skills!J2/100)^Skills!K2</f>
        <v/>
      </c>
      <c r="I377" t="inlineStr">
        <is>
          <t>1</t>
        </is>
      </c>
      <c r="J377">
        <f>((Inputs!$B$6*(1+Inputs!$B$7/100))+(((Inputs!$B$12*(1+Inputs!$B$13/100))-(Inputs!$B$12*(1+Inputs!$B$13/100)))+0.25*(Inputs!$B$14-Inputs!$B$14))*(1+Inputs!$B$7/100))*(F377/100)</f>
        <v/>
      </c>
      <c r="K377">
        <f>J377*(1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377)</f>
        <v/>
      </c>
      <c r="L377">
        <f>K377*(MIN((Inputs!$B$22+1)+((C395=TRUE)*(F395-Calc!F20)),(Inputs!$B$23+0+(IF(ArtifactsInput!$M$15,CHOOSE(ArtifactsInput!$N$15+1,25,30,35,40,45,50)/100*(Inputs!$B$11-Inputs!$B$11),0))))/100+(Inputs!$B$23+0+(IF(ArtifactsInput!$M$15,CHOOSE(ArtifactsInput!$N$15+1,25,30,35,40,45,50)/100*(Inputs!$B$11-Inputs!$B$11),0)))/100)/2</f>
        <v/>
      </c>
      <c r="M377">
        <f>L377*(1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7">
        <f>L377*(1-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377*(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7">
        <f>(1-Summary!$B$11)*T377+Summary!$B$11*V377</f>
        <v/>
      </c>
      <c r="P377">
        <f>IF(B410=0,0,O377/B410)</f>
        <v/>
      </c>
      <c r="Q377" t="n">
        <v>0</v>
      </c>
      <c r="R377" t="n">
        <v>0</v>
      </c>
      <c r="S377">
        <f>IFERROR(O377/N377,0)</f>
        <v/>
      </c>
      <c r="T377">
        <f>IF(C377,(Skills!G2*N377*B404)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377*(1-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377*(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377*(1-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377*(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77">
        <f>MAX(0,(Inputs!$B$3-100)*3)+Inputs!$B$28+Inputs!$B$29</f>
        <v/>
      </c>
      <c r="V377">
        <f>IF(C377,(Skills!G2*N377*B404)*IF(Inputs!$B$38="pvp",1,(1+(Inputs!$B$21+Skills!Q2+(IF(ArtifactsInput!$M$33,CHOOSE(ArtifactsInput!$N$33+1,30,36,42,48,54,60),0))+(IF(AND(ArtifactsInput!$M$35,Inputs!$B$4&lt;&gt;"Chapter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8">
      <c r="A378">
        <f>Skills!A3</f>
        <v/>
      </c>
      <c r="B378">
        <f>Skills!B3</f>
        <v/>
      </c>
      <c r="C378">
        <f>Inputs!$B$3&gt;=35</f>
        <v/>
      </c>
      <c r="D378">
        <f>IF(Skills!C3=1,60+Inputs!$B$25+Inputs!$B$29,IF(Skills!C3=2,90+Inputs!$B$26+Inputs!$B$29,IF(Skills!C3=3,120+Inputs!$B$27+Inputs!$B$29,MAX(0,(Inputs!$B$3-100)*3)+Inputs!$B$28+Inputs!$B$29)))</f>
        <v/>
      </c>
      <c r="E378">
        <f>INDEX(FactorTable!$B$2:$Y$301, MATCH(ROUND(MIN(300,MAX(1,D378)),0), FactorTable!$A$2:$A$301,0), Skills!M3+1)</f>
        <v/>
      </c>
      <c r="F378">
        <f>IF(Skills!N3=TRUE,(Skills!L3/10)*(E378/1000),Skills!L3/10)+Skills!O3</f>
        <v/>
      </c>
      <c r="G378">
        <f>Skills!G3*IF(Skills!H3&gt;0,Skills!I3/Skills!H3,1)</f>
        <v/>
      </c>
      <c r="H378">
        <f>1-(1-Skills!J3/100)^Skills!K3</f>
        <v/>
      </c>
      <c r="I378" t="inlineStr">
        <is>
          <t>1</t>
        </is>
      </c>
      <c r="J378">
        <f>((Inputs!$B$6*(1+Inputs!$B$7/100))+(((Inputs!$B$12*(1+Inputs!$B$13/100))-(Inputs!$B$12*(1+Inputs!$B$13/100)))+0.25*(Inputs!$B$14-Inputs!$B$14))*(1+Inputs!$B$7/100))*(F378/100)</f>
        <v/>
      </c>
      <c r="K378">
        <f>J378*(1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378)</f>
        <v/>
      </c>
      <c r="L378">
        <f>K378*(MIN((Inputs!$B$22+1)+((C395=TRUE)*(F395-Calc!F20)),(Inputs!$B$23+0+(IF(ArtifactsInput!$M$15,CHOOSE(ArtifactsInput!$N$15+1,25,30,35,40,45,50)/100*(Inputs!$B$11-Inputs!$B$11),0))))/100+(Inputs!$B$23+0+(IF(ArtifactsInput!$M$15,CHOOSE(ArtifactsInput!$N$15+1,25,30,35,40,45,50)/100*(Inputs!$B$11-Inputs!$B$11),0)))/100)/2</f>
        <v/>
      </c>
      <c r="M378">
        <f>L378*(1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8">
        <f>L378*(1-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378*(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8">
        <f>(1-Summary!$B$11)*T378+Summary!$B$11*V378</f>
        <v/>
      </c>
      <c r="P378">
        <f>IF(B410=0,0,O378/B410)</f>
        <v/>
      </c>
      <c r="Q378" t="n">
        <v>0</v>
      </c>
      <c r="R378" t="n">
        <v>0</v>
      </c>
      <c r="S378">
        <f>IFERROR(O378/N378,0)</f>
        <v/>
      </c>
      <c r="T378">
        <f>IF(C378,(Skills!G3*H378*N378*B404)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378*(1-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378*(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378*(1-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378*(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78">
        <f>INDEX(FactorTable!$B$2:$Y$301, MATCH(ROUND(MIN(300,MAX(1,U377)),0), FactorTable!$A$2:$A$301,0), 22)</f>
        <v/>
      </c>
      <c r="V378">
        <f>IF(C378,(Skills!G3*H378*N378*B404)*IF(Inputs!$B$38="pvp",1,(1+(Inputs!$B$21+Skills!Q3+(IF(ArtifactsInput!$M$33,CHOOSE(ArtifactsInput!$N$33+1,30,36,42,48,54,60),0))+(IF(AND(ArtifactsInput!$M$35,Inputs!$B$4&lt;&gt;"Chapter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9">
      <c r="A379">
        <f>Skills!A4</f>
        <v/>
      </c>
      <c r="B379">
        <f>Skills!B4</f>
        <v/>
      </c>
      <c r="C379">
        <f>Inputs!$B$3&gt;=60</f>
        <v/>
      </c>
      <c r="D379">
        <f>IF(Skills!C4=1,60+Inputs!$B$25+Inputs!$B$29,IF(Skills!C4=2,90+Inputs!$B$26+Inputs!$B$29,IF(Skills!C4=3,120+Inputs!$B$27+Inputs!$B$29,MAX(0,(Inputs!$B$3-100)*3)+Inputs!$B$28+Inputs!$B$29)))</f>
        <v/>
      </c>
      <c r="E379">
        <f>INDEX(FactorTable!$B$2:$Y$301, MATCH(ROUND(MIN(300,MAX(1,D379)),0), FactorTable!$A$2:$A$301,0), Skills!M4+1)</f>
        <v/>
      </c>
      <c r="F379">
        <f>IF(Skills!N4=TRUE,(Skills!L4/10)*(E379/1000),Skills!L4/10)+Skills!O4</f>
        <v/>
      </c>
      <c r="G379">
        <f>Skills!G4*IF(Skills!H4&gt;0,Skills!I4/Skills!H4,1)</f>
        <v/>
      </c>
      <c r="H379">
        <f>1-(1-Skills!J4/100)^Skills!K4</f>
        <v/>
      </c>
      <c r="I379" t="inlineStr">
        <is>
          <t>1</t>
        </is>
      </c>
      <c r="J379">
        <f>((Inputs!$B$6*(1+Inputs!$B$7/100))+(((Inputs!$B$12*(1+Inputs!$B$13/100))-(Inputs!$B$12*(1+Inputs!$B$13/100)))+0.25*(Inputs!$B$14-Inputs!$B$14))*(1+Inputs!$B$7/100))*(F379/100)</f>
        <v/>
      </c>
      <c r="K379">
        <f>J379*(1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387=TRUE,F387,0)/100)*(1+(IF(Skills!A4="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379)</f>
        <v/>
      </c>
      <c r="L379">
        <f>K379*(MIN((Inputs!$B$22+1)+((C395=TRUE)*(F395-Calc!F20)),(Inputs!$B$23+0+(IF(ArtifactsInput!$M$15,CHOOSE(ArtifactsInput!$N$15+1,25,30,35,40,45,50)/100*(Inputs!$B$11-Inputs!$B$11),0))))/100+(Inputs!$B$23+0+(IF(ArtifactsInput!$M$15,CHOOSE(ArtifactsInput!$N$15+1,25,30,35,40,45,50)/100*(Inputs!$B$11-Inputs!$B$11),0)))/100)/2</f>
        <v/>
      </c>
      <c r="M379">
        <f>L379*(1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9">
        <f>L379*(1-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379*(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9">
        <f>(1-Summary!$B$11)*T379+Summary!$B$11*V379</f>
        <v/>
      </c>
      <c r="P379">
        <f>IF(B410=0,0,O379/B410)</f>
        <v/>
      </c>
      <c r="Q379" t="n">
        <v>0</v>
      </c>
      <c r="R379" t="n">
        <v>0</v>
      </c>
      <c r="S379">
        <f>IFERROR(O379/N379,0)</f>
        <v/>
      </c>
      <c r="T379">
        <f>IF(C379,(Skills!G4*H379*N379*B404)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379*(1-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379*(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379*(1-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379*(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79">
        <f>290*U378/1000</f>
        <v/>
      </c>
      <c r="V379">
        <f>IF(C379,(Skills!G4*H379*N379*B404)*IF(Inputs!$B$38="pvp",1,(1+(Inputs!$B$21+Skills!Q4+(IF(ArtifactsInput!$M$33,CHOOSE(ArtifactsInput!$N$33+1,30,36,42,48,54,60),0))+(IF(AND(ArtifactsInput!$M$35,Inputs!$B$4&lt;&gt;"Chapter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0">
      <c r="A380">
        <f>Skills!A5</f>
        <v/>
      </c>
      <c r="B380">
        <f>Skills!B5</f>
        <v/>
      </c>
      <c r="C380">
        <f>Inputs!$B$3&gt;=60</f>
        <v/>
      </c>
      <c r="D380">
        <f>IF(Skills!C5=1,60+Inputs!$B$25+Inputs!$B$29,IF(Skills!C5=2,90+Inputs!$B$26+Inputs!$B$29,IF(Skills!C5=3,120+Inputs!$B$27+Inputs!$B$29,MAX(0,(Inputs!$B$3-100)*3)+Inputs!$B$28+Inputs!$B$29)))</f>
        <v/>
      </c>
      <c r="E380">
        <f>INDEX(FactorTable!$B$2:$Y$301, MATCH(ROUND(MIN(300,MAX(1,D380)),0), FactorTable!$A$2:$A$301,0), Skills!M5+1)</f>
        <v/>
      </c>
      <c r="F380">
        <f>IF(Skills!N5=TRUE,(Skills!L5/10)*(E380/1000),Skills!L5/10)+Skills!O5</f>
        <v/>
      </c>
      <c r="G380">
        <f>Skills!G5*IF(Skills!H5&gt;0,Skills!I5/Skills!H5,1)</f>
        <v/>
      </c>
      <c r="H380">
        <f>1-(1-Skills!J5/100)^Skills!K5</f>
        <v/>
      </c>
      <c r="I380" t="inlineStr">
        <is>
          <t>1</t>
        </is>
      </c>
      <c r="J380" t="inlineStr"/>
      <c r="K380" t="inlineStr"/>
      <c r="L380" t="inlineStr"/>
      <c r="M380" t="inlineStr"/>
      <c r="N380" t="inlineStr"/>
      <c r="O380">
        <f>(1-Summary!$B$11)*T380+Summary!$B$11*V380</f>
        <v/>
      </c>
      <c r="P380">
        <f>IF(B410=0,0,O380/B410)</f>
        <v/>
      </c>
      <c r="Q380" t="n">
        <v>0</v>
      </c>
      <c r="R380" t="n">
        <v>0</v>
      </c>
      <c r="S380">
        <f>IFERROR(O380/N380,0)</f>
        <v/>
      </c>
      <c r="T380" t="n">
        <v>0</v>
      </c>
      <c r="V380" t="n">
        <v>0</v>
      </c>
    </row>
    <row r="381">
      <c r="A381">
        <f>Skills!A6</f>
        <v/>
      </c>
      <c r="B381">
        <f>Skills!B6</f>
        <v/>
      </c>
      <c r="C381">
        <f>Inputs!$B$3&gt;=63</f>
        <v/>
      </c>
      <c r="D381">
        <f>IF(Skills!C6=1,60+Inputs!$B$25+Inputs!$B$29,IF(Skills!C6=2,90+Inputs!$B$26+Inputs!$B$29,IF(Skills!C6=3,120+Inputs!$B$27+Inputs!$B$29,MAX(0,(Inputs!$B$3-100)*3)+Inputs!$B$28+Inputs!$B$29)))</f>
        <v/>
      </c>
      <c r="E381">
        <f>INDEX(FactorTable!$B$2:$Y$301, MATCH(ROUND(MIN(300,MAX(1,D381)),0), FactorTable!$A$2:$A$301,0), Skills!M6+1)</f>
        <v/>
      </c>
      <c r="F381">
        <f>IF(Skills!N6=TRUE,(Skills!L6/10)*(E381/1000),Skills!L6/10)+Skills!O6</f>
        <v/>
      </c>
      <c r="G381">
        <f>Skills!G6*IF(Skills!H6&gt;0,Skills!I6/Skills!H6,1)</f>
        <v/>
      </c>
      <c r="H381">
        <f>1-(1-Skills!J6/100)^Skills!K6</f>
        <v/>
      </c>
      <c r="I381" t="inlineStr">
        <is>
          <t>1</t>
        </is>
      </c>
      <c r="J381">
        <f>((Inputs!$B$6*(1+Inputs!$B$7/100))+(((Inputs!$B$12*(1+Inputs!$B$13/100))-(Inputs!$B$12*(1+Inputs!$B$13/100)))+0.25*(Inputs!$B$14-Inputs!$B$14))*(1+Inputs!$B$7/100))*(F381/100)</f>
        <v/>
      </c>
      <c r="K381">
        <f>J381*(1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
      </c>
      <c r="L381">
        <f>K381*(MIN((Inputs!$B$22+1)+((C395=TRUE)*(F395-Calc!F20)),(Inputs!$B$23+0+(IF(ArtifactsInput!$M$15,CHOOSE(ArtifactsInput!$N$15+1,25,30,35,40,45,50)/100*(Inputs!$B$11-Inputs!$B$11),0))))/100+(Inputs!$B$23+0+(IF(ArtifactsInput!$M$15,CHOOSE(ArtifactsInput!$N$15+1,25,30,35,40,45,50)/100*(Inputs!$B$11-Inputs!$B$11),0)))/100)/2</f>
        <v/>
      </c>
      <c r="M381">
        <f>L381*(1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1">
        <f>L381*(1-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1">
        <f>(1-Summary!$B$11)*T381+Summary!$B$11*V381</f>
        <v/>
      </c>
      <c r="P381">
        <f>IF(B410=0,0,O381/B410)</f>
        <v/>
      </c>
      <c r="Q381">
        <f>IFERROR(1/(IF(Inputs!$B$38="pvp",15,MAX(0.1,Skills!D6-IF(Skills!E6=TRUE,Inputs!$B$32,0)))*(1-IF(AND(ArtifactsInput!$M$27,Inputs!$B$4="Chapter Hunt"),CHOOSE(ArtifactsInput!$N$27+1,20,24,28,32,36,40),0)/100)),0)</f>
        <v/>
      </c>
      <c r="R381">
        <f>IF(AND(Inputs!$B$38&lt;&gt;"pvp",Inputs!$B$43&gt;0),IF(MAX(0,Inputs!$B$43-B407)&lt;=0,0,(INT(MAX(0,Inputs!$B$43-B407)/(IF(Inputs!$B$38="pvp",15,MAX(0.1,Skills!D6-IF(Skills!E6=TRUE,Inputs!$B$32,0)))*(1-IF(AND(ArtifactsInput!$M$27,Inputs!$B$4="Chapter Hunt"),CHOOSE(ArtifactsInput!$N$27+1,20,24,28,32,36,40),0)/100)))+1)),0)</f>
        <v/>
      </c>
      <c r="S381">
        <f>IFERROR(O381/N381,0)</f>
        <v/>
      </c>
      <c r="T381">
        <f>IF(C381,(H381*N381*IF(AND(Inputs!$B$38&lt;&gt;"pvp",Inputs!$B$43&gt;0),((Skills!G6*((R381-1)*IF(Skills!H6&gt;0,Skills!I6/Skills!H6,1)+IF(Skills!H6&gt;0,MIN(Skills!I6,MAX(0,MAX(0,Inputs!$B$43-B407)-((R381-1)*(IF(Inputs!$B$38="pvp",15,MAX(0.1,Skills!D6-IF(Skills!E6=TRUE,Inputs!$B$32,0)))*(1-IF(AND(ArtifactsInput!$M$27,Inputs!$B$4="Chapter Hunt"),CHOOSE(ArtifactsInput!$N$27+1,20,24,28,32,36,40),0)/100)))))/Skills!H6,1)))/Inputs!$B$43),G381*Q381)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381*(1-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1">
        <f>IF(C381,(H381*N381*IF(AND(Inputs!$B$38&lt;&gt;"pvp",Inputs!$B$43&gt;0),((Skills!G6*((R381-1)*IF(Skills!H6&gt;0,Skills!I6/Skills!H6,1)+IF(Skills!H6&gt;0,MIN(Skills!I6,MAX(0,MAX(0,Inputs!$B$43-B407)-((R381-1)*(IF(Inputs!$B$38="pvp",15,MAX(0.1,Skills!D6-IF(Skills!E6=TRUE,Inputs!$B$32,0)))*(1-IF(AND(ArtifactsInput!$M$27,Inputs!$B$4="Chapter Hunt"),CHOOSE(ArtifactsInput!$N$27+1,20,24,28,32,36,40),0)/100)))))/Skills!H6,1)))/Inputs!$B$43),G381*Q381))*IF(Inputs!$B$38="pvp",1,(1+(Inputs!$B$21+Skills!Q6+(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2">
      <c r="A382">
        <f>Skills!A7</f>
        <v/>
      </c>
      <c r="B382">
        <f>Skills!B7</f>
        <v/>
      </c>
      <c r="C382">
        <f>Inputs!$B$3&gt;=100</f>
        <v/>
      </c>
      <c r="D382">
        <f>IF(Skills!C7=1,60+Inputs!$B$25+Inputs!$B$29,IF(Skills!C7=2,90+Inputs!$B$26+Inputs!$B$29,IF(Skills!C7=3,120+Inputs!$B$27+Inputs!$B$29,MAX(0,(Inputs!$B$3-100)*3)+Inputs!$B$28+Inputs!$B$29)))</f>
        <v/>
      </c>
      <c r="E382">
        <f>INDEX(FactorTable!$B$2:$Y$301, MATCH(ROUND(MIN(300,MAX(1,D382)),0), FactorTable!$A$2:$A$301,0), Skills!M7+1)</f>
        <v/>
      </c>
      <c r="F382">
        <f>IF(Skills!N7=TRUE,(Skills!L7/10)*(E382/1000),Skills!L7/10)+Skills!O7</f>
        <v/>
      </c>
      <c r="G382">
        <f>Skills!G7*IF(Skills!H7&gt;0,Skills!I7/Skills!H7,1)</f>
        <v/>
      </c>
      <c r="H382">
        <f>1-(1-Skills!J7/100)^Skills!K7</f>
        <v/>
      </c>
      <c r="I382" t="inlineStr">
        <is>
          <t>1</t>
        </is>
      </c>
      <c r="J382">
        <f>((Inputs!$B$6*(1+Inputs!$B$7/100))+(((Inputs!$B$12*(1+Inputs!$B$13/100))-(Inputs!$B$12*(1+Inputs!$B$13/100)))+0.25*(Inputs!$B$14-Inputs!$B$14))*(1+Inputs!$B$7/100))*(F382/100)</f>
        <v/>
      </c>
      <c r="K382">
        <f>J382*(1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
      </c>
      <c r="L382">
        <f>K382*(MIN((Inputs!$B$22+1)+((C395=TRUE)*(F395-Calc!F20)),(Inputs!$B$23+0+(IF(ArtifactsInput!$M$15,CHOOSE(ArtifactsInput!$N$15+1,25,30,35,40,45,50)/100*(Inputs!$B$11-Inputs!$B$11),0))))/100+(Inputs!$B$23+0+(IF(ArtifactsInput!$M$15,CHOOSE(ArtifactsInput!$N$15+1,25,30,35,40,45,50)/100*(Inputs!$B$11-Inputs!$B$11),0)))/100)/2</f>
        <v/>
      </c>
      <c r="M382">
        <f>L382*(1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2">
        <f>L382*(1-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2">
        <f>(1-Summary!$B$11)*T382+Summary!$B$11*V382</f>
        <v/>
      </c>
      <c r="P382">
        <f>IF(B410=0,0,O382/B410)</f>
        <v/>
      </c>
      <c r="Q382">
        <f>IFERROR(1/(IF(Inputs!$B$38="pvp",15,MAX(0.1,Skills!D7-IF(Skills!E7=TRUE,Inputs!$B$32,0)))*(1-IF(AND(ArtifactsInput!$M$27,Inputs!$B$4="Chapter Hunt"),CHOOSE(ArtifactsInput!$N$27+1,20,24,28,32,36,40),0)/100)),0)</f>
        <v/>
      </c>
      <c r="R382">
        <f>IF(AND(Inputs!$B$38&lt;&gt;"pvp",Inputs!$B$43&gt;0),IF(MAX(0,Inputs!$B$43-B407)&lt;=0,0,(INT(MAX(0,Inputs!$B$43-B407)/(IF(Inputs!$B$38="pvp",15,MAX(0.1,Skills!D7-IF(Skills!E7=TRUE,Inputs!$B$32,0)))*(1-IF(AND(ArtifactsInput!$M$27,Inputs!$B$4="Chapter Hunt"),CHOOSE(ArtifactsInput!$N$27+1,20,24,28,32,36,40),0)/100)))+1)),0)</f>
        <v/>
      </c>
      <c r="S382">
        <f>IFERROR(O382/N382,0)</f>
        <v/>
      </c>
      <c r="T382">
        <f>IF(C382,(H382*N382*IF(AND(Inputs!$B$38&lt;&gt;"pvp",Inputs!$B$43&gt;0),((Skills!G7*((R382-1)*IF(Skills!H7&gt;0,Skills!I7/Skills!H7,1)+IF(Skills!H7&gt;0,MIN(Skills!I7,MAX(0,MAX(0,Inputs!$B$43-B407)-((R382-1)*(IF(Inputs!$B$38="pvp",15,MAX(0.1,Skills!D7-IF(Skills!E7=TRUE,Inputs!$B$32,0)))*(1-IF(AND(ArtifactsInput!$M$27,Inputs!$B$4="Chapter Hunt"),CHOOSE(ArtifactsInput!$N$27+1,20,24,28,32,36,40),0)/100)))))/Skills!H7,1)))/Inputs!$B$43),G382*Q382)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382*(1-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2">
        <f>IF(C382,(H382*N382*IF(AND(Inputs!$B$38&lt;&gt;"pvp",Inputs!$B$43&gt;0),((Skills!G7*((R382-1)*IF(Skills!H7&gt;0,Skills!I7/Skills!H7,1)+IF(Skills!H7&gt;0,MIN(Skills!I7,MAX(0,MAX(0,Inputs!$B$43-B407)-((R382-1)*(IF(Inputs!$B$38="pvp",15,MAX(0.1,Skills!D7-IF(Skills!E7=TRUE,Inputs!$B$32,0)))*(1-IF(AND(ArtifactsInput!$M$27,Inputs!$B$4="Chapter Hunt"),CHOOSE(ArtifactsInput!$N$27+1,20,24,28,32,36,40),0)/100)))))/Skills!H7,1)))/Inputs!$B$43),G382*Q382))*IF(Inputs!$B$38="pvp",1,(1+(Inputs!$B$21+Skills!Q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3">
      <c r="A383">
        <f>Skills!A8</f>
        <v/>
      </c>
      <c r="B383">
        <f>Skills!B8</f>
        <v/>
      </c>
      <c r="C383">
        <f>Inputs!$B$3&gt;=110</f>
        <v/>
      </c>
      <c r="D383">
        <f>IF(Skills!C8=1,60+Inputs!$B$25+Inputs!$B$29,IF(Skills!C8=2,90+Inputs!$B$26+Inputs!$B$29,IF(Skills!C8=3,120+Inputs!$B$27+Inputs!$B$29,MAX(0,(Inputs!$B$3-100)*3)+Inputs!$B$28+Inputs!$B$29)))</f>
        <v/>
      </c>
      <c r="E383">
        <f>INDEX(FactorTable!$B$2:$Y$301, MATCH(ROUND(MIN(300,MAX(1,D383)),0), FactorTable!$A$2:$A$301,0), Skills!M8+1)</f>
        <v/>
      </c>
      <c r="F383">
        <f>IF(Skills!N8=TRUE,(Skills!L8/10)*(E383/1000),Skills!L8/10)+Skills!O8</f>
        <v/>
      </c>
      <c r="G383">
        <f>Skills!G8*IF(Skills!H8&gt;0,Skills!I8/Skills!H8,1)</f>
        <v/>
      </c>
      <c r="H383">
        <f>1-(1-Skills!J8/100)^Skills!K8</f>
        <v/>
      </c>
      <c r="I383" t="inlineStr">
        <is>
          <t>1</t>
        </is>
      </c>
      <c r="J383">
        <f>((Inputs!$B$6*(1+Inputs!$B$7/100))+(((Inputs!$B$12*(1+Inputs!$B$13/100))-(Inputs!$B$12*(1+Inputs!$B$13/100)))+0.25*(Inputs!$B$14-Inputs!$B$14))*(1+Inputs!$B$7/100))*(F383/100)</f>
        <v/>
      </c>
      <c r="K383">
        <f>J383*(1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
      </c>
      <c r="L383">
        <f>K383*(MIN((Inputs!$B$22+1)+((C395=TRUE)*(F395-Calc!F20)),(Inputs!$B$23+0+(IF(ArtifactsInput!$M$15,CHOOSE(ArtifactsInput!$N$15+1,25,30,35,40,45,50)/100*(Inputs!$B$11-Inputs!$B$11),0))))/100+(Inputs!$B$23+0+(IF(ArtifactsInput!$M$15,CHOOSE(ArtifactsInput!$N$15+1,25,30,35,40,45,50)/100*(Inputs!$B$11-Inputs!$B$11),0)))/100)/2</f>
        <v/>
      </c>
      <c r="M383">
        <f>L383*(1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3">
        <f>L383*(1-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3">
        <f>(1-Summary!$B$11)*T383+Summary!$B$11*V383</f>
        <v/>
      </c>
      <c r="P383">
        <f>IF(B410=0,0,O383/B410)</f>
        <v/>
      </c>
      <c r="Q383">
        <f>IFERROR(1/(IF(Inputs!$B$38="pvp",15,MAX(0.1,Skills!D8-IF(Skills!E8=TRUE,Inputs!$B$32,0)))*(1-IF(AND(ArtifactsInput!$M$27,Inputs!$B$4="Chapter Hunt"),CHOOSE(ArtifactsInput!$N$27+1,20,24,28,32,36,40),0)/100)),0)</f>
        <v/>
      </c>
      <c r="R383">
        <f>IF(AND(Inputs!$B$38&lt;&gt;"pvp",Inputs!$B$43&gt;0),IF(MAX(0,Inputs!$B$43-B407)&lt;=0,0,(INT(MAX(0,Inputs!$B$43-B407)/(IF(Inputs!$B$38="pvp",15,MAX(0.1,Skills!D8-IF(Skills!E8=TRUE,Inputs!$B$32,0)))*(1-IF(AND(ArtifactsInput!$M$27,Inputs!$B$4="Chapter Hunt"),CHOOSE(ArtifactsInput!$N$27+1,20,24,28,32,36,40),0)/100)))+1)),0)</f>
        <v/>
      </c>
      <c r="S383">
        <f>IFERROR(O383/N383,0)</f>
        <v/>
      </c>
      <c r="T383">
        <f>IF(C383,(H383*N383*IF(AND(Inputs!$B$38&lt;&gt;"pvp",Inputs!$B$43&gt;0),((Skills!G8*((R383-1)*IF(Skills!H8&gt;0,Skills!I8/Skills!H8,1)+IF(Skills!H8&gt;0,MIN(Skills!I8,MAX(0,MAX(0,Inputs!$B$43-B407)-((R383-1)*(IF(Inputs!$B$38="pvp",15,MAX(0.1,Skills!D8-IF(Skills!E8=TRUE,Inputs!$B$32,0)))*(1-IF(AND(ArtifactsInput!$M$27,Inputs!$B$4="Chapter Hunt"),CHOOSE(ArtifactsInput!$N$27+1,20,24,28,32,36,40),0)/100)))))/Skills!H8,1)))/Inputs!$B$43),G383*Q383)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383*(1-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3">
        <f>IF(C383,(H383*N383*IF(AND(Inputs!$B$38&lt;&gt;"pvp",Inputs!$B$43&gt;0),((Skills!G8*((R383-1)*IF(Skills!H8&gt;0,Skills!I8/Skills!H8,1)+IF(Skills!H8&gt;0,MIN(Skills!I8,MAX(0,MAX(0,Inputs!$B$43-B407)-((R383-1)*(IF(Inputs!$B$38="pvp",15,MAX(0.1,Skills!D8-IF(Skills!E8=TRUE,Inputs!$B$32,0)))*(1-IF(AND(ArtifactsInput!$M$27,Inputs!$B$4="Chapter Hunt"),CHOOSE(ArtifactsInput!$N$27+1,20,24,28,32,36,40),0)/100)))))/Skills!H8,1)))/Inputs!$B$43),G383*Q383))*IF(Inputs!$B$38="pvp",1,(1+(Inputs!$B$21+Skills!Q8+(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4">
      <c r="A384">
        <f>Skills!A9</f>
        <v/>
      </c>
      <c r="B384">
        <f>Skills!B9</f>
        <v/>
      </c>
      <c r="C384">
        <f>Inputs!$B$3&gt;=110</f>
        <v/>
      </c>
      <c r="D384">
        <f>IF(Skills!C9=1,60+Inputs!$B$25+Inputs!$B$29,IF(Skills!C9=2,90+Inputs!$B$26+Inputs!$B$29,IF(Skills!C9=3,120+Inputs!$B$27+Inputs!$B$29,MAX(0,(Inputs!$B$3-100)*3)+Inputs!$B$28+Inputs!$B$29)))</f>
        <v/>
      </c>
      <c r="E384">
        <f>INDEX(FactorTable!$B$2:$Y$301, MATCH(ROUND(MIN(300,MAX(1,D384)),0), FactorTable!$A$2:$A$301,0), Skills!M9+1)</f>
        <v/>
      </c>
      <c r="F384">
        <f>IF(Skills!N9=TRUE,(Skills!L9/10)*(E384/1000),Skills!L9/10)+Skills!O9</f>
        <v/>
      </c>
      <c r="G384">
        <f>Skills!G9*IF(Skills!H9&gt;0,Skills!I9/Skills!H9,1)</f>
        <v/>
      </c>
      <c r="H384">
        <f>1-(1-Skills!J9/100)^Skills!K9</f>
        <v/>
      </c>
      <c r="I384" t="inlineStr">
        <is>
          <t>1</t>
        </is>
      </c>
      <c r="J384">
        <f>((Inputs!$B$6*(1+Inputs!$B$7/100))+(((Inputs!$B$12*(1+Inputs!$B$13/100))-(Inputs!$B$12*(1+Inputs!$B$13/100)))+0.25*(Inputs!$B$14-Inputs!$B$14))*(1+Inputs!$B$7/100))*(F384/100)</f>
        <v/>
      </c>
      <c r="K384">
        <f>J384*(1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384)</f>
        <v/>
      </c>
      <c r="L384">
        <f>K384*(MIN((Inputs!$B$22+1)+((C395=TRUE)*(F395-Calc!F20)),(Inputs!$B$23+0+(IF(ArtifactsInput!$M$15,CHOOSE(ArtifactsInput!$N$15+1,25,30,35,40,45,50)/100*(Inputs!$B$11-Inputs!$B$11),0))))/100+(Inputs!$B$23+0+(IF(ArtifactsInput!$M$15,CHOOSE(ArtifactsInput!$N$15+1,25,30,35,40,45,50)/100*(Inputs!$B$11-Inputs!$B$11),0)))/100)/2</f>
        <v/>
      </c>
      <c r="M384">
        <f>L384*(1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4">
        <f>L384*(1-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384*(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4">
        <f>(1-Summary!$B$11)*T384+Summary!$B$11*V384</f>
        <v/>
      </c>
      <c r="P384">
        <f>IF(B410=0,0,O384/B410)</f>
        <v/>
      </c>
      <c r="Q384">
        <f>IFERROR(1/(IF(Inputs!$B$38="pvp",15,MAX(0.1,Skills!D9-IF(Skills!E9=TRUE,Inputs!$B$32,0)))*(1-IF(AND(ArtifactsInput!$M$27,Inputs!$B$4="Chapter Hunt"),CHOOSE(ArtifactsInput!$N$27+1,20,24,28,32,36,40),0)/100)),0)</f>
        <v/>
      </c>
      <c r="R384">
        <f>IF(AND(Inputs!$B$38&lt;&gt;"pvp",Inputs!$B$43&gt;0),IF(MAX(0,Inputs!$B$43-B407)&lt;=0,0,(INT(MAX(0,Inputs!$B$43-B407)/(IF(Inputs!$B$38="pvp",15,MAX(0.1,Skills!D9-IF(Skills!E9=TRUE,Inputs!$B$32,0)))*(1-IF(AND(ArtifactsInput!$M$27,Inputs!$B$4="Chapter Hunt"),CHOOSE(ArtifactsInput!$N$27+1,20,24,28,32,36,40),0)/100)))+1)),0)</f>
        <v/>
      </c>
      <c r="S384">
        <f>IFERROR(O384/N384,0)</f>
        <v/>
      </c>
      <c r="T384">
        <f>IF(C384,(H384*N384*IF(AND(Inputs!$B$38&lt;&gt;"pvp",Inputs!$B$43&gt;0),((Skills!G9*((R384-1)*IF(Skills!H9&gt;0,Skills!I9/Skills!H9,1)+IF(Skills!H9&gt;0,MIN(Skills!I9,MAX(0,MAX(0,Inputs!$B$43-B407)-((R384-1)*(IF(Inputs!$B$38="pvp",15,MAX(0.1,Skills!D9-IF(Skills!E9=TRUE,Inputs!$B$32,0)))*(1-IF(AND(ArtifactsInput!$M$27,Inputs!$B$4="Chapter Hunt"),CHOOSE(ArtifactsInput!$N$27+1,20,24,28,32,36,40),0)/100)))))/Skills!H9,1)))/Inputs!$B$43),G384*Q384)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384*(1-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384*(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384*(1-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384*(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4">
        <f>IF(C384,(H384*N384*IF(AND(Inputs!$B$38&lt;&gt;"pvp",Inputs!$B$43&gt;0),((Skills!G9*((R384-1)*IF(Skills!H9&gt;0,Skills!I9/Skills!H9,1)+IF(Skills!H9&gt;0,MIN(Skills!I9,MAX(0,MAX(0,Inputs!$B$43-B407)-((R384-1)*(IF(Inputs!$B$38="pvp",15,MAX(0.1,Skills!D9-IF(Skills!E9=TRUE,Inputs!$B$32,0)))*(1-IF(AND(ArtifactsInput!$M$27,Inputs!$B$4="Chapter Hunt"),CHOOSE(ArtifactsInput!$N$27+1,20,24,28,32,36,40),0)/100)))))/Skills!H9,1)))/Inputs!$B$43),G384*Q384))*IF(Inputs!$B$38="pvp",1,(1+(Inputs!$B$21+Skills!Q9+(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5">
      <c r="A385">
        <f>Skills!A10</f>
        <v/>
      </c>
      <c r="B385">
        <f>Skills!B10</f>
        <v/>
      </c>
      <c r="C385">
        <f>Inputs!$B$3&gt;=103</f>
        <v/>
      </c>
      <c r="D385">
        <f>IF(Skills!C10=1,60+Inputs!$B$25+Inputs!$B$29,IF(Skills!C10=2,90+Inputs!$B$26+Inputs!$B$29,IF(Skills!C10=3,120+Inputs!$B$27+Inputs!$B$29,MAX(0,(Inputs!$B$3-100)*3)+Inputs!$B$28+Inputs!$B$29)))</f>
        <v/>
      </c>
      <c r="E385">
        <f>INDEX(FactorTable!$B$2:$Y$301, MATCH(ROUND(MIN(300,MAX(1,D385)),0), FactorTable!$A$2:$A$301,0), Skills!M10+1)</f>
        <v/>
      </c>
      <c r="F385">
        <f>IF(Skills!N10=TRUE,(Skills!L10/10)*(E385/1000),Skills!L10/10)+Skills!O10</f>
        <v/>
      </c>
      <c r="G385">
        <f>Skills!G10*IF(Skills!H10&gt;0,Skills!I10/Skills!H10,1)</f>
        <v/>
      </c>
      <c r="H385">
        <f>1-(1-Skills!J10/100)^Skills!K10</f>
        <v/>
      </c>
      <c r="I385" t="inlineStr">
        <is>
          <t>1</t>
        </is>
      </c>
      <c r="J385">
        <f>((Inputs!$B$6*(1+Inputs!$B$7/100))+(((Inputs!$B$12*(1+Inputs!$B$13/100))-(Inputs!$B$12*(1+Inputs!$B$13/100)))+0.25*(Inputs!$B$14-Inputs!$B$14))*(1+Inputs!$B$7/100))*(F385/100)</f>
        <v/>
      </c>
      <c r="K385">
        <f>J385*(1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+1)+((C395=TRUE)*(F395-Calc!F20)),(Inputs!$B$23+0+(IF(ArtifactsInput!$M$15,CHOOSE(ArtifactsInput!$N$15+1,25,30,35,40,45,50)/100*(Inputs!$B$11-Inputs!$B$11),0))))/100+(Inputs!$B$23+0+(IF(ArtifactsInput!$M$15,CHOOSE(ArtifactsInput!$N$15+1,25,30,35,40,45,50)/100*(Inputs!$B$11-Inputs!$B$11),0)))/100)/2</f>
        <v/>
      </c>
      <c r="M385">
        <f>L385*(1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(1-Summary!$B$11)*T385+Summary!$B$11*V385</f>
        <v/>
      </c>
      <c r="P385">
        <f>IF(B410=0,0,O385/B410)</f>
        <v/>
      </c>
      <c r="Q385">
        <f>IFERROR(1/(IF(Inputs!$B$38="pvp",15,MAX(0.1,Skills!D10-IF(Skills!E10=TRUE,Inputs!$B$32,0)))*(1-IF(AND(ArtifactsInput!$M$27,Inputs!$B$4="Chapter Hunt"),CHOOSE(ArtifactsInput!$N$27+1,20,24,28,32,36,40),0)/100)),0)</f>
        <v/>
      </c>
      <c r="R385">
        <f>IF(AND(Inputs!$B$38&lt;&gt;"pvp",Inputs!$B$43&gt;0),IF(MAX(0,Inputs!$B$43-B407)&lt;=0,0,(INT(MAX(0,Inputs!$B$43-B407)/(IF(Inputs!$B$38="pvp",15,MAX(0.1,Skills!D10-IF(Skills!E10=TRUE,Inputs!$B$32,0)))*(1-IF(AND(ArtifactsInput!$M$27,Inputs!$B$4="Chapter Hunt"),CHOOSE(ArtifactsInput!$N$27+1,20,24,28,32,36,40),0)/100)))+1)),0)</f>
        <v/>
      </c>
      <c r="S385">
        <f>IFERROR(O385/N385,0)</f>
        <v/>
      </c>
      <c r="T385">
        <f>IF(C385,(H385*N385*IF(AND(Inputs!$B$38&lt;&gt;"pvp",Inputs!$B$43&gt;0),((Skills!G10*((R385-1)*IF(Skills!H10&gt;0,Skills!I10/Skills!H10,1)+IF(Skills!H10&gt;0,MIN(Skills!I10,MAX(0,MAX(0,Inputs!$B$43-B407)-((R385-1)*(IF(Inputs!$B$38="pvp",15,MAX(0.1,Skills!D10-IF(Skills!E10=TRUE,Inputs!$B$32,0)))*(1-IF(AND(ArtifactsInput!$M$27,Inputs!$B$4="Chapter Hunt"),CHOOSE(ArtifactsInput!$N$27+1,20,24,28,32,36,40),0)/100)))))/Skills!H10,1)))/Inputs!$B$43),G385*Q385)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385*(1-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5">
        <f>IF(C385,(H385*N385*IF(AND(Inputs!$B$38&lt;&gt;"pvp",Inputs!$B$43&gt;0),((Skills!G10*((R385-1)*IF(Skills!H10&gt;0,Skills!I10/Skills!H10,1)+IF(Skills!H10&gt;0,MIN(Skills!I10,MAX(0,MAX(0,Inputs!$B$43-B407)-((R385-1)*(IF(Inputs!$B$38="pvp",15,MAX(0.1,Skills!D10-IF(Skills!E10=TRUE,Inputs!$B$32,0)))*(1-IF(AND(ArtifactsInput!$M$27,Inputs!$B$4="Chapter Hunt"),CHOOSE(ArtifactsInput!$N$27+1,20,24,28,32,36,40),0)/100)))))/Skills!H10,1)))/Inputs!$B$43),G385*Q385))*IF(Inputs!$B$38="pvp",1,(1+(Inputs!$B$21+Skills!Q10+(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Skills!A11</f>
        <v/>
      </c>
      <c r="B386">
        <f>Skills!B11</f>
        <v/>
      </c>
      <c r="C386">
        <f>Inputs!$B$3&gt;=113</f>
        <v/>
      </c>
      <c r="D386">
        <f>IF(Skills!C11=1,60+Inputs!$B$25+Inputs!$B$29,IF(Skills!C11=2,90+Inputs!$B$26+Inputs!$B$29,IF(Skills!C11=3,120+Inputs!$B$27+Inputs!$B$29,MAX(0,(Inputs!$B$3-100)*3)+Inputs!$B$28+Inputs!$B$29)))</f>
        <v/>
      </c>
      <c r="E386">
        <f>INDEX(FactorTable!$B$2:$Y$301, MATCH(ROUND(MIN(300,MAX(1,D386)),0), FactorTable!$A$2:$A$301,0), Skills!M11+1)</f>
        <v/>
      </c>
      <c r="F386">
        <f>IF(Skills!N11=TRUE,(Skills!L11/10)*(E386/1000),Skills!L11/10)+Skills!O11</f>
        <v/>
      </c>
      <c r="G386">
        <f>Skills!G11*IF(Skills!H11&gt;0,Skills!I11/Skills!H11,1)</f>
        <v/>
      </c>
      <c r="H386">
        <f>1-(1-Skills!J11/100)^Skills!K11</f>
        <v/>
      </c>
      <c r="I386" t="inlineStr">
        <is>
          <t>1</t>
        </is>
      </c>
      <c r="J386">
        <f>((Inputs!$B$6*(1+Inputs!$B$7/100))+(((Inputs!$B$12*(1+Inputs!$B$13/100))-(Inputs!$B$12*(1+Inputs!$B$13/100)))+0.25*(Inputs!$B$14-Inputs!$B$14))*(1+Inputs!$B$7/100))*(F386/100)</f>
        <v/>
      </c>
      <c r="K386">
        <f>J386*(1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+1)+((C395=TRUE)*(F395-Calc!F20)),(Inputs!$B$23+0+(IF(ArtifactsInput!$M$15,CHOOSE(ArtifactsInput!$N$15+1,25,30,35,40,45,50)/100*(Inputs!$B$11-Inputs!$B$11),0))))/100+(Inputs!$B$23+0+(IF(ArtifactsInput!$M$15,CHOOSE(ArtifactsInput!$N$15+1,25,30,35,40,45,50)/100*(Inputs!$B$11-Inputs!$B$11),0)))/100)/2</f>
        <v/>
      </c>
      <c r="M386">
        <f>L386*(1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(1-Summary!$B$11)*T386+Summary!$B$11*V386</f>
        <v/>
      </c>
      <c r="P386">
        <f>IF(B410=0,0,O386/B410)</f>
        <v/>
      </c>
      <c r="Q386">
        <f>IFERROR(1/(IF(Inputs!$B$38="pvp",15,MAX(0.1,Skills!D11-IF(Skills!E11=TRUE,Inputs!$B$32,0)))*(1-IF(AND(ArtifactsInput!$M$27,Inputs!$B$4="Chapter Hunt"),CHOOSE(ArtifactsInput!$N$27+1,20,24,28,32,36,40),0)/100)),0)</f>
        <v/>
      </c>
      <c r="R386">
        <f>IF(AND(Inputs!$B$38&lt;&gt;"pvp",Inputs!$B$43&gt;0),IF(MAX(0,Inputs!$B$43-B407)&lt;=0,0,(INT(MAX(0,Inputs!$B$43-B407)/(IF(Inputs!$B$38="pvp",15,MAX(0.1,Skills!D11-IF(Skills!E11=TRUE,Inputs!$B$32,0)))*(1-IF(AND(ArtifactsInput!$M$27,Inputs!$B$4="Chapter Hunt"),CHOOSE(ArtifactsInput!$N$27+1,20,24,28,32,36,40),0)/100)))+1)),0)</f>
        <v/>
      </c>
      <c r="S386">
        <f>IFERROR(O386/N386,0)</f>
        <v/>
      </c>
      <c r="T386">
        <f>IF(C386,(H386*N386*IF(AND(Inputs!$B$38&lt;&gt;"pvp",Inputs!$B$43&gt;0),((Skills!G11*((R386-1)*IF(Skills!H11&gt;0,Skills!I11/Skills!H11,1)+IF(Skills!H11&gt;0,MIN(Skills!I11,MAX(0,MAX(0,Inputs!$B$43-B407)-((R386-1)*(IF(Inputs!$B$38="pvp",15,MAX(0.1,Skills!D11-IF(Skills!E11=TRUE,Inputs!$B$32,0)))*(1-IF(AND(ArtifactsInput!$M$27,Inputs!$B$4="Chapter Hunt"),CHOOSE(ArtifactsInput!$N$27+1,20,24,28,32,36,40),0)/100)))))/Skills!H11,1)))/Inputs!$B$43),G386*Q386)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386*(1-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6">
        <f>IF(C386,(H386*N386*IF(AND(Inputs!$B$38&lt;&gt;"pvp",Inputs!$B$43&gt;0),((Skills!G11*((R386-1)*IF(Skills!H11&gt;0,Skills!I11/Skills!H11,1)+IF(Skills!H11&gt;0,MIN(Skills!I11,MAX(0,MAX(0,Inputs!$B$43-B407)-((R386-1)*(IF(Inputs!$B$38="pvp",15,MAX(0.1,Skills!D11-IF(Skills!E11=TRUE,Inputs!$B$32,0)))*(1-IF(AND(ArtifactsInput!$M$27,Inputs!$B$4="Chapter Hunt"),CHOOSE(ArtifactsInput!$N$27+1,20,24,28,32,36,40),0)/100)))))/Skills!H11,1)))/Inputs!$B$43),G386*Q386))*IF(Inputs!$B$38="pvp",1,(1+(Inputs!$B$21+Skills!Q11+(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Skills!A12</f>
        <v/>
      </c>
      <c r="B387">
        <f>Skills!B12</f>
        <v/>
      </c>
      <c r="C387">
        <f>Inputs!$B$3&gt;=100</f>
        <v/>
      </c>
      <c r="D387">
        <f>IF(Skills!C12=1,60+Inputs!$B$25+Inputs!$B$29,IF(Skills!C12=2,90+Inputs!$B$26+Inputs!$B$29,IF(Skills!C12=3,120+Inputs!$B$27+Inputs!$B$29,MAX(0,(Inputs!$B$3-100)*3)+Inputs!$B$28+Inputs!$B$29)))</f>
        <v/>
      </c>
      <c r="E387">
        <f>INDEX(FactorTable!$B$2:$Y$301, MATCH(ROUND(MIN(300,MAX(1,D387)),0), FactorTable!$A$2:$A$301,0), Skills!M12+1)</f>
        <v/>
      </c>
      <c r="F387">
        <f>IF(Skills!N12=TRUE,(Skills!L12/10)*(E387/1000),Skills!L12/10)+Skills!O12</f>
        <v/>
      </c>
      <c r="G387" t="inlineStr"/>
      <c r="H387" t="inlineStr"/>
      <c r="I387" t="inlineStr">
        <is>
          <t>1</t>
        </is>
      </c>
      <c r="J387" t="inlineStr"/>
      <c r="K387" t="inlineStr"/>
      <c r="L387" t="inlineStr"/>
      <c r="M387" t="inlineStr"/>
      <c r="N387" t="inlineStr"/>
      <c r="O387" t="inlineStr"/>
      <c r="P387" t="inlineStr"/>
      <c r="Q387" t="inlineStr"/>
      <c r="R387" t="inlineStr"/>
      <c r="S387" t="inlineStr"/>
      <c r="T387" t="inlineStr"/>
      <c r="V387" t="inlineStr"/>
    </row>
    <row r="388">
      <c r="A388">
        <f>Skills!A13</f>
        <v/>
      </c>
      <c r="B388">
        <f>Skills!B13</f>
        <v/>
      </c>
      <c r="C388">
        <f>Inputs!$B$3&gt;=66</f>
        <v/>
      </c>
      <c r="D388">
        <f>IF(Skills!C13=1,60+Inputs!$B$25+Inputs!$B$29,IF(Skills!C13=2,90+Inputs!$B$26+Inputs!$B$29,IF(Skills!C13=3,120+Inputs!$B$27+Inputs!$B$29,MAX(0,(Inputs!$B$3-100)*3)+Inputs!$B$28+Inputs!$B$29)))</f>
        <v/>
      </c>
      <c r="E388">
        <f>INDEX(FactorTable!$B$2:$Y$301, MATCH(ROUND(MIN(300,MAX(1,D388)),0), FactorTable!$A$2:$A$301,0), Skills!M13+1)</f>
        <v/>
      </c>
      <c r="F388">
        <f>IF(Skills!N13=TRUE,(Skills!L13/10)*(E388/1000),Skills!L13/10)+Skills!O13</f>
        <v/>
      </c>
      <c r="G388">
        <f>Skills!G13*IF(Skills!H13&gt;0,Skills!I13/Skills!H13,1)</f>
        <v/>
      </c>
      <c r="H388">
        <f>1-(1-Skills!J13/100)^Skills!K13</f>
        <v/>
      </c>
      <c r="I388" t="inlineStr">
        <is>
          <t>1</t>
        </is>
      </c>
      <c r="J388" t="inlineStr"/>
      <c r="K388" t="inlineStr"/>
      <c r="L388" t="inlineStr"/>
      <c r="M388" t="inlineStr"/>
      <c r="N388" t="inlineStr"/>
      <c r="O388">
        <f>(1-Summary!$B$11)*T388+Summary!$B$11*V388</f>
        <v/>
      </c>
      <c r="P388">
        <f>IF(B410=0,0,O388/B410)</f>
        <v/>
      </c>
      <c r="Q388" t="n">
        <v>0</v>
      </c>
      <c r="R388" t="n">
        <v>0</v>
      </c>
      <c r="S388">
        <f>IFERROR(O388/N388,0)</f>
        <v/>
      </c>
      <c r="T388" t="n">
        <v>0</v>
      </c>
      <c r="V388" t="n">
        <v>0</v>
      </c>
    </row>
    <row r="389">
      <c r="A389">
        <f>Skills!A14</f>
        <v/>
      </c>
      <c r="B389">
        <f>Skills!B14</f>
        <v/>
      </c>
      <c r="C389">
        <f>Inputs!$B$3&gt;=107</f>
        <v/>
      </c>
      <c r="D389">
        <f>IF(Skills!C14=1,60+Inputs!$B$25+Inputs!$B$29,IF(Skills!C14=2,90+Inputs!$B$26+Inputs!$B$29,IF(Skills!C14=3,120+Inputs!$B$27+Inputs!$B$29,MAX(0,(Inputs!$B$3-100)*3)+Inputs!$B$28+Inputs!$B$29)))</f>
        <v/>
      </c>
      <c r="E389">
        <f>INDEX(FactorTable!$B$2:$Y$301, MATCH(ROUND(MIN(300,MAX(1,D389)),0), FactorTable!$A$2:$A$301,0), Skills!M14+1)</f>
        <v/>
      </c>
      <c r="F389">
        <f>IF(Skills!N14=TRUE,(Skills!L14/10)*(E389/1000),Skills!L14/10)+Skills!O14</f>
        <v/>
      </c>
      <c r="G389">
        <f>Skills!G14*IF(Skills!H14&gt;0,Skills!I14/Skills!H14,1)</f>
        <v/>
      </c>
      <c r="H389">
        <f>1-(1-Skills!J14/100)^Skills!K14</f>
        <v/>
      </c>
      <c r="I389" t="inlineStr">
        <is>
          <t>1</t>
        </is>
      </c>
      <c r="J389" t="inlineStr"/>
      <c r="K389" t="inlineStr"/>
      <c r="L389" t="inlineStr"/>
      <c r="M389" t="inlineStr"/>
      <c r="N389" t="inlineStr"/>
      <c r="O389">
        <f>(1-Summary!$B$11)*T389+Summary!$B$11*V389</f>
        <v/>
      </c>
      <c r="P389">
        <f>IF(B410=0,0,O389/B410)</f>
        <v/>
      </c>
      <c r="Q389" t="n">
        <v>0</v>
      </c>
      <c r="R389" t="n">
        <v>0</v>
      </c>
      <c r="S389">
        <f>IFERROR(O389/N389,0)</f>
        <v/>
      </c>
      <c r="T389" t="n">
        <v>0</v>
      </c>
      <c r="V389" t="n">
        <v>0</v>
      </c>
    </row>
    <row r="390">
      <c r="A390">
        <f>Skills!A15</f>
        <v/>
      </c>
      <c r="B390">
        <f>Skills!B15</f>
        <v/>
      </c>
      <c r="C390">
        <f>Inputs!$B$3&gt;=115</f>
        <v/>
      </c>
      <c r="D390">
        <f>IF(Skills!C15=1,60+Inputs!$B$25+Inputs!$B$29,IF(Skills!C15=2,90+Inputs!$B$26+Inputs!$B$29,IF(Skills!C15=3,120+Inputs!$B$27+Inputs!$B$29,MAX(0,(Inputs!$B$3-100)*3)+Inputs!$B$28+Inputs!$B$29)))</f>
        <v/>
      </c>
      <c r="E390">
        <f>INDEX(FactorTable!$B$2:$Y$301, MATCH(ROUND(MIN(300,MAX(1,D390)),0), FactorTable!$A$2:$A$301,0), Skills!M15+1)</f>
        <v/>
      </c>
      <c r="F390">
        <f>IF(Skills!N15=TRUE,(Skills!L15/10)*(E390/1000),Skills!L15/10)+Skills!O15</f>
        <v/>
      </c>
      <c r="G390">
        <f>Skills!G15*IF(Skills!H15&gt;0,Skills!I15/Skills!H15,1)</f>
        <v/>
      </c>
      <c r="H390">
        <f>1-(1-Skills!J15/100)^Skills!K15</f>
        <v/>
      </c>
      <c r="I390" t="inlineStr">
        <is>
          <t>1</t>
        </is>
      </c>
      <c r="J390" t="inlineStr"/>
      <c r="K390" t="inlineStr"/>
      <c r="L390" t="inlineStr"/>
      <c r="M390" t="inlineStr"/>
      <c r="N390" t="inlineStr"/>
      <c r="O390">
        <f>(1-Summary!$B$11)*T390+Summary!$B$11*V390</f>
        <v/>
      </c>
      <c r="P390">
        <f>IF(B410=0,0,O390/B410)</f>
        <v/>
      </c>
      <c r="Q390" t="n">
        <v>0</v>
      </c>
      <c r="R390" t="n">
        <v>0</v>
      </c>
      <c r="S390">
        <f>IFERROR(O390/N390,0)</f>
        <v/>
      </c>
      <c r="T390" t="n">
        <v>0</v>
      </c>
      <c r="V390" t="n">
        <v>0</v>
      </c>
    </row>
    <row r="391">
      <c r="A391">
        <f>Skills!A16</f>
        <v/>
      </c>
      <c r="B391">
        <f>Skills!B16</f>
        <v/>
      </c>
      <c r="C391">
        <f>Inputs!$B$3&gt;=15</f>
        <v/>
      </c>
      <c r="D391">
        <f>IF(Skills!C16=1,60+Inputs!$B$25+Inputs!$B$29,IF(Skills!C16=2,90+Inputs!$B$26+Inputs!$B$29,IF(Skills!C16=3,120+Inputs!$B$27+Inputs!$B$29,MAX(0,(Inputs!$B$3-100)*3)+Inputs!$B$28+Inputs!$B$29)))</f>
        <v/>
      </c>
      <c r="E391">
        <f>INDEX(FactorTable!$B$2:$Y$301, MATCH(ROUND(MIN(300,MAX(1,D391)),0), FactorTable!$A$2:$A$301,0), Skills!M16+1)</f>
        <v/>
      </c>
      <c r="F391">
        <f>IF(Skills!N16=TRUE,(Skills!L16/10)*(E391/1000),Skills!L16/10)+Skills!O16</f>
        <v/>
      </c>
      <c r="G391">
        <f>Skills!G16*IF(Skills!H16&gt;0,Skills!I16/Skills!H16,1)</f>
        <v/>
      </c>
      <c r="H391">
        <f>1-(1-Skills!J16/100)^Skills!K16</f>
        <v/>
      </c>
      <c r="I391" t="inlineStr">
        <is>
          <t>1</t>
        </is>
      </c>
      <c r="J391" t="inlineStr"/>
      <c r="K391" t="inlineStr"/>
      <c r="L391" t="inlineStr"/>
      <c r="M391" t="inlineStr"/>
      <c r="N391" t="inlineStr"/>
      <c r="O391">
        <f>(1-Summary!$B$11)*T391+Summary!$B$11*V391</f>
        <v/>
      </c>
      <c r="P391">
        <f>IF(B410=0,0,O391/B410)</f>
        <v/>
      </c>
      <c r="Q391" t="n">
        <v>0</v>
      </c>
      <c r="R391" t="n">
        <v>0</v>
      </c>
      <c r="S391">
        <f>IFERROR(O391/N391,0)</f>
        <v/>
      </c>
      <c r="T391" t="n">
        <v>0</v>
      </c>
      <c r="V391" t="n">
        <v>0</v>
      </c>
    </row>
    <row r="392">
      <c r="A392">
        <f>Skills!A17</f>
        <v/>
      </c>
      <c r="B392">
        <f>Skills!B17</f>
        <v/>
      </c>
      <c r="C392">
        <f>Inputs!$B$3&gt;=10</f>
        <v/>
      </c>
      <c r="D392">
        <f>IF(Skills!C17=1,60+Inputs!$B$25+Inputs!$B$29,IF(Skills!C17=2,90+Inputs!$B$26+Inputs!$B$29,IF(Skills!C17=3,120+Inputs!$B$27+Inputs!$B$29,MAX(0,(Inputs!$B$3-100)*3)+Inputs!$B$28+Inputs!$B$29)))</f>
        <v/>
      </c>
      <c r="E392">
        <f>INDEX(FactorTable!$B$2:$Y$301, MATCH(ROUND(MIN(300,MAX(1,D392)),0), FactorTable!$A$2:$A$301,0), Skills!M17+1)</f>
        <v/>
      </c>
      <c r="F392">
        <f>IF(Skills!N17=TRUE,(Skills!L17/10)*(E392/1000),Skills!L17/10)+Skills!O17</f>
        <v/>
      </c>
      <c r="G392">
        <f>Skills!G17*IF(Skills!H17&gt;0,Skills!I17/Skills!H17,1)</f>
        <v/>
      </c>
      <c r="H392">
        <f>1-(1-Skills!J17/100)^Skills!K17</f>
        <v/>
      </c>
      <c r="I392" t="inlineStr">
        <is>
          <t>1</t>
        </is>
      </c>
      <c r="J392" t="inlineStr"/>
      <c r="K392" t="inlineStr"/>
      <c r="L392" t="inlineStr"/>
      <c r="M392" t="inlineStr"/>
      <c r="N392" t="inlineStr"/>
      <c r="O392">
        <f>(1-Summary!$B$11)*T392+Summary!$B$11*V392</f>
        <v/>
      </c>
      <c r="P392">
        <f>IF(B410=0,0,O392/B410)</f>
        <v/>
      </c>
      <c r="Q392" t="n">
        <v>0</v>
      </c>
      <c r="R392" t="n">
        <v>0</v>
      </c>
      <c r="S392">
        <f>IFERROR(O392/N392,0)</f>
        <v/>
      </c>
      <c r="T392" t="n">
        <v>0</v>
      </c>
      <c r="V392" t="n">
        <v>0</v>
      </c>
    </row>
    <row r="393">
      <c r="A393">
        <f>Skills!A18</f>
        <v/>
      </c>
      <c r="B393">
        <f>Skills!B18</f>
        <v/>
      </c>
      <c r="C393">
        <f>Inputs!$B$3&gt;=33</f>
        <v/>
      </c>
      <c r="D393">
        <f>IF(Skills!C18=1,60+Inputs!$B$25+Inputs!$B$29,IF(Skills!C18=2,90+Inputs!$B$26+Inputs!$B$29,IF(Skills!C18=3,120+Inputs!$B$27+Inputs!$B$29,MAX(0,(Inputs!$B$3-100)*3)+Inputs!$B$28+Inputs!$B$29)))</f>
        <v/>
      </c>
      <c r="E393">
        <f>INDEX(FactorTable!$B$2:$Y$301, MATCH(ROUND(MIN(300,MAX(1,D393)),0), FactorTable!$A$2:$A$301,0), Skills!M18+1)</f>
        <v/>
      </c>
      <c r="F393">
        <f>IF(Skills!N18=TRUE,(Skills!L18/10)*(E393/1000),Skills!L18/10)+Skills!O18</f>
        <v/>
      </c>
      <c r="G393">
        <f>Skills!G18*IF(Skills!H18&gt;0,Skills!I18/Skills!H18,1)</f>
        <v/>
      </c>
      <c r="H393">
        <f>1-(1-Skills!J18/100)^Skills!K18</f>
        <v/>
      </c>
      <c r="I393" t="inlineStr">
        <is>
          <t>1</t>
        </is>
      </c>
      <c r="J393" t="inlineStr"/>
      <c r="K393" t="inlineStr"/>
      <c r="L393" t="inlineStr"/>
      <c r="M393" t="inlineStr"/>
      <c r="N393" t="inlineStr"/>
      <c r="O393">
        <f>(1-Summary!$B$11)*T393+Summary!$B$11*V393</f>
        <v/>
      </c>
      <c r="P393">
        <f>IF(B410=0,0,O393/B410)</f>
        <v/>
      </c>
      <c r="Q393" t="n">
        <v>0</v>
      </c>
      <c r="R393" t="n">
        <v>0</v>
      </c>
      <c r="S393">
        <f>IFERROR(O393/N393,0)</f>
        <v/>
      </c>
      <c r="T393" t="n">
        <v>0</v>
      </c>
      <c r="V393" t="n">
        <v>0</v>
      </c>
    </row>
    <row r="394">
      <c r="A394">
        <f>Skills!A19</f>
        <v/>
      </c>
      <c r="B394">
        <f>Skills!B19</f>
        <v/>
      </c>
      <c r="C394">
        <f>Inputs!$B$3&gt;=40</f>
        <v/>
      </c>
      <c r="D394">
        <f>IF(Skills!C19=1,60+Inputs!$B$25+Inputs!$B$29,IF(Skills!C19=2,90+Inputs!$B$26+Inputs!$B$29,IF(Skills!C19=3,120+Inputs!$B$27+Inputs!$B$29,MAX(0,(Inputs!$B$3-100)*3)+Inputs!$B$28+Inputs!$B$29)))</f>
        <v/>
      </c>
      <c r="E394">
        <f>INDEX(FactorTable!$B$2:$Y$301, MATCH(ROUND(MIN(300,MAX(1,D394)),0), FactorTable!$A$2:$A$301,0), Skills!M19+1)</f>
        <v/>
      </c>
      <c r="F394">
        <f>IF(Skills!N19=TRUE,(Skills!L19/10)*(E394/1000),Skills!L19/10)+Skills!O19</f>
        <v/>
      </c>
      <c r="G394">
        <f>Skills!G19*IF(Skills!H19&gt;0,Skills!I19/Skills!H19,1)</f>
        <v/>
      </c>
      <c r="H394">
        <f>1-(1-Skills!J19/100)^Skills!K19</f>
        <v/>
      </c>
      <c r="I394" t="inlineStr">
        <is>
          <t>1</t>
        </is>
      </c>
      <c r="J394" t="inlineStr"/>
      <c r="K394" t="inlineStr"/>
      <c r="L394" t="inlineStr"/>
      <c r="M394" t="inlineStr"/>
      <c r="N394" t="inlineStr"/>
      <c r="O394">
        <f>(1-Summary!$B$11)*T394+Summary!$B$11*V394</f>
        <v/>
      </c>
      <c r="P394">
        <f>IF(B410=0,0,O394/B410)</f>
        <v/>
      </c>
      <c r="Q394" t="n">
        <v>0</v>
      </c>
      <c r="R394" t="n">
        <v>0</v>
      </c>
      <c r="S394">
        <f>IFERROR(O394/N394,0)</f>
        <v/>
      </c>
      <c r="T394" t="n">
        <v>0</v>
      </c>
      <c r="V394" t="n">
        <v>0</v>
      </c>
    </row>
    <row r="395">
      <c r="A395">
        <f>Skills!A20</f>
        <v/>
      </c>
      <c r="B395">
        <f>Skills!B20</f>
        <v/>
      </c>
      <c r="C395">
        <f>Inputs!$B$3&gt;=43</f>
        <v/>
      </c>
      <c r="D395">
        <f>IF(Skills!C20=1,60+Inputs!$B$25+Inputs!$B$29,IF(Skills!C20=2,90+Inputs!$B$26+Inputs!$B$29,IF(Skills!C20=3,120+Inputs!$B$27+Inputs!$B$29,MAX(0,(Inputs!$B$3-100)*3)+Inputs!$B$28+Inputs!$B$29)))</f>
        <v/>
      </c>
      <c r="E395">
        <f>INDEX(FactorTable!$B$2:$Y$301, MATCH(ROUND(MIN(300,MAX(1,D395)),0), FactorTable!$A$2:$A$301,0), Skills!M20+1)</f>
        <v/>
      </c>
      <c r="F395">
        <f>IF(Skills!N20=TRUE,(Skills!L20/10)*(E395/1000),Skills!L20/10)+Skills!O20</f>
        <v/>
      </c>
      <c r="G395">
        <f>Skills!G20*IF(Skills!H20&gt;0,Skills!I20/Skills!H20,1)</f>
        <v/>
      </c>
      <c r="H395">
        <f>1-(1-Skills!J20/100)^Skills!K20</f>
        <v/>
      </c>
      <c r="I395" t="inlineStr">
        <is>
          <t>1</t>
        </is>
      </c>
      <c r="J395" t="inlineStr"/>
      <c r="K395" t="inlineStr"/>
      <c r="L395" t="inlineStr"/>
      <c r="M395" t="inlineStr"/>
      <c r="N395" t="inlineStr"/>
      <c r="O395">
        <f>(1-Summary!$B$11)*T395+Summary!$B$11*V395</f>
        <v/>
      </c>
      <c r="P395">
        <f>IF(B410=0,0,O395/B410)</f>
        <v/>
      </c>
      <c r="Q395" t="n">
        <v>0</v>
      </c>
      <c r="R395" t="n">
        <v>0</v>
      </c>
      <c r="S395">
        <f>IFERROR(O395/N395,0)</f>
        <v/>
      </c>
      <c r="T395" t="n">
        <v>0</v>
      </c>
      <c r="V395" t="n">
        <v>0</v>
      </c>
    </row>
    <row r="396">
      <c r="A396">
        <f>Skills!A21</f>
        <v/>
      </c>
      <c r="B396">
        <f>Skills!B21</f>
        <v/>
      </c>
      <c r="C396">
        <f>Inputs!$B$3&gt;=38</f>
        <v/>
      </c>
      <c r="D396">
        <f>IF(Skills!C21=1,60+Inputs!$B$25+Inputs!$B$29,IF(Skills!C21=2,90+Inputs!$B$26+Inputs!$B$29,IF(Skills!C21=3,120+Inputs!$B$27+Inputs!$B$29,MAX(0,(Inputs!$B$3-100)*3)+Inputs!$B$28+Inputs!$B$29)))</f>
        <v/>
      </c>
      <c r="E396">
        <f>INDEX(FactorTable!$B$2:$Y$301, MATCH(ROUND(MIN(300,MAX(1,D396)),0), FactorTable!$A$2:$A$301,0), Skills!M21+1)</f>
        <v/>
      </c>
      <c r="F396">
        <f>IF(Skills!N21=TRUE,(Skills!L21/10)*(E396/1000),Skills!L21/10)+Skills!O21</f>
        <v/>
      </c>
      <c r="G396">
        <f>Skills!G21*IF(Skills!H21&gt;0,Skills!I21/Skills!H21,1)</f>
        <v/>
      </c>
      <c r="H396">
        <f>1-(1-Skills!J21/100)^Skills!K21</f>
        <v/>
      </c>
      <c r="I396" t="inlineStr">
        <is>
          <t>1</t>
        </is>
      </c>
      <c r="J396" t="inlineStr"/>
      <c r="K396" t="inlineStr"/>
      <c r="L396" t="inlineStr"/>
      <c r="M396" t="inlineStr"/>
      <c r="N396" t="inlineStr"/>
      <c r="O396">
        <f>(1-Summary!$B$11)*T396+Summary!$B$11*V396</f>
        <v/>
      </c>
      <c r="P396">
        <f>IF(B410=0,0,O396/B410)</f>
        <v/>
      </c>
      <c r="Q396" t="n">
        <v>0</v>
      </c>
      <c r="R396" t="n">
        <v>0</v>
      </c>
      <c r="S396">
        <f>IFERROR(O396/N396,0)</f>
        <v/>
      </c>
      <c r="T396" t="n">
        <v>0</v>
      </c>
      <c r="V396" t="n">
        <v>0</v>
      </c>
    </row>
    <row r="397">
      <c r="A397">
        <f>Skills!A22</f>
        <v/>
      </c>
      <c r="B397">
        <f>Skills!B22</f>
        <v/>
      </c>
      <c r="C397">
        <f>Inputs!$B$3&gt;=75</f>
        <v/>
      </c>
      <c r="D397">
        <f>IF(Skills!C22=1,60+Inputs!$B$25+Inputs!$B$29,IF(Skills!C22=2,90+Inputs!$B$26+Inputs!$B$29,IF(Skills!C22=3,120+Inputs!$B$27+Inputs!$B$29,MAX(0,(Inputs!$B$3-100)*3)+Inputs!$B$28+Inputs!$B$29)))</f>
        <v/>
      </c>
      <c r="E397">
        <f>INDEX(FactorTable!$B$2:$Y$301, MATCH(ROUND(MIN(300,MAX(1,D397)),0), FactorTable!$A$2:$A$301,0), Skills!M22+1)</f>
        <v/>
      </c>
      <c r="F397">
        <f>IF(Skills!N22=TRUE,(Skills!L22/10)*(E397/1000),Skills!L22/10)+Skills!O22</f>
        <v/>
      </c>
      <c r="G397">
        <f>Skills!G22*IF(Skills!H22&gt;0,Skills!I22/Skills!H22,1)</f>
        <v/>
      </c>
      <c r="H397">
        <f>1-(1-Skills!J22/100)^Skills!K22</f>
        <v/>
      </c>
      <c r="I397" t="inlineStr">
        <is>
          <t>1</t>
        </is>
      </c>
      <c r="J397" t="inlineStr"/>
      <c r="K397" t="inlineStr"/>
      <c r="L397" t="inlineStr"/>
      <c r="M397" t="inlineStr"/>
      <c r="N397" t="inlineStr"/>
      <c r="O397">
        <f>(1-Summary!$B$11)*T397+Summary!$B$11*V397</f>
        <v/>
      </c>
      <c r="P397">
        <f>IF(B410=0,0,O397/B410)</f>
        <v/>
      </c>
      <c r="Q397" t="n">
        <v>0</v>
      </c>
      <c r="R397" t="n">
        <v>0</v>
      </c>
      <c r="S397">
        <f>IFERROR(O397/N397,0)</f>
        <v/>
      </c>
      <c r="T397" t="n">
        <v>0</v>
      </c>
      <c r="V397" t="n">
        <v>0</v>
      </c>
    </row>
    <row r="399">
      <c r="A399" t="inlineStr">
        <is>
          <t>Attack% Bucket Multiplier</t>
        </is>
      </c>
      <c r="B399">
        <f>(1+(((C388=TRUE)*F388)+((C394=TRUE)*(F394-Calc!F19))+(IF(ArtifactsInput!$M$21,CHOOSE(ArtifactsInput!$N$21+1,25,30,35,40,45,50)*(IF(OR(Inputs!$B$4="Chapter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00">
      <c r="A400" t="inlineStr">
        <is>
          <t>Global Crit Rate Bonus %</t>
        </is>
      </c>
      <c r="B400" t="n">
        <v>0</v>
      </c>
    </row>
    <row r="401">
      <c r="A401" t="inlineStr">
        <is>
          <t>Attack Speed Buff Bonus % (unused)</t>
        </is>
      </c>
      <c r="B401" t="n">
        <v>0</v>
      </c>
    </row>
    <row r="402">
      <c r="A402" t="inlineStr">
        <is>
          <t>Actions Per Second</t>
        </is>
      </c>
      <c r="B402">
        <f>1+MIN(150,150*(1-(1-(Inputs!$B$11+((C392=TRUE)*(F392-Calc!F17))+((C393=TRUE)*(F393-Calc!F18)))/150)*(1-B401/150)))/100</f>
        <v/>
      </c>
    </row>
    <row r="403">
      <c r="A403" t="inlineStr">
        <is>
          <t>Skill + Buff Cast Rate</t>
        </is>
      </c>
      <c r="B403">
        <f>IF(AND(Inputs!$B$38&lt;&gt;"pvp",Inputs!$B$43&gt;0),SUMPRODUCT((Skills!E2:E22=TRUE)*(C377:C397=TRUE)*R377:R397*Skills!F2:F22)/Inputs!$B$43,SUMPRODUCT((Skills!E2:E22=TRUE)*(C377:C397=TRUE)*Q377:Q397*Skills!F2:F22))</f>
        <v/>
      </c>
    </row>
    <row r="404">
      <c r="A404" t="inlineStr">
        <is>
          <t>Hook Bomber Casts Per Second</t>
        </is>
      </c>
      <c r="B404">
        <f>MAX(0,B402-B403)</f>
        <v/>
      </c>
    </row>
    <row r="405">
      <c r="A405" t="inlineStr">
        <is>
          <t>Global Critical Damage Bonus % (unused)</t>
        </is>
      </c>
      <c r="B405" t="n">
        <v>0</v>
      </c>
    </row>
    <row r="406">
      <c r="A406" t="inlineStr">
        <is>
          <t>Global Final Damage Bonus % (Serpent Scale + Crossbones + Time Leap + Speed Infusion)</t>
        </is>
      </c>
      <c r="B406">
        <f>((C380=TRUE)*F380*((10+IF(Inputs!$B$3&gt;=94,5,0))/((10+IF(Inputs!$B$3&gt;=94,5,0))+5/(B404*(1+IF(Inputs!$B$3&gt;=104,1,0))))))+((C389=TRUE)*F389)+((C390=TRUE)*F390)+((Inputs!$B$3&gt;=110)*20*(B402-1))</f>
        <v/>
      </c>
    </row>
    <row r="407">
      <c r="A407" t="inlineStr">
        <is>
          <t>Buff-Casting Startup Delay (s, fixed-duration only)</t>
        </is>
      </c>
      <c r="B407">
        <f>IF(AND(Inputs!$B$38&lt;&gt;"pvp",Inputs!$B$43&gt;0),SUMPRODUCT((Skills!T2:T22&gt;0)*(Skills!E2:E22=TRUE)*(C377:C397=TRUE))/B402,0)</f>
        <v/>
      </c>
    </row>
    <row r="408">
      <c r="A408" t="inlineStr">
        <is>
          <t>Boss-Only Total DPS (this block's swept value)</t>
        </is>
      </c>
      <c r="B408">
        <f>SUM(T377:T397)</f>
        <v/>
      </c>
    </row>
    <row r="409">
      <c r="A409" t="inlineStr">
        <is>
          <t>Normal-Only Total DPS (this block's swept value)</t>
        </is>
      </c>
      <c r="B409">
        <f>SUM(V377:V397)</f>
        <v/>
      </c>
    </row>
    <row r="410">
      <c r="A410" s="6" t="inlineStr">
        <is>
          <t>TOTAL DPS</t>
        </is>
      </c>
      <c r="B410" s="6">
        <f>SUM(O377:O397)</f>
        <v/>
      </c>
    </row>
    <row r="413">
      <c r="A413" s="6" t="inlineStr">
        <is>
          <t>Stat: MAX_DAMAGE %</t>
        </is>
      </c>
    </row>
    <row r="414">
      <c r="A414" s="5" t="inlineStr">
        <is>
          <t>Key</t>
        </is>
      </c>
      <c r="B414" s="5" t="inlineStr">
        <is>
          <t>Name</t>
        </is>
      </c>
      <c r="C414" s="5" t="inlineStr">
        <is>
          <t>Unlocked</t>
        </is>
      </c>
      <c r="D414" s="5" t="inlineStr">
        <is>
          <t>InputLevel</t>
        </is>
      </c>
      <c r="E414" s="5" t="inlineStr">
        <is>
          <t>Factor</t>
        </is>
      </c>
      <c r="F414" s="5" t="inlineStr">
        <is>
          <t>CoefficientPercent</t>
        </is>
      </c>
      <c r="G414" s="5" t="inlineStr">
        <is>
          <t>EffectiveHits</t>
        </is>
      </c>
      <c r="H414" s="5" t="inlineStr">
        <is>
          <t>ProcProbability</t>
        </is>
      </c>
      <c r="I414" s="5" t="inlineStr">
        <is>
          <t>MapleHeroMultiplier</t>
        </is>
      </c>
      <c r="J414" s="5" t="inlineStr">
        <is>
          <t>BaseDamage</t>
        </is>
      </c>
      <c r="K414" s="5" t="inlineStr">
        <is>
          <t>BaseHitDamage</t>
        </is>
      </c>
      <c r="L414" s="5" t="inlineStr">
        <is>
          <t>NonCritAvg</t>
        </is>
      </c>
      <c r="M414" s="5" t="inlineStr">
        <is>
          <t>CritAvg</t>
        </is>
      </c>
      <c r="N414" s="5" t="inlineStr">
        <is>
          <t>ExpectedDamage(perHit)</t>
        </is>
      </c>
      <c r="O414" s="5" t="inlineStr">
        <is>
          <t>DPS</t>
        </is>
      </c>
      <c r="P414" s="5" t="inlineStr">
        <is>
          <t>% of Total</t>
        </is>
      </c>
      <c r="Q414" s="5" t="inlineStr">
        <is>
          <t>InvCooldown</t>
        </is>
      </c>
      <c r="R414" s="5" t="inlineStr">
        <is>
          <t>CastsInFight</t>
        </is>
      </c>
      <c r="S414" s="5" t="inlineStr">
        <is>
          <t>HitRate(perSec)</t>
        </is>
      </c>
      <c r="U414" t="inlineStr">
        <is>
          <t>helpers</t>
        </is>
      </c>
    </row>
    <row r="415">
      <c r="A415">
        <f>Skills!A2</f>
        <v/>
      </c>
      <c r="B415">
        <f>Skills!B2</f>
        <v/>
      </c>
      <c r="C415">
        <f>Inputs!$B$3&gt;=100</f>
        <v/>
      </c>
      <c r="D415" t="inlineStr"/>
      <c r="E415" t="inlineStr"/>
      <c r="F415">
        <f>U417+Skills!O2</f>
        <v/>
      </c>
      <c r="G415">
        <f>Skills!G2*IF(Skills!H2&gt;0,Skills!I2/Skills!H2,1)</f>
        <v/>
      </c>
      <c r="H415">
        <f>1-(1-Skills!J2/100)^Skills!K2</f>
        <v/>
      </c>
      <c r="I415" t="inlineStr">
        <is>
          <t>1</t>
        </is>
      </c>
      <c r="J415">
        <f>((Inputs!$B$6*(1+Inputs!$B$7/100))+(((Inputs!$B$12*(1+Inputs!$B$13/100))-(Inputs!$B$12*(1+Inputs!$B$13/100)))+0.25*(Inputs!$B$14-Inputs!$B$14))*(1+Inputs!$B$7/100))*(F415/100)</f>
        <v/>
      </c>
      <c r="K415">
        <f>J415*(1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415)</f>
        <v/>
      </c>
      <c r="L415">
        <f>K415*(MIN(Inputs!$B$22+((C433=TRUE)*(F433-Calc!F20)),((Inputs!$B$23+1)+0+(IF(ArtifactsInput!$M$15,CHOOSE(ArtifactsInput!$N$15+1,25,30,35,40,45,50)/100*(Inputs!$B$11-Inputs!$B$11),0))))/100+((Inputs!$B$23+1)+0+(IF(ArtifactsInput!$M$15,CHOOSE(ArtifactsInput!$N$15+1,25,30,35,40,45,50)/100*(Inputs!$B$11-Inputs!$B$11),0)))/100)/2</f>
        <v/>
      </c>
      <c r="M415">
        <f>L415*(1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5">
        <f>L415*(1-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415*(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5">
        <f>(1-Summary!$B$11)*T415+Summary!$B$11*V415</f>
        <v/>
      </c>
      <c r="P415">
        <f>IF(B448=0,0,O415/B448)</f>
        <v/>
      </c>
      <c r="Q415" t="n">
        <v>0</v>
      </c>
      <c r="R415" t="n">
        <v>0</v>
      </c>
      <c r="S415">
        <f>IFERROR(O415/N415,0)</f>
        <v/>
      </c>
      <c r="T415">
        <f>IF(C415,(Skills!G2*N415*B442)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415*(1-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415*(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415*(1-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415*(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5">
        <f>MAX(0,(Inputs!$B$3-100)*3)+Inputs!$B$28+Inputs!$B$29</f>
        <v/>
      </c>
      <c r="V415">
        <f>IF(C415,(Skills!G2*N415*B442)*IF(Inputs!$B$38="pvp",1,(1+(Inputs!$B$21+Skills!Q2+(IF(ArtifactsInput!$M$33,CHOOSE(ArtifactsInput!$N$33+1,30,36,42,48,54,60),0))+(IF(AND(ArtifactsInput!$M$35,Inputs!$B$4&lt;&gt;"Chapter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6">
      <c r="A416">
        <f>Skills!A3</f>
        <v/>
      </c>
      <c r="B416">
        <f>Skills!B3</f>
        <v/>
      </c>
      <c r="C416">
        <f>Inputs!$B$3&gt;=35</f>
        <v/>
      </c>
      <c r="D416">
        <f>IF(Skills!C3=1,60+Inputs!$B$25+Inputs!$B$29,IF(Skills!C3=2,90+Inputs!$B$26+Inputs!$B$29,IF(Skills!C3=3,120+Inputs!$B$27+Inputs!$B$29,MAX(0,(Inputs!$B$3-100)*3)+Inputs!$B$28+Inputs!$B$29)))</f>
        <v/>
      </c>
      <c r="E416">
        <f>INDEX(FactorTable!$B$2:$Y$301, MATCH(ROUND(MIN(300,MAX(1,D416)),0), FactorTable!$A$2:$A$301,0), Skills!M3+1)</f>
        <v/>
      </c>
      <c r="F416">
        <f>IF(Skills!N3=TRUE,(Skills!L3/10)*(E416/1000),Skills!L3/10)+Skills!O3</f>
        <v/>
      </c>
      <c r="G416">
        <f>Skills!G3*IF(Skills!H3&gt;0,Skills!I3/Skills!H3,1)</f>
        <v/>
      </c>
      <c r="H416">
        <f>1-(1-Skills!J3/100)^Skills!K3</f>
        <v/>
      </c>
      <c r="I416" t="inlineStr">
        <is>
          <t>1</t>
        </is>
      </c>
      <c r="J416">
        <f>((Inputs!$B$6*(1+Inputs!$B$7/100))+(((Inputs!$B$12*(1+Inputs!$B$13/100))-(Inputs!$B$12*(1+Inputs!$B$13/100)))+0.25*(Inputs!$B$14-Inputs!$B$14))*(1+Inputs!$B$7/100))*(F416/100)</f>
        <v/>
      </c>
      <c r="K416">
        <f>J416*(1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416)</f>
        <v/>
      </c>
      <c r="L416">
        <f>K416*(MIN(Inputs!$B$22+((C433=TRUE)*(F433-Calc!F20)),((Inputs!$B$23+1)+0+(IF(ArtifactsInput!$M$15,CHOOSE(ArtifactsInput!$N$15+1,25,30,35,40,45,50)/100*(Inputs!$B$11-Inputs!$B$11),0))))/100+((Inputs!$B$23+1)+0+(IF(ArtifactsInput!$M$15,CHOOSE(ArtifactsInput!$N$15+1,25,30,35,40,45,50)/100*(Inputs!$B$11-Inputs!$B$11),0)))/100)/2</f>
        <v/>
      </c>
      <c r="M416">
        <f>L416*(1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6">
        <f>L416*(1-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416*(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6">
        <f>(1-Summary!$B$11)*T416+Summary!$B$11*V416</f>
        <v/>
      </c>
      <c r="P416">
        <f>IF(B448=0,0,O416/B448)</f>
        <v/>
      </c>
      <c r="Q416" t="n">
        <v>0</v>
      </c>
      <c r="R416" t="n">
        <v>0</v>
      </c>
      <c r="S416">
        <f>IFERROR(O416/N416,0)</f>
        <v/>
      </c>
      <c r="T416">
        <f>IF(C416,(Skills!G3*H416*N416*B442)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416*(1-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416*(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416*(1-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416*(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6">
        <f>INDEX(FactorTable!$B$2:$Y$301, MATCH(ROUND(MIN(300,MAX(1,U415)),0), FactorTable!$A$2:$A$301,0), 22)</f>
        <v/>
      </c>
      <c r="V416">
        <f>IF(C416,(Skills!G3*H416*N416*B442)*IF(Inputs!$B$38="pvp",1,(1+(Inputs!$B$21+Skills!Q3+(IF(ArtifactsInput!$M$33,CHOOSE(ArtifactsInput!$N$33+1,30,36,42,48,54,60),0))+(IF(AND(ArtifactsInput!$M$35,Inputs!$B$4&lt;&gt;"Chapter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7">
      <c r="A417">
        <f>Skills!A4</f>
        <v/>
      </c>
      <c r="B417">
        <f>Skills!B4</f>
        <v/>
      </c>
      <c r="C417">
        <f>Inputs!$B$3&gt;=60</f>
        <v/>
      </c>
      <c r="D417">
        <f>IF(Skills!C4=1,60+Inputs!$B$25+Inputs!$B$29,IF(Skills!C4=2,90+Inputs!$B$26+Inputs!$B$29,IF(Skills!C4=3,120+Inputs!$B$27+Inputs!$B$29,MAX(0,(Inputs!$B$3-100)*3)+Inputs!$B$28+Inputs!$B$29)))</f>
        <v/>
      </c>
      <c r="E417">
        <f>INDEX(FactorTable!$B$2:$Y$301, MATCH(ROUND(MIN(300,MAX(1,D417)),0), FactorTable!$A$2:$A$301,0), Skills!M4+1)</f>
        <v/>
      </c>
      <c r="F417">
        <f>IF(Skills!N4=TRUE,(Skills!L4/10)*(E417/1000),Skills!L4/10)+Skills!O4</f>
        <v/>
      </c>
      <c r="G417">
        <f>Skills!G4*IF(Skills!H4&gt;0,Skills!I4/Skills!H4,1)</f>
        <v/>
      </c>
      <c r="H417">
        <f>1-(1-Skills!J4/100)^Skills!K4</f>
        <v/>
      </c>
      <c r="I417" t="inlineStr">
        <is>
          <t>1</t>
        </is>
      </c>
      <c r="J417">
        <f>((Inputs!$B$6*(1+Inputs!$B$7/100))+(((Inputs!$B$12*(1+Inputs!$B$13/100))-(Inputs!$B$12*(1+Inputs!$B$13/100)))+0.25*(Inputs!$B$14-Inputs!$B$14))*(1+Inputs!$B$7/100))*(F417/100)</f>
        <v/>
      </c>
      <c r="K417">
        <f>J417*(1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425=TRUE,F425,0)/100)*(1+(IF(Skills!A4="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417)</f>
        <v/>
      </c>
      <c r="L417">
        <f>K417*(MIN(Inputs!$B$22+((C433=TRUE)*(F433-Calc!F20)),((Inputs!$B$23+1)+0+(IF(ArtifactsInput!$M$15,CHOOSE(ArtifactsInput!$N$15+1,25,30,35,40,45,50)/100*(Inputs!$B$11-Inputs!$B$11),0))))/100+((Inputs!$B$23+1)+0+(IF(ArtifactsInput!$M$15,CHOOSE(ArtifactsInput!$N$15+1,25,30,35,40,45,50)/100*(Inputs!$B$11-Inputs!$B$11),0)))/100)/2</f>
        <v/>
      </c>
      <c r="M417">
        <f>L417*(1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IF(B448=0,0,O417/B448)</f>
        <v/>
      </c>
      <c r="Q417" t="n">
        <v>0</v>
      </c>
      <c r="R417" t="n">
        <v>0</v>
      </c>
      <c r="S417">
        <f>IFERROR(O417/N417,0)</f>
        <v/>
      </c>
      <c r="T417">
        <f>IF(C417,(Skills!G4*H417*N417*B442)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417*(1-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7">
        <f>290*U416/1000</f>
        <v/>
      </c>
      <c r="V417">
        <f>IF(C417,(Skills!G4*H417*N417*B442)*IF(Inputs!$B$38="pvp",1,(1+(Inputs!$B$21+Skills!Q4+(IF(ArtifactsInput!$M$33,CHOOSE(ArtifactsInput!$N$33+1,30,36,42,48,54,60),0))+(IF(AND(ArtifactsInput!$M$35,Inputs!$B$4&lt;&gt;"Chapter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Skills!A5</f>
        <v/>
      </c>
      <c r="B418">
        <f>Skills!B5</f>
        <v/>
      </c>
      <c r="C418">
        <f>Inputs!$B$3&gt;=60</f>
        <v/>
      </c>
      <c r="D418">
        <f>IF(Skills!C5=1,60+Inputs!$B$25+Inputs!$B$29,IF(Skills!C5=2,90+Inputs!$B$26+Inputs!$B$29,IF(Skills!C5=3,120+Inputs!$B$27+Inputs!$B$29,MAX(0,(Inputs!$B$3-100)*3)+Inputs!$B$28+Inputs!$B$29)))</f>
        <v/>
      </c>
      <c r="E418">
        <f>INDEX(FactorTable!$B$2:$Y$301, MATCH(ROUND(MIN(300,MAX(1,D418)),0), FactorTable!$A$2:$A$301,0), Skills!M5+1)</f>
        <v/>
      </c>
      <c r="F418">
        <f>IF(Skills!N5=TRUE,(Skills!L5/10)*(E418/1000),Skills!L5/10)+Skills!O5</f>
        <v/>
      </c>
      <c r="G418">
        <f>Skills!G5*IF(Skills!H5&gt;0,Skills!I5/Skills!H5,1)</f>
        <v/>
      </c>
      <c r="H418">
        <f>1-(1-Skills!J5/100)^Skills!K5</f>
        <v/>
      </c>
      <c r="I418" t="inlineStr">
        <is>
          <t>1</t>
        </is>
      </c>
      <c r="J418" t="inlineStr"/>
      <c r="K418" t="inlineStr"/>
      <c r="L418" t="inlineStr"/>
      <c r="M418" t="inlineStr"/>
      <c r="N418" t="inlineStr"/>
      <c r="O418">
        <f>(1-Summary!$B$11)*T418+Summary!$B$11*V418</f>
        <v/>
      </c>
      <c r="P418">
        <f>IF(B448=0,0,O418/B448)</f>
        <v/>
      </c>
      <c r="Q418" t="n">
        <v>0</v>
      </c>
      <c r="R418" t="n">
        <v>0</v>
      </c>
      <c r="S418">
        <f>IFERROR(O418/N418,0)</f>
        <v/>
      </c>
      <c r="T418" t="n">
        <v>0</v>
      </c>
      <c r="V418" t="n">
        <v>0</v>
      </c>
    </row>
    <row r="419">
      <c r="A419">
        <f>Skills!A6</f>
        <v/>
      </c>
      <c r="B419">
        <f>Skills!B6</f>
        <v/>
      </c>
      <c r="C419">
        <f>Inputs!$B$3&gt;=63</f>
        <v/>
      </c>
      <c r="D419">
        <f>IF(Skills!C6=1,60+Inputs!$B$25+Inputs!$B$29,IF(Skills!C6=2,90+Inputs!$B$26+Inputs!$B$29,IF(Skills!C6=3,120+Inputs!$B$27+Inputs!$B$29,MAX(0,(Inputs!$B$3-100)*3)+Inputs!$B$28+Inputs!$B$29)))</f>
        <v/>
      </c>
      <c r="E419">
        <f>INDEX(FactorTable!$B$2:$Y$301, MATCH(ROUND(MIN(300,MAX(1,D419)),0), FactorTable!$A$2:$A$301,0), Skills!M6+1)</f>
        <v/>
      </c>
      <c r="F419">
        <f>IF(Skills!N6=TRUE,(Skills!L6/10)*(E419/1000),Skills!L6/10)+Skills!O6</f>
        <v/>
      </c>
      <c r="G419">
        <f>Skills!G6*IF(Skills!H6&gt;0,Skills!I6/Skills!H6,1)</f>
        <v/>
      </c>
      <c r="H419">
        <f>1-(1-Skills!J6/100)^Skills!K6</f>
        <v/>
      </c>
      <c r="I419" t="inlineStr">
        <is>
          <t>1</t>
        </is>
      </c>
      <c r="J419">
        <f>((Inputs!$B$6*(1+Inputs!$B$7/100))+(((Inputs!$B$12*(1+Inputs!$B$13/100))-(Inputs!$B$12*(1+Inputs!$B$13/100)))+0.25*(Inputs!$B$14-Inputs!$B$14))*(1+Inputs!$B$7/100))*(F419/100)</f>
        <v/>
      </c>
      <c r="K419">
        <f>J419*(1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419)</f>
        <v/>
      </c>
      <c r="L419">
        <f>K419*(MIN(Inputs!$B$22+((C433=TRUE)*(F433-Calc!F20)),((Inputs!$B$23+1)+0+(IF(ArtifactsInput!$M$15,CHOOSE(ArtifactsInput!$N$15+1,25,30,35,40,45,50)/100*(Inputs!$B$11-Inputs!$B$11),0))))/100+((Inputs!$B$23+1)+0+(IF(ArtifactsInput!$M$15,CHOOSE(ArtifactsInput!$N$15+1,25,30,35,40,45,50)/100*(Inputs!$B$11-Inputs!$B$11),0)))/100)/2</f>
        <v/>
      </c>
      <c r="M419">
        <f>L419*(1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9">
        <f>L419*(1-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419*(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9">
        <f>(1-Summary!$B$11)*T419+Summary!$B$11*V419</f>
        <v/>
      </c>
      <c r="P419">
        <f>IF(B448=0,0,O419/B448)</f>
        <v/>
      </c>
      <c r="Q419">
        <f>IFERROR(1/(IF(Inputs!$B$38="pvp",15,MAX(0.1,Skills!D6-IF(Skills!E6=TRUE,Inputs!$B$32,0)))*(1-IF(AND(ArtifactsInput!$M$27,Inputs!$B$4="Chapter Hunt"),CHOOSE(ArtifactsInput!$N$27+1,20,24,28,32,36,40),0)/100)),0)</f>
        <v/>
      </c>
      <c r="R419">
        <f>IF(AND(Inputs!$B$38&lt;&gt;"pvp",Inputs!$B$43&gt;0),IF(MAX(0,Inputs!$B$43-B445)&lt;=0,0,(INT(MAX(0,Inputs!$B$43-B445)/(IF(Inputs!$B$38="pvp",15,MAX(0.1,Skills!D6-IF(Skills!E6=TRUE,Inputs!$B$32,0)))*(1-IF(AND(ArtifactsInput!$M$27,Inputs!$B$4="Chapter Hunt"),CHOOSE(ArtifactsInput!$N$27+1,20,24,28,32,36,40),0)/100)))+1)),0)</f>
        <v/>
      </c>
      <c r="S419">
        <f>IFERROR(O419/N419,0)</f>
        <v/>
      </c>
      <c r="T419">
        <f>IF(C419,(H419*N419*IF(AND(Inputs!$B$38&lt;&gt;"pvp",Inputs!$B$43&gt;0),((Skills!G6*((R419-1)*IF(Skills!H6&gt;0,Skills!I6/Skills!H6,1)+IF(Skills!H6&gt;0,MIN(Skills!I6,MAX(0,MAX(0,Inputs!$B$43-B445)-((R419-1)*(IF(Inputs!$B$38="pvp",15,MAX(0.1,Skills!D6-IF(Skills!E6=TRUE,Inputs!$B$32,0)))*(1-IF(AND(ArtifactsInput!$M$27,Inputs!$B$4="Chapter Hunt"),CHOOSE(ArtifactsInput!$N$27+1,20,24,28,32,36,40),0)/100)))))/Skills!H6,1)))/Inputs!$B$43),G419*Q419)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419*(1-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419*(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419*(1-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419*(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9">
        <f>IF(C419,(H419*N419*IF(AND(Inputs!$B$38&lt;&gt;"pvp",Inputs!$B$43&gt;0),((Skills!G6*((R419-1)*IF(Skills!H6&gt;0,Skills!I6/Skills!H6,1)+IF(Skills!H6&gt;0,MIN(Skills!I6,MAX(0,MAX(0,Inputs!$B$43-B445)-((R419-1)*(IF(Inputs!$B$38="pvp",15,MAX(0.1,Skills!D6-IF(Skills!E6=TRUE,Inputs!$B$32,0)))*(1-IF(AND(ArtifactsInput!$M$27,Inputs!$B$4="Chapter Hunt"),CHOOSE(ArtifactsInput!$N$27+1,20,24,28,32,36,40),0)/100)))))/Skills!H6,1)))/Inputs!$B$43),G419*Q419))*IF(Inputs!$B$38="pvp",1,(1+(Inputs!$B$21+Skills!Q6+(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0">
      <c r="A420">
        <f>Skills!A7</f>
        <v/>
      </c>
      <c r="B420">
        <f>Skills!B7</f>
        <v/>
      </c>
      <c r="C420">
        <f>Inputs!$B$3&gt;=100</f>
        <v/>
      </c>
      <c r="D420">
        <f>IF(Skills!C7=1,60+Inputs!$B$25+Inputs!$B$29,IF(Skills!C7=2,90+Inputs!$B$26+Inputs!$B$29,IF(Skills!C7=3,120+Inputs!$B$27+Inputs!$B$29,MAX(0,(Inputs!$B$3-100)*3)+Inputs!$B$28+Inputs!$B$29)))</f>
        <v/>
      </c>
      <c r="E420">
        <f>INDEX(FactorTable!$B$2:$Y$301, MATCH(ROUND(MIN(300,MAX(1,D420)),0), FactorTable!$A$2:$A$301,0), Skills!M7+1)</f>
        <v/>
      </c>
      <c r="F420">
        <f>IF(Skills!N7=TRUE,(Skills!L7/10)*(E420/1000),Skills!L7/10)+Skills!O7</f>
        <v/>
      </c>
      <c r="G420">
        <f>Skills!G7*IF(Skills!H7&gt;0,Skills!I7/Skills!H7,1)</f>
        <v/>
      </c>
      <c r="H420">
        <f>1-(1-Skills!J7/100)^Skills!K7</f>
        <v/>
      </c>
      <c r="I420" t="inlineStr">
        <is>
          <t>1</t>
        </is>
      </c>
      <c r="J420">
        <f>((Inputs!$B$6*(1+Inputs!$B$7/100))+(((Inputs!$B$12*(1+Inputs!$B$13/100))-(Inputs!$B$12*(1+Inputs!$B$13/100)))+0.25*(Inputs!$B$14-Inputs!$B$14))*(1+Inputs!$B$7/100))*(F420/100)</f>
        <v/>
      </c>
      <c r="K420">
        <f>J420*(1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420)</f>
        <v/>
      </c>
      <c r="L420">
        <f>K420*(MIN(Inputs!$B$22+((C433=TRUE)*(F433-Calc!F20)),((Inputs!$B$23+1)+0+(IF(ArtifactsInput!$M$15,CHOOSE(ArtifactsInput!$N$15+1,25,30,35,40,45,50)/100*(Inputs!$B$11-Inputs!$B$11),0))))/100+((Inputs!$B$23+1)+0+(IF(ArtifactsInput!$M$15,CHOOSE(ArtifactsInput!$N$15+1,25,30,35,40,45,50)/100*(Inputs!$B$11-Inputs!$B$11),0)))/100)/2</f>
        <v/>
      </c>
      <c r="M420">
        <f>L420*(1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0">
        <f>L420*(1-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420*(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0">
        <f>(1-Summary!$B$11)*T420+Summary!$B$11*V420</f>
        <v/>
      </c>
      <c r="P420">
        <f>IF(B448=0,0,O420/B448)</f>
        <v/>
      </c>
      <c r="Q420">
        <f>IFERROR(1/(IF(Inputs!$B$38="pvp",15,MAX(0.1,Skills!D7-IF(Skills!E7=TRUE,Inputs!$B$32,0)))*(1-IF(AND(ArtifactsInput!$M$27,Inputs!$B$4="Chapter Hunt"),CHOOSE(ArtifactsInput!$N$27+1,20,24,28,32,36,40),0)/100)),0)</f>
        <v/>
      </c>
      <c r="R420">
        <f>IF(AND(Inputs!$B$38&lt;&gt;"pvp",Inputs!$B$43&gt;0),IF(MAX(0,Inputs!$B$43-B445)&lt;=0,0,(INT(MAX(0,Inputs!$B$43-B445)/(IF(Inputs!$B$38="pvp",15,MAX(0.1,Skills!D7-IF(Skills!E7=TRUE,Inputs!$B$32,0)))*(1-IF(AND(ArtifactsInput!$M$27,Inputs!$B$4="Chapter Hunt"),CHOOSE(ArtifactsInput!$N$27+1,20,24,28,32,36,40),0)/100)))+1)),0)</f>
        <v/>
      </c>
      <c r="S420">
        <f>IFERROR(O420/N420,0)</f>
        <v/>
      </c>
      <c r="T420">
        <f>IF(C420,(H420*N420*IF(AND(Inputs!$B$38&lt;&gt;"pvp",Inputs!$B$43&gt;0),((Skills!G7*((R420-1)*IF(Skills!H7&gt;0,Skills!I7/Skills!H7,1)+IF(Skills!H7&gt;0,MIN(Skills!I7,MAX(0,MAX(0,Inputs!$B$43-B445)-((R420-1)*(IF(Inputs!$B$38="pvp",15,MAX(0.1,Skills!D7-IF(Skills!E7=TRUE,Inputs!$B$32,0)))*(1-IF(AND(ArtifactsInput!$M$27,Inputs!$B$4="Chapter Hunt"),CHOOSE(ArtifactsInput!$N$27+1,20,24,28,32,36,40),0)/100)))))/Skills!H7,1)))/Inputs!$B$43),G420*Q420)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420*(1-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420*(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420*(1-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420*(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0">
        <f>IF(C420,(H420*N420*IF(AND(Inputs!$B$38&lt;&gt;"pvp",Inputs!$B$43&gt;0),((Skills!G7*((R420-1)*IF(Skills!H7&gt;0,Skills!I7/Skills!H7,1)+IF(Skills!H7&gt;0,MIN(Skills!I7,MAX(0,MAX(0,Inputs!$B$43-B445)-((R420-1)*(IF(Inputs!$B$38="pvp",15,MAX(0.1,Skills!D7-IF(Skills!E7=TRUE,Inputs!$B$32,0)))*(1-IF(AND(ArtifactsInput!$M$27,Inputs!$B$4="Chapter Hunt"),CHOOSE(ArtifactsInput!$N$27+1,20,24,28,32,36,40),0)/100)))))/Skills!H7,1)))/Inputs!$B$43),G420*Q420))*IF(Inputs!$B$38="pvp",1,(1+(Inputs!$B$21+Skills!Q7+(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1">
      <c r="A421">
        <f>Skills!A8</f>
        <v/>
      </c>
      <c r="B421">
        <f>Skills!B8</f>
        <v/>
      </c>
      <c r="C421">
        <f>Inputs!$B$3&gt;=110</f>
        <v/>
      </c>
      <c r="D421">
        <f>IF(Skills!C8=1,60+Inputs!$B$25+Inputs!$B$29,IF(Skills!C8=2,90+Inputs!$B$26+Inputs!$B$29,IF(Skills!C8=3,120+Inputs!$B$27+Inputs!$B$29,MAX(0,(Inputs!$B$3-100)*3)+Inputs!$B$28+Inputs!$B$29)))</f>
        <v/>
      </c>
      <c r="E421">
        <f>INDEX(FactorTable!$B$2:$Y$301, MATCH(ROUND(MIN(300,MAX(1,D421)),0), FactorTable!$A$2:$A$301,0), Skills!M8+1)</f>
        <v/>
      </c>
      <c r="F421">
        <f>IF(Skills!N8=TRUE,(Skills!L8/10)*(E421/1000),Skills!L8/10)+Skills!O8</f>
        <v/>
      </c>
      <c r="G421">
        <f>Skills!G8*IF(Skills!H8&gt;0,Skills!I8/Skills!H8,1)</f>
        <v/>
      </c>
      <c r="H421">
        <f>1-(1-Skills!J8/100)^Skills!K8</f>
        <v/>
      </c>
      <c r="I421" t="inlineStr">
        <is>
          <t>1</t>
        </is>
      </c>
      <c r="J421">
        <f>((Inputs!$B$6*(1+Inputs!$B$7/100))+(((Inputs!$B$12*(1+Inputs!$B$13/100))-(Inputs!$B$12*(1+Inputs!$B$13/100)))+0.25*(Inputs!$B$14-Inputs!$B$14))*(1+Inputs!$B$7/100))*(F421/100)</f>
        <v/>
      </c>
      <c r="K421">
        <f>J421*(1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421)</f>
        <v/>
      </c>
      <c r="L421">
        <f>K421*(MIN(Inputs!$B$22+((C433=TRUE)*(F433-Calc!F20)),((Inputs!$B$23+1)+0+(IF(ArtifactsInput!$M$15,CHOOSE(ArtifactsInput!$N$15+1,25,30,35,40,45,50)/100*(Inputs!$B$11-Inputs!$B$11),0))))/100+((Inputs!$B$23+1)+0+(IF(ArtifactsInput!$M$15,CHOOSE(ArtifactsInput!$N$15+1,25,30,35,40,45,50)/100*(Inputs!$B$11-Inputs!$B$11),0)))/100)/2</f>
        <v/>
      </c>
      <c r="M421">
        <f>L421*(1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1">
        <f>L421*(1-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1">
        <f>(1-Summary!$B$11)*T421+Summary!$B$11*V421</f>
        <v/>
      </c>
      <c r="P421">
        <f>IF(B448=0,0,O421/B448)</f>
        <v/>
      </c>
      <c r="Q421">
        <f>IFERROR(1/(IF(Inputs!$B$38="pvp",15,MAX(0.1,Skills!D8-IF(Skills!E8=TRUE,Inputs!$B$32,0)))*(1-IF(AND(ArtifactsInput!$M$27,Inputs!$B$4="Chapter Hunt"),CHOOSE(ArtifactsInput!$N$27+1,20,24,28,32,36,40),0)/100)),0)</f>
        <v/>
      </c>
      <c r="R421">
        <f>IF(AND(Inputs!$B$38&lt;&gt;"pvp",Inputs!$B$43&gt;0),IF(MAX(0,Inputs!$B$43-B445)&lt;=0,0,(INT(MAX(0,Inputs!$B$43-B445)/(IF(Inputs!$B$38="pvp",15,MAX(0.1,Skills!D8-IF(Skills!E8=TRUE,Inputs!$B$32,0)))*(1-IF(AND(ArtifactsInput!$M$27,Inputs!$B$4="Chapter Hunt"),CHOOSE(ArtifactsInput!$N$27+1,20,24,28,32,36,40),0)/100)))+1)),0)</f>
        <v/>
      </c>
      <c r="S421">
        <f>IFERROR(O421/N421,0)</f>
        <v/>
      </c>
      <c r="T421">
        <f>IF(C421,(H421*N421*IF(AND(Inputs!$B$38&lt;&gt;"pvp",Inputs!$B$43&gt;0),((Skills!G8*((R421-1)*IF(Skills!H8&gt;0,Skills!I8/Skills!H8,1)+IF(Skills!H8&gt;0,MIN(Skills!I8,MAX(0,MAX(0,Inputs!$B$43-B445)-((R421-1)*(IF(Inputs!$B$38="pvp",15,MAX(0.1,Skills!D8-IF(Skills!E8=TRUE,Inputs!$B$32,0)))*(1-IF(AND(ArtifactsInput!$M$27,Inputs!$B$4="Chapter Hunt"),CHOOSE(ArtifactsInput!$N$27+1,20,24,28,32,36,40),0)/100)))))/Skills!H8,1)))/Inputs!$B$43),G421*Q421)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421*(1-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421*(1-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1">
        <f>IF(C421,(H421*N421*IF(AND(Inputs!$B$38&lt;&gt;"pvp",Inputs!$B$43&gt;0),((Skills!G8*((R421-1)*IF(Skills!H8&gt;0,Skills!I8/Skills!H8,1)+IF(Skills!H8&gt;0,MIN(Skills!I8,MAX(0,MAX(0,Inputs!$B$43-B445)-((R421-1)*(IF(Inputs!$B$38="pvp",15,MAX(0.1,Skills!D8-IF(Skills!E8=TRUE,Inputs!$B$32,0)))*(1-IF(AND(ArtifactsInput!$M$27,Inputs!$B$4="Chapter Hunt"),CHOOSE(ArtifactsInput!$N$27+1,20,24,28,32,36,40),0)/100)))))/Skills!H8,1)))/Inputs!$B$43),G421*Q421))*IF(Inputs!$B$38="pvp",1,(1+(Inputs!$B$21+Skills!Q8+(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2">
      <c r="A422">
        <f>Skills!A9</f>
        <v/>
      </c>
      <c r="B422">
        <f>Skills!B9</f>
        <v/>
      </c>
      <c r="C422">
        <f>Inputs!$B$3&gt;=110</f>
        <v/>
      </c>
      <c r="D422">
        <f>IF(Skills!C9=1,60+Inputs!$B$25+Inputs!$B$29,IF(Skills!C9=2,90+Inputs!$B$26+Inputs!$B$29,IF(Skills!C9=3,120+Inputs!$B$27+Inputs!$B$29,MAX(0,(Inputs!$B$3-100)*3)+Inputs!$B$28+Inputs!$B$29)))</f>
        <v/>
      </c>
      <c r="E422">
        <f>INDEX(FactorTable!$B$2:$Y$301, MATCH(ROUND(MIN(300,MAX(1,D422)),0), FactorTable!$A$2:$A$301,0), Skills!M9+1)</f>
        <v/>
      </c>
      <c r="F422">
        <f>IF(Skills!N9=TRUE,(Skills!L9/10)*(E422/1000),Skills!L9/10)+Skills!O9</f>
        <v/>
      </c>
      <c r="G422">
        <f>Skills!G9*IF(Skills!H9&gt;0,Skills!I9/Skills!H9,1)</f>
        <v/>
      </c>
      <c r="H422">
        <f>1-(1-Skills!J9/100)^Skills!K9</f>
        <v/>
      </c>
      <c r="I422" t="inlineStr">
        <is>
          <t>1</t>
        </is>
      </c>
      <c r="J422">
        <f>((Inputs!$B$6*(1+Inputs!$B$7/100))+(((Inputs!$B$12*(1+Inputs!$B$13/100))-(Inputs!$B$12*(1+Inputs!$B$13/100)))+0.25*(Inputs!$B$14-Inputs!$B$14))*(1+Inputs!$B$7/100))*(F422/100)</f>
        <v/>
      </c>
      <c r="K422">
        <f>J422*(1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422)</f>
        <v/>
      </c>
      <c r="L422">
        <f>K422*(MIN(Inputs!$B$22+((C433=TRUE)*(F433-Calc!F20)),((Inputs!$B$23+1)+0+(IF(ArtifactsInput!$M$15,CHOOSE(ArtifactsInput!$N$15+1,25,30,35,40,45,50)/100*(Inputs!$B$11-Inputs!$B$11),0))))/100+((Inputs!$B$23+1)+0+(IF(ArtifactsInput!$M$15,CHOOSE(ArtifactsInput!$N$15+1,25,30,35,40,45,50)/100*(Inputs!$B$11-Inputs!$B$11),0)))/100)/2</f>
        <v/>
      </c>
      <c r="M422">
        <f>L422*(1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2">
        <f>L422*(1-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422*(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2">
        <f>(1-Summary!$B$11)*T422+Summary!$B$11*V422</f>
        <v/>
      </c>
      <c r="P422">
        <f>IF(B448=0,0,O422/B448)</f>
        <v/>
      </c>
      <c r="Q422">
        <f>IFERROR(1/(IF(Inputs!$B$38="pvp",15,MAX(0.1,Skills!D9-IF(Skills!E9=TRUE,Inputs!$B$32,0)))*(1-IF(AND(ArtifactsInput!$M$27,Inputs!$B$4="Chapter Hunt"),CHOOSE(ArtifactsInput!$N$27+1,20,24,28,32,36,40),0)/100)),0)</f>
        <v/>
      </c>
      <c r="R422">
        <f>IF(AND(Inputs!$B$38&lt;&gt;"pvp",Inputs!$B$43&gt;0),IF(MAX(0,Inputs!$B$43-B445)&lt;=0,0,(INT(MAX(0,Inputs!$B$43-B445)/(IF(Inputs!$B$38="pvp",15,MAX(0.1,Skills!D9-IF(Skills!E9=TRUE,Inputs!$B$32,0)))*(1-IF(AND(ArtifactsInput!$M$27,Inputs!$B$4="Chapter Hunt"),CHOOSE(ArtifactsInput!$N$27+1,20,24,28,32,36,40),0)/100)))+1)),0)</f>
        <v/>
      </c>
      <c r="S422">
        <f>IFERROR(O422/N422,0)</f>
        <v/>
      </c>
      <c r="T422">
        <f>IF(C422,(H422*N422*IF(AND(Inputs!$B$38&lt;&gt;"pvp",Inputs!$B$43&gt;0),((Skills!G9*((R422-1)*IF(Skills!H9&gt;0,Skills!I9/Skills!H9,1)+IF(Skills!H9&gt;0,MIN(Skills!I9,MAX(0,MAX(0,Inputs!$B$43-B445)-((R422-1)*(IF(Inputs!$B$38="pvp",15,MAX(0.1,Skills!D9-IF(Skills!E9=TRUE,Inputs!$B$32,0)))*(1-IF(AND(ArtifactsInput!$M$27,Inputs!$B$4="Chapter Hunt"),CHOOSE(ArtifactsInput!$N$27+1,20,24,28,32,36,40),0)/100)))))/Skills!H9,1)))/Inputs!$B$43),G422*Q422)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422*(1-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422*(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422*(1-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422*(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2">
        <f>IF(C422,(H422*N422*IF(AND(Inputs!$B$38&lt;&gt;"pvp",Inputs!$B$43&gt;0),((Skills!G9*((R422-1)*IF(Skills!H9&gt;0,Skills!I9/Skills!H9,1)+IF(Skills!H9&gt;0,MIN(Skills!I9,MAX(0,MAX(0,Inputs!$B$43-B445)-((R422-1)*(IF(Inputs!$B$38="pvp",15,MAX(0.1,Skills!D9-IF(Skills!E9=TRUE,Inputs!$B$32,0)))*(1-IF(AND(ArtifactsInput!$M$27,Inputs!$B$4="Chapter Hunt"),CHOOSE(ArtifactsInput!$N$27+1,20,24,28,32,36,40),0)/100)))))/Skills!H9,1)))/Inputs!$B$43),G422*Q422))*IF(Inputs!$B$38="pvp",1,(1+(Inputs!$B$21+Skills!Q9+(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3">
      <c r="A423">
        <f>Skills!A10</f>
        <v/>
      </c>
      <c r="B423">
        <f>Skills!B10</f>
        <v/>
      </c>
      <c r="C423">
        <f>Inputs!$B$3&gt;=103</f>
        <v/>
      </c>
      <c r="D423">
        <f>IF(Skills!C10=1,60+Inputs!$B$25+Inputs!$B$29,IF(Skills!C10=2,90+Inputs!$B$26+Inputs!$B$29,IF(Skills!C10=3,120+Inputs!$B$27+Inputs!$B$29,MAX(0,(Inputs!$B$3-100)*3)+Inputs!$B$28+Inputs!$B$29)))</f>
        <v/>
      </c>
      <c r="E423">
        <f>INDEX(FactorTable!$B$2:$Y$301, MATCH(ROUND(MIN(300,MAX(1,D423)),0), FactorTable!$A$2:$A$301,0), Skills!M10+1)</f>
        <v/>
      </c>
      <c r="F423">
        <f>IF(Skills!N10=TRUE,(Skills!L10/10)*(E423/1000),Skills!L10/10)+Skills!O10</f>
        <v/>
      </c>
      <c r="G423">
        <f>Skills!G10*IF(Skills!H10&gt;0,Skills!I10/Skills!H10,1)</f>
        <v/>
      </c>
      <c r="H423">
        <f>1-(1-Skills!J10/100)^Skills!K10</f>
        <v/>
      </c>
      <c r="I423" t="inlineStr">
        <is>
          <t>1</t>
        </is>
      </c>
      <c r="J423">
        <f>((Inputs!$B$6*(1+Inputs!$B$7/100))+(((Inputs!$B$12*(1+Inputs!$B$13/100))-(Inputs!$B$12*(1+Inputs!$B$13/100)))+0.25*(Inputs!$B$14-Inputs!$B$14))*(1+Inputs!$B$7/100))*(F423/100)</f>
        <v/>
      </c>
      <c r="K423">
        <f>J423*(1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423)</f>
        <v/>
      </c>
      <c r="L423">
        <f>K423*(MIN(Inputs!$B$22+((C433=TRUE)*(F433-Calc!F20)),((Inputs!$B$23+1)+0+(IF(ArtifactsInput!$M$15,CHOOSE(ArtifactsInput!$N$15+1,25,30,35,40,45,50)/100*(Inputs!$B$11-Inputs!$B$11),0))))/100+((Inputs!$B$23+1)+0+(IF(ArtifactsInput!$M$15,CHOOSE(ArtifactsInput!$N$15+1,25,30,35,40,45,50)/100*(Inputs!$B$11-Inputs!$B$11),0)))/100)/2</f>
        <v/>
      </c>
      <c r="M423">
        <f>L423*(1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3">
        <f>L423*(1-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423*(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3">
        <f>(1-Summary!$B$11)*T423+Summary!$B$11*V423</f>
        <v/>
      </c>
      <c r="P423">
        <f>IF(B448=0,0,O423/B448)</f>
        <v/>
      </c>
      <c r="Q423">
        <f>IFERROR(1/(IF(Inputs!$B$38="pvp",15,MAX(0.1,Skills!D10-IF(Skills!E10=TRUE,Inputs!$B$32,0)))*(1-IF(AND(ArtifactsInput!$M$27,Inputs!$B$4="Chapter Hunt"),CHOOSE(ArtifactsInput!$N$27+1,20,24,28,32,36,40),0)/100)),0)</f>
        <v/>
      </c>
      <c r="R423">
        <f>IF(AND(Inputs!$B$38&lt;&gt;"pvp",Inputs!$B$43&gt;0),IF(MAX(0,Inputs!$B$43-B445)&lt;=0,0,(INT(MAX(0,Inputs!$B$43-B445)/(IF(Inputs!$B$38="pvp",15,MAX(0.1,Skills!D10-IF(Skills!E10=TRUE,Inputs!$B$32,0)))*(1-IF(AND(ArtifactsInput!$M$27,Inputs!$B$4="Chapter Hunt"),CHOOSE(ArtifactsInput!$N$27+1,20,24,28,32,36,40),0)/100)))+1)),0)</f>
        <v/>
      </c>
      <c r="S423">
        <f>IFERROR(O423/N423,0)</f>
        <v/>
      </c>
      <c r="T423">
        <f>IF(C423,(H423*N423*IF(AND(Inputs!$B$38&lt;&gt;"pvp",Inputs!$B$43&gt;0),((Skills!G10*((R423-1)*IF(Skills!H10&gt;0,Skills!I10/Skills!H10,1)+IF(Skills!H10&gt;0,MIN(Skills!I10,MAX(0,MAX(0,Inputs!$B$43-B445)-((R423-1)*(IF(Inputs!$B$38="pvp",15,MAX(0.1,Skills!D10-IF(Skills!E10=TRUE,Inputs!$B$32,0)))*(1-IF(AND(ArtifactsInput!$M$27,Inputs!$B$4="Chapter Hunt"),CHOOSE(ArtifactsInput!$N$27+1,20,24,28,32,36,40),0)/100)))))/Skills!H10,1)))/Inputs!$B$43),G423*Q423)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423*(1-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423*(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423*(1-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423*(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3">
        <f>IF(C423,(H423*N423*IF(AND(Inputs!$B$38&lt;&gt;"pvp",Inputs!$B$43&gt;0),((Skills!G10*((R423-1)*IF(Skills!H10&gt;0,Skills!I10/Skills!H10,1)+IF(Skills!H10&gt;0,MIN(Skills!I10,MAX(0,MAX(0,Inputs!$B$43-B445)-((R423-1)*(IF(Inputs!$B$38="pvp",15,MAX(0.1,Skills!D10-IF(Skills!E10=TRUE,Inputs!$B$32,0)))*(1-IF(AND(ArtifactsInput!$M$27,Inputs!$B$4="Chapter Hunt"),CHOOSE(ArtifactsInput!$N$27+1,20,24,28,32,36,40),0)/100)))))/Skills!H10,1)))/Inputs!$B$43),G423*Q423))*IF(Inputs!$B$38="pvp",1,(1+(Inputs!$B$21+Skills!Q10+(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4">
      <c r="A424">
        <f>Skills!A11</f>
        <v/>
      </c>
      <c r="B424">
        <f>Skills!B11</f>
        <v/>
      </c>
      <c r="C424">
        <f>Inputs!$B$3&gt;=113</f>
        <v/>
      </c>
      <c r="D424">
        <f>IF(Skills!C11=1,60+Inputs!$B$25+Inputs!$B$29,IF(Skills!C11=2,90+Inputs!$B$26+Inputs!$B$29,IF(Skills!C11=3,120+Inputs!$B$27+Inputs!$B$29,MAX(0,(Inputs!$B$3-100)*3)+Inputs!$B$28+Inputs!$B$29)))</f>
        <v/>
      </c>
      <c r="E424">
        <f>INDEX(FactorTable!$B$2:$Y$301, MATCH(ROUND(MIN(300,MAX(1,D424)),0), FactorTable!$A$2:$A$301,0), Skills!M11+1)</f>
        <v/>
      </c>
      <c r="F424">
        <f>IF(Skills!N11=TRUE,(Skills!L11/10)*(E424/1000),Skills!L11/10)+Skills!O11</f>
        <v/>
      </c>
      <c r="G424">
        <f>Skills!G11*IF(Skills!H11&gt;0,Skills!I11/Skills!H11,1)</f>
        <v/>
      </c>
      <c r="H424">
        <f>1-(1-Skills!J11/100)^Skills!K11</f>
        <v/>
      </c>
      <c r="I424" t="inlineStr">
        <is>
          <t>1</t>
        </is>
      </c>
      <c r="J424">
        <f>((Inputs!$B$6*(1+Inputs!$B$7/100))+(((Inputs!$B$12*(1+Inputs!$B$13/100))-(Inputs!$B$12*(1+Inputs!$B$13/100)))+0.25*(Inputs!$B$14-Inputs!$B$14))*(1+Inputs!$B$7/100))*(F424/100)</f>
        <v/>
      </c>
      <c r="K424">
        <f>J424*(1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
      </c>
      <c r="L424">
        <f>K424*(MIN(Inputs!$B$22+((C433=TRUE)*(F433-Calc!F20)),((Inputs!$B$23+1)+0+(IF(ArtifactsInput!$M$15,CHOOSE(ArtifactsInput!$N$15+1,25,30,35,40,45,50)/100*(Inputs!$B$11-Inputs!$B$11),0))))/100+((Inputs!$B$23+1)+0+(IF(ArtifactsInput!$M$15,CHOOSE(ArtifactsInput!$N$15+1,25,30,35,40,45,50)/100*(Inputs!$B$11-Inputs!$B$11),0)))/100)/2</f>
        <v/>
      </c>
      <c r="M424">
        <f>L424*(1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4">
        <f>L424*(1-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4">
        <f>(1-Summary!$B$11)*T424+Summary!$B$11*V424</f>
        <v/>
      </c>
      <c r="P424">
        <f>IF(B448=0,0,O424/B448)</f>
        <v/>
      </c>
      <c r="Q424">
        <f>IFERROR(1/(IF(Inputs!$B$38="pvp",15,MAX(0.1,Skills!D11-IF(Skills!E11=TRUE,Inputs!$B$32,0)))*(1-IF(AND(ArtifactsInput!$M$27,Inputs!$B$4="Chapter Hunt"),CHOOSE(ArtifactsInput!$N$27+1,20,24,28,32,36,40),0)/100)),0)</f>
        <v/>
      </c>
      <c r="R424">
        <f>IF(AND(Inputs!$B$38&lt;&gt;"pvp",Inputs!$B$43&gt;0),IF(MAX(0,Inputs!$B$43-B445)&lt;=0,0,(INT(MAX(0,Inputs!$B$43-B445)/(IF(Inputs!$B$38="pvp",15,MAX(0.1,Skills!D11-IF(Skills!E11=TRUE,Inputs!$B$32,0)))*(1-IF(AND(ArtifactsInput!$M$27,Inputs!$B$4="Chapter Hunt"),CHOOSE(ArtifactsInput!$N$27+1,20,24,28,32,36,40),0)/100)))+1)),0)</f>
        <v/>
      </c>
      <c r="S424">
        <f>IFERROR(O424/N424,0)</f>
        <v/>
      </c>
      <c r="T424">
        <f>IF(C424,(H424*N424*IF(AND(Inputs!$B$38&lt;&gt;"pvp",Inputs!$B$43&gt;0),((Skills!G11*((R424-1)*IF(Skills!H11&gt;0,Skills!I11/Skills!H11,1)+IF(Skills!H11&gt;0,MIN(Skills!I11,MAX(0,MAX(0,Inputs!$B$43-B445)-((R424-1)*(IF(Inputs!$B$38="pvp",15,MAX(0.1,Skills!D11-IF(Skills!E11=TRUE,Inputs!$B$32,0)))*(1-IF(AND(ArtifactsInput!$M$27,Inputs!$B$4="Chapter Hunt"),CHOOSE(ArtifactsInput!$N$27+1,20,24,28,32,36,40),0)/100)))))/Skills!H11,1)))/Inputs!$B$43),G424*Q424)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424*(1-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4">
        <f>IF(C424,(H424*N424*IF(AND(Inputs!$B$38&lt;&gt;"pvp",Inputs!$B$43&gt;0),((Skills!G11*((R424-1)*IF(Skills!H11&gt;0,Skills!I11/Skills!H11,1)+IF(Skills!H11&gt;0,MIN(Skills!I11,MAX(0,MAX(0,Inputs!$B$43-B445)-((R424-1)*(IF(Inputs!$B$38="pvp",15,MAX(0.1,Skills!D11-IF(Skills!E11=TRUE,Inputs!$B$32,0)))*(1-IF(AND(ArtifactsInput!$M$27,Inputs!$B$4="Chapter Hunt"),CHOOSE(ArtifactsInput!$N$27+1,20,24,28,32,36,40),0)/100)))))/Skills!H11,1)))/Inputs!$B$43),G424*Q424))*IF(Inputs!$B$38="pvp",1,(1+(Inputs!$B$21+Skills!Q11+(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5">
      <c r="A425">
        <f>Skills!A12</f>
        <v/>
      </c>
      <c r="B425">
        <f>Skills!B12</f>
        <v/>
      </c>
      <c r="C425">
        <f>Inputs!$B$3&gt;=100</f>
        <v/>
      </c>
      <c r="D425">
        <f>IF(Skills!C12=1,60+Inputs!$B$25+Inputs!$B$29,IF(Skills!C12=2,90+Inputs!$B$26+Inputs!$B$29,IF(Skills!C12=3,120+Inputs!$B$27+Inputs!$B$29,MAX(0,(Inputs!$B$3-100)*3)+Inputs!$B$28+Inputs!$B$29)))</f>
        <v/>
      </c>
      <c r="E425">
        <f>INDEX(FactorTable!$B$2:$Y$301, MATCH(ROUND(MIN(300,MAX(1,D425)),0), FactorTable!$A$2:$A$301,0), Skills!M12+1)</f>
        <v/>
      </c>
      <c r="F425">
        <f>IF(Skills!N12=TRUE,(Skills!L12/10)*(E425/1000),Skills!L12/10)+Skills!O12</f>
        <v/>
      </c>
      <c r="G425" t="inlineStr"/>
      <c r="H425" t="inlineStr"/>
      <c r="I425" t="inlineStr">
        <is>
          <t>1</t>
        </is>
      </c>
      <c r="J425" t="inlineStr"/>
      <c r="K425" t="inlineStr"/>
      <c r="L425" t="inlineStr"/>
      <c r="M425" t="inlineStr"/>
      <c r="N425" t="inlineStr"/>
      <c r="O425" t="inlineStr"/>
      <c r="P425" t="inlineStr"/>
      <c r="Q425" t="inlineStr"/>
      <c r="R425" t="inlineStr"/>
      <c r="S425" t="inlineStr"/>
      <c r="T425" t="inlineStr"/>
      <c r="V425" t="inlineStr"/>
    </row>
    <row r="426">
      <c r="A426">
        <f>Skills!A13</f>
        <v/>
      </c>
      <c r="B426">
        <f>Skills!B13</f>
        <v/>
      </c>
      <c r="C426">
        <f>Inputs!$B$3&gt;=66</f>
        <v/>
      </c>
      <c r="D426">
        <f>IF(Skills!C13=1,60+Inputs!$B$25+Inputs!$B$29,IF(Skills!C13=2,90+Inputs!$B$26+Inputs!$B$29,IF(Skills!C13=3,120+Inputs!$B$27+Inputs!$B$29,MAX(0,(Inputs!$B$3-100)*3)+Inputs!$B$28+Inputs!$B$29)))</f>
        <v/>
      </c>
      <c r="E426">
        <f>INDEX(FactorTable!$B$2:$Y$301, MATCH(ROUND(MIN(300,MAX(1,D426)),0), FactorTable!$A$2:$A$301,0), Skills!M13+1)</f>
        <v/>
      </c>
      <c r="F426">
        <f>IF(Skills!N13=TRUE,(Skills!L13/10)*(E426/1000),Skills!L13/10)+Skills!O13</f>
        <v/>
      </c>
      <c r="G426">
        <f>Skills!G13*IF(Skills!H13&gt;0,Skills!I13/Skills!H13,1)</f>
        <v/>
      </c>
      <c r="H426">
        <f>1-(1-Skills!J13/100)^Skills!K13</f>
        <v/>
      </c>
      <c r="I426" t="inlineStr">
        <is>
          <t>1</t>
        </is>
      </c>
      <c r="J426" t="inlineStr"/>
      <c r="K426" t="inlineStr"/>
      <c r="L426" t="inlineStr"/>
      <c r="M426" t="inlineStr"/>
      <c r="N426" t="inlineStr"/>
      <c r="O426">
        <f>(1-Summary!$B$11)*T426+Summary!$B$11*V426</f>
        <v/>
      </c>
      <c r="P426">
        <f>IF(B448=0,0,O426/B448)</f>
        <v/>
      </c>
      <c r="Q426" t="n">
        <v>0</v>
      </c>
      <c r="R426" t="n">
        <v>0</v>
      </c>
      <c r="S426">
        <f>IFERROR(O426/N426,0)</f>
        <v/>
      </c>
      <c r="T426" t="n">
        <v>0</v>
      </c>
      <c r="V426" t="n">
        <v>0</v>
      </c>
    </row>
    <row r="427">
      <c r="A427">
        <f>Skills!A14</f>
        <v/>
      </c>
      <c r="B427">
        <f>Skills!B14</f>
        <v/>
      </c>
      <c r="C427">
        <f>Inputs!$B$3&gt;=107</f>
        <v/>
      </c>
      <c r="D427">
        <f>IF(Skills!C14=1,60+Inputs!$B$25+Inputs!$B$29,IF(Skills!C14=2,90+Inputs!$B$26+Inputs!$B$29,IF(Skills!C14=3,120+Inputs!$B$27+Inputs!$B$29,MAX(0,(Inputs!$B$3-100)*3)+Inputs!$B$28+Inputs!$B$29)))</f>
        <v/>
      </c>
      <c r="E427">
        <f>INDEX(FactorTable!$B$2:$Y$301, MATCH(ROUND(MIN(300,MAX(1,D427)),0), FactorTable!$A$2:$A$301,0), Skills!M14+1)</f>
        <v/>
      </c>
      <c r="F427">
        <f>IF(Skills!N14=TRUE,(Skills!L14/10)*(E427/1000),Skills!L14/10)+Skills!O14</f>
        <v/>
      </c>
      <c r="G427">
        <f>Skills!G14*IF(Skills!H14&gt;0,Skills!I14/Skills!H14,1)</f>
        <v/>
      </c>
      <c r="H427">
        <f>1-(1-Skills!J14/100)^Skills!K14</f>
        <v/>
      </c>
      <c r="I427" t="inlineStr">
        <is>
          <t>1</t>
        </is>
      </c>
      <c r="J427" t="inlineStr"/>
      <c r="K427" t="inlineStr"/>
      <c r="L427" t="inlineStr"/>
      <c r="M427" t="inlineStr"/>
      <c r="N427" t="inlineStr"/>
      <c r="O427">
        <f>(1-Summary!$B$11)*T427+Summary!$B$11*V427</f>
        <v/>
      </c>
      <c r="P427">
        <f>IF(B448=0,0,O427/B448)</f>
        <v/>
      </c>
      <c r="Q427" t="n">
        <v>0</v>
      </c>
      <c r="R427" t="n">
        <v>0</v>
      </c>
      <c r="S427">
        <f>IFERROR(O427/N427,0)</f>
        <v/>
      </c>
      <c r="T427" t="n">
        <v>0</v>
      </c>
      <c r="V427" t="n">
        <v>0</v>
      </c>
    </row>
    <row r="428">
      <c r="A428">
        <f>Skills!A15</f>
        <v/>
      </c>
      <c r="B428">
        <f>Skills!B15</f>
        <v/>
      </c>
      <c r="C428">
        <f>Inputs!$B$3&gt;=115</f>
        <v/>
      </c>
      <c r="D428">
        <f>IF(Skills!C15=1,60+Inputs!$B$25+Inputs!$B$29,IF(Skills!C15=2,90+Inputs!$B$26+Inputs!$B$29,IF(Skills!C15=3,120+Inputs!$B$27+Inputs!$B$29,MAX(0,(Inputs!$B$3-100)*3)+Inputs!$B$28+Inputs!$B$29)))</f>
        <v/>
      </c>
      <c r="E428">
        <f>INDEX(FactorTable!$B$2:$Y$301, MATCH(ROUND(MIN(300,MAX(1,D428)),0), FactorTable!$A$2:$A$301,0), Skills!M15+1)</f>
        <v/>
      </c>
      <c r="F428">
        <f>IF(Skills!N15=TRUE,(Skills!L15/10)*(E428/1000),Skills!L15/10)+Skills!O15</f>
        <v/>
      </c>
      <c r="G428">
        <f>Skills!G15*IF(Skills!H15&gt;0,Skills!I15/Skills!H15,1)</f>
        <v/>
      </c>
      <c r="H428">
        <f>1-(1-Skills!J15/100)^Skills!K15</f>
        <v/>
      </c>
      <c r="I428" t="inlineStr">
        <is>
          <t>1</t>
        </is>
      </c>
      <c r="J428" t="inlineStr"/>
      <c r="K428" t="inlineStr"/>
      <c r="L428" t="inlineStr"/>
      <c r="M428" t="inlineStr"/>
      <c r="N428" t="inlineStr"/>
      <c r="O428">
        <f>(1-Summary!$B$11)*T428+Summary!$B$11*V428</f>
        <v/>
      </c>
      <c r="P428">
        <f>IF(B448=0,0,O428/B448)</f>
        <v/>
      </c>
      <c r="Q428" t="n">
        <v>0</v>
      </c>
      <c r="R428" t="n">
        <v>0</v>
      </c>
      <c r="S428">
        <f>IFERROR(O428/N428,0)</f>
        <v/>
      </c>
      <c r="T428" t="n">
        <v>0</v>
      </c>
      <c r="V428" t="n">
        <v>0</v>
      </c>
    </row>
    <row r="429">
      <c r="A429">
        <f>Skills!A16</f>
        <v/>
      </c>
      <c r="B429">
        <f>Skills!B16</f>
        <v/>
      </c>
      <c r="C429">
        <f>Inputs!$B$3&gt;=15</f>
        <v/>
      </c>
      <c r="D429">
        <f>IF(Skills!C16=1,60+Inputs!$B$25+Inputs!$B$29,IF(Skills!C16=2,90+Inputs!$B$26+Inputs!$B$29,IF(Skills!C16=3,120+Inputs!$B$27+Inputs!$B$29,MAX(0,(Inputs!$B$3-100)*3)+Inputs!$B$28+Inputs!$B$29)))</f>
        <v/>
      </c>
      <c r="E429">
        <f>INDEX(FactorTable!$B$2:$Y$301, MATCH(ROUND(MIN(300,MAX(1,D429)),0), FactorTable!$A$2:$A$301,0), Skills!M16+1)</f>
        <v/>
      </c>
      <c r="F429">
        <f>IF(Skills!N16=TRUE,(Skills!L16/10)*(E429/1000),Skills!L16/10)+Skills!O16</f>
        <v/>
      </c>
      <c r="G429">
        <f>Skills!G16*IF(Skills!H16&gt;0,Skills!I16/Skills!H16,1)</f>
        <v/>
      </c>
      <c r="H429">
        <f>1-(1-Skills!J16/100)^Skills!K16</f>
        <v/>
      </c>
      <c r="I429" t="inlineStr">
        <is>
          <t>1</t>
        </is>
      </c>
      <c r="J429" t="inlineStr"/>
      <c r="K429" t="inlineStr"/>
      <c r="L429" t="inlineStr"/>
      <c r="M429" t="inlineStr"/>
      <c r="N429" t="inlineStr"/>
      <c r="O429">
        <f>(1-Summary!$B$11)*T429+Summary!$B$11*V429</f>
        <v/>
      </c>
      <c r="P429">
        <f>IF(B448=0,0,O429/B448)</f>
        <v/>
      </c>
      <c r="Q429" t="n">
        <v>0</v>
      </c>
      <c r="R429" t="n">
        <v>0</v>
      </c>
      <c r="S429">
        <f>IFERROR(O429/N429,0)</f>
        <v/>
      </c>
      <c r="T429" t="n">
        <v>0</v>
      </c>
      <c r="V429" t="n">
        <v>0</v>
      </c>
    </row>
    <row r="430">
      <c r="A430">
        <f>Skills!A17</f>
        <v/>
      </c>
      <c r="B430">
        <f>Skills!B17</f>
        <v/>
      </c>
      <c r="C430">
        <f>Inputs!$B$3&gt;=10</f>
        <v/>
      </c>
      <c r="D430">
        <f>IF(Skills!C17=1,60+Inputs!$B$25+Inputs!$B$29,IF(Skills!C17=2,90+Inputs!$B$26+Inputs!$B$29,IF(Skills!C17=3,120+Inputs!$B$27+Inputs!$B$29,MAX(0,(Inputs!$B$3-100)*3)+Inputs!$B$28+Inputs!$B$29)))</f>
        <v/>
      </c>
      <c r="E430">
        <f>INDEX(FactorTable!$B$2:$Y$301, MATCH(ROUND(MIN(300,MAX(1,D430)),0), FactorTable!$A$2:$A$301,0), Skills!M17+1)</f>
        <v/>
      </c>
      <c r="F430">
        <f>IF(Skills!N17=TRUE,(Skills!L17/10)*(E430/1000),Skills!L17/10)+Skills!O17</f>
        <v/>
      </c>
      <c r="G430">
        <f>Skills!G17*IF(Skills!H17&gt;0,Skills!I17/Skills!H17,1)</f>
        <v/>
      </c>
      <c r="H430">
        <f>1-(1-Skills!J17/100)^Skills!K17</f>
        <v/>
      </c>
      <c r="I430" t="inlineStr">
        <is>
          <t>1</t>
        </is>
      </c>
      <c r="J430" t="inlineStr"/>
      <c r="K430" t="inlineStr"/>
      <c r="L430" t="inlineStr"/>
      <c r="M430" t="inlineStr"/>
      <c r="N430" t="inlineStr"/>
      <c r="O430">
        <f>(1-Summary!$B$11)*T430+Summary!$B$11*V430</f>
        <v/>
      </c>
      <c r="P430">
        <f>IF(B448=0,0,O430/B448)</f>
        <v/>
      </c>
      <c r="Q430" t="n">
        <v>0</v>
      </c>
      <c r="R430" t="n">
        <v>0</v>
      </c>
      <c r="S430">
        <f>IFERROR(O430/N430,0)</f>
        <v/>
      </c>
      <c r="T430" t="n">
        <v>0</v>
      </c>
      <c r="V430" t="n">
        <v>0</v>
      </c>
    </row>
    <row r="431">
      <c r="A431">
        <f>Skills!A18</f>
        <v/>
      </c>
      <c r="B431">
        <f>Skills!B18</f>
        <v/>
      </c>
      <c r="C431">
        <f>Inputs!$B$3&gt;=33</f>
        <v/>
      </c>
      <c r="D431">
        <f>IF(Skills!C18=1,60+Inputs!$B$25+Inputs!$B$29,IF(Skills!C18=2,90+Inputs!$B$26+Inputs!$B$29,IF(Skills!C18=3,120+Inputs!$B$27+Inputs!$B$29,MAX(0,(Inputs!$B$3-100)*3)+Inputs!$B$28+Inputs!$B$29)))</f>
        <v/>
      </c>
      <c r="E431">
        <f>INDEX(FactorTable!$B$2:$Y$301, MATCH(ROUND(MIN(300,MAX(1,D431)),0), FactorTable!$A$2:$A$301,0), Skills!M18+1)</f>
        <v/>
      </c>
      <c r="F431">
        <f>IF(Skills!N18=TRUE,(Skills!L18/10)*(E431/1000),Skills!L18/10)+Skills!O18</f>
        <v/>
      </c>
      <c r="G431">
        <f>Skills!G18*IF(Skills!H18&gt;0,Skills!I18/Skills!H18,1)</f>
        <v/>
      </c>
      <c r="H431">
        <f>1-(1-Skills!J18/100)^Skills!K18</f>
        <v/>
      </c>
      <c r="I431" t="inlineStr">
        <is>
          <t>1</t>
        </is>
      </c>
      <c r="J431" t="inlineStr"/>
      <c r="K431" t="inlineStr"/>
      <c r="L431" t="inlineStr"/>
      <c r="M431" t="inlineStr"/>
      <c r="N431" t="inlineStr"/>
      <c r="O431">
        <f>(1-Summary!$B$11)*T431+Summary!$B$11*V431</f>
        <v/>
      </c>
      <c r="P431">
        <f>IF(B448=0,0,O431/B448)</f>
        <v/>
      </c>
      <c r="Q431" t="n">
        <v>0</v>
      </c>
      <c r="R431" t="n">
        <v>0</v>
      </c>
      <c r="S431">
        <f>IFERROR(O431/N431,0)</f>
        <v/>
      </c>
      <c r="T431" t="n">
        <v>0</v>
      </c>
      <c r="V431" t="n">
        <v>0</v>
      </c>
    </row>
    <row r="432">
      <c r="A432">
        <f>Skills!A19</f>
        <v/>
      </c>
      <c r="B432">
        <f>Skills!B19</f>
        <v/>
      </c>
      <c r="C432">
        <f>Inputs!$B$3&gt;=40</f>
        <v/>
      </c>
      <c r="D432">
        <f>IF(Skills!C19=1,60+Inputs!$B$25+Inputs!$B$29,IF(Skills!C19=2,90+Inputs!$B$26+Inputs!$B$29,IF(Skills!C19=3,120+Inputs!$B$27+Inputs!$B$29,MAX(0,(Inputs!$B$3-100)*3)+Inputs!$B$28+Inputs!$B$29)))</f>
        <v/>
      </c>
      <c r="E432">
        <f>INDEX(FactorTable!$B$2:$Y$301, MATCH(ROUND(MIN(300,MAX(1,D432)),0), FactorTable!$A$2:$A$301,0), Skills!M19+1)</f>
        <v/>
      </c>
      <c r="F432">
        <f>IF(Skills!N19=TRUE,(Skills!L19/10)*(E432/1000),Skills!L19/10)+Skills!O19</f>
        <v/>
      </c>
      <c r="G432">
        <f>Skills!G19*IF(Skills!H19&gt;0,Skills!I19/Skills!H19,1)</f>
        <v/>
      </c>
      <c r="H432">
        <f>1-(1-Skills!J19/100)^Skills!K19</f>
        <v/>
      </c>
      <c r="I432" t="inlineStr">
        <is>
          <t>1</t>
        </is>
      </c>
      <c r="J432" t="inlineStr"/>
      <c r="K432" t="inlineStr"/>
      <c r="L432" t="inlineStr"/>
      <c r="M432" t="inlineStr"/>
      <c r="N432" t="inlineStr"/>
      <c r="O432">
        <f>(1-Summary!$B$11)*T432+Summary!$B$11*V432</f>
        <v/>
      </c>
      <c r="P432">
        <f>IF(B448=0,0,O432/B448)</f>
        <v/>
      </c>
      <c r="Q432" t="n">
        <v>0</v>
      </c>
      <c r="R432" t="n">
        <v>0</v>
      </c>
      <c r="S432">
        <f>IFERROR(O432/N432,0)</f>
        <v/>
      </c>
      <c r="T432" t="n">
        <v>0</v>
      </c>
      <c r="V432" t="n">
        <v>0</v>
      </c>
    </row>
    <row r="433">
      <c r="A433">
        <f>Skills!A20</f>
        <v/>
      </c>
      <c r="B433">
        <f>Skills!B20</f>
        <v/>
      </c>
      <c r="C433">
        <f>Inputs!$B$3&gt;=43</f>
        <v/>
      </c>
      <c r="D433">
        <f>IF(Skills!C20=1,60+Inputs!$B$25+Inputs!$B$29,IF(Skills!C20=2,90+Inputs!$B$26+Inputs!$B$29,IF(Skills!C20=3,120+Inputs!$B$27+Inputs!$B$29,MAX(0,(Inputs!$B$3-100)*3)+Inputs!$B$28+Inputs!$B$29)))</f>
        <v/>
      </c>
      <c r="E433">
        <f>INDEX(FactorTable!$B$2:$Y$301, MATCH(ROUND(MIN(300,MAX(1,D433)),0), FactorTable!$A$2:$A$301,0), Skills!M20+1)</f>
        <v/>
      </c>
      <c r="F433">
        <f>IF(Skills!N20=TRUE,(Skills!L20/10)*(E433/1000),Skills!L20/10)+Skills!O20</f>
        <v/>
      </c>
      <c r="G433">
        <f>Skills!G20*IF(Skills!H20&gt;0,Skills!I20/Skills!H20,1)</f>
        <v/>
      </c>
      <c r="H433">
        <f>1-(1-Skills!J20/100)^Skills!K20</f>
        <v/>
      </c>
      <c r="I433" t="inlineStr">
        <is>
          <t>1</t>
        </is>
      </c>
      <c r="J433" t="inlineStr"/>
      <c r="K433" t="inlineStr"/>
      <c r="L433" t="inlineStr"/>
      <c r="M433" t="inlineStr"/>
      <c r="N433" t="inlineStr"/>
      <c r="O433">
        <f>(1-Summary!$B$11)*T433+Summary!$B$11*V433</f>
        <v/>
      </c>
      <c r="P433">
        <f>IF(B448=0,0,O433/B448)</f>
        <v/>
      </c>
      <c r="Q433" t="n">
        <v>0</v>
      </c>
      <c r="R433" t="n">
        <v>0</v>
      </c>
      <c r="S433">
        <f>IFERROR(O433/N433,0)</f>
        <v/>
      </c>
      <c r="T433" t="n">
        <v>0</v>
      </c>
      <c r="V433" t="n">
        <v>0</v>
      </c>
    </row>
    <row r="434">
      <c r="A434">
        <f>Skills!A21</f>
        <v/>
      </c>
      <c r="B434">
        <f>Skills!B21</f>
        <v/>
      </c>
      <c r="C434">
        <f>Inputs!$B$3&gt;=38</f>
        <v/>
      </c>
      <c r="D434">
        <f>IF(Skills!C21=1,60+Inputs!$B$25+Inputs!$B$29,IF(Skills!C21=2,90+Inputs!$B$26+Inputs!$B$29,IF(Skills!C21=3,120+Inputs!$B$27+Inputs!$B$29,MAX(0,(Inputs!$B$3-100)*3)+Inputs!$B$28+Inputs!$B$29)))</f>
        <v/>
      </c>
      <c r="E434">
        <f>INDEX(FactorTable!$B$2:$Y$301, MATCH(ROUND(MIN(300,MAX(1,D434)),0), FactorTable!$A$2:$A$301,0), Skills!M21+1)</f>
        <v/>
      </c>
      <c r="F434">
        <f>IF(Skills!N21=TRUE,(Skills!L21/10)*(E434/1000),Skills!L21/10)+Skills!O21</f>
        <v/>
      </c>
      <c r="G434">
        <f>Skills!G21*IF(Skills!H21&gt;0,Skills!I21/Skills!H21,1)</f>
        <v/>
      </c>
      <c r="H434">
        <f>1-(1-Skills!J21/100)^Skills!K21</f>
        <v/>
      </c>
      <c r="I434" t="inlineStr">
        <is>
          <t>1</t>
        </is>
      </c>
      <c r="J434" t="inlineStr"/>
      <c r="K434" t="inlineStr"/>
      <c r="L434" t="inlineStr"/>
      <c r="M434" t="inlineStr"/>
      <c r="N434" t="inlineStr"/>
      <c r="O434">
        <f>(1-Summary!$B$11)*T434+Summary!$B$11*V434</f>
        <v/>
      </c>
      <c r="P434">
        <f>IF(B448=0,0,O434/B448)</f>
        <v/>
      </c>
      <c r="Q434" t="n">
        <v>0</v>
      </c>
      <c r="R434" t="n">
        <v>0</v>
      </c>
      <c r="S434">
        <f>IFERROR(O434/N434,0)</f>
        <v/>
      </c>
      <c r="T434" t="n">
        <v>0</v>
      </c>
      <c r="V434" t="n">
        <v>0</v>
      </c>
    </row>
    <row r="435">
      <c r="A435">
        <f>Skills!A22</f>
        <v/>
      </c>
      <c r="B435">
        <f>Skills!B22</f>
        <v/>
      </c>
      <c r="C435">
        <f>Inputs!$B$3&gt;=75</f>
        <v/>
      </c>
      <c r="D435">
        <f>IF(Skills!C22=1,60+Inputs!$B$25+Inputs!$B$29,IF(Skills!C22=2,90+Inputs!$B$26+Inputs!$B$29,IF(Skills!C22=3,120+Inputs!$B$27+Inputs!$B$29,MAX(0,(Inputs!$B$3-100)*3)+Inputs!$B$28+Inputs!$B$29)))</f>
        <v/>
      </c>
      <c r="E435">
        <f>INDEX(FactorTable!$B$2:$Y$301, MATCH(ROUND(MIN(300,MAX(1,D435)),0), FactorTable!$A$2:$A$301,0), Skills!M22+1)</f>
        <v/>
      </c>
      <c r="F435">
        <f>IF(Skills!N22=TRUE,(Skills!L22/10)*(E435/1000),Skills!L22/10)+Skills!O22</f>
        <v/>
      </c>
      <c r="G435">
        <f>Skills!G22*IF(Skills!H22&gt;0,Skills!I22/Skills!H22,1)</f>
        <v/>
      </c>
      <c r="H435">
        <f>1-(1-Skills!J22/100)^Skills!K22</f>
        <v/>
      </c>
      <c r="I435" t="inlineStr">
        <is>
          <t>1</t>
        </is>
      </c>
      <c r="J435" t="inlineStr"/>
      <c r="K435" t="inlineStr"/>
      <c r="L435" t="inlineStr"/>
      <c r="M435" t="inlineStr"/>
      <c r="N435" t="inlineStr"/>
      <c r="O435">
        <f>(1-Summary!$B$11)*T435+Summary!$B$11*V435</f>
        <v/>
      </c>
      <c r="P435">
        <f>IF(B448=0,0,O435/B448)</f>
        <v/>
      </c>
      <c r="Q435" t="n">
        <v>0</v>
      </c>
      <c r="R435" t="n">
        <v>0</v>
      </c>
      <c r="S435">
        <f>IFERROR(O435/N435,0)</f>
        <v/>
      </c>
      <c r="T435" t="n">
        <v>0</v>
      </c>
      <c r="V435" t="n">
        <v>0</v>
      </c>
    </row>
    <row r="437">
      <c r="A437" t="inlineStr">
        <is>
          <t>Attack% Bucket Multiplier</t>
        </is>
      </c>
      <c r="B437">
        <f>(1+(((C426=TRUE)*F426)+((C432=TRUE)*(F432-Calc!F19))+(IF(ArtifactsInput!$M$21,CHOOSE(ArtifactsInput!$N$21+1,25,30,35,40,45,50)*(IF(OR(Inputs!$B$4="Chapter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8">
      <c r="A438" t="inlineStr">
        <is>
          <t>Global Crit Rate Bonus %</t>
        </is>
      </c>
      <c r="B438" t="n">
        <v>0</v>
      </c>
    </row>
    <row r="439">
      <c r="A439" t="inlineStr">
        <is>
          <t>Attack Speed Buff Bonus % (unused)</t>
        </is>
      </c>
      <c r="B439" t="n">
        <v>0</v>
      </c>
    </row>
    <row r="440">
      <c r="A440" t="inlineStr">
        <is>
          <t>Actions Per Second</t>
        </is>
      </c>
      <c r="B440">
        <f>1+MIN(150,150*(1-(1-(Inputs!$B$11+((C430=TRUE)*(F430-Calc!F17))+((C431=TRUE)*(F431-Calc!F18)))/150)*(1-B439/150)))/100</f>
        <v/>
      </c>
    </row>
    <row r="441">
      <c r="A441" t="inlineStr">
        <is>
          <t>Skill + Buff Cast Rate</t>
        </is>
      </c>
      <c r="B441">
        <f>IF(AND(Inputs!$B$38&lt;&gt;"pvp",Inputs!$B$43&gt;0),SUMPRODUCT((Skills!E2:E22=TRUE)*(C415:C435=TRUE)*R415:R435*Skills!F2:F22)/Inputs!$B$43,SUMPRODUCT((Skills!E2:E22=TRUE)*(C415:C435=TRUE)*Q415:Q435*Skills!F2:F22))</f>
        <v/>
      </c>
    </row>
    <row r="442">
      <c r="A442" t="inlineStr">
        <is>
          <t>Hook Bomber Casts Per Second</t>
        </is>
      </c>
      <c r="B442">
        <f>MAX(0,B440-B441)</f>
        <v/>
      </c>
    </row>
    <row r="443">
      <c r="A443" t="inlineStr">
        <is>
          <t>Global Critical Damage Bonus % (unused)</t>
        </is>
      </c>
      <c r="B443" t="n">
        <v>0</v>
      </c>
    </row>
    <row r="444">
      <c r="A444" t="inlineStr">
        <is>
          <t>Global Final Damage Bonus % (Serpent Scale + Crossbones + Time Leap + Speed Infusion)</t>
        </is>
      </c>
      <c r="B444">
        <f>((C418=TRUE)*F418*((10+IF(Inputs!$B$3&gt;=94,5,0))/((10+IF(Inputs!$B$3&gt;=94,5,0))+5/(B442*(1+IF(Inputs!$B$3&gt;=104,1,0))))))+((C427=TRUE)*F427)+((C428=TRUE)*F428)+((Inputs!$B$3&gt;=110)*20*(B440-1))</f>
        <v/>
      </c>
    </row>
    <row r="445">
      <c r="A445" t="inlineStr">
        <is>
          <t>Buff-Casting Startup Delay (s, fixed-duration only)</t>
        </is>
      </c>
      <c r="B445">
        <f>IF(AND(Inputs!$B$38&lt;&gt;"pvp",Inputs!$B$43&gt;0),SUMPRODUCT((Skills!T2:T22&gt;0)*(Skills!E2:E22=TRUE)*(C415:C435=TRUE))/B440,0)</f>
        <v/>
      </c>
    </row>
    <row r="446">
      <c r="A446" t="inlineStr">
        <is>
          <t>Boss-Only Total DPS (this block's swept value)</t>
        </is>
      </c>
      <c r="B446">
        <f>SUM(T415:T435)</f>
        <v/>
      </c>
    </row>
    <row r="447">
      <c r="A447" t="inlineStr">
        <is>
          <t>Normal-Only Total DPS (this block's swept value)</t>
        </is>
      </c>
      <c r="B447">
        <f>SUM(V415:V435)</f>
        <v/>
      </c>
    </row>
    <row r="448">
      <c r="A448" s="6" t="inlineStr">
        <is>
          <t>TOTAL DPS</t>
        </is>
      </c>
      <c r="B448" s="6">
        <f>SUM(O415:O435)</f>
        <v/>
      </c>
    </row>
    <row r="451">
      <c r="A451" s="6" t="inlineStr">
        <is>
          <t>Stat: CRIT_RATE %</t>
        </is>
      </c>
    </row>
    <row r="452">
      <c r="A452" s="5" t="inlineStr">
        <is>
          <t>Key</t>
        </is>
      </c>
      <c r="B452" s="5" t="inlineStr">
        <is>
          <t>Name</t>
        </is>
      </c>
      <c r="C452" s="5" t="inlineStr">
        <is>
          <t>Unlocked</t>
        </is>
      </c>
      <c r="D452" s="5" t="inlineStr">
        <is>
          <t>InputLevel</t>
        </is>
      </c>
      <c r="E452" s="5" t="inlineStr">
        <is>
          <t>Factor</t>
        </is>
      </c>
      <c r="F452" s="5" t="inlineStr">
        <is>
          <t>CoefficientPercent</t>
        </is>
      </c>
      <c r="G452" s="5" t="inlineStr">
        <is>
          <t>EffectiveHits</t>
        </is>
      </c>
      <c r="H452" s="5" t="inlineStr">
        <is>
          <t>ProcProbability</t>
        </is>
      </c>
      <c r="I452" s="5" t="inlineStr">
        <is>
          <t>MapleHeroMultiplier</t>
        </is>
      </c>
      <c r="J452" s="5" t="inlineStr">
        <is>
          <t>BaseDamage</t>
        </is>
      </c>
      <c r="K452" s="5" t="inlineStr">
        <is>
          <t>BaseHitDamage</t>
        </is>
      </c>
      <c r="L452" s="5" t="inlineStr">
        <is>
          <t>NonCritAvg</t>
        </is>
      </c>
      <c r="M452" s="5" t="inlineStr">
        <is>
          <t>CritAvg</t>
        </is>
      </c>
      <c r="N452" s="5" t="inlineStr">
        <is>
          <t>ExpectedDamage(perHit)</t>
        </is>
      </c>
      <c r="O452" s="5" t="inlineStr">
        <is>
          <t>DPS</t>
        </is>
      </c>
      <c r="P452" s="5" t="inlineStr">
        <is>
          <t>% of Total</t>
        </is>
      </c>
      <c r="Q452" s="5" t="inlineStr">
        <is>
          <t>InvCooldown</t>
        </is>
      </c>
      <c r="R452" s="5" t="inlineStr">
        <is>
          <t>CastsInFight</t>
        </is>
      </c>
      <c r="S452" s="5" t="inlineStr">
        <is>
          <t>HitRate(perSec)</t>
        </is>
      </c>
      <c r="U452" t="inlineStr">
        <is>
          <t>helpers</t>
        </is>
      </c>
    </row>
    <row r="453">
      <c r="A453">
        <f>Skills!A2</f>
        <v/>
      </c>
      <c r="B453">
        <f>Skills!B2</f>
        <v/>
      </c>
      <c r="C453">
        <f>Inputs!$B$3&gt;=100</f>
        <v/>
      </c>
      <c r="D453" t="inlineStr"/>
      <c r="E453" t="inlineStr"/>
      <c r="F453">
        <f>U455+Skills!O2</f>
        <v/>
      </c>
      <c r="G453">
        <f>Skills!G2*IF(Skills!H2&gt;0,Skills!I2/Skills!H2,1)</f>
        <v/>
      </c>
      <c r="H453">
        <f>1-(1-Skills!J2/100)^Skills!K2</f>
        <v/>
      </c>
      <c r="I453" t="inlineStr">
        <is>
          <t>1</t>
        </is>
      </c>
      <c r="J453">
        <f>((Inputs!$B$6*(1+Inputs!$B$7/100))+(((Inputs!$B$12*(1+Inputs!$B$13/100))-(Inputs!$B$12*(1+Inputs!$B$13/100)))+0.25*(Inputs!$B$14-Inputs!$B$14))*(1+Inputs!$B$7/100))*(F453/100)</f>
        <v/>
      </c>
      <c r="K453">
        <f>J453*(1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453)</f>
        <v/>
      </c>
      <c r="L453">
        <f>K453*(MIN(Inputs!$B$22+((C471=TRUE)*(F471-Calc!F20)),(Inputs!$B$23+0+(IF(ArtifactsInput!$M$15,CHOOSE(ArtifactsInput!$N$15+1,25,30,35,40,45,50)/100*(Inputs!$B$11-Inputs!$B$11),0))))/100+(Inputs!$B$23+0+(IF(ArtifactsInput!$M$15,CHOOSE(ArtifactsInput!$N$15+1,25,30,35,40,45,50)/100*(Inputs!$B$11-Inputs!$B$11),0)))/100)/2</f>
        <v/>
      </c>
      <c r="M453">
        <f>L453*(1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3">
        <f>L453*(1-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453*(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3">
        <f>(1-Summary!$B$11)*T453+Summary!$B$11*V453</f>
        <v/>
      </c>
      <c r="P453">
        <f>IF(B486=0,0,O453/B486)</f>
        <v/>
      </c>
      <c r="Q453" t="n">
        <v>0</v>
      </c>
      <c r="R453" t="n">
        <v>0</v>
      </c>
      <c r="S453">
        <f>IFERROR(O453/N453,0)</f>
        <v/>
      </c>
      <c r="T453">
        <f>IF(C453,(Skills!G2*N453*B480)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453*(1-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453*(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453*(1-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453*(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3">
        <f>MAX(0,(Inputs!$B$3-100)*3)+Inputs!$B$28+Inputs!$B$29</f>
        <v/>
      </c>
      <c r="V453">
        <f>IF(C453,(Skills!G2*N453*B480)*IF(Inputs!$B$38="pvp",1,(1+(Inputs!$B$21+Skills!Q2+(IF(ArtifactsInput!$M$33,CHOOSE(ArtifactsInput!$N$33+1,30,36,42,48,54,60),0))+(IF(AND(ArtifactsInput!$M$35,Inputs!$B$4&lt;&gt;"Chapter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4">
      <c r="A454">
        <f>Skills!A3</f>
        <v/>
      </c>
      <c r="B454">
        <f>Skills!B3</f>
        <v/>
      </c>
      <c r="C454">
        <f>Inputs!$B$3&gt;=35</f>
        <v/>
      </c>
      <c r="D454">
        <f>IF(Skills!C3=1,60+Inputs!$B$25+Inputs!$B$29,IF(Skills!C3=2,90+Inputs!$B$26+Inputs!$B$29,IF(Skills!C3=3,120+Inputs!$B$27+Inputs!$B$29,MAX(0,(Inputs!$B$3-100)*3)+Inputs!$B$28+Inputs!$B$29)))</f>
        <v/>
      </c>
      <c r="E454">
        <f>INDEX(FactorTable!$B$2:$Y$301, MATCH(ROUND(MIN(300,MAX(1,D454)),0), FactorTable!$A$2:$A$301,0), Skills!M3+1)</f>
        <v/>
      </c>
      <c r="F454">
        <f>IF(Skills!N3=TRUE,(Skills!L3/10)*(E454/1000),Skills!L3/10)+Skills!O3</f>
        <v/>
      </c>
      <c r="G454">
        <f>Skills!G3*IF(Skills!H3&gt;0,Skills!I3/Skills!H3,1)</f>
        <v/>
      </c>
      <c r="H454">
        <f>1-(1-Skills!J3/100)^Skills!K3</f>
        <v/>
      </c>
      <c r="I454" t="inlineStr">
        <is>
          <t>1</t>
        </is>
      </c>
      <c r="J454">
        <f>((Inputs!$B$6*(1+Inputs!$B$7/100))+(((Inputs!$B$12*(1+Inputs!$B$13/100))-(Inputs!$B$12*(1+Inputs!$B$13/100)))+0.25*(Inputs!$B$14-Inputs!$B$14))*(1+Inputs!$B$7/100))*(F454/100)</f>
        <v/>
      </c>
      <c r="K454">
        <f>J454*(1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454)</f>
        <v/>
      </c>
      <c r="L454">
        <f>K454*(MIN(Inputs!$B$22+((C471=TRUE)*(F471-Calc!F20)),(Inputs!$B$23+0+(IF(ArtifactsInput!$M$15,CHOOSE(ArtifactsInput!$N$15+1,25,30,35,40,45,50)/100*(Inputs!$B$11-Inputs!$B$11),0))))/100+(Inputs!$B$23+0+(IF(ArtifactsInput!$M$15,CHOOSE(ArtifactsInput!$N$15+1,25,30,35,40,45,50)/100*(Inputs!$B$11-Inputs!$B$11),0)))/100)/2</f>
        <v/>
      </c>
      <c r="M454">
        <f>L454*(1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4">
        <f>L454*(1-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454*(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4">
        <f>(1-Summary!$B$11)*T454+Summary!$B$11*V454</f>
        <v/>
      </c>
      <c r="P454">
        <f>IF(B486=0,0,O454/B486)</f>
        <v/>
      </c>
      <c r="Q454" t="n">
        <v>0</v>
      </c>
      <c r="R454" t="n">
        <v>0</v>
      </c>
      <c r="S454">
        <f>IFERROR(O454/N454,0)</f>
        <v/>
      </c>
      <c r="T454">
        <f>IF(C454,(Skills!G3*H454*N454*B480)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454*(1-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454*(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454*(1-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454*(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4">
        <f>INDEX(FactorTable!$B$2:$Y$301, MATCH(ROUND(MIN(300,MAX(1,U453)),0), FactorTable!$A$2:$A$301,0), 22)</f>
        <v/>
      </c>
      <c r="V454">
        <f>IF(C454,(Skills!G3*H454*N454*B480)*IF(Inputs!$B$38="pvp",1,(1+(Inputs!$B$21+Skills!Q3+(IF(ArtifactsInput!$M$33,CHOOSE(ArtifactsInput!$N$33+1,30,36,42,48,54,60),0))+(IF(AND(ArtifactsInput!$M$35,Inputs!$B$4&lt;&gt;"Chapter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5">
      <c r="A455">
        <f>Skills!A4</f>
        <v/>
      </c>
      <c r="B455">
        <f>Skills!B4</f>
        <v/>
      </c>
      <c r="C455">
        <f>Inputs!$B$3&gt;=60</f>
        <v/>
      </c>
      <c r="D455">
        <f>IF(Skills!C4=1,60+Inputs!$B$25+Inputs!$B$29,IF(Skills!C4=2,90+Inputs!$B$26+Inputs!$B$29,IF(Skills!C4=3,120+Inputs!$B$27+Inputs!$B$29,MAX(0,(Inputs!$B$3-100)*3)+Inputs!$B$28+Inputs!$B$29)))</f>
        <v/>
      </c>
      <c r="E455">
        <f>INDEX(FactorTable!$B$2:$Y$301, MATCH(ROUND(MIN(300,MAX(1,D455)),0), FactorTable!$A$2:$A$301,0), Skills!M4+1)</f>
        <v/>
      </c>
      <c r="F455">
        <f>IF(Skills!N4=TRUE,(Skills!L4/10)*(E455/1000),Skills!L4/10)+Skills!O4</f>
        <v/>
      </c>
      <c r="G455">
        <f>Skills!G4*IF(Skills!H4&gt;0,Skills!I4/Skills!H4,1)</f>
        <v/>
      </c>
      <c r="H455">
        <f>1-(1-Skills!J4/100)^Skills!K4</f>
        <v/>
      </c>
      <c r="I455" t="inlineStr">
        <is>
          <t>1</t>
        </is>
      </c>
      <c r="J455">
        <f>((Inputs!$B$6*(1+Inputs!$B$7/100))+(((Inputs!$B$12*(1+Inputs!$B$13/100))-(Inputs!$B$12*(1+Inputs!$B$13/100)))+0.25*(Inputs!$B$14-Inputs!$B$14))*(1+Inputs!$B$7/100))*(F455/100)</f>
        <v/>
      </c>
      <c r="K455">
        <f>J455*(1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463=TRUE,F463,0)/100)*(1+(IF(Skills!A4="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455)</f>
        <v/>
      </c>
      <c r="L455">
        <f>K455*(MIN(Inputs!$B$22+((C471=TRUE)*(F471-Calc!F20)),(Inputs!$B$23+0+(IF(ArtifactsInput!$M$15,CHOOSE(ArtifactsInput!$N$15+1,25,30,35,40,45,50)/100*(Inputs!$B$11-Inputs!$B$11),0))))/100+(Inputs!$B$23+0+(IF(ArtifactsInput!$M$15,CHOOSE(ArtifactsInput!$N$15+1,25,30,35,40,45,50)/100*(Inputs!$B$11-Inputs!$B$11),0)))/100)/2</f>
        <v/>
      </c>
      <c r="M455">
        <f>L455*(1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5">
        <f>L455*(1-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IF(B486=0,0,O455/B486)</f>
        <v/>
      </c>
      <c r="Q455" t="n">
        <v>0</v>
      </c>
      <c r="R455" t="n">
        <v>0</v>
      </c>
      <c r="S455">
        <f>IFERROR(O455/N455,0)</f>
        <v/>
      </c>
      <c r="T455">
        <f>IF(C455,(Skills!G4*H455*N455*B480)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455*(1-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5">
        <f>290*U454/1000</f>
        <v/>
      </c>
      <c r="V455">
        <f>IF(C455,(Skills!G4*H455*N455*B480)*IF(Inputs!$B$38="pvp",1,(1+(Inputs!$B$21+Skills!Q4+(IF(ArtifactsInput!$M$33,CHOOSE(ArtifactsInput!$N$33+1,30,36,42,48,54,60),0))+(IF(AND(ArtifactsInput!$M$35,Inputs!$B$4&lt;&gt;"Chapter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Skills!A5</f>
        <v/>
      </c>
      <c r="B456">
        <f>Skills!B5</f>
        <v/>
      </c>
      <c r="C456">
        <f>Inputs!$B$3&gt;=60</f>
        <v/>
      </c>
      <c r="D456">
        <f>IF(Skills!C5=1,60+Inputs!$B$25+Inputs!$B$29,IF(Skills!C5=2,90+Inputs!$B$26+Inputs!$B$29,IF(Skills!C5=3,120+Inputs!$B$27+Inputs!$B$29,MAX(0,(Inputs!$B$3-100)*3)+Inputs!$B$28+Inputs!$B$29)))</f>
        <v/>
      </c>
      <c r="E456">
        <f>INDEX(FactorTable!$B$2:$Y$301, MATCH(ROUND(MIN(300,MAX(1,D456)),0), FactorTable!$A$2:$A$301,0), Skills!M5+1)</f>
        <v/>
      </c>
      <c r="F456">
        <f>IF(Skills!N5=TRUE,(Skills!L5/10)*(E456/1000),Skills!L5/10)+Skills!O5</f>
        <v/>
      </c>
      <c r="G456">
        <f>Skills!G5*IF(Skills!H5&gt;0,Skills!I5/Skills!H5,1)</f>
        <v/>
      </c>
      <c r="H456">
        <f>1-(1-Skills!J5/100)^Skills!K5</f>
        <v/>
      </c>
      <c r="I456" t="inlineStr">
        <is>
          <t>1</t>
        </is>
      </c>
      <c r="J456" t="inlineStr"/>
      <c r="K456" t="inlineStr"/>
      <c r="L456" t="inlineStr"/>
      <c r="M456" t="inlineStr"/>
      <c r="N456" t="inlineStr"/>
      <c r="O456">
        <f>(1-Summary!$B$11)*T456+Summary!$B$11*V456</f>
        <v/>
      </c>
      <c r="P456">
        <f>IF(B486=0,0,O456/B486)</f>
        <v/>
      </c>
      <c r="Q456" t="n">
        <v>0</v>
      </c>
      <c r="R456" t="n">
        <v>0</v>
      </c>
      <c r="S456">
        <f>IFERROR(O456/N456,0)</f>
        <v/>
      </c>
      <c r="T456" t="n">
        <v>0</v>
      </c>
      <c r="V456" t="n">
        <v>0</v>
      </c>
    </row>
    <row r="457">
      <c r="A457">
        <f>Skills!A6</f>
        <v/>
      </c>
      <c r="B457">
        <f>Skills!B6</f>
        <v/>
      </c>
      <c r="C457">
        <f>Inputs!$B$3&gt;=63</f>
        <v/>
      </c>
      <c r="D457">
        <f>IF(Skills!C6=1,60+Inputs!$B$25+Inputs!$B$29,IF(Skills!C6=2,90+Inputs!$B$26+Inputs!$B$29,IF(Skills!C6=3,120+Inputs!$B$27+Inputs!$B$29,MAX(0,(Inputs!$B$3-100)*3)+Inputs!$B$28+Inputs!$B$29)))</f>
        <v/>
      </c>
      <c r="E457">
        <f>INDEX(FactorTable!$B$2:$Y$301, MATCH(ROUND(MIN(300,MAX(1,D457)),0), FactorTable!$A$2:$A$301,0), Skills!M6+1)</f>
        <v/>
      </c>
      <c r="F457">
        <f>IF(Skills!N6=TRUE,(Skills!L6/10)*(E457/1000),Skills!L6/10)+Skills!O6</f>
        <v/>
      </c>
      <c r="G457">
        <f>Skills!G6*IF(Skills!H6&gt;0,Skills!I6/Skills!H6,1)</f>
        <v/>
      </c>
      <c r="H457">
        <f>1-(1-Skills!J6/100)^Skills!K6</f>
        <v/>
      </c>
      <c r="I457" t="inlineStr">
        <is>
          <t>1</t>
        </is>
      </c>
      <c r="J457">
        <f>((Inputs!$B$6*(1+Inputs!$B$7/100))+(((Inputs!$B$12*(1+Inputs!$B$13/100))-(Inputs!$B$12*(1+Inputs!$B$13/100)))+0.25*(Inputs!$B$14-Inputs!$B$14))*(1+Inputs!$B$7/100))*(F457/100)</f>
        <v/>
      </c>
      <c r="K457">
        <f>J457*(1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457)</f>
        <v/>
      </c>
      <c r="L457">
        <f>K457*(MIN(Inputs!$B$22+((C471=TRUE)*(F471-Calc!F20)),(Inputs!$B$23+0+(IF(ArtifactsInput!$M$15,CHOOSE(ArtifactsInput!$N$15+1,25,30,35,40,45,50)/100*(Inputs!$B$11-Inputs!$B$11),0))))/100+(Inputs!$B$23+0+(IF(ArtifactsInput!$M$15,CHOOSE(ArtifactsInput!$N$15+1,25,30,35,40,45,50)/100*(Inputs!$B$11-Inputs!$B$11),0)))/100)/2</f>
        <v/>
      </c>
      <c r="M457">
        <f>L457*(1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7">
        <f>L457*(1-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IF(B486=0,0,O457/B486)</f>
        <v/>
      </c>
      <c r="Q457">
        <f>IFERROR(1/(IF(Inputs!$B$38="pvp",15,MAX(0.1,Skills!D6-IF(Skills!E6=TRUE,Inputs!$B$32,0)))*(1-IF(AND(ArtifactsInput!$M$27,Inputs!$B$4="Chapter Hunt"),CHOOSE(ArtifactsInput!$N$27+1,20,24,28,32,36,40),0)/100)),0)</f>
        <v/>
      </c>
      <c r="R457">
        <f>IF(AND(Inputs!$B$38&lt;&gt;"pvp",Inputs!$B$43&gt;0),IF(MAX(0,Inputs!$B$43-B483)&lt;=0,0,(INT(MAX(0,Inputs!$B$43-B483)/(IF(Inputs!$B$38="pvp",15,MAX(0.1,Skills!D6-IF(Skills!E6=TRUE,Inputs!$B$32,0)))*(1-IF(AND(ArtifactsInput!$M$27,Inputs!$B$4="Chapter Hunt"),CHOOSE(ArtifactsInput!$N$27+1,20,24,28,32,36,40),0)/100)))+1)),0)</f>
        <v/>
      </c>
      <c r="S457">
        <f>IFERROR(O457/N457,0)</f>
        <v/>
      </c>
      <c r="T457">
        <f>IF(C457,(H457*N457*IF(AND(Inputs!$B$38&lt;&gt;"pvp",Inputs!$B$43&gt;0),((Skills!G6*((R457-1)*IF(Skills!H6&gt;0,Skills!I6/Skills!H6,1)+IF(Skills!H6&gt;0,MIN(Skills!I6,MAX(0,MAX(0,Inputs!$B$43-B483)-((R457-1)*(IF(Inputs!$B$38="pvp",15,MAX(0.1,Skills!D6-IF(Skills!E6=TRUE,Inputs!$B$32,0)))*(1-IF(AND(ArtifactsInput!$M$27,Inputs!$B$4="Chapter Hunt"),CHOOSE(ArtifactsInput!$N$27+1,20,24,28,32,36,40),0)/100)))))/Skills!H6,1)))/Inputs!$B$43),G457*Q457)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457*(1-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6*((R457-1)*IF(Skills!H6&gt;0,Skills!I6/Skills!H6,1)+IF(Skills!H6&gt;0,MIN(Skills!I6,MAX(0,MAX(0,Inputs!$B$43-B483)-((R457-1)*(IF(Inputs!$B$38="pvp",15,MAX(0.1,Skills!D6-IF(Skills!E6=TRUE,Inputs!$B$32,0)))*(1-IF(AND(ArtifactsInput!$M$27,Inputs!$B$4="Chapter Hunt"),CHOOSE(ArtifactsInput!$N$27+1,20,24,28,32,36,40),0)/100)))))/Skills!H6,1)))/Inputs!$B$43),G457*Q457))*IF(Inputs!$B$38="pvp",1,(1+(Inputs!$B$21+Skills!Q6+(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Skills!A7</f>
        <v/>
      </c>
      <c r="B458">
        <f>Skills!B7</f>
        <v/>
      </c>
      <c r="C458">
        <f>Inputs!$B$3&gt;=100</f>
        <v/>
      </c>
      <c r="D458">
        <f>IF(Skills!C7=1,60+Inputs!$B$25+Inputs!$B$29,IF(Skills!C7=2,90+Inputs!$B$26+Inputs!$B$29,IF(Skills!C7=3,120+Inputs!$B$27+Inputs!$B$29,MAX(0,(Inputs!$B$3-100)*3)+Inputs!$B$28+Inputs!$B$29)))</f>
        <v/>
      </c>
      <c r="E458">
        <f>INDEX(FactorTable!$B$2:$Y$301, MATCH(ROUND(MIN(300,MAX(1,D458)),0), FactorTable!$A$2:$A$301,0), Skills!M7+1)</f>
        <v/>
      </c>
      <c r="F458">
        <f>IF(Skills!N7=TRUE,(Skills!L7/10)*(E458/1000),Skills!L7/10)+Skills!O7</f>
        <v/>
      </c>
      <c r="G458">
        <f>Skills!G7*IF(Skills!H7&gt;0,Skills!I7/Skills!H7,1)</f>
        <v/>
      </c>
      <c r="H458">
        <f>1-(1-Skills!J7/100)^Skills!K7</f>
        <v/>
      </c>
      <c r="I458" t="inlineStr">
        <is>
          <t>1</t>
        </is>
      </c>
      <c r="J458">
        <f>((Inputs!$B$6*(1+Inputs!$B$7/100))+(((Inputs!$B$12*(1+Inputs!$B$13/100))-(Inputs!$B$12*(1+Inputs!$B$13/100)))+0.25*(Inputs!$B$14-Inputs!$B$14))*(1+Inputs!$B$7/100))*(F458/100)</f>
        <v/>
      </c>
      <c r="K458">
        <f>J458*(1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458)</f>
        <v/>
      </c>
      <c r="L458">
        <f>K458*(MIN(Inputs!$B$22+((C471=TRUE)*(F471-Calc!F20)),(Inputs!$B$23+0+(IF(ArtifactsInput!$M$15,CHOOSE(ArtifactsInput!$N$15+1,25,30,35,40,45,50)/100*(Inputs!$B$11-Inputs!$B$11),0))))/100+(Inputs!$B$23+0+(IF(ArtifactsInput!$M$15,CHOOSE(ArtifactsInput!$N$15+1,25,30,35,40,45,50)/100*(Inputs!$B$11-Inputs!$B$11),0)))/100)/2</f>
        <v/>
      </c>
      <c r="M458">
        <f>L458*(1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8">
        <f>L458*(1-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458*(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8">
        <f>(1-Summary!$B$11)*T458+Summary!$B$11*V458</f>
        <v/>
      </c>
      <c r="P458">
        <f>IF(B486=0,0,O458/B486)</f>
        <v/>
      </c>
      <c r="Q458">
        <f>IFERROR(1/(IF(Inputs!$B$38="pvp",15,MAX(0.1,Skills!D7-IF(Skills!E7=TRUE,Inputs!$B$32,0)))*(1-IF(AND(ArtifactsInput!$M$27,Inputs!$B$4="Chapter Hunt"),CHOOSE(ArtifactsInput!$N$27+1,20,24,28,32,36,40),0)/100)),0)</f>
        <v/>
      </c>
      <c r="R458">
        <f>IF(AND(Inputs!$B$38&lt;&gt;"pvp",Inputs!$B$43&gt;0),IF(MAX(0,Inputs!$B$43-B483)&lt;=0,0,(INT(MAX(0,Inputs!$B$43-B483)/(IF(Inputs!$B$38="pvp",15,MAX(0.1,Skills!D7-IF(Skills!E7=TRUE,Inputs!$B$32,0)))*(1-IF(AND(ArtifactsInput!$M$27,Inputs!$B$4="Chapter Hunt"),CHOOSE(ArtifactsInput!$N$27+1,20,24,28,32,36,40),0)/100)))+1)),0)</f>
        <v/>
      </c>
      <c r="S458">
        <f>IFERROR(O458/N458,0)</f>
        <v/>
      </c>
      <c r="T458">
        <f>IF(C458,(H458*N458*IF(AND(Inputs!$B$38&lt;&gt;"pvp",Inputs!$B$43&gt;0),((Skills!G7*((R458-1)*IF(Skills!H7&gt;0,Skills!I7/Skills!H7,1)+IF(Skills!H7&gt;0,MIN(Skills!I7,MAX(0,MAX(0,Inputs!$B$43-B483)-((R458-1)*(IF(Inputs!$B$38="pvp",15,MAX(0.1,Skills!D7-IF(Skills!E7=TRUE,Inputs!$B$32,0)))*(1-IF(AND(ArtifactsInput!$M$27,Inputs!$B$4="Chapter Hunt"),CHOOSE(ArtifactsInput!$N$27+1,20,24,28,32,36,40),0)/100)))))/Skills!H7,1)))/Inputs!$B$43),G458*Q458)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458*(1-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458*(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458*(1-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458*(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8">
        <f>IF(C458,(H458*N458*IF(AND(Inputs!$B$38&lt;&gt;"pvp",Inputs!$B$43&gt;0),((Skills!G7*((R458-1)*IF(Skills!H7&gt;0,Skills!I7/Skills!H7,1)+IF(Skills!H7&gt;0,MIN(Skills!I7,MAX(0,MAX(0,Inputs!$B$43-B483)-((R458-1)*(IF(Inputs!$B$38="pvp",15,MAX(0.1,Skills!D7-IF(Skills!E7=TRUE,Inputs!$B$32,0)))*(1-IF(AND(ArtifactsInput!$M$27,Inputs!$B$4="Chapter Hunt"),CHOOSE(ArtifactsInput!$N$27+1,20,24,28,32,36,40),0)/100)))))/Skills!H7,1)))/Inputs!$B$43),G458*Q458))*IF(Inputs!$B$38="pvp",1,(1+(Inputs!$B$21+Skills!Q7+(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9">
      <c r="A459">
        <f>Skills!A8</f>
        <v/>
      </c>
      <c r="B459">
        <f>Skills!B8</f>
        <v/>
      </c>
      <c r="C459">
        <f>Inputs!$B$3&gt;=110</f>
        <v/>
      </c>
      <c r="D459">
        <f>IF(Skills!C8=1,60+Inputs!$B$25+Inputs!$B$29,IF(Skills!C8=2,90+Inputs!$B$26+Inputs!$B$29,IF(Skills!C8=3,120+Inputs!$B$27+Inputs!$B$29,MAX(0,(Inputs!$B$3-100)*3)+Inputs!$B$28+Inputs!$B$29)))</f>
        <v/>
      </c>
      <c r="E459">
        <f>INDEX(FactorTable!$B$2:$Y$301, MATCH(ROUND(MIN(300,MAX(1,D459)),0), FactorTable!$A$2:$A$301,0), Skills!M8+1)</f>
        <v/>
      </c>
      <c r="F459">
        <f>IF(Skills!N8=TRUE,(Skills!L8/10)*(E459/1000),Skills!L8/10)+Skills!O8</f>
        <v/>
      </c>
      <c r="G459">
        <f>Skills!G8*IF(Skills!H8&gt;0,Skills!I8/Skills!H8,1)</f>
        <v/>
      </c>
      <c r="H459">
        <f>1-(1-Skills!J8/100)^Skills!K8</f>
        <v/>
      </c>
      <c r="I459" t="inlineStr">
        <is>
          <t>1</t>
        </is>
      </c>
      <c r="J459">
        <f>((Inputs!$B$6*(1+Inputs!$B$7/100))+(((Inputs!$B$12*(1+Inputs!$B$13/100))-(Inputs!$B$12*(1+Inputs!$B$13/100)))+0.25*(Inputs!$B$14-Inputs!$B$14))*(1+Inputs!$B$7/100))*(F459/100)</f>
        <v/>
      </c>
      <c r="K459">
        <f>J459*(1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459)</f>
        <v/>
      </c>
      <c r="L459">
        <f>K459*(MIN(Inputs!$B$22+((C471=TRUE)*(F471-Calc!F20)),(Inputs!$B$23+0+(IF(ArtifactsInput!$M$15,CHOOSE(ArtifactsInput!$N$15+1,25,30,35,40,45,50)/100*(Inputs!$B$11-Inputs!$B$11),0))))/100+(Inputs!$B$23+0+(IF(ArtifactsInput!$M$15,CHOOSE(ArtifactsInput!$N$15+1,25,30,35,40,45,50)/100*(Inputs!$B$11-Inputs!$B$11),0)))/100)/2</f>
        <v/>
      </c>
      <c r="M459">
        <f>L459*(1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9">
        <f>L459*(1-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IF(B486=0,0,O459/B486)</f>
        <v/>
      </c>
      <c r="Q459">
        <f>IFERROR(1/(IF(Inputs!$B$38="pvp",15,MAX(0.1,Skills!D8-IF(Skills!E8=TRUE,Inputs!$B$32,0)))*(1-IF(AND(ArtifactsInput!$M$27,Inputs!$B$4="Chapter Hunt"),CHOOSE(ArtifactsInput!$N$27+1,20,24,28,32,36,40),0)/100)),0)</f>
        <v/>
      </c>
      <c r="R459">
        <f>IF(AND(Inputs!$B$38&lt;&gt;"pvp",Inputs!$B$43&gt;0),IF(MAX(0,Inputs!$B$43-B483)&lt;=0,0,(INT(MAX(0,Inputs!$B$43-B483)/(IF(Inputs!$B$38="pvp",15,MAX(0.1,Skills!D8-IF(Skills!E8=TRUE,Inputs!$B$32,0)))*(1-IF(AND(ArtifactsInput!$M$27,Inputs!$B$4="Chapter Hunt"),CHOOSE(ArtifactsInput!$N$27+1,20,24,28,32,36,40),0)/100)))+1)),0)</f>
        <v/>
      </c>
      <c r="S459">
        <f>IFERROR(O459/N459,0)</f>
        <v/>
      </c>
      <c r="T459">
        <f>IF(C459,(H459*N459*IF(AND(Inputs!$B$38&lt;&gt;"pvp",Inputs!$B$43&gt;0),((Skills!G8*((R459-1)*IF(Skills!H8&gt;0,Skills!I8/Skills!H8,1)+IF(Skills!H8&gt;0,MIN(Skills!I8,MAX(0,MAX(0,Inputs!$B$43-B483)-((R459-1)*(IF(Inputs!$B$38="pvp",15,MAX(0.1,Skills!D8-IF(Skills!E8=TRUE,Inputs!$B$32,0)))*(1-IF(AND(ArtifactsInput!$M$27,Inputs!$B$4="Chapter Hunt"),CHOOSE(ArtifactsInput!$N$27+1,20,24,28,32,36,40),0)/100)))))/Skills!H8,1)))/Inputs!$B$43),G459*Q459)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459*(1-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8*((R459-1)*IF(Skills!H8&gt;0,Skills!I8/Skills!H8,1)+IF(Skills!H8&gt;0,MIN(Skills!I8,MAX(0,MAX(0,Inputs!$B$43-B483)-((R459-1)*(IF(Inputs!$B$38="pvp",15,MAX(0.1,Skills!D8-IF(Skills!E8=TRUE,Inputs!$B$32,0)))*(1-IF(AND(ArtifactsInput!$M$27,Inputs!$B$4="Chapter Hunt"),CHOOSE(ArtifactsInput!$N$27+1,20,24,28,32,36,40),0)/100)))))/Skills!H8,1)))/Inputs!$B$43),G459*Q459))*IF(Inputs!$B$38="pvp",1,(1+(Inputs!$B$21+Skills!Q8+(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Skills!A9</f>
        <v/>
      </c>
      <c r="B460">
        <f>Skills!B9</f>
        <v/>
      </c>
      <c r="C460">
        <f>Inputs!$B$3&gt;=110</f>
        <v/>
      </c>
      <c r="D460">
        <f>IF(Skills!C9=1,60+Inputs!$B$25+Inputs!$B$29,IF(Skills!C9=2,90+Inputs!$B$26+Inputs!$B$29,IF(Skills!C9=3,120+Inputs!$B$27+Inputs!$B$29,MAX(0,(Inputs!$B$3-100)*3)+Inputs!$B$28+Inputs!$B$29)))</f>
        <v/>
      </c>
      <c r="E460">
        <f>INDEX(FactorTable!$B$2:$Y$301, MATCH(ROUND(MIN(300,MAX(1,D460)),0), FactorTable!$A$2:$A$301,0), Skills!M9+1)</f>
        <v/>
      </c>
      <c r="F460">
        <f>IF(Skills!N9=TRUE,(Skills!L9/10)*(E460/1000),Skills!L9/10)+Skills!O9</f>
        <v/>
      </c>
      <c r="G460">
        <f>Skills!G9*IF(Skills!H9&gt;0,Skills!I9/Skills!H9,1)</f>
        <v/>
      </c>
      <c r="H460">
        <f>1-(1-Skills!J9/100)^Skills!K9</f>
        <v/>
      </c>
      <c r="I460" t="inlineStr">
        <is>
          <t>1</t>
        </is>
      </c>
      <c r="J460">
        <f>((Inputs!$B$6*(1+Inputs!$B$7/100))+(((Inputs!$B$12*(1+Inputs!$B$13/100))-(Inputs!$B$12*(1+Inputs!$B$13/100)))+0.25*(Inputs!$B$14-Inputs!$B$14))*(1+Inputs!$B$7/100))*(F460/100)</f>
        <v/>
      </c>
      <c r="K460">
        <f>J460*(1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460)</f>
        <v/>
      </c>
      <c r="L460">
        <f>K460*(MIN(Inputs!$B$22+((C471=TRUE)*(F471-Calc!F20)),(Inputs!$B$23+0+(IF(ArtifactsInput!$M$15,CHOOSE(ArtifactsInput!$N$15+1,25,30,35,40,45,50)/100*(Inputs!$B$11-Inputs!$B$11),0))))/100+(Inputs!$B$23+0+(IF(ArtifactsInput!$M$15,CHOOSE(ArtifactsInput!$N$15+1,25,30,35,40,45,50)/100*(Inputs!$B$11-Inputs!$B$11),0)))/100)/2</f>
        <v/>
      </c>
      <c r="M460">
        <f>L460*(1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0">
        <f>L460*(1-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IF(B486=0,0,O460/B486)</f>
        <v/>
      </c>
      <c r="Q460">
        <f>IFERROR(1/(IF(Inputs!$B$38="pvp",15,MAX(0.1,Skills!D9-IF(Skills!E9=TRUE,Inputs!$B$32,0)))*(1-IF(AND(ArtifactsInput!$M$27,Inputs!$B$4="Chapter Hunt"),CHOOSE(ArtifactsInput!$N$27+1,20,24,28,32,36,40),0)/100)),0)</f>
        <v/>
      </c>
      <c r="R460">
        <f>IF(AND(Inputs!$B$38&lt;&gt;"pvp",Inputs!$B$43&gt;0),IF(MAX(0,Inputs!$B$43-B483)&lt;=0,0,(INT(MAX(0,Inputs!$B$43-B483)/(IF(Inputs!$B$38="pvp",15,MAX(0.1,Skills!D9-IF(Skills!E9=TRUE,Inputs!$B$32,0)))*(1-IF(AND(ArtifactsInput!$M$27,Inputs!$B$4="Chapter Hunt"),CHOOSE(ArtifactsInput!$N$27+1,20,24,28,32,36,40),0)/100)))+1)),0)</f>
        <v/>
      </c>
      <c r="S460">
        <f>IFERROR(O460/N460,0)</f>
        <v/>
      </c>
      <c r="T460">
        <f>IF(C460,(H460*N460*IF(AND(Inputs!$B$38&lt;&gt;"pvp",Inputs!$B$43&gt;0),((Skills!G9*((R460-1)*IF(Skills!H9&gt;0,Skills!I9/Skills!H9,1)+IF(Skills!H9&gt;0,MIN(Skills!I9,MAX(0,MAX(0,Inputs!$B$43-B483)-((R460-1)*(IF(Inputs!$B$38="pvp",15,MAX(0.1,Skills!D9-IF(Skills!E9=TRUE,Inputs!$B$32,0)))*(1-IF(AND(ArtifactsInput!$M$27,Inputs!$B$4="Chapter Hunt"),CHOOSE(ArtifactsInput!$N$27+1,20,24,28,32,36,40),0)/100)))))/Skills!H9,1)))/Inputs!$B$43),G460*Q460)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460*(1-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0">
        <f>IF(C460,(H460*N460*IF(AND(Inputs!$B$38&lt;&gt;"pvp",Inputs!$B$43&gt;0),((Skills!G9*((R460-1)*IF(Skills!H9&gt;0,Skills!I9/Skills!H9,1)+IF(Skills!H9&gt;0,MIN(Skills!I9,MAX(0,MAX(0,Inputs!$B$43-B483)-((R460-1)*(IF(Inputs!$B$38="pvp",15,MAX(0.1,Skills!D9-IF(Skills!E9=TRUE,Inputs!$B$32,0)))*(1-IF(AND(ArtifactsInput!$M$27,Inputs!$B$4="Chapter Hunt"),CHOOSE(ArtifactsInput!$N$27+1,20,24,28,32,36,40),0)/100)))))/Skills!H9,1)))/Inputs!$B$43),G460*Q460))*IF(Inputs!$B$38="pvp",1,(1+(Inputs!$B$21+Skills!Q9+(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Skills!A10</f>
        <v/>
      </c>
      <c r="B461">
        <f>Skills!B10</f>
        <v/>
      </c>
      <c r="C461">
        <f>Inputs!$B$3&gt;=103</f>
        <v/>
      </c>
      <c r="D461">
        <f>IF(Skills!C10=1,60+Inputs!$B$25+Inputs!$B$29,IF(Skills!C10=2,90+Inputs!$B$26+Inputs!$B$29,IF(Skills!C10=3,120+Inputs!$B$27+Inputs!$B$29,MAX(0,(Inputs!$B$3-100)*3)+Inputs!$B$28+Inputs!$B$29)))</f>
        <v/>
      </c>
      <c r="E461">
        <f>INDEX(FactorTable!$B$2:$Y$301, MATCH(ROUND(MIN(300,MAX(1,D461)),0), FactorTable!$A$2:$A$301,0), Skills!M10+1)</f>
        <v/>
      </c>
      <c r="F461">
        <f>IF(Skills!N10=TRUE,(Skills!L10/10)*(E461/1000),Skills!L10/10)+Skills!O10</f>
        <v/>
      </c>
      <c r="G461">
        <f>Skills!G10*IF(Skills!H10&gt;0,Skills!I10/Skills!H10,1)</f>
        <v/>
      </c>
      <c r="H461">
        <f>1-(1-Skills!J10/100)^Skills!K10</f>
        <v/>
      </c>
      <c r="I461" t="inlineStr">
        <is>
          <t>1</t>
        </is>
      </c>
      <c r="J461">
        <f>((Inputs!$B$6*(1+Inputs!$B$7/100))+(((Inputs!$B$12*(1+Inputs!$B$13/100))-(Inputs!$B$12*(1+Inputs!$B$13/100)))+0.25*(Inputs!$B$14-Inputs!$B$14))*(1+Inputs!$B$7/100))*(F461/100)</f>
        <v/>
      </c>
      <c r="K461">
        <f>J461*(1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461)</f>
        <v/>
      </c>
      <c r="L461">
        <f>K461*(MIN(Inputs!$B$22+((C471=TRUE)*(F471-Calc!F20)),(Inputs!$B$23+0+(IF(ArtifactsInput!$M$15,CHOOSE(ArtifactsInput!$N$15+1,25,30,35,40,45,50)/100*(Inputs!$B$11-Inputs!$B$11),0))))/100+(Inputs!$B$23+0+(IF(ArtifactsInput!$M$15,CHOOSE(ArtifactsInput!$N$15+1,25,30,35,40,45,50)/100*(Inputs!$B$11-Inputs!$B$11),0)))/100)/2</f>
        <v/>
      </c>
      <c r="M461">
        <f>L461*(1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1">
        <f>L461*(1-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1">
        <f>(1-Summary!$B$11)*T461+Summary!$B$11*V461</f>
        <v/>
      </c>
      <c r="P461">
        <f>IF(B486=0,0,O461/B486)</f>
        <v/>
      </c>
      <c r="Q461">
        <f>IFERROR(1/(IF(Inputs!$B$38="pvp",15,MAX(0.1,Skills!D10-IF(Skills!E10=TRUE,Inputs!$B$32,0)))*(1-IF(AND(ArtifactsInput!$M$27,Inputs!$B$4="Chapter Hunt"),CHOOSE(ArtifactsInput!$N$27+1,20,24,28,32,36,40),0)/100)),0)</f>
        <v/>
      </c>
      <c r="R461">
        <f>IF(AND(Inputs!$B$38&lt;&gt;"pvp",Inputs!$B$43&gt;0),IF(MAX(0,Inputs!$B$43-B483)&lt;=0,0,(INT(MAX(0,Inputs!$B$43-B483)/(IF(Inputs!$B$38="pvp",15,MAX(0.1,Skills!D10-IF(Skills!E10=TRUE,Inputs!$B$32,0)))*(1-IF(AND(ArtifactsInput!$M$27,Inputs!$B$4="Chapter Hunt"),CHOOSE(ArtifactsInput!$N$27+1,20,24,28,32,36,40),0)/100)))+1)),0)</f>
        <v/>
      </c>
      <c r="S461">
        <f>IFERROR(O461/N461,0)</f>
        <v/>
      </c>
      <c r="T461">
        <f>IF(C461,(H461*N461*IF(AND(Inputs!$B$38&lt;&gt;"pvp",Inputs!$B$43&gt;0),((Skills!G10*((R461-1)*IF(Skills!H10&gt;0,Skills!I10/Skills!H10,1)+IF(Skills!H10&gt;0,MIN(Skills!I10,MAX(0,MAX(0,Inputs!$B$43-B483)-((R461-1)*(IF(Inputs!$B$38="pvp",15,MAX(0.1,Skills!D10-IF(Skills!E10=TRUE,Inputs!$B$32,0)))*(1-IF(AND(ArtifactsInput!$M$27,Inputs!$B$4="Chapter Hunt"),CHOOSE(ArtifactsInput!$N$27+1,20,24,28,32,36,40),0)/100)))))/Skills!H10,1)))/Inputs!$B$43),G461*Q461)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461*(1-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461*(1-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1">
        <f>IF(C461,(H461*N461*IF(AND(Inputs!$B$38&lt;&gt;"pvp",Inputs!$B$43&gt;0),((Skills!G10*((R461-1)*IF(Skills!H10&gt;0,Skills!I10/Skills!H10,1)+IF(Skills!H10&gt;0,MIN(Skills!I10,MAX(0,MAX(0,Inputs!$B$43-B483)-((R461-1)*(IF(Inputs!$B$38="pvp",15,MAX(0.1,Skills!D10-IF(Skills!E10=TRUE,Inputs!$B$32,0)))*(1-IF(AND(ArtifactsInput!$M$27,Inputs!$B$4="Chapter Hunt"),CHOOSE(ArtifactsInput!$N$27+1,20,24,28,32,36,40),0)/100)))))/Skills!H10,1)))/Inputs!$B$43),G461*Q461))*IF(Inputs!$B$38="pvp",1,(1+(Inputs!$B$21+Skills!Q10+(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2">
      <c r="A462">
        <f>Skills!A11</f>
        <v/>
      </c>
      <c r="B462">
        <f>Skills!B11</f>
        <v/>
      </c>
      <c r="C462">
        <f>Inputs!$B$3&gt;=113</f>
        <v/>
      </c>
      <c r="D462">
        <f>IF(Skills!C11=1,60+Inputs!$B$25+Inputs!$B$29,IF(Skills!C11=2,90+Inputs!$B$26+Inputs!$B$29,IF(Skills!C11=3,120+Inputs!$B$27+Inputs!$B$29,MAX(0,(Inputs!$B$3-100)*3)+Inputs!$B$28+Inputs!$B$29)))</f>
        <v/>
      </c>
      <c r="E462">
        <f>INDEX(FactorTable!$B$2:$Y$301, MATCH(ROUND(MIN(300,MAX(1,D462)),0), FactorTable!$A$2:$A$301,0), Skills!M11+1)</f>
        <v/>
      </c>
      <c r="F462">
        <f>IF(Skills!N11=TRUE,(Skills!L11/10)*(E462/1000),Skills!L11/10)+Skills!O11</f>
        <v/>
      </c>
      <c r="G462">
        <f>Skills!G11*IF(Skills!H11&gt;0,Skills!I11/Skills!H11,1)</f>
        <v/>
      </c>
      <c r="H462">
        <f>1-(1-Skills!J11/100)^Skills!K11</f>
        <v/>
      </c>
      <c r="I462" t="inlineStr">
        <is>
          <t>1</t>
        </is>
      </c>
      <c r="J462">
        <f>((Inputs!$B$6*(1+Inputs!$B$7/100))+(((Inputs!$B$12*(1+Inputs!$B$13/100))-(Inputs!$B$12*(1+Inputs!$B$13/100)))+0.25*(Inputs!$B$14-Inputs!$B$14))*(1+Inputs!$B$7/100))*(F462/100)</f>
        <v/>
      </c>
      <c r="K462">
        <f>J462*(1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462)</f>
        <v/>
      </c>
      <c r="L462">
        <f>K462*(MIN(Inputs!$B$22+((C471=TRUE)*(F471-Calc!F20)),(Inputs!$B$23+0+(IF(ArtifactsInput!$M$15,CHOOSE(ArtifactsInput!$N$15+1,25,30,35,40,45,50)/100*(Inputs!$B$11-Inputs!$B$11),0))))/100+(Inputs!$B$23+0+(IF(ArtifactsInput!$M$15,CHOOSE(ArtifactsInput!$N$15+1,25,30,35,40,45,50)/100*(Inputs!$B$11-Inputs!$B$11),0)))/100)/2</f>
        <v/>
      </c>
      <c r="M462">
        <f>L462*(1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2">
        <f>L462*(1-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462*(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2">
        <f>(1-Summary!$B$11)*T462+Summary!$B$11*V462</f>
        <v/>
      </c>
      <c r="P462">
        <f>IF(B486=0,0,O462/B486)</f>
        <v/>
      </c>
      <c r="Q462">
        <f>IFERROR(1/(IF(Inputs!$B$38="pvp",15,MAX(0.1,Skills!D11-IF(Skills!E11=TRUE,Inputs!$B$32,0)))*(1-IF(AND(ArtifactsInput!$M$27,Inputs!$B$4="Chapter Hunt"),CHOOSE(ArtifactsInput!$N$27+1,20,24,28,32,36,40),0)/100)),0)</f>
        <v/>
      </c>
      <c r="R462">
        <f>IF(AND(Inputs!$B$38&lt;&gt;"pvp",Inputs!$B$43&gt;0),IF(MAX(0,Inputs!$B$43-B483)&lt;=0,0,(INT(MAX(0,Inputs!$B$43-B483)/(IF(Inputs!$B$38="pvp",15,MAX(0.1,Skills!D11-IF(Skills!E11=TRUE,Inputs!$B$32,0)))*(1-IF(AND(ArtifactsInput!$M$27,Inputs!$B$4="Chapter Hunt"),CHOOSE(ArtifactsInput!$N$27+1,20,24,28,32,36,40),0)/100)))+1)),0)</f>
        <v/>
      </c>
      <c r="S462">
        <f>IFERROR(O462/N462,0)</f>
        <v/>
      </c>
      <c r="T462">
        <f>IF(C462,(H462*N462*IF(AND(Inputs!$B$38&lt;&gt;"pvp",Inputs!$B$43&gt;0),((Skills!G11*((R462-1)*IF(Skills!H11&gt;0,Skills!I11/Skills!H11,1)+IF(Skills!H11&gt;0,MIN(Skills!I11,MAX(0,MAX(0,Inputs!$B$43-B483)-((R462-1)*(IF(Inputs!$B$38="pvp",15,MAX(0.1,Skills!D11-IF(Skills!E11=TRUE,Inputs!$B$32,0)))*(1-IF(AND(ArtifactsInput!$M$27,Inputs!$B$4="Chapter Hunt"),CHOOSE(ArtifactsInput!$N$27+1,20,24,28,32,36,40),0)/100)))))/Skills!H11,1)))/Inputs!$B$43),G462*Q462)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462*(1-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462*(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462*(1-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462*(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2">
        <f>IF(C462,(H462*N462*IF(AND(Inputs!$B$38&lt;&gt;"pvp",Inputs!$B$43&gt;0),((Skills!G11*((R462-1)*IF(Skills!H11&gt;0,Skills!I11/Skills!H11,1)+IF(Skills!H11&gt;0,MIN(Skills!I11,MAX(0,MAX(0,Inputs!$B$43-B483)-((R462-1)*(IF(Inputs!$B$38="pvp",15,MAX(0.1,Skills!D11-IF(Skills!E11=TRUE,Inputs!$B$32,0)))*(1-IF(AND(ArtifactsInput!$M$27,Inputs!$B$4="Chapter Hunt"),CHOOSE(ArtifactsInput!$N$27+1,20,24,28,32,36,40),0)/100)))))/Skills!H11,1)))/Inputs!$B$43),G462*Q462))*IF(Inputs!$B$38="pvp",1,(1+(Inputs!$B$21+Skills!Q11+(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3">
      <c r="A463">
        <f>Skills!A12</f>
        <v/>
      </c>
      <c r="B463">
        <f>Skills!B12</f>
        <v/>
      </c>
      <c r="C463">
        <f>Inputs!$B$3&gt;=100</f>
        <v/>
      </c>
      <c r="D463">
        <f>IF(Skills!C12=1,60+Inputs!$B$25+Inputs!$B$29,IF(Skills!C12=2,90+Inputs!$B$26+Inputs!$B$29,IF(Skills!C12=3,120+Inputs!$B$27+Inputs!$B$29,MAX(0,(Inputs!$B$3-100)*3)+Inputs!$B$28+Inputs!$B$29)))</f>
        <v/>
      </c>
      <c r="E463">
        <f>INDEX(FactorTable!$B$2:$Y$301, MATCH(ROUND(MIN(300,MAX(1,D463)),0), FactorTable!$A$2:$A$301,0), Skills!M12+1)</f>
        <v/>
      </c>
      <c r="F463">
        <f>IF(Skills!N12=TRUE,(Skills!L12/10)*(E463/1000),Skills!L12/10)+Skills!O12</f>
        <v/>
      </c>
      <c r="G463" t="inlineStr"/>
      <c r="H463" t="inlineStr"/>
      <c r="I463" t="inlineStr">
        <is>
          <t>1</t>
        </is>
      </c>
      <c r="J463" t="inlineStr"/>
      <c r="K463" t="inlineStr"/>
      <c r="L463" t="inlineStr"/>
      <c r="M463" t="inlineStr"/>
      <c r="N463" t="inlineStr"/>
      <c r="O463" t="inlineStr"/>
      <c r="P463" t="inlineStr"/>
      <c r="Q463" t="inlineStr"/>
      <c r="R463" t="inlineStr"/>
      <c r="S463" t="inlineStr"/>
      <c r="T463" t="inlineStr"/>
      <c r="V463" t="inlineStr"/>
    </row>
    <row r="464">
      <c r="A464">
        <f>Skills!A13</f>
        <v/>
      </c>
      <c r="B464">
        <f>Skills!B13</f>
        <v/>
      </c>
      <c r="C464">
        <f>Inputs!$B$3&gt;=66</f>
        <v/>
      </c>
      <c r="D464">
        <f>IF(Skills!C13=1,60+Inputs!$B$25+Inputs!$B$29,IF(Skills!C13=2,90+Inputs!$B$26+Inputs!$B$29,IF(Skills!C13=3,120+Inputs!$B$27+Inputs!$B$29,MAX(0,(Inputs!$B$3-100)*3)+Inputs!$B$28+Inputs!$B$29)))</f>
        <v/>
      </c>
      <c r="E464">
        <f>INDEX(FactorTable!$B$2:$Y$301, MATCH(ROUND(MIN(300,MAX(1,D464)),0), FactorTable!$A$2:$A$301,0), Skills!M13+1)</f>
        <v/>
      </c>
      <c r="F464">
        <f>IF(Skills!N13=TRUE,(Skills!L13/10)*(E464/1000),Skills!L13/10)+Skills!O13</f>
        <v/>
      </c>
      <c r="G464">
        <f>Skills!G13*IF(Skills!H13&gt;0,Skills!I13/Skills!H13,1)</f>
        <v/>
      </c>
      <c r="H464">
        <f>1-(1-Skills!J13/100)^Skills!K13</f>
        <v/>
      </c>
      <c r="I464" t="inlineStr">
        <is>
          <t>1</t>
        </is>
      </c>
      <c r="J464" t="inlineStr"/>
      <c r="K464" t="inlineStr"/>
      <c r="L464" t="inlineStr"/>
      <c r="M464" t="inlineStr"/>
      <c r="N464" t="inlineStr"/>
      <c r="O464">
        <f>(1-Summary!$B$11)*T464+Summary!$B$11*V464</f>
        <v/>
      </c>
      <c r="P464">
        <f>IF(B486=0,0,O464/B486)</f>
        <v/>
      </c>
      <c r="Q464" t="n">
        <v>0</v>
      </c>
      <c r="R464" t="n">
        <v>0</v>
      </c>
      <c r="S464">
        <f>IFERROR(O464/N464,0)</f>
        <v/>
      </c>
      <c r="T464" t="n">
        <v>0</v>
      </c>
      <c r="V464" t="n">
        <v>0</v>
      </c>
    </row>
    <row r="465">
      <c r="A465">
        <f>Skills!A14</f>
        <v/>
      </c>
      <c r="B465">
        <f>Skills!B14</f>
        <v/>
      </c>
      <c r="C465">
        <f>Inputs!$B$3&gt;=107</f>
        <v/>
      </c>
      <c r="D465">
        <f>IF(Skills!C14=1,60+Inputs!$B$25+Inputs!$B$29,IF(Skills!C14=2,90+Inputs!$B$26+Inputs!$B$29,IF(Skills!C14=3,120+Inputs!$B$27+Inputs!$B$29,MAX(0,(Inputs!$B$3-100)*3)+Inputs!$B$28+Inputs!$B$29)))</f>
        <v/>
      </c>
      <c r="E465">
        <f>INDEX(FactorTable!$B$2:$Y$301, MATCH(ROUND(MIN(300,MAX(1,D465)),0), FactorTable!$A$2:$A$301,0), Skills!M14+1)</f>
        <v/>
      </c>
      <c r="F465">
        <f>IF(Skills!N14=TRUE,(Skills!L14/10)*(E465/1000),Skills!L14/10)+Skills!O14</f>
        <v/>
      </c>
      <c r="G465">
        <f>Skills!G14*IF(Skills!H14&gt;0,Skills!I14/Skills!H14,1)</f>
        <v/>
      </c>
      <c r="H465">
        <f>1-(1-Skills!J14/100)^Skills!K14</f>
        <v/>
      </c>
      <c r="I465" t="inlineStr">
        <is>
          <t>1</t>
        </is>
      </c>
      <c r="J465" t="inlineStr"/>
      <c r="K465" t="inlineStr"/>
      <c r="L465" t="inlineStr"/>
      <c r="M465" t="inlineStr"/>
      <c r="N465" t="inlineStr"/>
      <c r="O465">
        <f>(1-Summary!$B$11)*T465+Summary!$B$11*V465</f>
        <v/>
      </c>
      <c r="P465">
        <f>IF(B486=0,0,O465/B486)</f>
        <v/>
      </c>
      <c r="Q465" t="n">
        <v>0</v>
      </c>
      <c r="R465" t="n">
        <v>0</v>
      </c>
      <c r="S465">
        <f>IFERROR(O465/N465,0)</f>
        <v/>
      </c>
      <c r="T465" t="n">
        <v>0</v>
      </c>
      <c r="V465" t="n">
        <v>0</v>
      </c>
    </row>
    <row r="466">
      <c r="A466">
        <f>Skills!A15</f>
        <v/>
      </c>
      <c r="B466">
        <f>Skills!B15</f>
        <v/>
      </c>
      <c r="C466">
        <f>Inputs!$B$3&gt;=115</f>
        <v/>
      </c>
      <c r="D466">
        <f>IF(Skills!C15=1,60+Inputs!$B$25+Inputs!$B$29,IF(Skills!C15=2,90+Inputs!$B$26+Inputs!$B$29,IF(Skills!C15=3,120+Inputs!$B$27+Inputs!$B$29,MAX(0,(Inputs!$B$3-100)*3)+Inputs!$B$28+Inputs!$B$29)))</f>
        <v/>
      </c>
      <c r="E466">
        <f>INDEX(FactorTable!$B$2:$Y$301, MATCH(ROUND(MIN(300,MAX(1,D466)),0), FactorTable!$A$2:$A$301,0), Skills!M15+1)</f>
        <v/>
      </c>
      <c r="F466">
        <f>IF(Skills!N15=TRUE,(Skills!L15/10)*(E466/1000),Skills!L15/10)+Skills!O15</f>
        <v/>
      </c>
      <c r="G466">
        <f>Skills!G15*IF(Skills!H15&gt;0,Skills!I15/Skills!H15,1)</f>
        <v/>
      </c>
      <c r="H466">
        <f>1-(1-Skills!J15/100)^Skills!K15</f>
        <v/>
      </c>
      <c r="I466" t="inlineStr">
        <is>
          <t>1</t>
        </is>
      </c>
      <c r="J466" t="inlineStr"/>
      <c r="K466" t="inlineStr"/>
      <c r="L466" t="inlineStr"/>
      <c r="M466" t="inlineStr"/>
      <c r="N466" t="inlineStr"/>
      <c r="O466">
        <f>(1-Summary!$B$11)*T466+Summary!$B$11*V466</f>
        <v/>
      </c>
      <c r="P466">
        <f>IF(B486=0,0,O466/B486)</f>
        <v/>
      </c>
      <c r="Q466" t="n">
        <v>0</v>
      </c>
      <c r="R466" t="n">
        <v>0</v>
      </c>
      <c r="S466">
        <f>IFERROR(O466/N466,0)</f>
        <v/>
      </c>
      <c r="T466" t="n">
        <v>0</v>
      </c>
      <c r="V466" t="n">
        <v>0</v>
      </c>
    </row>
    <row r="467">
      <c r="A467">
        <f>Skills!A16</f>
        <v/>
      </c>
      <c r="B467">
        <f>Skills!B16</f>
        <v/>
      </c>
      <c r="C467">
        <f>Inputs!$B$3&gt;=15</f>
        <v/>
      </c>
      <c r="D467">
        <f>IF(Skills!C16=1,60+Inputs!$B$25+Inputs!$B$29,IF(Skills!C16=2,90+Inputs!$B$26+Inputs!$B$29,IF(Skills!C16=3,120+Inputs!$B$27+Inputs!$B$29,MAX(0,(Inputs!$B$3-100)*3)+Inputs!$B$28+Inputs!$B$29)))</f>
        <v/>
      </c>
      <c r="E467">
        <f>INDEX(FactorTable!$B$2:$Y$301, MATCH(ROUND(MIN(300,MAX(1,D467)),0), FactorTable!$A$2:$A$301,0), Skills!M16+1)</f>
        <v/>
      </c>
      <c r="F467">
        <f>IF(Skills!N16=TRUE,(Skills!L16/10)*(E467/1000),Skills!L16/10)+Skills!O16</f>
        <v/>
      </c>
      <c r="G467">
        <f>Skills!G16*IF(Skills!H16&gt;0,Skills!I16/Skills!H16,1)</f>
        <v/>
      </c>
      <c r="H467">
        <f>1-(1-Skills!J16/100)^Skills!K16</f>
        <v/>
      </c>
      <c r="I467" t="inlineStr">
        <is>
          <t>1</t>
        </is>
      </c>
      <c r="J467" t="inlineStr"/>
      <c r="K467" t="inlineStr"/>
      <c r="L467" t="inlineStr"/>
      <c r="M467" t="inlineStr"/>
      <c r="N467" t="inlineStr"/>
      <c r="O467">
        <f>(1-Summary!$B$11)*T467+Summary!$B$11*V467</f>
        <v/>
      </c>
      <c r="P467">
        <f>IF(B486=0,0,O467/B486)</f>
        <v/>
      </c>
      <c r="Q467" t="n">
        <v>0</v>
      </c>
      <c r="R467" t="n">
        <v>0</v>
      </c>
      <c r="S467">
        <f>IFERROR(O467/N467,0)</f>
        <v/>
      </c>
      <c r="T467" t="n">
        <v>0</v>
      </c>
      <c r="V467" t="n">
        <v>0</v>
      </c>
    </row>
    <row r="468">
      <c r="A468">
        <f>Skills!A17</f>
        <v/>
      </c>
      <c r="B468">
        <f>Skills!B17</f>
        <v/>
      </c>
      <c r="C468">
        <f>Inputs!$B$3&gt;=10</f>
        <v/>
      </c>
      <c r="D468">
        <f>IF(Skills!C17=1,60+Inputs!$B$25+Inputs!$B$29,IF(Skills!C17=2,90+Inputs!$B$26+Inputs!$B$29,IF(Skills!C17=3,120+Inputs!$B$27+Inputs!$B$29,MAX(0,(Inputs!$B$3-100)*3)+Inputs!$B$28+Inputs!$B$29)))</f>
        <v/>
      </c>
      <c r="E468">
        <f>INDEX(FactorTable!$B$2:$Y$301, MATCH(ROUND(MIN(300,MAX(1,D468)),0), FactorTable!$A$2:$A$301,0), Skills!M17+1)</f>
        <v/>
      </c>
      <c r="F468">
        <f>IF(Skills!N17=TRUE,(Skills!L17/10)*(E468/1000),Skills!L17/10)+Skills!O17</f>
        <v/>
      </c>
      <c r="G468">
        <f>Skills!G17*IF(Skills!H17&gt;0,Skills!I17/Skills!H17,1)</f>
        <v/>
      </c>
      <c r="H468">
        <f>1-(1-Skills!J17/100)^Skills!K17</f>
        <v/>
      </c>
      <c r="I468" t="inlineStr">
        <is>
          <t>1</t>
        </is>
      </c>
      <c r="J468" t="inlineStr"/>
      <c r="K468" t="inlineStr"/>
      <c r="L468" t="inlineStr"/>
      <c r="M468" t="inlineStr"/>
      <c r="N468" t="inlineStr"/>
      <c r="O468">
        <f>(1-Summary!$B$11)*T468+Summary!$B$11*V468</f>
        <v/>
      </c>
      <c r="P468">
        <f>IF(B486=0,0,O468/B486)</f>
        <v/>
      </c>
      <c r="Q468" t="n">
        <v>0</v>
      </c>
      <c r="R468" t="n">
        <v>0</v>
      </c>
      <c r="S468">
        <f>IFERROR(O468/N468,0)</f>
        <v/>
      </c>
      <c r="T468" t="n">
        <v>0</v>
      </c>
      <c r="V468" t="n">
        <v>0</v>
      </c>
    </row>
    <row r="469">
      <c r="A469">
        <f>Skills!A18</f>
        <v/>
      </c>
      <c r="B469">
        <f>Skills!B18</f>
        <v/>
      </c>
      <c r="C469">
        <f>Inputs!$B$3&gt;=33</f>
        <v/>
      </c>
      <c r="D469">
        <f>IF(Skills!C18=1,60+Inputs!$B$25+Inputs!$B$29,IF(Skills!C18=2,90+Inputs!$B$26+Inputs!$B$29,IF(Skills!C18=3,120+Inputs!$B$27+Inputs!$B$29,MAX(0,(Inputs!$B$3-100)*3)+Inputs!$B$28+Inputs!$B$29)))</f>
        <v/>
      </c>
      <c r="E469">
        <f>INDEX(FactorTable!$B$2:$Y$301, MATCH(ROUND(MIN(300,MAX(1,D469)),0), FactorTable!$A$2:$A$301,0), Skills!M18+1)</f>
        <v/>
      </c>
      <c r="F469">
        <f>IF(Skills!N18=TRUE,(Skills!L18/10)*(E469/1000),Skills!L18/10)+Skills!O18</f>
        <v/>
      </c>
      <c r="G469">
        <f>Skills!G18*IF(Skills!H18&gt;0,Skills!I18/Skills!H18,1)</f>
        <v/>
      </c>
      <c r="H469">
        <f>1-(1-Skills!J18/100)^Skills!K18</f>
        <v/>
      </c>
      <c r="I469" t="inlineStr">
        <is>
          <t>1</t>
        </is>
      </c>
      <c r="J469" t="inlineStr"/>
      <c r="K469" t="inlineStr"/>
      <c r="L469" t="inlineStr"/>
      <c r="M469" t="inlineStr"/>
      <c r="N469" t="inlineStr"/>
      <c r="O469">
        <f>(1-Summary!$B$11)*T469+Summary!$B$11*V469</f>
        <v/>
      </c>
      <c r="P469">
        <f>IF(B486=0,0,O469/B486)</f>
        <v/>
      </c>
      <c r="Q469" t="n">
        <v>0</v>
      </c>
      <c r="R469" t="n">
        <v>0</v>
      </c>
      <c r="S469">
        <f>IFERROR(O469/N469,0)</f>
        <v/>
      </c>
      <c r="T469" t="n">
        <v>0</v>
      </c>
      <c r="V469" t="n">
        <v>0</v>
      </c>
    </row>
    <row r="470">
      <c r="A470">
        <f>Skills!A19</f>
        <v/>
      </c>
      <c r="B470">
        <f>Skills!B19</f>
        <v/>
      </c>
      <c r="C470">
        <f>Inputs!$B$3&gt;=40</f>
        <v/>
      </c>
      <c r="D470">
        <f>IF(Skills!C19=1,60+Inputs!$B$25+Inputs!$B$29,IF(Skills!C19=2,90+Inputs!$B$26+Inputs!$B$29,IF(Skills!C19=3,120+Inputs!$B$27+Inputs!$B$29,MAX(0,(Inputs!$B$3-100)*3)+Inputs!$B$28+Inputs!$B$29)))</f>
        <v/>
      </c>
      <c r="E470">
        <f>INDEX(FactorTable!$B$2:$Y$301, MATCH(ROUND(MIN(300,MAX(1,D470)),0), FactorTable!$A$2:$A$301,0), Skills!M19+1)</f>
        <v/>
      </c>
      <c r="F470">
        <f>IF(Skills!N19=TRUE,(Skills!L19/10)*(E470/1000),Skills!L19/10)+Skills!O19</f>
        <v/>
      </c>
      <c r="G470">
        <f>Skills!G19*IF(Skills!H19&gt;0,Skills!I19/Skills!H19,1)</f>
        <v/>
      </c>
      <c r="H470">
        <f>1-(1-Skills!J19/100)^Skills!K19</f>
        <v/>
      </c>
      <c r="I470" t="inlineStr">
        <is>
          <t>1</t>
        </is>
      </c>
      <c r="J470" t="inlineStr"/>
      <c r="K470" t="inlineStr"/>
      <c r="L470" t="inlineStr"/>
      <c r="M470" t="inlineStr"/>
      <c r="N470" t="inlineStr"/>
      <c r="O470">
        <f>(1-Summary!$B$11)*T470+Summary!$B$11*V470</f>
        <v/>
      </c>
      <c r="P470">
        <f>IF(B486=0,0,O470/B486)</f>
        <v/>
      </c>
      <c r="Q470" t="n">
        <v>0</v>
      </c>
      <c r="R470" t="n">
        <v>0</v>
      </c>
      <c r="S470">
        <f>IFERROR(O470/N470,0)</f>
        <v/>
      </c>
      <c r="T470" t="n">
        <v>0</v>
      </c>
      <c r="V470" t="n">
        <v>0</v>
      </c>
    </row>
    <row r="471">
      <c r="A471">
        <f>Skills!A20</f>
        <v/>
      </c>
      <c r="B471">
        <f>Skills!B20</f>
        <v/>
      </c>
      <c r="C471">
        <f>Inputs!$B$3&gt;=43</f>
        <v/>
      </c>
      <c r="D471">
        <f>IF(Skills!C20=1,60+Inputs!$B$25+Inputs!$B$29,IF(Skills!C20=2,90+Inputs!$B$26+Inputs!$B$29,IF(Skills!C20=3,120+Inputs!$B$27+Inputs!$B$29,MAX(0,(Inputs!$B$3-100)*3)+Inputs!$B$28+Inputs!$B$29)))</f>
        <v/>
      </c>
      <c r="E471">
        <f>INDEX(FactorTable!$B$2:$Y$301, MATCH(ROUND(MIN(300,MAX(1,D471)),0), FactorTable!$A$2:$A$301,0), Skills!M20+1)</f>
        <v/>
      </c>
      <c r="F471">
        <f>IF(Skills!N20=TRUE,(Skills!L20/10)*(E471/1000),Skills!L20/10)+Skills!O20</f>
        <v/>
      </c>
      <c r="G471">
        <f>Skills!G20*IF(Skills!H20&gt;0,Skills!I20/Skills!H20,1)</f>
        <v/>
      </c>
      <c r="H471">
        <f>1-(1-Skills!J20/100)^Skills!K20</f>
        <v/>
      </c>
      <c r="I471" t="inlineStr">
        <is>
          <t>1</t>
        </is>
      </c>
      <c r="J471" t="inlineStr"/>
      <c r="K471" t="inlineStr"/>
      <c r="L471" t="inlineStr"/>
      <c r="M471" t="inlineStr"/>
      <c r="N471" t="inlineStr"/>
      <c r="O471">
        <f>(1-Summary!$B$11)*T471+Summary!$B$11*V471</f>
        <v/>
      </c>
      <c r="P471">
        <f>IF(B486=0,0,O471/B486)</f>
        <v/>
      </c>
      <c r="Q471" t="n">
        <v>0</v>
      </c>
      <c r="R471" t="n">
        <v>0</v>
      </c>
      <c r="S471">
        <f>IFERROR(O471/N471,0)</f>
        <v/>
      </c>
      <c r="T471" t="n">
        <v>0</v>
      </c>
      <c r="V471" t="n">
        <v>0</v>
      </c>
    </row>
    <row r="472">
      <c r="A472">
        <f>Skills!A21</f>
        <v/>
      </c>
      <c r="B472">
        <f>Skills!B21</f>
        <v/>
      </c>
      <c r="C472">
        <f>Inputs!$B$3&gt;=38</f>
        <v/>
      </c>
      <c r="D472">
        <f>IF(Skills!C21=1,60+Inputs!$B$25+Inputs!$B$29,IF(Skills!C21=2,90+Inputs!$B$26+Inputs!$B$29,IF(Skills!C21=3,120+Inputs!$B$27+Inputs!$B$29,MAX(0,(Inputs!$B$3-100)*3)+Inputs!$B$28+Inputs!$B$29)))</f>
        <v/>
      </c>
      <c r="E472">
        <f>INDEX(FactorTable!$B$2:$Y$301, MATCH(ROUND(MIN(300,MAX(1,D472)),0), FactorTable!$A$2:$A$301,0), Skills!M21+1)</f>
        <v/>
      </c>
      <c r="F472">
        <f>IF(Skills!N21=TRUE,(Skills!L21/10)*(E472/1000),Skills!L21/10)+Skills!O21</f>
        <v/>
      </c>
      <c r="G472">
        <f>Skills!G21*IF(Skills!H21&gt;0,Skills!I21/Skills!H21,1)</f>
        <v/>
      </c>
      <c r="H472">
        <f>1-(1-Skills!J21/100)^Skills!K21</f>
        <v/>
      </c>
      <c r="I472" t="inlineStr">
        <is>
          <t>1</t>
        </is>
      </c>
      <c r="J472" t="inlineStr"/>
      <c r="K472" t="inlineStr"/>
      <c r="L472" t="inlineStr"/>
      <c r="M472" t="inlineStr"/>
      <c r="N472" t="inlineStr"/>
      <c r="O472">
        <f>(1-Summary!$B$11)*T472+Summary!$B$11*V472</f>
        <v/>
      </c>
      <c r="P472">
        <f>IF(B486=0,0,O472/B486)</f>
        <v/>
      </c>
      <c r="Q472" t="n">
        <v>0</v>
      </c>
      <c r="R472" t="n">
        <v>0</v>
      </c>
      <c r="S472">
        <f>IFERROR(O472/N472,0)</f>
        <v/>
      </c>
      <c r="T472" t="n">
        <v>0</v>
      </c>
      <c r="V472" t="n">
        <v>0</v>
      </c>
    </row>
    <row r="473">
      <c r="A473">
        <f>Skills!A22</f>
        <v/>
      </c>
      <c r="B473">
        <f>Skills!B22</f>
        <v/>
      </c>
      <c r="C473">
        <f>Inputs!$B$3&gt;=75</f>
        <v/>
      </c>
      <c r="D473">
        <f>IF(Skills!C22=1,60+Inputs!$B$25+Inputs!$B$29,IF(Skills!C22=2,90+Inputs!$B$26+Inputs!$B$29,IF(Skills!C22=3,120+Inputs!$B$27+Inputs!$B$29,MAX(0,(Inputs!$B$3-100)*3)+Inputs!$B$28+Inputs!$B$29)))</f>
        <v/>
      </c>
      <c r="E473">
        <f>INDEX(FactorTable!$B$2:$Y$301, MATCH(ROUND(MIN(300,MAX(1,D473)),0), FactorTable!$A$2:$A$301,0), Skills!M22+1)</f>
        <v/>
      </c>
      <c r="F473">
        <f>IF(Skills!N22=TRUE,(Skills!L22/10)*(E473/1000),Skills!L22/10)+Skills!O22</f>
        <v/>
      </c>
      <c r="G473">
        <f>Skills!G22*IF(Skills!H22&gt;0,Skills!I22/Skills!H22,1)</f>
        <v/>
      </c>
      <c r="H473">
        <f>1-(1-Skills!J22/100)^Skills!K22</f>
        <v/>
      </c>
      <c r="I473" t="inlineStr">
        <is>
          <t>1</t>
        </is>
      </c>
      <c r="J473" t="inlineStr"/>
      <c r="K473" t="inlineStr"/>
      <c r="L473" t="inlineStr"/>
      <c r="M473" t="inlineStr"/>
      <c r="N473" t="inlineStr"/>
      <c r="O473">
        <f>(1-Summary!$B$11)*T473+Summary!$B$11*V473</f>
        <v/>
      </c>
      <c r="P473">
        <f>IF(B486=0,0,O473/B486)</f>
        <v/>
      </c>
      <c r="Q473" t="n">
        <v>0</v>
      </c>
      <c r="R473" t="n">
        <v>0</v>
      </c>
      <c r="S473">
        <f>IFERROR(O473/N473,0)</f>
        <v/>
      </c>
      <c r="T473" t="n">
        <v>0</v>
      </c>
      <c r="V473" t="n">
        <v>0</v>
      </c>
    </row>
    <row r="475">
      <c r="A475" t="inlineStr">
        <is>
          <t>Attack% Bucket Multiplier</t>
        </is>
      </c>
      <c r="B475">
        <f>(1+(((C464=TRUE)*F464)+((C470=TRUE)*(F470-Calc!F19))+(IF(ArtifactsInput!$M$21,CHOOSE(ArtifactsInput!$N$21+1,25,30,35,40,45,50)*(IF(OR(Inputs!$B$4="Chapter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6">
      <c r="A476" t="inlineStr">
        <is>
          <t>Global Crit Rate Bonus %</t>
        </is>
      </c>
      <c r="B476" t="n">
        <v>0</v>
      </c>
    </row>
    <row r="477">
      <c r="A477" t="inlineStr">
        <is>
          <t>Attack Speed Buff Bonus % (unused)</t>
        </is>
      </c>
      <c r="B477" t="n">
        <v>0</v>
      </c>
    </row>
    <row r="478">
      <c r="A478" t="inlineStr">
        <is>
          <t>Actions Per Second</t>
        </is>
      </c>
      <c r="B478">
        <f>1+MIN(150,150*(1-(1-(Inputs!$B$11+((C468=TRUE)*(F468-Calc!F17))+((C469=TRUE)*(F469-Calc!F18)))/150)*(1-B477/150)))/100</f>
        <v/>
      </c>
    </row>
    <row r="479">
      <c r="A479" t="inlineStr">
        <is>
          <t>Skill + Buff Cast Rate</t>
        </is>
      </c>
      <c r="B479">
        <f>IF(AND(Inputs!$B$38&lt;&gt;"pvp",Inputs!$B$43&gt;0),SUMPRODUCT((Skills!E2:E22=TRUE)*(C453:C473=TRUE)*R453:R473*Skills!F2:F22)/Inputs!$B$43,SUMPRODUCT((Skills!E2:E22=TRUE)*(C453:C473=TRUE)*Q453:Q473*Skills!F2:F22))</f>
        <v/>
      </c>
    </row>
    <row r="480">
      <c r="A480" t="inlineStr">
        <is>
          <t>Hook Bomber Casts Per Second</t>
        </is>
      </c>
      <c r="B480">
        <f>MAX(0,B478-B479)</f>
        <v/>
      </c>
    </row>
    <row r="481">
      <c r="A481" t="inlineStr">
        <is>
          <t>Global Critical Damage Bonus % (unused)</t>
        </is>
      </c>
      <c r="B481" t="n">
        <v>0</v>
      </c>
    </row>
    <row r="482">
      <c r="A482" t="inlineStr">
        <is>
          <t>Global Final Damage Bonus % (Serpent Scale + Crossbones + Time Leap + Speed Infusion)</t>
        </is>
      </c>
      <c r="B482">
        <f>((C456=TRUE)*F456*((10+IF(Inputs!$B$3&gt;=94,5,0))/((10+IF(Inputs!$B$3&gt;=94,5,0))+5/(B480*(1+IF(Inputs!$B$3&gt;=104,1,0))))))+((C465=TRUE)*F465)+((C466=TRUE)*F466)+((Inputs!$B$3&gt;=110)*20*(B478-1))</f>
        <v/>
      </c>
    </row>
    <row r="483">
      <c r="A483" t="inlineStr">
        <is>
          <t>Buff-Casting Startup Delay (s, fixed-duration only)</t>
        </is>
      </c>
      <c r="B483">
        <f>IF(AND(Inputs!$B$38&lt;&gt;"pvp",Inputs!$B$43&gt;0),SUMPRODUCT((Skills!T2:T22&gt;0)*(Skills!E2:E22=TRUE)*(C453:C473=TRUE))/B478,0)</f>
        <v/>
      </c>
    </row>
    <row r="484">
      <c r="A484" t="inlineStr">
        <is>
          <t>Boss-Only Total DPS (this block's swept value)</t>
        </is>
      </c>
      <c r="B484">
        <f>SUM(T453:T473)</f>
        <v/>
      </c>
    </row>
    <row r="485">
      <c r="A485" t="inlineStr">
        <is>
          <t>Normal-Only Total DPS (this block's swept value)</t>
        </is>
      </c>
      <c r="B485">
        <f>SUM(V453:V473)</f>
        <v/>
      </c>
    </row>
    <row r="486">
      <c r="A486" s="6" t="inlineStr">
        <is>
          <t>TOTAL DPS</t>
        </is>
      </c>
      <c r="B486" s="6">
        <f>SUM(O453:O473)</f>
        <v/>
      </c>
    </row>
    <row r="489">
      <c r="A489" s="6" t="inlineStr">
        <is>
          <t>Stat: CRIT_DAMAGE %</t>
        </is>
      </c>
    </row>
    <row r="490">
      <c r="A490" s="5" t="inlineStr">
        <is>
          <t>Key</t>
        </is>
      </c>
      <c r="B490" s="5" t="inlineStr">
        <is>
          <t>Name</t>
        </is>
      </c>
      <c r="C490" s="5" t="inlineStr">
        <is>
          <t>Unlocked</t>
        </is>
      </c>
      <c r="D490" s="5" t="inlineStr">
        <is>
          <t>InputLevel</t>
        </is>
      </c>
      <c r="E490" s="5" t="inlineStr">
        <is>
          <t>Factor</t>
        </is>
      </c>
      <c r="F490" s="5" t="inlineStr">
        <is>
          <t>CoefficientPercent</t>
        </is>
      </c>
      <c r="G490" s="5" t="inlineStr">
        <is>
          <t>EffectiveHits</t>
        </is>
      </c>
      <c r="H490" s="5" t="inlineStr">
        <is>
          <t>ProcProbability</t>
        </is>
      </c>
      <c r="I490" s="5" t="inlineStr">
        <is>
          <t>MapleHeroMultiplier</t>
        </is>
      </c>
      <c r="J490" s="5" t="inlineStr">
        <is>
          <t>BaseDamage</t>
        </is>
      </c>
      <c r="K490" s="5" t="inlineStr">
        <is>
          <t>BaseHitDamage</t>
        </is>
      </c>
      <c r="L490" s="5" t="inlineStr">
        <is>
          <t>NonCritAvg</t>
        </is>
      </c>
      <c r="M490" s="5" t="inlineStr">
        <is>
          <t>CritAvg</t>
        </is>
      </c>
      <c r="N490" s="5" t="inlineStr">
        <is>
          <t>ExpectedDamage(perHit)</t>
        </is>
      </c>
      <c r="O490" s="5" t="inlineStr">
        <is>
          <t>DPS</t>
        </is>
      </c>
      <c r="P490" s="5" t="inlineStr">
        <is>
          <t>% of Total</t>
        </is>
      </c>
      <c r="Q490" s="5" t="inlineStr">
        <is>
          <t>InvCooldown</t>
        </is>
      </c>
      <c r="R490" s="5" t="inlineStr">
        <is>
          <t>CastsInFight</t>
        </is>
      </c>
      <c r="S490" s="5" t="inlineStr">
        <is>
          <t>HitRate(perSec)</t>
        </is>
      </c>
      <c r="U490" t="inlineStr">
        <is>
          <t>helpers</t>
        </is>
      </c>
    </row>
    <row r="491">
      <c r="A491">
        <f>Skills!A2</f>
        <v/>
      </c>
      <c r="B491">
        <f>Skills!B2</f>
        <v/>
      </c>
      <c r="C491">
        <f>Inputs!$B$3&gt;=100</f>
        <v/>
      </c>
      <c r="D491" t="inlineStr"/>
      <c r="E491" t="inlineStr"/>
      <c r="F491">
        <f>U493+Skills!O2</f>
        <v/>
      </c>
      <c r="G491">
        <f>Skills!G2*IF(Skills!H2&gt;0,Skills!I2/Skills!H2,1)</f>
        <v/>
      </c>
      <c r="H491">
        <f>1-(1-Skills!J2/100)^Skills!K2</f>
        <v/>
      </c>
      <c r="I491" t="inlineStr">
        <is>
          <t>1</t>
        </is>
      </c>
      <c r="J491">
        <f>((Inputs!$B$6*(1+Inputs!$B$7/100))+(((Inputs!$B$12*(1+Inputs!$B$13/100))-(Inputs!$B$12*(1+Inputs!$B$13/100)))+0.25*(Inputs!$B$14-Inputs!$B$14))*(1+Inputs!$B$7/100))*(F491/100)</f>
        <v/>
      </c>
      <c r="K491">
        <f>J491*(1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491)</f>
        <v/>
      </c>
      <c r="L491">
        <f>K491*(MIN(Inputs!$B$22+((C509=TRUE)*(F509-Calc!F20)),(Inputs!$B$23+0+(IF(ArtifactsInput!$M$15,CHOOSE(ArtifactsInput!$N$15+1,25,30,35,40,45,50)/100*(Inputs!$B$11-Inputs!$B$11),0))))/100+(Inputs!$B$23+0+(IF(ArtifactsInput!$M$15,CHOOSE(ArtifactsInput!$N$15+1,25,30,35,40,45,50)/100*(Inputs!$B$11-Inputs!$B$11),0)))/100)/2</f>
        <v/>
      </c>
      <c r="M491">
        <f>L491*(1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1">
        <f>L491*(1-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1">
        <f>(1-Summary!$B$11)*T491+Summary!$B$11*V491</f>
        <v/>
      </c>
      <c r="P491">
        <f>IF(B524=0,0,O491/B524)</f>
        <v/>
      </c>
      <c r="Q491" t="n">
        <v>0</v>
      </c>
      <c r="R491" t="n">
        <v>0</v>
      </c>
      <c r="S491">
        <f>IFERROR(O491/N491,0)</f>
        <v/>
      </c>
      <c r="T491">
        <f>IF(C491,(Skills!G2*N491*B518)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491*(1-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491*(1-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1">
        <f>MAX(0,(Inputs!$B$3-100)*3)+Inputs!$B$28+Inputs!$B$29</f>
        <v/>
      </c>
      <c r="V491">
        <f>IF(C491,(Skills!G2*N491*B518)*IF(Inputs!$B$38="pvp",1,(1+(Inputs!$B$21+Skills!Q2+(IF(ArtifactsInput!$M$33,CHOOSE(ArtifactsInput!$N$33+1,30,36,42,48,54,60),0))+(IF(AND(ArtifactsInput!$M$35,Inputs!$B$4&lt;&gt;"Chapter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2">
      <c r="A492">
        <f>Skills!A3</f>
        <v/>
      </c>
      <c r="B492">
        <f>Skills!B3</f>
        <v/>
      </c>
      <c r="C492">
        <f>Inputs!$B$3&gt;=35</f>
        <v/>
      </c>
      <c r="D492">
        <f>IF(Skills!C3=1,60+Inputs!$B$25+Inputs!$B$29,IF(Skills!C3=2,90+Inputs!$B$26+Inputs!$B$29,IF(Skills!C3=3,120+Inputs!$B$27+Inputs!$B$29,MAX(0,(Inputs!$B$3-100)*3)+Inputs!$B$28+Inputs!$B$29)))</f>
        <v/>
      </c>
      <c r="E492">
        <f>INDEX(FactorTable!$B$2:$Y$301, MATCH(ROUND(MIN(300,MAX(1,D492)),0), FactorTable!$A$2:$A$301,0), Skills!M3+1)</f>
        <v/>
      </c>
      <c r="F492">
        <f>IF(Skills!N3=TRUE,(Skills!L3/10)*(E492/1000),Skills!L3/10)+Skills!O3</f>
        <v/>
      </c>
      <c r="G492">
        <f>Skills!G3*IF(Skills!H3&gt;0,Skills!I3/Skills!H3,1)</f>
        <v/>
      </c>
      <c r="H492">
        <f>1-(1-Skills!J3/100)^Skills!K3</f>
        <v/>
      </c>
      <c r="I492" t="inlineStr">
        <is>
          <t>1</t>
        </is>
      </c>
      <c r="J492">
        <f>((Inputs!$B$6*(1+Inputs!$B$7/100))+(((Inputs!$B$12*(1+Inputs!$B$13/100))-(Inputs!$B$12*(1+Inputs!$B$13/100)))+0.25*(Inputs!$B$14-Inputs!$B$14))*(1+Inputs!$B$7/100))*(F492/100)</f>
        <v/>
      </c>
      <c r="K492">
        <f>J492*(1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492)</f>
        <v/>
      </c>
      <c r="L492">
        <f>K492*(MIN(Inputs!$B$22+((C509=TRUE)*(F509-Calc!F20)),(Inputs!$B$23+0+(IF(ArtifactsInput!$M$15,CHOOSE(ArtifactsInput!$N$15+1,25,30,35,40,45,50)/100*(Inputs!$B$11-Inputs!$B$11),0))))/100+(Inputs!$B$23+0+(IF(ArtifactsInput!$M$15,CHOOSE(ArtifactsInput!$N$15+1,25,30,35,40,45,50)/100*(Inputs!$B$11-Inputs!$B$11),0)))/100)/2</f>
        <v/>
      </c>
      <c r="M492">
        <f>L492*(1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2">
        <f>L492*(1-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492*(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2">
        <f>(1-Summary!$B$11)*T492+Summary!$B$11*V492</f>
        <v/>
      </c>
      <c r="P492">
        <f>IF(B524=0,0,O492/B524)</f>
        <v/>
      </c>
      <c r="Q492" t="n">
        <v>0</v>
      </c>
      <c r="R492" t="n">
        <v>0</v>
      </c>
      <c r="S492">
        <f>IFERROR(O492/N492,0)</f>
        <v/>
      </c>
      <c r="T492">
        <f>IF(C492,(Skills!G3*H492*N492*B518)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492*(1-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492*(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492*(1-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492*(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2">
        <f>INDEX(FactorTable!$B$2:$Y$301, MATCH(ROUND(MIN(300,MAX(1,U491)),0), FactorTable!$A$2:$A$301,0), 22)</f>
        <v/>
      </c>
      <c r="V492">
        <f>IF(C492,(Skills!G3*H492*N492*B518)*IF(Inputs!$B$38="pvp",1,(1+(Inputs!$B$21+Skills!Q3+(IF(ArtifactsInput!$M$33,CHOOSE(ArtifactsInput!$N$33+1,30,36,42,48,54,60),0))+(IF(AND(ArtifactsInput!$M$35,Inputs!$B$4&lt;&gt;"Chapter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3">
      <c r="A493">
        <f>Skills!A4</f>
        <v/>
      </c>
      <c r="B493">
        <f>Skills!B4</f>
        <v/>
      </c>
      <c r="C493">
        <f>Inputs!$B$3&gt;=60</f>
        <v/>
      </c>
      <c r="D493">
        <f>IF(Skills!C4=1,60+Inputs!$B$25+Inputs!$B$29,IF(Skills!C4=2,90+Inputs!$B$26+Inputs!$B$29,IF(Skills!C4=3,120+Inputs!$B$27+Inputs!$B$29,MAX(0,(Inputs!$B$3-100)*3)+Inputs!$B$28+Inputs!$B$29)))</f>
        <v/>
      </c>
      <c r="E493">
        <f>INDEX(FactorTable!$B$2:$Y$301, MATCH(ROUND(MIN(300,MAX(1,D493)),0), FactorTable!$A$2:$A$301,0), Skills!M4+1)</f>
        <v/>
      </c>
      <c r="F493">
        <f>IF(Skills!N4=TRUE,(Skills!L4/10)*(E493/1000),Skills!L4/10)+Skills!O4</f>
        <v/>
      </c>
      <c r="G493">
        <f>Skills!G4*IF(Skills!H4&gt;0,Skills!I4/Skills!H4,1)</f>
        <v/>
      </c>
      <c r="H493">
        <f>1-(1-Skills!J4/100)^Skills!K4</f>
        <v/>
      </c>
      <c r="I493" t="inlineStr">
        <is>
          <t>1</t>
        </is>
      </c>
      <c r="J493">
        <f>((Inputs!$B$6*(1+Inputs!$B$7/100))+(((Inputs!$B$12*(1+Inputs!$B$13/100))-(Inputs!$B$12*(1+Inputs!$B$13/100)))+0.25*(Inputs!$B$14-Inputs!$B$14))*(1+Inputs!$B$7/100))*(F493/100)</f>
        <v/>
      </c>
      <c r="K493">
        <f>J493*(1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501=TRUE,F501,0)/100)*(1+(IF(Skills!A4="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493)</f>
        <v/>
      </c>
      <c r="L493">
        <f>K493*(MIN(Inputs!$B$22+((C509=TRUE)*(F509-Calc!F20)),(Inputs!$B$23+0+(IF(ArtifactsInput!$M$15,CHOOSE(ArtifactsInput!$N$15+1,25,30,35,40,45,50)/100*(Inputs!$B$11-Inputs!$B$11),0))))/100+(Inputs!$B$23+0+(IF(ArtifactsInput!$M$15,CHOOSE(ArtifactsInput!$N$15+1,25,30,35,40,45,50)/100*(Inputs!$B$11-Inputs!$B$11),0)))/100)/2</f>
        <v/>
      </c>
      <c r="M493">
        <f>L493*(1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3">
        <f>L493*(1-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IF(B524=0,0,O493/B524)</f>
        <v/>
      </c>
      <c r="Q493" t="n">
        <v>0</v>
      </c>
      <c r="R493" t="n">
        <v>0</v>
      </c>
      <c r="S493">
        <f>IFERROR(O493/N493,0)</f>
        <v/>
      </c>
      <c r="T493">
        <f>IF(C493,(Skills!G4*H493*N493*B518)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493*(1-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3">
        <f>290*U492/1000</f>
        <v/>
      </c>
      <c r="V493">
        <f>IF(C493,(Skills!G4*H493*N493*B518)*IF(Inputs!$B$38="pvp",1,(1+(Inputs!$B$21+Skills!Q4+(IF(ArtifactsInput!$M$33,CHOOSE(ArtifactsInput!$N$33+1,30,36,42,48,54,60),0))+(IF(AND(ArtifactsInput!$M$35,Inputs!$B$4&lt;&gt;"Chapter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Skills!A5</f>
        <v/>
      </c>
      <c r="B494">
        <f>Skills!B5</f>
        <v/>
      </c>
      <c r="C494">
        <f>Inputs!$B$3&gt;=60</f>
        <v/>
      </c>
      <c r="D494">
        <f>IF(Skills!C5=1,60+Inputs!$B$25+Inputs!$B$29,IF(Skills!C5=2,90+Inputs!$B$26+Inputs!$B$29,IF(Skills!C5=3,120+Inputs!$B$27+Inputs!$B$29,MAX(0,(Inputs!$B$3-100)*3)+Inputs!$B$28+Inputs!$B$29)))</f>
        <v/>
      </c>
      <c r="E494">
        <f>INDEX(FactorTable!$B$2:$Y$301, MATCH(ROUND(MIN(300,MAX(1,D494)),0), FactorTable!$A$2:$A$301,0), Skills!M5+1)</f>
        <v/>
      </c>
      <c r="F494">
        <f>IF(Skills!N5=TRUE,(Skills!L5/10)*(E494/1000),Skills!L5/10)+Skills!O5</f>
        <v/>
      </c>
      <c r="G494">
        <f>Skills!G5*IF(Skills!H5&gt;0,Skills!I5/Skills!H5,1)</f>
        <v/>
      </c>
      <c r="H494">
        <f>1-(1-Skills!J5/100)^Skills!K5</f>
        <v/>
      </c>
      <c r="I494" t="inlineStr">
        <is>
          <t>1</t>
        </is>
      </c>
      <c r="J494" t="inlineStr"/>
      <c r="K494" t="inlineStr"/>
      <c r="L494" t="inlineStr"/>
      <c r="M494" t="inlineStr"/>
      <c r="N494" t="inlineStr"/>
      <c r="O494">
        <f>(1-Summary!$B$11)*T494+Summary!$B$11*V494</f>
        <v/>
      </c>
      <c r="P494">
        <f>IF(B524=0,0,O494/B524)</f>
        <v/>
      </c>
      <c r="Q494" t="n">
        <v>0</v>
      </c>
      <c r="R494" t="n">
        <v>0</v>
      </c>
      <c r="S494">
        <f>IFERROR(O494/N494,0)</f>
        <v/>
      </c>
      <c r="T494" t="n">
        <v>0</v>
      </c>
      <c r="V494" t="n">
        <v>0</v>
      </c>
    </row>
    <row r="495">
      <c r="A495">
        <f>Skills!A6</f>
        <v/>
      </c>
      <c r="B495">
        <f>Skills!B6</f>
        <v/>
      </c>
      <c r="C495">
        <f>Inputs!$B$3&gt;=63</f>
        <v/>
      </c>
      <c r="D495">
        <f>IF(Skills!C6=1,60+Inputs!$B$25+Inputs!$B$29,IF(Skills!C6=2,90+Inputs!$B$26+Inputs!$B$29,IF(Skills!C6=3,120+Inputs!$B$27+Inputs!$B$29,MAX(0,(Inputs!$B$3-100)*3)+Inputs!$B$28+Inputs!$B$29)))</f>
        <v/>
      </c>
      <c r="E495">
        <f>INDEX(FactorTable!$B$2:$Y$301, MATCH(ROUND(MIN(300,MAX(1,D495)),0), FactorTable!$A$2:$A$301,0), Skills!M6+1)</f>
        <v/>
      </c>
      <c r="F495">
        <f>IF(Skills!N6=TRUE,(Skills!L6/10)*(E495/1000),Skills!L6/10)+Skills!O6</f>
        <v/>
      </c>
      <c r="G495">
        <f>Skills!G6*IF(Skills!H6&gt;0,Skills!I6/Skills!H6,1)</f>
        <v/>
      </c>
      <c r="H495">
        <f>1-(1-Skills!J6/100)^Skills!K6</f>
        <v/>
      </c>
      <c r="I495" t="inlineStr">
        <is>
          <t>1</t>
        </is>
      </c>
      <c r="J495">
        <f>((Inputs!$B$6*(1+Inputs!$B$7/100))+(((Inputs!$B$12*(1+Inputs!$B$13/100))-(Inputs!$B$12*(1+Inputs!$B$13/100)))+0.25*(Inputs!$B$14-Inputs!$B$14))*(1+Inputs!$B$7/100))*(F495/100)</f>
        <v/>
      </c>
      <c r="K495">
        <f>J495*(1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495)</f>
        <v/>
      </c>
      <c r="L495">
        <f>K495*(MIN(Inputs!$B$22+((C509=TRUE)*(F509-Calc!F20)),(Inputs!$B$23+0+(IF(ArtifactsInput!$M$15,CHOOSE(ArtifactsInput!$N$15+1,25,30,35,40,45,50)/100*(Inputs!$B$11-Inputs!$B$11),0))))/100+(Inputs!$B$23+0+(IF(ArtifactsInput!$M$15,CHOOSE(ArtifactsInput!$N$15+1,25,30,35,40,45,50)/100*(Inputs!$B$11-Inputs!$B$11),0)))/100)/2</f>
        <v/>
      </c>
      <c r="M495">
        <f>L495*(1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5">
        <f>L495*(1-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495*(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5">
        <f>(1-Summary!$B$11)*T495+Summary!$B$11*V495</f>
        <v/>
      </c>
      <c r="P495">
        <f>IF(B524=0,0,O495/B524)</f>
        <v/>
      </c>
      <c r="Q495">
        <f>IFERROR(1/(IF(Inputs!$B$38="pvp",15,MAX(0.1,Skills!D6-IF(Skills!E6=TRUE,Inputs!$B$32,0)))*(1-IF(AND(ArtifactsInput!$M$27,Inputs!$B$4="Chapter Hunt"),CHOOSE(ArtifactsInput!$N$27+1,20,24,28,32,36,40),0)/100)),0)</f>
        <v/>
      </c>
      <c r="R495">
        <f>IF(AND(Inputs!$B$38&lt;&gt;"pvp",Inputs!$B$43&gt;0),IF(MAX(0,Inputs!$B$43-B521)&lt;=0,0,(INT(MAX(0,Inputs!$B$43-B521)/(IF(Inputs!$B$38="pvp",15,MAX(0.1,Skills!D6-IF(Skills!E6=TRUE,Inputs!$B$32,0)))*(1-IF(AND(ArtifactsInput!$M$27,Inputs!$B$4="Chapter Hunt"),CHOOSE(ArtifactsInput!$N$27+1,20,24,28,32,36,40),0)/100)))+1)),0)</f>
        <v/>
      </c>
      <c r="S495">
        <f>IFERROR(O495/N495,0)</f>
        <v/>
      </c>
      <c r="T495">
        <f>IF(C495,(H495*N495*IF(AND(Inputs!$B$38&lt;&gt;"pvp",Inputs!$B$43&gt;0),((Skills!G6*((R495-1)*IF(Skills!H6&gt;0,Skills!I6/Skills!H6,1)+IF(Skills!H6&gt;0,MIN(Skills!I6,MAX(0,MAX(0,Inputs!$B$43-B521)-((R495-1)*(IF(Inputs!$B$38="pvp",15,MAX(0.1,Skills!D6-IF(Skills!E6=TRUE,Inputs!$B$32,0)))*(1-IF(AND(ArtifactsInput!$M$27,Inputs!$B$4="Chapter Hunt"),CHOOSE(ArtifactsInput!$N$27+1,20,24,28,32,36,40),0)/100)))))/Skills!H6,1)))/Inputs!$B$43),G495*Q495)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495*(1-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495*(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495*(1-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495*(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5">
        <f>IF(C495,(H495*N495*IF(AND(Inputs!$B$38&lt;&gt;"pvp",Inputs!$B$43&gt;0),((Skills!G6*((R495-1)*IF(Skills!H6&gt;0,Skills!I6/Skills!H6,1)+IF(Skills!H6&gt;0,MIN(Skills!I6,MAX(0,MAX(0,Inputs!$B$43-B521)-((R495-1)*(IF(Inputs!$B$38="pvp",15,MAX(0.1,Skills!D6-IF(Skills!E6=TRUE,Inputs!$B$32,0)))*(1-IF(AND(ArtifactsInput!$M$27,Inputs!$B$4="Chapter Hunt"),CHOOSE(ArtifactsInput!$N$27+1,20,24,28,32,36,40),0)/100)))))/Skills!H6,1)))/Inputs!$B$43),G495*Q495))*IF(Inputs!$B$38="pvp",1,(1+(Inputs!$B$21+Skills!Q6+(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6">
      <c r="A496">
        <f>Skills!A7</f>
        <v/>
      </c>
      <c r="B496">
        <f>Skills!B7</f>
        <v/>
      </c>
      <c r="C496">
        <f>Inputs!$B$3&gt;=100</f>
        <v/>
      </c>
      <c r="D496">
        <f>IF(Skills!C7=1,60+Inputs!$B$25+Inputs!$B$29,IF(Skills!C7=2,90+Inputs!$B$26+Inputs!$B$29,IF(Skills!C7=3,120+Inputs!$B$27+Inputs!$B$29,MAX(0,(Inputs!$B$3-100)*3)+Inputs!$B$28+Inputs!$B$29)))</f>
        <v/>
      </c>
      <c r="E496">
        <f>INDEX(FactorTable!$B$2:$Y$301, MATCH(ROUND(MIN(300,MAX(1,D496)),0), FactorTable!$A$2:$A$301,0), Skills!M7+1)</f>
        <v/>
      </c>
      <c r="F496">
        <f>IF(Skills!N7=TRUE,(Skills!L7/10)*(E496/1000),Skills!L7/10)+Skills!O7</f>
        <v/>
      </c>
      <c r="G496">
        <f>Skills!G7*IF(Skills!H7&gt;0,Skills!I7/Skills!H7,1)</f>
        <v/>
      </c>
      <c r="H496">
        <f>1-(1-Skills!J7/100)^Skills!K7</f>
        <v/>
      </c>
      <c r="I496" t="inlineStr">
        <is>
          <t>1</t>
        </is>
      </c>
      <c r="J496">
        <f>((Inputs!$B$6*(1+Inputs!$B$7/100))+(((Inputs!$B$12*(1+Inputs!$B$13/100))-(Inputs!$B$12*(1+Inputs!$B$13/100)))+0.25*(Inputs!$B$14-Inputs!$B$14))*(1+Inputs!$B$7/100))*(F496/100)</f>
        <v/>
      </c>
      <c r="K496">
        <f>J496*(1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496)</f>
        <v/>
      </c>
      <c r="L496">
        <f>K496*(MIN(Inputs!$B$22+((C509=TRUE)*(F509-Calc!F20)),(Inputs!$B$23+0+(IF(ArtifactsInput!$M$15,CHOOSE(ArtifactsInput!$N$15+1,25,30,35,40,45,50)/100*(Inputs!$B$11-Inputs!$B$11),0))))/100+(Inputs!$B$23+0+(IF(ArtifactsInput!$M$15,CHOOSE(ArtifactsInput!$N$15+1,25,30,35,40,45,50)/100*(Inputs!$B$11-Inputs!$B$11),0)))/100)/2</f>
        <v/>
      </c>
      <c r="M496">
        <f>L496*(1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6">
        <f>L496*(1-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IF(B524=0,0,O496/B524)</f>
        <v/>
      </c>
      <c r="Q496">
        <f>IFERROR(1/(IF(Inputs!$B$38="pvp",15,MAX(0.1,Skills!D7-IF(Skills!E7=TRUE,Inputs!$B$32,0)))*(1-IF(AND(ArtifactsInput!$M$27,Inputs!$B$4="Chapter Hunt"),CHOOSE(ArtifactsInput!$N$27+1,20,24,28,32,36,40),0)/100)),0)</f>
        <v/>
      </c>
      <c r="R496">
        <f>IF(AND(Inputs!$B$38&lt;&gt;"pvp",Inputs!$B$43&gt;0),IF(MAX(0,Inputs!$B$43-B521)&lt;=0,0,(INT(MAX(0,Inputs!$B$43-B521)/(IF(Inputs!$B$38="pvp",15,MAX(0.1,Skills!D7-IF(Skills!E7=TRUE,Inputs!$B$32,0)))*(1-IF(AND(ArtifactsInput!$M$27,Inputs!$B$4="Chapter Hunt"),CHOOSE(ArtifactsInput!$N$27+1,20,24,28,32,36,40),0)/100)))+1)),0)</f>
        <v/>
      </c>
      <c r="S496">
        <f>IFERROR(O496/N496,0)</f>
        <v/>
      </c>
      <c r="T496">
        <f>IF(C496,(H496*N496*IF(AND(Inputs!$B$38&lt;&gt;"pvp",Inputs!$B$43&gt;0),((Skills!G7*((R496-1)*IF(Skills!H7&gt;0,Skills!I7/Skills!H7,1)+IF(Skills!H7&gt;0,MIN(Skills!I7,MAX(0,MAX(0,Inputs!$B$43-B521)-((R496-1)*(IF(Inputs!$B$38="pvp",15,MAX(0.1,Skills!D7-IF(Skills!E7=TRUE,Inputs!$B$32,0)))*(1-IF(AND(ArtifactsInput!$M$27,Inputs!$B$4="Chapter Hunt"),CHOOSE(ArtifactsInput!$N$27+1,20,24,28,32,36,40),0)/100)))))/Skills!H7,1)))/Inputs!$B$43),G496*Q496)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496*(1-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7*((R496-1)*IF(Skills!H7&gt;0,Skills!I7/Skills!H7,1)+IF(Skills!H7&gt;0,MIN(Skills!I7,MAX(0,MAX(0,Inputs!$B$43-B521)-((R496-1)*(IF(Inputs!$B$38="pvp",15,MAX(0.1,Skills!D7-IF(Skills!E7=TRUE,Inputs!$B$32,0)))*(1-IF(AND(ArtifactsInput!$M$27,Inputs!$B$4="Chapter Hunt"),CHOOSE(ArtifactsInput!$N$27+1,20,24,28,32,36,40),0)/100)))))/Skills!H7,1)))/Inputs!$B$43),G496*Q496))*IF(Inputs!$B$38="pvp",1,(1+(Inputs!$B$21+Skills!Q7+(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Skills!A8</f>
        <v/>
      </c>
      <c r="B497">
        <f>Skills!B8</f>
        <v/>
      </c>
      <c r="C497">
        <f>Inputs!$B$3&gt;=110</f>
        <v/>
      </c>
      <c r="D497">
        <f>IF(Skills!C8=1,60+Inputs!$B$25+Inputs!$B$29,IF(Skills!C8=2,90+Inputs!$B$26+Inputs!$B$29,IF(Skills!C8=3,120+Inputs!$B$27+Inputs!$B$29,MAX(0,(Inputs!$B$3-100)*3)+Inputs!$B$28+Inputs!$B$29)))</f>
        <v/>
      </c>
      <c r="E497">
        <f>INDEX(FactorTable!$B$2:$Y$301, MATCH(ROUND(MIN(300,MAX(1,D497)),0), FactorTable!$A$2:$A$301,0), Skills!M8+1)</f>
        <v/>
      </c>
      <c r="F497">
        <f>IF(Skills!N8=TRUE,(Skills!L8/10)*(E497/1000),Skills!L8/10)+Skills!O8</f>
        <v/>
      </c>
      <c r="G497">
        <f>Skills!G8*IF(Skills!H8&gt;0,Skills!I8/Skills!H8,1)</f>
        <v/>
      </c>
      <c r="H497">
        <f>1-(1-Skills!J8/100)^Skills!K8</f>
        <v/>
      </c>
      <c r="I497" t="inlineStr">
        <is>
          <t>1</t>
        </is>
      </c>
      <c r="J497">
        <f>((Inputs!$B$6*(1+Inputs!$B$7/100))+(((Inputs!$B$12*(1+Inputs!$B$13/100))-(Inputs!$B$12*(1+Inputs!$B$13/100)))+0.25*(Inputs!$B$14-Inputs!$B$14))*(1+Inputs!$B$7/100))*(F497/100)</f>
        <v/>
      </c>
      <c r="K497">
        <f>J497*(1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497)</f>
        <v/>
      </c>
      <c r="L497">
        <f>K497*(MIN(Inputs!$B$22+((C509=TRUE)*(F509-Calc!F20)),(Inputs!$B$23+0+(IF(ArtifactsInput!$M$15,CHOOSE(ArtifactsInput!$N$15+1,25,30,35,40,45,50)/100*(Inputs!$B$11-Inputs!$B$11),0))))/100+(Inputs!$B$23+0+(IF(ArtifactsInput!$M$15,CHOOSE(ArtifactsInput!$N$15+1,25,30,35,40,45,50)/100*(Inputs!$B$11-Inputs!$B$11),0)))/100)/2</f>
        <v/>
      </c>
      <c r="M497">
        <f>L497*(1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7">
        <f>L497*(1-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IF(B524=0,0,O497/B524)</f>
        <v/>
      </c>
      <c r="Q497">
        <f>IFERROR(1/(IF(Inputs!$B$38="pvp",15,MAX(0.1,Skills!D8-IF(Skills!E8=TRUE,Inputs!$B$32,0)))*(1-IF(AND(ArtifactsInput!$M$27,Inputs!$B$4="Chapter Hunt"),CHOOSE(ArtifactsInput!$N$27+1,20,24,28,32,36,40),0)/100)),0)</f>
        <v/>
      </c>
      <c r="R497">
        <f>IF(AND(Inputs!$B$38&lt;&gt;"pvp",Inputs!$B$43&gt;0),IF(MAX(0,Inputs!$B$43-B521)&lt;=0,0,(INT(MAX(0,Inputs!$B$43-B521)/(IF(Inputs!$B$38="pvp",15,MAX(0.1,Skills!D8-IF(Skills!E8=TRUE,Inputs!$B$32,0)))*(1-IF(AND(ArtifactsInput!$M$27,Inputs!$B$4="Chapter Hunt"),CHOOSE(ArtifactsInput!$N$27+1,20,24,28,32,36,40),0)/100)))+1)),0)</f>
        <v/>
      </c>
      <c r="S497">
        <f>IFERROR(O497/N497,0)</f>
        <v/>
      </c>
      <c r="T497">
        <f>IF(C497,(H497*N497*IF(AND(Inputs!$B$38&lt;&gt;"pvp",Inputs!$B$43&gt;0),((Skills!G8*((R497-1)*IF(Skills!H8&gt;0,Skills!I8/Skills!H8,1)+IF(Skills!H8&gt;0,MIN(Skills!I8,MAX(0,MAX(0,Inputs!$B$43-B521)-((R497-1)*(IF(Inputs!$B$38="pvp",15,MAX(0.1,Skills!D8-IF(Skills!E8=TRUE,Inputs!$B$32,0)))*(1-IF(AND(ArtifactsInput!$M$27,Inputs!$B$4="Chapter Hunt"),CHOOSE(ArtifactsInput!$N$27+1,20,24,28,32,36,40),0)/100)))))/Skills!H8,1)))/Inputs!$B$43),G497*Q497)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497*(1-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7">
        <f>IF(C497,(H497*N497*IF(AND(Inputs!$B$38&lt;&gt;"pvp",Inputs!$B$43&gt;0),((Skills!G8*((R497-1)*IF(Skills!H8&gt;0,Skills!I8/Skills!H8,1)+IF(Skills!H8&gt;0,MIN(Skills!I8,MAX(0,MAX(0,Inputs!$B$43-B521)-((R497-1)*(IF(Inputs!$B$38="pvp",15,MAX(0.1,Skills!D8-IF(Skills!E8=TRUE,Inputs!$B$32,0)))*(1-IF(AND(ArtifactsInput!$M$27,Inputs!$B$4="Chapter Hunt"),CHOOSE(ArtifactsInput!$N$27+1,20,24,28,32,36,40),0)/100)))))/Skills!H8,1)))/Inputs!$B$43),G497*Q497))*IF(Inputs!$B$38="pvp",1,(1+(Inputs!$B$21+Skills!Q8+(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Skills!A9</f>
        <v/>
      </c>
      <c r="B498">
        <f>Skills!B9</f>
        <v/>
      </c>
      <c r="C498">
        <f>Inputs!$B$3&gt;=110</f>
        <v/>
      </c>
      <c r="D498">
        <f>IF(Skills!C9=1,60+Inputs!$B$25+Inputs!$B$29,IF(Skills!C9=2,90+Inputs!$B$26+Inputs!$B$29,IF(Skills!C9=3,120+Inputs!$B$27+Inputs!$B$29,MAX(0,(Inputs!$B$3-100)*3)+Inputs!$B$28+Inputs!$B$29)))</f>
        <v/>
      </c>
      <c r="E498">
        <f>INDEX(FactorTable!$B$2:$Y$301, MATCH(ROUND(MIN(300,MAX(1,D498)),0), FactorTable!$A$2:$A$301,0), Skills!M9+1)</f>
        <v/>
      </c>
      <c r="F498">
        <f>IF(Skills!N9=TRUE,(Skills!L9/10)*(E498/1000),Skills!L9/10)+Skills!O9</f>
        <v/>
      </c>
      <c r="G498">
        <f>Skills!G9*IF(Skills!H9&gt;0,Skills!I9/Skills!H9,1)</f>
        <v/>
      </c>
      <c r="H498">
        <f>1-(1-Skills!J9/100)^Skills!K9</f>
        <v/>
      </c>
      <c r="I498" t="inlineStr">
        <is>
          <t>1</t>
        </is>
      </c>
      <c r="J498">
        <f>((Inputs!$B$6*(1+Inputs!$B$7/100))+(((Inputs!$B$12*(1+Inputs!$B$13/100))-(Inputs!$B$12*(1+Inputs!$B$13/100)))+0.25*(Inputs!$B$14-Inputs!$B$14))*(1+Inputs!$B$7/100))*(F498/100)</f>
        <v/>
      </c>
      <c r="K498">
        <f>J498*(1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498)</f>
        <v/>
      </c>
      <c r="L498">
        <f>K498*(MIN(Inputs!$B$22+((C509=TRUE)*(F509-Calc!F20)),(Inputs!$B$23+0+(IF(ArtifactsInput!$M$15,CHOOSE(ArtifactsInput!$N$15+1,25,30,35,40,45,50)/100*(Inputs!$B$11-Inputs!$B$11),0))))/100+(Inputs!$B$23+0+(IF(ArtifactsInput!$M$15,CHOOSE(ArtifactsInput!$N$15+1,25,30,35,40,45,50)/100*(Inputs!$B$11-Inputs!$B$11),0)))/100)/2</f>
        <v/>
      </c>
      <c r="M498">
        <f>L498*(1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8">
        <f>L498*(1-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498*(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8">
        <f>(1-Summary!$B$11)*T498+Summary!$B$11*V498</f>
        <v/>
      </c>
      <c r="P498">
        <f>IF(B524=0,0,O498/B524)</f>
        <v/>
      </c>
      <c r="Q498">
        <f>IFERROR(1/(IF(Inputs!$B$38="pvp",15,MAX(0.1,Skills!D9-IF(Skills!E9=TRUE,Inputs!$B$32,0)))*(1-IF(AND(ArtifactsInput!$M$27,Inputs!$B$4="Chapter Hunt"),CHOOSE(ArtifactsInput!$N$27+1,20,24,28,32,36,40),0)/100)),0)</f>
        <v/>
      </c>
      <c r="R498">
        <f>IF(AND(Inputs!$B$38&lt;&gt;"pvp",Inputs!$B$43&gt;0),IF(MAX(0,Inputs!$B$43-B521)&lt;=0,0,(INT(MAX(0,Inputs!$B$43-B521)/(IF(Inputs!$B$38="pvp",15,MAX(0.1,Skills!D9-IF(Skills!E9=TRUE,Inputs!$B$32,0)))*(1-IF(AND(ArtifactsInput!$M$27,Inputs!$B$4="Chapter Hunt"),CHOOSE(ArtifactsInput!$N$27+1,20,24,28,32,36,40),0)/100)))+1)),0)</f>
        <v/>
      </c>
      <c r="S498">
        <f>IFERROR(O498/N498,0)</f>
        <v/>
      </c>
      <c r="T498">
        <f>IF(C498,(H498*N498*IF(AND(Inputs!$B$38&lt;&gt;"pvp",Inputs!$B$43&gt;0),((Skills!G9*((R498-1)*IF(Skills!H9&gt;0,Skills!I9/Skills!H9,1)+IF(Skills!H9&gt;0,MIN(Skills!I9,MAX(0,MAX(0,Inputs!$B$43-B521)-((R498-1)*(IF(Inputs!$B$38="pvp",15,MAX(0.1,Skills!D9-IF(Skills!E9=TRUE,Inputs!$B$32,0)))*(1-IF(AND(ArtifactsInput!$M$27,Inputs!$B$4="Chapter Hunt"),CHOOSE(ArtifactsInput!$N$27+1,20,24,28,32,36,40),0)/100)))))/Skills!H9,1)))/Inputs!$B$43),G498*Q498)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498*(1-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498*(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498*(1-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498*(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8">
        <f>IF(C498,(H498*N498*IF(AND(Inputs!$B$38&lt;&gt;"pvp",Inputs!$B$43&gt;0),((Skills!G9*((R498-1)*IF(Skills!H9&gt;0,Skills!I9/Skills!H9,1)+IF(Skills!H9&gt;0,MIN(Skills!I9,MAX(0,MAX(0,Inputs!$B$43-B521)-((R498-1)*(IF(Inputs!$B$38="pvp",15,MAX(0.1,Skills!D9-IF(Skills!E9=TRUE,Inputs!$B$32,0)))*(1-IF(AND(ArtifactsInput!$M$27,Inputs!$B$4="Chapter Hunt"),CHOOSE(ArtifactsInput!$N$27+1,20,24,28,32,36,40),0)/100)))))/Skills!H9,1)))/Inputs!$B$43),G498*Q498))*IF(Inputs!$B$38="pvp",1,(1+(Inputs!$B$21+Skills!Q9+(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9">
      <c r="A499">
        <f>Skills!A10</f>
        <v/>
      </c>
      <c r="B499">
        <f>Skills!B10</f>
        <v/>
      </c>
      <c r="C499">
        <f>Inputs!$B$3&gt;=103</f>
        <v/>
      </c>
      <c r="D499">
        <f>IF(Skills!C10=1,60+Inputs!$B$25+Inputs!$B$29,IF(Skills!C10=2,90+Inputs!$B$26+Inputs!$B$29,IF(Skills!C10=3,120+Inputs!$B$27+Inputs!$B$29,MAX(0,(Inputs!$B$3-100)*3)+Inputs!$B$28+Inputs!$B$29)))</f>
        <v/>
      </c>
      <c r="E499">
        <f>INDEX(FactorTable!$B$2:$Y$301, MATCH(ROUND(MIN(300,MAX(1,D499)),0), FactorTable!$A$2:$A$301,0), Skills!M10+1)</f>
        <v/>
      </c>
      <c r="F499">
        <f>IF(Skills!N10=TRUE,(Skills!L10/10)*(E499/1000),Skills!L10/10)+Skills!O10</f>
        <v/>
      </c>
      <c r="G499">
        <f>Skills!G10*IF(Skills!H10&gt;0,Skills!I10/Skills!H10,1)</f>
        <v/>
      </c>
      <c r="H499">
        <f>1-(1-Skills!J10/100)^Skills!K10</f>
        <v/>
      </c>
      <c r="I499" t="inlineStr">
        <is>
          <t>1</t>
        </is>
      </c>
      <c r="J499">
        <f>((Inputs!$B$6*(1+Inputs!$B$7/100))+(((Inputs!$B$12*(1+Inputs!$B$13/100))-(Inputs!$B$12*(1+Inputs!$B$13/100)))+0.25*(Inputs!$B$14-Inputs!$B$14))*(1+Inputs!$B$7/100))*(F499/100)</f>
        <v/>
      </c>
      <c r="K499">
        <f>J499*(1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499)</f>
        <v/>
      </c>
      <c r="L499">
        <f>K499*(MIN(Inputs!$B$22+((C509=TRUE)*(F509-Calc!F20)),(Inputs!$B$23+0+(IF(ArtifactsInput!$M$15,CHOOSE(ArtifactsInput!$N$15+1,25,30,35,40,45,50)/100*(Inputs!$B$11-Inputs!$B$11),0))))/100+(Inputs!$B$23+0+(IF(ArtifactsInput!$M$15,CHOOSE(ArtifactsInput!$N$15+1,25,30,35,40,45,50)/100*(Inputs!$B$11-Inputs!$B$11),0)))/100)/2</f>
        <v/>
      </c>
      <c r="M499">
        <f>L499*(1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9">
        <f>L499*(1-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IF(B524=0,0,O499/B524)</f>
        <v/>
      </c>
      <c r="Q499">
        <f>IFERROR(1/(IF(Inputs!$B$38="pvp",15,MAX(0.1,Skills!D10-IF(Skills!E10=TRUE,Inputs!$B$32,0)))*(1-IF(AND(ArtifactsInput!$M$27,Inputs!$B$4="Chapter Hunt"),CHOOSE(ArtifactsInput!$N$27+1,20,24,28,32,36,40),0)/100)),0)</f>
        <v/>
      </c>
      <c r="R499">
        <f>IF(AND(Inputs!$B$38&lt;&gt;"pvp",Inputs!$B$43&gt;0),IF(MAX(0,Inputs!$B$43-B521)&lt;=0,0,(INT(MAX(0,Inputs!$B$43-B521)/(IF(Inputs!$B$38="pvp",15,MAX(0.1,Skills!D10-IF(Skills!E10=TRUE,Inputs!$B$32,0)))*(1-IF(AND(ArtifactsInput!$M$27,Inputs!$B$4="Chapter Hunt"),CHOOSE(ArtifactsInput!$N$27+1,20,24,28,32,36,40),0)/100)))+1)),0)</f>
        <v/>
      </c>
      <c r="S499">
        <f>IFERROR(O499/N499,0)</f>
        <v/>
      </c>
      <c r="T499">
        <f>IF(C499,(H499*N499*IF(AND(Inputs!$B$38&lt;&gt;"pvp",Inputs!$B$43&gt;0),((Skills!G10*((R499-1)*IF(Skills!H10&gt;0,Skills!I10/Skills!H10,1)+IF(Skills!H10&gt;0,MIN(Skills!I10,MAX(0,MAX(0,Inputs!$B$43-B521)-((R499-1)*(IF(Inputs!$B$38="pvp",15,MAX(0.1,Skills!D10-IF(Skills!E10=TRUE,Inputs!$B$32,0)))*(1-IF(AND(ArtifactsInput!$M$27,Inputs!$B$4="Chapter Hunt"),CHOOSE(ArtifactsInput!$N$27+1,20,24,28,32,36,40),0)/100)))))/Skills!H10,1)))/Inputs!$B$43),G499*Q499)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499*(1-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10*((R499-1)*IF(Skills!H10&gt;0,Skills!I10/Skills!H10,1)+IF(Skills!H10&gt;0,MIN(Skills!I10,MAX(0,MAX(0,Inputs!$B$43-B521)-((R499-1)*(IF(Inputs!$B$38="pvp",15,MAX(0.1,Skills!D10-IF(Skills!E10=TRUE,Inputs!$B$32,0)))*(1-IF(AND(ArtifactsInput!$M$27,Inputs!$B$4="Chapter Hunt"),CHOOSE(ArtifactsInput!$N$27+1,20,24,28,32,36,40),0)/100)))))/Skills!H10,1)))/Inputs!$B$43),G499*Q499))*IF(Inputs!$B$38="pvp",1,(1+(Inputs!$B$21+Skills!Q10+(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Skills!A11</f>
        <v/>
      </c>
      <c r="B500">
        <f>Skills!B11</f>
        <v/>
      </c>
      <c r="C500">
        <f>Inputs!$B$3&gt;=113</f>
        <v/>
      </c>
      <c r="D500">
        <f>IF(Skills!C11=1,60+Inputs!$B$25+Inputs!$B$29,IF(Skills!C11=2,90+Inputs!$B$26+Inputs!$B$29,IF(Skills!C11=3,120+Inputs!$B$27+Inputs!$B$29,MAX(0,(Inputs!$B$3-100)*3)+Inputs!$B$28+Inputs!$B$29)))</f>
        <v/>
      </c>
      <c r="E500">
        <f>INDEX(FactorTable!$B$2:$Y$301, MATCH(ROUND(MIN(300,MAX(1,D500)),0), FactorTable!$A$2:$A$301,0), Skills!M11+1)</f>
        <v/>
      </c>
      <c r="F500">
        <f>IF(Skills!N11=TRUE,(Skills!L11/10)*(E500/1000),Skills!L11/10)+Skills!O11</f>
        <v/>
      </c>
      <c r="G500">
        <f>Skills!G11*IF(Skills!H11&gt;0,Skills!I11/Skills!H11,1)</f>
        <v/>
      </c>
      <c r="H500">
        <f>1-(1-Skills!J11/100)^Skills!K11</f>
        <v/>
      </c>
      <c r="I500" t="inlineStr">
        <is>
          <t>1</t>
        </is>
      </c>
      <c r="J500">
        <f>((Inputs!$B$6*(1+Inputs!$B$7/100))+(((Inputs!$B$12*(1+Inputs!$B$13/100))-(Inputs!$B$12*(1+Inputs!$B$13/100)))+0.25*(Inputs!$B$14-Inputs!$B$14))*(1+Inputs!$B$7/100))*(F500/100)</f>
        <v/>
      </c>
      <c r="K500">
        <f>J500*(1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500)</f>
        <v/>
      </c>
      <c r="L500">
        <f>K500*(MIN(Inputs!$B$22+((C509=TRUE)*(F509-Calc!F20)),(Inputs!$B$23+0+(IF(ArtifactsInput!$M$15,CHOOSE(ArtifactsInput!$N$15+1,25,30,35,40,45,50)/100*(Inputs!$B$11-Inputs!$B$11),0))))/100+(Inputs!$B$23+0+(IF(ArtifactsInput!$M$15,CHOOSE(ArtifactsInput!$N$15+1,25,30,35,40,45,50)/100*(Inputs!$B$11-Inputs!$B$11),0)))/100)/2</f>
        <v/>
      </c>
      <c r="M500">
        <f>L500*(1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0">
        <f>L500*(1-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IF(B524=0,0,O500/B524)</f>
        <v/>
      </c>
      <c r="Q500">
        <f>IFERROR(1/(IF(Inputs!$B$38="pvp",15,MAX(0.1,Skills!D11-IF(Skills!E11=TRUE,Inputs!$B$32,0)))*(1-IF(AND(ArtifactsInput!$M$27,Inputs!$B$4="Chapter Hunt"),CHOOSE(ArtifactsInput!$N$27+1,20,24,28,32,36,40),0)/100)),0)</f>
        <v/>
      </c>
      <c r="R500">
        <f>IF(AND(Inputs!$B$38&lt;&gt;"pvp",Inputs!$B$43&gt;0),IF(MAX(0,Inputs!$B$43-B521)&lt;=0,0,(INT(MAX(0,Inputs!$B$43-B521)/(IF(Inputs!$B$38="pvp",15,MAX(0.1,Skills!D11-IF(Skills!E11=TRUE,Inputs!$B$32,0)))*(1-IF(AND(ArtifactsInput!$M$27,Inputs!$B$4="Chapter Hunt"),CHOOSE(ArtifactsInput!$N$27+1,20,24,28,32,36,40),0)/100)))+1)),0)</f>
        <v/>
      </c>
      <c r="S500">
        <f>IFERROR(O500/N500,0)</f>
        <v/>
      </c>
      <c r="T500">
        <f>IF(C500,(H500*N500*IF(AND(Inputs!$B$38&lt;&gt;"pvp",Inputs!$B$43&gt;0),((Skills!G11*((R500-1)*IF(Skills!H11&gt;0,Skills!I11/Skills!H11,1)+IF(Skills!H11&gt;0,MIN(Skills!I11,MAX(0,MAX(0,Inputs!$B$43-B521)-((R500-1)*(IF(Inputs!$B$38="pvp",15,MAX(0.1,Skills!D11-IF(Skills!E11=TRUE,Inputs!$B$32,0)))*(1-IF(AND(ArtifactsInput!$M$27,Inputs!$B$4="Chapter Hunt"),CHOOSE(ArtifactsInput!$N$27+1,20,24,28,32,36,40),0)/100)))))/Skills!H11,1)))/Inputs!$B$43),G500*Q500)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500*(1-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11*((R500-1)*IF(Skills!H11&gt;0,Skills!I11/Skills!H11,1)+IF(Skills!H11&gt;0,MIN(Skills!I11,MAX(0,MAX(0,Inputs!$B$43-B521)-((R500-1)*(IF(Inputs!$B$38="pvp",15,MAX(0.1,Skills!D11-IF(Skills!E11=TRUE,Inputs!$B$32,0)))*(1-IF(AND(ArtifactsInput!$M$27,Inputs!$B$4="Chapter Hunt"),CHOOSE(ArtifactsInput!$N$27+1,20,24,28,32,36,40),0)/100)))))/Skills!H11,1)))/Inputs!$B$43),G500*Q500))*IF(Inputs!$B$38="pvp",1,(1+(Inputs!$B$21+Skills!Q11+(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Skills!A12</f>
        <v/>
      </c>
      <c r="B501">
        <f>Skills!B12</f>
        <v/>
      </c>
      <c r="C501">
        <f>Inputs!$B$3&gt;=100</f>
        <v/>
      </c>
      <c r="D501">
        <f>IF(Skills!C12=1,60+Inputs!$B$25+Inputs!$B$29,IF(Skills!C12=2,90+Inputs!$B$26+Inputs!$B$29,IF(Skills!C12=3,120+Inputs!$B$27+Inputs!$B$29,MAX(0,(Inputs!$B$3-100)*3)+Inputs!$B$28+Inputs!$B$29)))</f>
        <v/>
      </c>
      <c r="E501">
        <f>INDEX(FactorTable!$B$2:$Y$301, MATCH(ROUND(MIN(300,MAX(1,D501)),0), FactorTable!$A$2:$A$301,0), Skills!M12+1)</f>
        <v/>
      </c>
      <c r="F501">
        <f>IF(Skills!N12=TRUE,(Skills!L12/10)*(E501/1000),Skills!L12/10)+Skills!O12</f>
        <v/>
      </c>
      <c r="G501" t="inlineStr"/>
      <c r="H501" t="inlineStr"/>
      <c r="I501" t="inlineStr">
        <is>
          <t>1</t>
        </is>
      </c>
      <c r="J501" t="inlineStr"/>
      <c r="K501" t="inlineStr"/>
      <c r="L501" t="inlineStr"/>
      <c r="M501" t="inlineStr"/>
      <c r="N501" t="inlineStr"/>
      <c r="O501" t="inlineStr"/>
      <c r="P501" t="inlineStr"/>
      <c r="Q501" t="inlineStr"/>
      <c r="R501" t="inlineStr"/>
      <c r="S501" t="inlineStr"/>
      <c r="T501" t="inlineStr"/>
      <c r="V501" t="inlineStr"/>
    </row>
    <row r="502">
      <c r="A502">
        <f>Skills!A13</f>
        <v/>
      </c>
      <c r="B502">
        <f>Skills!B13</f>
        <v/>
      </c>
      <c r="C502">
        <f>Inputs!$B$3&gt;=66</f>
        <v/>
      </c>
      <c r="D502">
        <f>IF(Skills!C13=1,60+Inputs!$B$25+Inputs!$B$29,IF(Skills!C13=2,90+Inputs!$B$26+Inputs!$B$29,IF(Skills!C13=3,120+Inputs!$B$27+Inputs!$B$29,MAX(0,(Inputs!$B$3-100)*3)+Inputs!$B$28+Inputs!$B$29)))</f>
        <v/>
      </c>
      <c r="E502">
        <f>INDEX(FactorTable!$B$2:$Y$301, MATCH(ROUND(MIN(300,MAX(1,D502)),0), FactorTable!$A$2:$A$301,0), Skills!M13+1)</f>
        <v/>
      </c>
      <c r="F502">
        <f>IF(Skills!N13=TRUE,(Skills!L13/10)*(E502/1000),Skills!L13/10)+Skills!O13</f>
        <v/>
      </c>
      <c r="G502">
        <f>Skills!G13*IF(Skills!H13&gt;0,Skills!I13/Skills!H13,1)</f>
        <v/>
      </c>
      <c r="H502">
        <f>1-(1-Skills!J13/100)^Skills!K13</f>
        <v/>
      </c>
      <c r="I502" t="inlineStr">
        <is>
          <t>1</t>
        </is>
      </c>
      <c r="J502" t="inlineStr"/>
      <c r="K502" t="inlineStr"/>
      <c r="L502" t="inlineStr"/>
      <c r="M502" t="inlineStr"/>
      <c r="N502" t="inlineStr"/>
      <c r="O502">
        <f>(1-Summary!$B$11)*T502+Summary!$B$11*V502</f>
        <v/>
      </c>
      <c r="P502">
        <f>IF(B524=0,0,O502/B524)</f>
        <v/>
      </c>
      <c r="Q502" t="n">
        <v>0</v>
      </c>
      <c r="R502" t="n">
        <v>0</v>
      </c>
      <c r="S502">
        <f>IFERROR(O502/N502,0)</f>
        <v/>
      </c>
      <c r="T502" t="n">
        <v>0</v>
      </c>
      <c r="V502" t="n">
        <v>0</v>
      </c>
    </row>
    <row r="503">
      <c r="A503">
        <f>Skills!A14</f>
        <v/>
      </c>
      <c r="B503">
        <f>Skills!B14</f>
        <v/>
      </c>
      <c r="C503">
        <f>Inputs!$B$3&gt;=107</f>
        <v/>
      </c>
      <c r="D503">
        <f>IF(Skills!C14=1,60+Inputs!$B$25+Inputs!$B$29,IF(Skills!C14=2,90+Inputs!$B$26+Inputs!$B$29,IF(Skills!C14=3,120+Inputs!$B$27+Inputs!$B$29,MAX(0,(Inputs!$B$3-100)*3)+Inputs!$B$28+Inputs!$B$29)))</f>
        <v/>
      </c>
      <c r="E503">
        <f>INDEX(FactorTable!$B$2:$Y$301, MATCH(ROUND(MIN(300,MAX(1,D503)),0), FactorTable!$A$2:$A$301,0), Skills!M14+1)</f>
        <v/>
      </c>
      <c r="F503">
        <f>IF(Skills!N14=TRUE,(Skills!L14/10)*(E503/1000),Skills!L14/10)+Skills!O14</f>
        <v/>
      </c>
      <c r="G503">
        <f>Skills!G14*IF(Skills!H14&gt;0,Skills!I14/Skills!H14,1)</f>
        <v/>
      </c>
      <c r="H503">
        <f>1-(1-Skills!J14/100)^Skills!K14</f>
        <v/>
      </c>
      <c r="I503" t="inlineStr">
        <is>
          <t>1</t>
        </is>
      </c>
      <c r="J503" t="inlineStr"/>
      <c r="K503" t="inlineStr"/>
      <c r="L503" t="inlineStr"/>
      <c r="M503" t="inlineStr"/>
      <c r="N503" t="inlineStr"/>
      <c r="O503">
        <f>(1-Summary!$B$11)*T503+Summary!$B$11*V503</f>
        <v/>
      </c>
      <c r="P503">
        <f>IF(B524=0,0,O503/B524)</f>
        <v/>
      </c>
      <c r="Q503" t="n">
        <v>0</v>
      </c>
      <c r="R503" t="n">
        <v>0</v>
      </c>
      <c r="S503">
        <f>IFERROR(O503/N503,0)</f>
        <v/>
      </c>
      <c r="T503" t="n">
        <v>0</v>
      </c>
      <c r="V503" t="n">
        <v>0</v>
      </c>
    </row>
    <row r="504">
      <c r="A504">
        <f>Skills!A15</f>
        <v/>
      </c>
      <c r="B504">
        <f>Skills!B15</f>
        <v/>
      </c>
      <c r="C504">
        <f>Inputs!$B$3&gt;=115</f>
        <v/>
      </c>
      <c r="D504">
        <f>IF(Skills!C15=1,60+Inputs!$B$25+Inputs!$B$29,IF(Skills!C15=2,90+Inputs!$B$26+Inputs!$B$29,IF(Skills!C15=3,120+Inputs!$B$27+Inputs!$B$29,MAX(0,(Inputs!$B$3-100)*3)+Inputs!$B$28+Inputs!$B$29)))</f>
        <v/>
      </c>
      <c r="E504">
        <f>INDEX(FactorTable!$B$2:$Y$301, MATCH(ROUND(MIN(300,MAX(1,D504)),0), FactorTable!$A$2:$A$301,0), Skills!M15+1)</f>
        <v/>
      </c>
      <c r="F504">
        <f>IF(Skills!N15=TRUE,(Skills!L15/10)*(E504/1000),Skills!L15/10)+Skills!O15</f>
        <v/>
      </c>
      <c r="G504">
        <f>Skills!G15*IF(Skills!H15&gt;0,Skills!I15/Skills!H15,1)</f>
        <v/>
      </c>
      <c r="H504">
        <f>1-(1-Skills!J15/100)^Skills!K15</f>
        <v/>
      </c>
      <c r="I504" t="inlineStr">
        <is>
          <t>1</t>
        </is>
      </c>
      <c r="J504" t="inlineStr"/>
      <c r="K504" t="inlineStr"/>
      <c r="L504" t="inlineStr"/>
      <c r="M504" t="inlineStr"/>
      <c r="N504" t="inlineStr"/>
      <c r="O504">
        <f>(1-Summary!$B$11)*T504+Summary!$B$11*V504</f>
        <v/>
      </c>
      <c r="P504">
        <f>IF(B524=0,0,O504/B524)</f>
        <v/>
      </c>
      <c r="Q504" t="n">
        <v>0</v>
      </c>
      <c r="R504" t="n">
        <v>0</v>
      </c>
      <c r="S504">
        <f>IFERROR(O504/N504,0)</f>
        <v/>
      </c>
      <c r="T504" t="n">
        <v>0</v>
      </c>
      <c r="V504" t="n">
        <v>0</v>
      </c>
    </row>
    <row r="505">
      <c r="A505">
        <f>Skills!A16</f>
        <v/>
      </c>
      <c r="B505">
        <f>Skills!B16</f>
        <v/>
      </c>
      <c r="C505">
        <f>Inputs!$B$3&gt;=15</f>
        <v/>
      </c>
      <c r="D505">
        <f>IF(Skills!C16=1,60+Inputs!$B$25+Inputs!$B$29,IF(Skills!C16=2,90+Inputs!$B$26+Inputs!$B$29,IF(Skills!C16=3,120+Inputs!$B$27+Inputs!$B$29,MAX(0,(Inputs!$B$3-100)*3)+Inputs!$B$28+Inputs!$B$29)))</f>
        <v/>
      </c>
      <c r="E505">
        <f>INDEX(FactorTable!$B$2:$Y$301, MATCH(ROUND(MIN(300,MAX(1,D505)),0), FactorTable!$A$2:$A$301,0), Skills!M16+1)</f>
        <v/>
      </c>
      <c r="F505">
        <f>IF(Skills!N16=TRUE,(Skills!L16/10)*(E505/1000),Skills!L16/10)+Skills!O16</f>
        <v/>
      </c>
      <c r="G505">
        <f>Skills!G16*IF(Skills!H16&gt;0,Skills!I16/Skills!H16,1)</f>
        <v/>
      </c>
      <c r="H505">
        <f>1-(1-Skills!J16/100)^Skills!K16</f>
        <v/>
      </c>
      <c r="I505" t="inlineStr">
        <is>
          <t>1</t>
        </is>
      </c>
      <c r="J505" t="inlineStr"/>
      <c r="K505" t="inlineStr"/>
      <c r="L505" t="inlineStr"/>
      <c r="M505" t="inlineStr"/>
      <c r="N505" t="inlineStr"/>
      <c r="O505">
        <f>(1-Summary!$B$11)*T505+Summary!$B$11*V505</f>
        <v/>
      </c>
      <c r="P505">
        <f>IF(B524=0,0,O505/B524)</f>
        <v/>
      </c>
      <c r="Q505" t="n">
        <v>0</v>
      </c>
      <c r="R505" t="n">
        <v>0</v>
      </c>
      <c r="S505">
        <f>IFERROR(O505/N505,0)</f>
        <v/>
      </c>
      <c r="T505" t="n">
        <v>0</v>
      </c>
      <c r="V505" t="n">
        <v>0</v>
      </c>
    </row>
    <row r="506">
      <c r="A506">
        <f>Skills!A17</f>
        <v/>
      </c>
      <c r="B506">
        <f>Skills!B17</f>
        <v/>
      </c>
      <c r="C506">
        <f>Inputs!$B$3&gt;=10</f>
        <v/>
      </c>
      <c r="D506">
        <f>IF(Skills!C17=1,60+Inputs!$B$25+Inputs!$B$29,IF(Skills!C17=2,90+Inputs!$B$26+Inputs!$B$29,IF(Skills!C17=3,120+Inputs!$B$27+Inputs!$B$29,MAX(0,(Inputs!$B$3-100)*3)+Inputs!$B$28+Inputs!$B$29)))</f>
        <v/>
      </c>
      <c r="E506">
        <f>INDEX(FactorTable!$B$2:$Y$301, MATCH(ROUND(MIN(300,MAX(1,D506)),0), FactorTable!$A$2:$A$301,0), Skills!M17+1)</f>
        <v/>
      </c>
      <c r="F506">
        <f>IF(Skills!N17=TRUE,(Skills!L17/10)*(E506/1000),Skills!L17/10)+Skills!O17</f>
        <v/>
      </c>
      <c r="G506">
        <f>Skills!G17*IF(Skills!H17&gt;0,Skills!I17/Skills!H17,1)</f>
        <v/>
      </c>
      <c r="H506">
        <f>1-(1-Skills!J17/100)^Skills!K17</f>
        <v/>
      </c>
      <c r="I506" t="inlineStr">
        <is>
          <t>1</t>
        </is>
      </c>
      <c r="J506" t="inlineStr"/>
      <c r="K506" t="inlineStr"/>
      <c r="L506" t="inlineStr"/>
      <c r="M506" t="inlineStr"/>
      <c r="N506" t="inlineStr"/>
      <c r="O506">
        <f>(1-Summary!$B$11)*T506+Summary!$B$11*V506</f>
        <v/>
      </c>
      <c r="P506">
        <f>IF(B524=0,0,O506/B524)</f>
        <v/>
      </c>
      <c r="Q506" t="n">
        <v>0</v>
      </c>
      <c r="R506" t="n">
        <v>0</v>
      </c>
      <c r="S506">
        <f>IFERROR(O506/N506,0)</f>
        <v/>
      </c>
      <c r="T506" t="n">
        <v>0</v>
      </c>
      <c r="V506" t="n">
        <v>0</v>
      </c>
    </row>
    <row r="507">
      <c r="A507">
        <f>Skills!A18</f>
        <v/>
      </c>
      <c r="B507">
        <f>Skills!B18</f>
        <v/>
      </c>
      <c r="C507">
        <f>Inputs!$B$3&gt;=33</f>
        <v/>
      </c>
      <c r="D507">
        <f>IF(Skills!C18=1,60+Inputs!$B$25+Inputs!$B$29,IF(Skills!C18=2,90+Inputs!$B$26+Inputs!$B$29,IF(Skills!C18=3,120+Inputs!$B$27+Inputs!$B$29,MAX(0,(Inputs!$B$3-100)*3)+Inputs!$B$28+Inputs!$B$29)))</f>
        <v/>
      </c>
      <c r="E507">
        <f>INDEX(FactorTable!$B$2:$Y$301, MATCH(ROUND(MIN(300,MAX(1,D507)),0), FactorTable!$A$2:$A$301,0), Skills!M18+1)</f>
        <v/>
      </c>
      <c r="F507">
        <f>IF(Skills!N18=TRUE,(Skills!L18/10)*(E507/1000),Skills!L18/10)+Skills!O18</f>
        <v/>
      </c>
      <c r="G507">
        <f>Skills!G18*IF(Skills!H18&gt;0,Skills!I18/Skills!H18,1)</f>
        <v/>
      </c>
      <c r="H507">
        <f>1-(1-Skills!J18/100)^Skills!K18</f>
        <v/>
      </c>
      <c r="I507" t="inlineStr">
        <is>
          <t>1</t>
        </is>
      </c>
      <c r="J507" t="inlineStr"/>
      <c r="K507" t="inlineStr"/>
      <c r="L507" t="inlineStr"/>
      <c r="M507" t="inlineStr"/>
      <c r="N507" t="inlineStr"/>
      <c r="O507">
        <f>(1-Summary!$B$11)*T507+Summary!$B$11*V507</f>
        <v/>
      </c>
      <c r="P507">
        <f>IF(B524=0,0,O507/B524)</f>
        <v/>
      </c>
      <c r="Q507" t="n">
        <v>0</v>
      </c>
      <c r="R507" t="n">
        <v>0</v>
      </c>
      <c r="S507">
        <f>IFERROR(O507/N507,0)</f>
        <v/>
      </c>
      <c r="T507" t="n">
        <v>0</v>
      </c>
      <c r="V507" t="n">
        <v>0</v>
      </c>
    </row>
    <row r="508">
      <c r="A508">
        <f>Skills!A19</f>
        <v/>
      </c>
      <c r="B508">
        <f>Skills!B19</f>
        <v/>
      </c>
      <c r="C508">
        <f>Inputs!$B$3&gt;=40</f>
        <v/>
      </c>
      <c r="D508">
        <f>IF(Skills!C19=1,60+Inputs!$B$25+Inputs!$B$29,IF(Skills!C19=2,90+Inputs!$B$26+Inputs!$B$29,IF(Skills!C19=3,120+Inputs!$B$27+Inputs!$B$29,MAX(0,(Inputs!$B$3-100)*3)+Inputs!$B$28+Inputs!$B$29)))</f>
        <v/>
      </c>
      <c r="E508">
        <f>INDEX(FactorTable!$B$2:$Y$301, MATCH(ROUND(MIN(300,MAX(1,D508)),0), FactorTable!$A$2:$A$301,0), Skills!M19+1)</f>
        <v/>
      </c>
      <c r="F508">
        <f>IF(Skills!N19=TRUE,(Skills!L19/10)*(E508/1000),Skills!L19/10)+Skills!O19</f>
        <v/>
      </c>
      <c r="G508">
        <f>Skills!G19*IF(Skills!H19&gt;0,Skills!I19/Skills!H19,1)</f>
        <v/>
      </c>
      <c r="H508">
        <f>1-(1-Skills!J19/100)^Skills!K19</f>
        <v/>
      </c>
      <c r="I508" t="inlineStr">
        <is>
          <t>1</t>
        </is>
      </c>
      <c r="J508" t="inlineStr"/>
      <c r="K508" t="inlineStr"/>
      <c r="L508" t="inlineStr"/>
      <c r="M508" t="inlineStr"/>
      <c r="N508" t="inlineStr"/>
      <c r="O508">
        <f>(1-Summary!$B$11)*T508+Summary!$B$11*V508</f>
        <v/>
      </c>
      <c r="P508">
        <f>IF(B524=0,0,O508/B524)</f>
        <v/>
      </c>
      <c r="Q508" t="n">
        <v>0</v>
      </c>
      <c r="R508" t="n">
        <v>0</v>
      </c>
      <c r="S508">
        <f>IFERROR(O508/N508,0)</f>
        <v/>
      </c>
      <c r="T508" t="n">
        <v>0</v>
      </c>
      <c r="V508" t="n">
        <v>0</v>
      </c>
    </row>
    <row r="509">
      <c r="A509">
        <f>Skills!A20</f>
        <v/>
      </c>
      <c r="B509">
        <f>Skills!B20</f>
        <v/>
      </c>
      <c r="C509">
        <f>Inputs!$B$3&gt;=43</f>
        <v/>
      </c>
      <c r="D509">
        <f>IF(Skills!C20=1,60+Inputs!$B$25+Inputs!$B$29,IF(Skills!C20=2,90+Inputs!$B$26+Inputs!$B$29,IF(Skills!C20=3,120+Inputs!$B$27+Inputs!$B$29,MAX(0,(Inputs!$B$3-100)*3)+Inputs!$B$28+Inputs!$B$29)))</f>
        <v/>
      </c>
      <c r="E509">
        <f>INDEX(FactorTable!$B$2:$Y$301, MATCH(ROUND(MIN(300,MAX(1,D509)),0), FactorTable!$A$2:$A$301,0), Skills!M20+1)</f>
        <v/>
      </c>
      <c r="F509">
        <f>IF(Skills!N20=TRUE,(Skills!L20/10)*(E509/1000),Skills!L20/10)+Skills!O20</f>
        <v/>
      </c>
      <c r="G509">
        <f>Skills!G20*IF(Skills!H20&gt;0,Skills!I20/Skills!H20,1)</f>
        <v/>
      </c>
      <c r="H509">
        <f>1-(1-Skills!J20/100)^Skills!K20</f>
        <v/>
      </c>
      <c r="I509" t="inlineStr">
        <is>
          <t>1</t>
        </is>
      </c>
      <c r="J509" t="inlineStr"/>
      <c r="K509" t="inlineStr"/>
      <c r="L509" t="inlineStr"/>
      <c r="M509" t="inlineStr"/>
      <c r="N509" t="inlineStr"/>
      <c r="O509">
        <f>(1-Summary!$B$11)*T509+Summary!$B$11*V509</f>
        <v/>
      </c>
      <c r="P509">
        <f>IF(B524=0,0,O509/B524)</f>
        <v/>
      </c>
      <c r="Q509" t="n">
        <v>0</v>
      </c>
      <c r="R509" t="n">
        <v>0</v>
      </c>
      <c r="S509">
        <f>IFERROR(O509/N509,0)</f>
        <v/>
      </c>
      <c r="T509" t="n">
        <v>0</v>
      </c>
      <c r="V509" t="n">
        <v>0</v>
      </c>
    </row>
    <row r="510">
      <c r="A510">
        <f>Skills!A21</f>
        <v/>
      </c>
      <c r="B510">
        <f>Skills!B21</f>
        <v/>
      </c>
      <c r="C510">
        <f>Inputs!$B$3&gt;=38</f>
        <v/>
      </c>
      <c r="D510">
        <f>IF(Skills!C21=1,60+Inputs!$B$25+Inputs!$B$29,IF(Skills!C21=2,90+Inputs!$B$26+Inputs!$B$29,IF(Skills!C21=3,120+Inputs!$B$27+Inputs!$B$29,MAX(0,(Inputs!$B$3-100)*3)+Inputs!$B$28+Inputs!$B$29)))</f>
        <v/>
      </c>
      <c r="E510">
        <f>INDEX(FactorTable!$B$2:$Y$301, MATCH(ROUND(MIN(300,MAX(1,D510)),0), FactorTable!$A$2:$A$301,0), Skills!M21+1)</f>
        <v/>
      </c>
      <c r="F510">
        <f>IF(Skills!N21=TRUE,(Skills!L21/10)*(E510/1000),Skills!L21/10)+Skills!O21</f>
        <v/>
      </c>
      <c r="G510">
        <f>Skills!G21*IF(Skills!H21&gt;0,Skills!I21/Skills!H21,1)</f>
        <v/>
      </c>
      <c r="H510">
        <f>1-(1-Skills!J21/100)^Skills!K21</f>
        <v/>
      </c>
      <c r="I510" t="inlineStr">
        <is>
          <t>1</t>
        </is>
      </c>
      <c r="J510" t="inlineStr"/>
      <c r="K510" t="inlineStr"/>
      <c r="L510" t="inlineStr"/>
      <c r="M510" t="inlineStr"/>
      <c r="N510" t="inlineStr"/>
      <c r="O510">
        <f>(1-Summary!$B$11)*T510+Summary!$B$11*V510</f>
        <v/>
      </c>
      <c r="P510">
        <f>IF(B524=0,0,O510/B524)</f>
        <v/>
      </c>
      <c r="Q510" t="n">
        <v>0</v>
      </c>
      <c r="R510" t="n">
        <v>0</v>
      </c>
      <c r="S510">
        <f>IFERROR(O510/N510,0)</f>
        <v/>
      </c>
      <c r="T510" t="n">
        <v>0</v>
      </c>
      <c r="V510" t="n">
        <v>0</v>
      </c>
    </row>
    <row r="511">
      <c r="A511">
        <f>Skills!A22</f>
        <v/>
      </c>
      <c r="B511">
        <f>Skills!B22</f>
        <v/>
      </c>
      <c r="C511">
        <f>Inputs!$B$3&gt;=75</f>
        <v/>
      </c>
      <c r="D511">
        <f>IF(Skills!C22=1,60+Inputs!$B$25+Inputs!$B$29,IF(Skills!C22=2,90+Inputs!$B$26+Inputs!$B$29,IF(Skills!C22=3,120+Inputs!$B$27+Inputs!$B$29,MAX(0,(Inputs!$B$3-100)*3)+Inputs!$B$28+Inputs!$B$29)))</f>
        <v/>
      </c>
      <c r="E511">
        <f>INDEX(FactorTable!$B$2:$Y$301, MATCH(ROUND(MIN(300,MAX(1,D511)),0), FactorTable!$A$2:$A$301,0), Skills!M22+1)</f>
        <v/>
      </c>
      <c r="F511">
        <f>IF(Skills!N22=TRUE,(Skills!L22/10)*(E511/1000),Skills!L22/10)+Skills!O22</f>
        <v/>
      </c>
      <c r="G511">
        <f>Skills!G22*IF(Skills!H22&gt;0,Skills!I22/Skills!H22,1)</f>
        <v/>
      </c>
      <c r="H511">
        <f>1-(1-Skills!J22/100)^Skills!K22</f>
        <v/>
      </c>
      <c r="I511" t="inlineStr">
        <is>
          <t>1</t>
        </is>
      </c>
      <c r="J511" t="inlineStr"/>
      <c r="K511" t="inlineStr"/>
      <c r="L511" t="inlineStr"/>
      <c r="M511" t="inlineStr"/>
      <c r="N511" t="inlineStr"/>
      <c r="O511">
        <f>(1-Summary!$B$11)*T511+Summary!$B$11*V511</f>
        <v/>
      </c>
      <c r="P511">
        <f>IF(B524=0,0,O511/B524)</f>
        <v/>
      </c>
      <c r="Q511" t="n">
        <v>0</v>
      </c>
      <c r="R511" t="n">
        <v>0</v>
      </c>
      <c r="S511">
        <f>IFERROR(O511/N511,0)</f>
        <v/>
      </c>
      <c r="T511" t="n">
        <v>0</v>
      </c>
      <c r="V511" t="n">
        <v>0</v>
      </c>
    </row>
    <row r="513">
      <c r="A513" t="inlineStr">
        <is>
          <t>Attack% Bucket Multiplier</t>
        </is>
      </c>
      <c r="B513">
        <f>(1+(((C502=TRUE)*F502)+((C508=TRUE)*(F508-Calc!F19))+(IF(ArtifactsInput!$M$21,CHOOSE(ArtifactsInput!$N$21+1,25,30,35,40,45,50)*(IF(OR(Inputs!$B$4="Chapter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14">
      <c r="A514" t="inlineStr">
        <is>
          <t>Global Crit Rate Bonus %</t>
        </is>
      </c>
      <c r="B514" t="n">
        <v>0</v>
      </c>
    </row>
    <row r="515">
      <c r="A515" t="inlineStr">
        <is>
          <t>Attack Speed Buff Bonus % (unused)</t>
        </is>
      </c>
      <c r="B515" t="n">
        <v>0</v>
      </c>
    </row>
    <row r="516">
      <c r="A516" t="inlineStr">
        <is>
          <t>Actions Per Second</t>
        </is>
      </c>
      <c r="B516">
        <f>1+MIN(150,150*(1-(1-(Inputs!$B$11+((C506=TRUE)*(F506-Calc!F17))+((C507=TRUE)*(F507-Calc!F18)))/150)*(1-B515/150)))/100</f>
        <v/>
      </c>
    </row>
    <row r="517">
      <c r="A517" t="inlineStr">
        <is>
          <t>Skill + Buff Cast Rate</t>
        </is>
      </c>
      <c r="B517">
        <f>IF(AND(Inputs!$B$38&lt;&gt;"pvp",Inputs!$B$43&gt;0),SUMPRODUCT((Skills!E2:E22=TRUE)*(C491:C511=TRUE)*R491:R511*Skills!F2:F22)/Inputs!$B$43,SUMPRODUCT((Skills!E2:E22=TRUE)*(C491:C511=TRUE)*Q491:Q511*Skills!F2:F22))</f>
        <v/>
      </c>
    </row>
    <row r="518">
      <c r="A518" t="inlineStr">
        <is>
          <t>Hook Bomber Casts Per Second</t>
        </is>
      </c>
      <c r="B518">
        <f>MAX(0,B516-B517)</f>
        <v/>
      </c>
    </row>
    <row r="519">
      <c r="A519" t="inlineStr">
        <is>
          <t>Global Critical Damage Bonus % (unused)</t>
        </is>
      </c>
      <c r="B519" t="n">
        <v>0</v>
      </c>
    </row>
    <row r="520">
      <c r="A520" t="inlineStr">
        <is>
          <t>Global Final Damage Bonus % (Serpent Scale + Crossbones + Time Leap + Speed Infusion)</t>
        </is>
      </c>
      <c r="B520">
        <f>((C494=TRUE)*F494*((10+IF(Inputs!$B$3&gt;=94,5,0))/((10+IF(Inputs!$B$3&gt;=94,5,0))+5/(B518*(1+IF(Inputs!$B$3&gt;=104,1,0))))))+((C503=TRUE)*F503)+((C504=TRUE)*F504)+((Inputs!$B$3&gt;=110)*20*(B516-1))</f>
        <v/>
      </c>
    </row>
    <row r="521">
      <c r="A521" t="inlineStr">
        <is>
          <t>Buff-Casting Startup Delay (s, fixed-duration only)</t>
        </is>
      </c>
      <c r="B521">
        <f>IF(AND(Inputs!$B$38&lt;&gt;"pvp",Inputs!$B$43&gt;0),SUMPRODUCT((Skills!T2:T22&gt;0)*(Skills!E2:E22=TRUE)*(C491:C511=TRUE))/B516,0)</f>
        <v/>
      </c>
    </row>
    <row r="522">
      <c r="A522" t="inlineStr">
        <is>
          <t>Boss-Only Total DPS (this block's swept value)</t>
        </is>
      </c>
      <c r="B522">
        <f>SUM(T491:T511)</f>
        <v/>
      </c>
    </row>
    <row r="523">
      <c r="A523" t="inlineStr">
        <is>
          <t>Normal-Only Total DPS (this block's swept value)</t>
        </is>
      </c>
      <c r="B523">
        <f>SUM(V491:V511)</f>
        <v/>
      </c>
    </row>
    <row r="524">
      <c r="A524" s="6" t="inlineStr">
        <is>
          <t>TOTAL DPS</t>
        </is>
      </c>
      <c r="B524" s="6">
        <f>SUM(O491:O511)</f>
        <v/>
      </c>
    </row>
    <row r="527">
      <c r="A527" s="6" t="inlineStr">
        <is>
          <t>Stat: ATTACK_SPEED % (diminishing returns, factor 150)</t>
        </is>
      </c>
    </row>
    <row r="528">
      <c r="A528" s="5" t="inlineStr">
        <is>
          <t>Key</t>
        </is>
      </c>
      <c r="B528" s="5" t="inlineStr">
        <is>
          <t>Name</t>
        </is>
      </c>
      <c r="C528" s="5" t="inlineStr">
        <is>
          <t>Unlocked</t>
        </is>
      </c>
      <c r="D528" s="5" t="inlineStr">
        <is>
          <t>InputLevel</t>
        </is>
      </c>
      <c r="E528" s="5" t="inlineStr">
        <is>
          <t>Factor</t>
        </is>
      </c>
      <c r="F528" s="5" t="inlineStr">
        <is>
          <t>CoefficientPercent</t>
        </is>
      </c>
      <c r="G528" s="5" t="inlineStr">
        <is>
          <t>EffectiveHits</t>
        </is>
      </c>
      <c r="H528" s="5" t="inlineStr">
        <is>
          <t>ProcProbability</t>
        </is>
      </c>
      <c r="I528" s="5" t="inlineStr">
        <is>
          <t>MapleHeroMultiplier</t>
        </is>
      </c>
      <c r="J528" s="5" t="inlineStr">
        <is>
          <t>BaseDamage</t>
        </is>
      </c>
      <c r="K528" s="5" t="inlineStr">
        <is>
          <t>BaseHitDamage</t>
        </is>
      </c>
      <c r="L528" s="5" t="inlineStr">
        <is>
          <t>NonCritAvg</t>
        </is>
      </c>
      <c r="M528" s="5" t="inlineStr">
        <is>
          <t>CritAvg</t>
        </is>
      </c>
      <c r="N528" s="5" t="inlineStr">
        <is>
          <t>ExpectedDamage(perHit)</t>
        </is>
      </c>
      <c r="O528" s="5" t="inlineStr">
        <is>
          <t>DPS</t>
        </is>
      </c>
      <c r="P528" s="5" t="inlineStr">
        <is>
          <t>% of Total</t>
        </is>
      </c>
      <c r="Q528" s="5" t="inlineStr">
        <is>
          <t>InvCooldown</t>
        </is>
      </c>
      <c r="R528" s="5" t="inlineStr">
        <is>
          <t>CastsInFight</t>
        </is>
      </c>
      <c r="S528" s="5" t="inlineStr">
        <is>
          <t>HitRate(perSec)</t>
        </is>
      </c>
      <c r="U528" t="inlineStr">
        <is>
          <t>helpers</t>
        </is>
      </c>
    </row>
    <row r="529">
      <c r="A529">
        <f>Skills!A2</f>
        <v/>
      </c>
      <c r="B529">
        <f>Skills!B2</f>
        <v/>
      </c>
      <c r="C529">
        <f>Inputs!$B$3&gt;=100</f>
        <v/>
      </c>
      <c r="D529" t="inlineStr"/>
      <c r="E529" t="inlineStr"/>
      <c r="F529">
        <f>U531+Skills!O2</f>
        <v/>
      </c>
      <c r="G529">
        <f>Skills!G2*IF(Skills!H2&gt;0,Skills!I2/Skills!H2,1)</f>
        <v/>
      </c>
      <c r="H529">
        <f>1-(1-Skills!J2/100)^Skills!K2</f>
        <v/>
      </c>
      <c r="I529" t="inlineStr">
        <is>
          <t>1</t>
        </is>
      </c>
      <c r="J529">
        <f>((Inputs!$B$6*(1+Inputs!$B$7/100))+(((Inputs!$B$12*(1+Inputs!$B$13/100))-(Inputs!$B$12*(1+Inputs!$B$13/100)))+0.25*(Inputs!$B$14-Inputs!$B$14))*(1+Inputs!$B$7/100))*(F529/100)</f>
        <v/>
      </c>
      <c r="K529">
        <f>J529*(1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529)</f>
        <v/>
      </c>
      <c r="L529">
        <f>K529*(MIN(Inputs!$B$22+((C547=TRUE)*(F547-Calc!F20)),(Inputs!$B$23+0+(IF(ArtifactsInput!$M$15,CHOOSE(ArtifactsInput!$N$15+1,25,30,35,40,45,50)/100*(((1-(1-Inputs!$B$11/150)*(1-1/150))*150)-Inputs!$B$11),0))))/100+(Inputs!$B$23+0+(IF(ArtifactsInput!$M$15,CHOOSE(ArtifactsInput!$N$15+1,25,30,35,40,45,50)/100*(((1-(1-Inputs!$B$11/150)*(1-1/150))*150)-Inputs!$B$11),0)))/100)/2</f>
        <v/>
      </c>
      <c r="M529">
        <f>L529*(1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9">
        <f>L529*(1-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529*(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9">
        <f>(1-Summary!$B$11)*T529+Summary!$B$11*V529</f>
        <v/>
      </c>
      <c r="P529">
        <f>IF(B562=0,0,O529/B562)</f>
        <v/>
      </c>
      <c r="Q529" t="n">
        <v>0</v>
      </c>
      <c r="R529" t="n">
        <v>0</v>
      </c>
      <c r="S529">
        <f>IFERROR(O529/N529,0)</f>
        <v/>
      </c>
      <c r="T529">
        <f>IF(C529,(Skills!G2*N529*B556)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529*(1-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529*(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529*(1-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529*(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9">
        <f>MAX(0,(Inputs!$B$3-100)*3)+Inputs!$B$28+Inputs!$B$29</f>
        <v/>
      </c>
      <c r="V529">
        <f>IF(C529,(Skills!G2*N529*B556)*IF(Inputs!$B$38="pvp",1,(1+(Inputs!$B$21+Skills!Q2+(IF(ArtifactsInput!$M$33,CHOOSE(ArtifactsInput!$N$33+1,30,36,42,48,54,60),0))+(IF(AND(ArtifactsInput!$M$35,Inputs!$B$4&lt;&gt;"Chapter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0">
      <c r="A530">
        <f>Skills!A3</f>
        <v/>
      </c>
      <c r="B530">
        <f>Skills!B3</f>
        <v/>
      </c>
      <c r="C530">
        <f>Inputs!$B$3&gt;=35</f>
        <v/>
      </c>
      <c r="D530">
        <f>IF(Skills!C3=1,60+Inputs!$B$25+Inputs!$B$29,IF(Skills!C3=2,90+Inputs!$B$26+Inputs!$B$29,IF(Skills!C3=3,120+Inputs!$B$27+Inputs!$B$29,MAX(0,(Inputs!$B$3-100)*3)+Inputs!$B$28+Inputs!$B$29)))</f>
        <v/>
      </c>
      <c r="E530">
        <f>INDEX(FactorTable!$B$2:$Y$301, MATCH(ROUND(MIN(300,MAX(1,D530)),0), FactorTable!$A$2:$A$301,0), Skills!M3+1)</f>
        <v/>
      </c>
      <c r="F530">
        <f>IF(Skills!N3=TRUE,(Skills!L3/10)*(E530/1000),Skills!L3/10)+Skills!O3</f>
        <v/>
      </c>
      <c r="G530">
        <f>Skills!G3*IF(Skills!H3&gt;0,Skills!I3/Skills!H3,1)</f>
        <v/>
      </c>
      <c r="H530">
        <f>1-(1-Skills!J3/100)^Skills!K3</f>
        <v/>
      </c>
      <c r="I530" t="inlineStr">
        <is>
          <t>1</t>
        </is>
      </c>
      <c r="J530">
        <f>((Inputs!$B$6*(1+Inputs!$B$7/100))+(((Inputs!$B$12*(1+Inputs!$B$13/100))-(Inputs!$B$12*(1+Inputs!$B$13/100)))+0.25*(Inputs!$B$14-Inputs!$B$14))*(1+Inputs!$B$7/100))*(F530/100)</f>
        <v/>
      </c>
      <c r="K530">
        <f>J530*(1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3="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530)</f>
        <v/>
      </c>
      <c r="L530">
        <f>K530*(MIN(Inputs!$B$22+((C547=TRUE)*(F547-Calc!F20)),(Inputs!$B$23+0+(IF(ArtifactsInput!$M$15,CHOOSE(ArtifactsInput!$N$15+1,25,30,35,40,45,50)/100*(((1-(1-Inputs!$B$11/150)*(1-1/150))*150)-Inputs!$B$11),0))))/100+(Inputs!$B$23+0+(IF(ArtifactsInput!$M$15,CHOOSE(ArtifactsInput!$N$15+1,25,30,35,40,45,50)/100*(((1-(1-Inputs!$B$11/150)*(1-1/150))*150)-Inputs!$B$11),0)))/100)/2</f>
        <v/>
      </c>
      <c r="M530">
        <f>L530*(1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0">
        <f>L530*(1-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530*(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0">
        <f>(1-Summary!$B$11)*T530+Summary!$B$11*V530</f>
        <v/>
      </c>
      <c r="P530">
        <f>IF(B562=0,0,O530/B562)</f>
        <v/>
      </c>
      <c r="Q530" t="n">
        <v>0</v>
      </c>
      <c r="R530" t="n">
        <v>0</v>
      </c>
      <c r="S530">
        <f>IFERROR(O530/N530,0)</f>
        <v/>
      </c>
      <c r="T530">
        <f>IF(C530,(Skills!G3*H530*N530*B556)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530*(1-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530*(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530*(1-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530*(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0">
        <f>INDEX(FactorTable!$B$2:$Y$301, MATCH(ROUND(MIN(300,MAX(1,U529)),0), FactorTable!$A$2:$A$301,0), 22)</f>
        <v/>
      </c>
      <c r="V530">
        <f>IF(C530,(Skills!G3*H530*N530*B556)*IF(Inputs!$B$38="pvp",1,(1+(Inputs!$B$21+Skills!Q3+(IF(ArtifactsInput!$M$33,CHOOSE(ArtifactsInput!$N$33+1,30,36,42,48,54,60),0))+(IF(AND(ArtifactsInput!$M$35,Inputs!$B$4&lt;&gt;"Chapter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1">
      <c r="A531">
        <f>Skills!A4</f>
        <v/>
      </c>
      <c r="B531">
        <f>Skills!B4</f>
        <v/>
      </c>
      <c r="C531">
        <f>Inputs!$B$3&gt;=60</f>
        <v/>
      </c>
      <c r="D531">
        <f>IF(Skills!C4=1,60+Inputs!$B$25+Inputs!$B$29,IF(Skills!C4=2,90+Inputs!$B$26+Inputs!$B$29,IF(Skills!C4=3,120+Inputs!$B$27+Inputs!$B$29,MAX(0,(Inputs!$B$3-100)*3)+Inputs!$B$28+Inputs!$B$29)))</f>
        <v/>
      </c>
      <c r="E531">
        <f>INDEX(FactorTable!$B$2:$Y$301, MATCH(ROUND(MIN(300,MAX(1,D531)),0), FactorTable!$A$2:$A$301,0), Skills!M4+1)</f>
        <v/>
      </c>
      <c r="F531">
        <f>IF(Skills!N4=TRUE,(Skills!L4/10)*(E531/1000),Skills!L4/10)+Skills!O4</f>
        <v/>
      </c>
      <c r="G531">
        <f>Skills!G4*IF(Skills!H4&gt;0,Skills!I4/Skills!H4,1)</f>
        <v/>
      </c>
      <c r="H531">
        <f>1-(1-Skills!J4/100)^Skills!K4</f>
        <v/>
      </c>
      <c r="I531" t="inlineStr">
        <is>
          <t>1</t>
        </is>
      </c>
      <c r="J531">
        <f>((Inputs!$B$6*(1+Inputs!$B$7/100))+(((Inputs!$B$12*(1+Inputs!$B$13/100))-(Inputs!$B$12*(1+Inputs!$B$13/100)))+0.25*(Inputs!$B$14-Inputs!$B$14))*(1+Inputs!$B$7/100))*(F531/100)</f>
        <v/>
      </c>
      <c r="K531">
        <f>J531*(1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539=TRUE,F539,0)/100)*(1+(IF(Skills!A4="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531)</f>
        <v/>
      </c>
      <c r="L531">
        <f>K531*(MIN(Inputs!$B$22+((C547=TRUE)*(F547-Calc!F20)),(Inputs!$B$23+0+(IF(ArtifactsInput!$M$15,CHOOSE(ArtifactsInput!$N$15+1,25,30,35,40,45,50)/100*(((1-(1-Inputs!$B$11/150)*(1-1/150))*150)-Inputs!$B$11),0))))/100+(Inputs!$B$23+0+(IF(ArtifactsInput!$M$15,CHOOSE(ArtifactsInput!$N$15+1,25,30,35,40,45,50)/100*(((1-(1-Inputs!$B$11/150)*(1-1/150))*150)-Inputs!$B$11),0)))/100)/2</f>
        <v/>
      </c>
      <c r="M531">
        <f>L531*(1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1">
        <f>L531*(1-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1">
        <f>(1-Summary!$B$11)*T531+Summary!$B$11*V531</f>
        <v/>
      </c>
      <c r="P531">
        <f>IF(B562=0,0,O531/B562)</f>
        <v/>
      </c>
      <c r="Q531" t="n">
        <v>0</v>
      </c>
      <c r="R531" t="n">
        <v>0</v>
      </c>
      <c r="S531">
        <f>IFERROR(O531/N531,0)</f>
        <v/>
      </c>
      <c r="T531">
        <f>IF(C531,(Skills!G4*H531*N531*B556)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531*(1-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531*(1-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1">
        <f>290*U530/1000</f>
        <v/>
      </c>
      <c r="V531">
        <f>IF(C531,(Skills!G4*H531*N531*B556)*IF(Inputs!$B$38="pvp",1,(1+(Inputs!$B$21+Skills!Q4+(IF(ArtifactsInput!$M$33,CHOOSE(ArtifactsInput!$N$33+1,30,36,42,48,54,60),0))+(IF(AND(ArtifactsInput!$M$35,Inputs!$B$4&lt;&gt;"Chapter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2">
      <c r="A532">
        <f>Skills!A5</f>
        <v/>
      </c>
      <c r="B532">
        <f>Skills!B5</f>
        <v/>
      </c>
      <c r="C532">
        <f>Inputs!$B$3&gt;=60</f>
        <v/>
      </c>
      <c r="D532">
        <f>IF(Skills!C5=1,60+Inputs!$B$25+Inputs!$B$29,IF(Skills!C5=2,90+Inputs!$B$26+Inputs!$B$29,IF(Skills!C5=3,120+Inputs!$B$27+Inputs!$B$29,MAX(0,(Inputs!$B$3-100)*3)+Inputs!$B$28+Inputs!$B$29)))</f>
        <v/>
      </c>
      <c r="E532">
        <f>INDEX(FactorTable!$B$2:$Y$301, MATCH(ROUND(MIN(300,MAX(1,D532)),0), FactorTable!$A$2:$A$301,0), Skills!M5+1)</f>
        <v/>
      </c>
      <c r="F532">
        <f>IF(Skills!N5=TRUE,(Skills!L5/10)*(E532/1000),Skills!L5/10)+Skills!O5</f>
        <v/>
      </c>
      <c r="G532">
        <f>Skills!G5*IF(Skills!H5&gt;0,Skills!I5/Skills!H5,1)</f>
        <v/>
      </c>
      <c r="H532">
        <f>1-(1-Skills!J5/100)^Skills!K5</f>
        <v/>
      </c>
      <c r="I532" t="inlineStr">
        <is>
          <t>1</t>
        </is>
      </c>
      <c r="J532" t="inlineStr"/>
      <c r="K532" t="inlineStr"/>
      <c r="L532" t="inlineStr"/>
      <c r="M532" t="inlineStr"/>
      <c r="N532" t="inlineStr"/>
      <c r="O532">
        <f>(1-Summary!$B$11)*T532+Summary!$B$11*V532</f>
        <v/>
      </c>
      <c r="P532">
        <f>IF(B562=0,0,O532/B562)</f>
        <v/>
      </c>
      <c r="Q532" t="n">
        <v>0</v>
      </c>
      <c r="R532" t="n">
        <v>0</v>
      </c>
      <c r="S532">
        <f>IFERROR(O532/N532,0)</f>
        <v/>
      </c>
      <c r="T532" t="n">
        <v>0</v>
      </c>
      <c r="V532" t="n">
        <v>0</v>
      </c>
    </row>
    <row r="533">
      <c r="A533">
        <f>Skills!A6</f>
        <v/>
      </c>
      <c r="B533">
        <f>Skills!B6</f>
        <v/>
      </c>
      <c r="C533">
        <f>Inputs!$B$3&gt;=63</f>
        <v/>
      </c>
      <c r="D533">
        <f>IF(Skills!C6=1,60+Inputs!$B$25+Inputs!$B$29,IF(Skills!C6=2,90+Inputs!$B$26+Inputs!$B$29,IF(Skills!C6=3,120+Inputs!$B$27+Inputs!$B$29,MAX(0,(Inputs!$B$3-100)*3)+Inputs!$B$28+Inputs!$B$29)))</f>
        <v/>
      </c>
      <c r="E533">
        <f>INDEX(FactorTable!$B$2:$Y$301, MATCH(ROUND(MIN(300,MAX(1,D533)),0), FactorTable!$A$2:$A$301,0), Skills!M6+1)</f>
        <v/>
      </c>
      <c r="F533">
        <f>IF(Skills!N6=TRUE,(Skills!L6/10)*(E533/1000),Skills!L6/10)+Skills!O6</f>
        <v/>
      </c>
      <c r="G533">
        <f>Skills!G6*IF(Skills!H6&gt;0,Skills!I6/Skills!H6,1)</f>
        <v/>
      </c>
      <c r="H533">
        <f>1-(1-Skills!J6/100)^Skills!K6</f>
        <v/>
      </c>
      <c r="I533" t="inlineStr">
        <is>
          <t>1</t>
        </is>
      </c>
      <c r="J533">
        <f>((Inputs!$B$6*(1+Inputs!$B$7/100))+(((Inputs!$B$12*(1+Inputs!$B$13/100))-(Inputs!$B$12*(1+Inputs!$B$13/100)))+0.25*(Inputs!$B$14-Inputs!$B$14))*(1+Inputs!$B$7/100))*(F533/100)</f>
        <v/>
      </c>
      <c r="K533">
        <f>J533*(1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533)</f>
        <v/>
      </c>
      <c r="L533">
        <f>K533*(MIN(Inputs!$B$22+((C547=TRUE)*(F547-Calc!F20)),(Inputs!$B$23+0+(IF(ArtifactsInput!$M$15,CHOOSE(ArtifactsInput!$N$15+1,25,30,35,40,45,50)/100*(((1-(1-Inputs!$B$11/150)*(1-1/150))*150)-Inputs!$B$11),0))))/100+(Inputs!$B$23+0+(IF(ArtifactsInput!$M$15,CHOOSE(ArtifactsInput!$N$15+1,25,30,35,40,45,50)/100*(((1-(1-Inputs!$B$11/150)*(1-1/150))*150)-Inputs!$B$11),0)))/100)/2</f>
        <v/>
      </c>
      <c r="M533">
        <f>L533*(1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3">
        <f>L533*(1-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533*(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3">
        <f>(1-Summary!$B$11)*T533+Summary!$B$11*V533</f>
        <v/>
      </c>
      <c r="P533">
        <f>IF(B562=0,0,O533/B562)</f>
        <v/>
      </c>
      <c r="Q533">
        <f>IFERROR(1/(IF(Inputs!$B$38="pvp",15,MAX(0.1,Skills!D6-IF(Skills!E6=TRUE,Inputs!$B$32,0)))*(1-IF(AND(ArtifactsInput!$M$27,Inputs!$B$4="Chapter Hunt"),CHOOSE(ArtifactsInput!$N$27+1,20,24,28,32,36,40),0)/100)),0)</f>
        <v/>
      </c>
      <c r="R533">
        <f>IF(AND(Inputs!$B$38&lt;&gt;"pvp",Inputs!$B$43&gt;0),IF(MAX(0,Inputs!$B$43-B559)&lt;=0,0,(INT(MAX(0,Inputs!$B$43-B559)/(IF(Inputs!$B$38="pvp",15,MAX(0.1,Skills!D6-IF(Skills!E6=TRUE,Inputs!$B$32,0)))*(1-IF(AND(ArtifactsInput!$M$27,Inputs!$B$4="Chapter Hunt"),CHOOSE(ArtifactsInput!$N$27+1,20,24,28,32,36,40),0)/100)))+1)),0)</f>
        <v/>
      </c>
      <c r="S533">
        <f>IFERROR(O533/N533,0)</f>
        <v/>
      </c>
      <c r="T533">
        <f>IF(C533,(H533*N533*IF(AND(Inputs!$B$38&lt;&gt;"pvp",Inputs!$B$43&gt;0),((Skills!G6*((R533-1)*IF(Skills!H6&gt;0,Skills!I6/Skills!H6,1)+IF(Skills!H6&gt;0,MIN(Skills!I6,MAX(0,MAX(0,Inputs!$B$43-B559)-((R533-1)*(IF(Inputs!$B$38="pvp",15,MAX(0.1,Skills!D6-IF(Skills!E6=TRUE,Inputs!$B$32,0)))*(1-IF(AND(ArtifactsInput!$M$27,Inputs!$B$4="Chapter Hunt"),CHOOSE(ArtifactsInput!$N$27+1,20,24,28,32,36,40),0)/100)))))/Skills!H6,1)))/Inputs!$B$43),G533*Q533)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533*(1-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533*(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533*(1-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533*(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3">
        <f>IF(C533,(H533*N533*IF(AND(Inputs!$B$38&lt;&gt;"pvp",Inputs!$B$43&gt;0),((Skills!G6*((R533-1)*IF(Skills!H6&gt;0,Skills!I6/Skills!H6,1)+IF(Skills!H6&gt;0,MIN(Skills!I6,MAX(0,MAX(0,Inputs!$B$43-B559)-((R533-1)*(IF(Inputs!$B$38="pvp",15,MAX(0.1,Skills!D6-IF(Skills!E6=TRUE,Inputs!$B$32,0)))*(1-IF(AND(ArtifactsInput!$M$27,Inputs!$B$4="Chapter Hunt"),CHOOSE(ArtifactsInput!$N$27+1,20,24,28,32,36,40),0)/100)))))/Skills!H6,1)))/Inputs!$B$43),G533*Q533))*IF(Inputs!$B$38="pvp",1,(1+(Inputs!$B$21+Skills!Q6+(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4">
      <c r="A534">
        <f>Skills!A7</f>
        <v/>
      </c>
      <c r="B534">
        <f>Skills!B7</f>
        <v/>
      </c>
      <c r="C534">
        <f>Inputs!$B$3&gt;=100</f>
        <v/>
      </c>
      <c r="D534">
        <f>IF(Skills!C7=1,60+Inputs!$B$25+Inputs!$B$29,IF(Skills!C7=2,90+Inputs!$B$26+Inputs!$B$29,IF(Skills!C7=3,120+Inputs!$B$27+Inputs!$B$29,MAX(0,(Inputs!$B$3-100)*3)+Inputs!$B$28+Inputs!$B$29)))</f>
        <v/>
      </c>
      <c r="E534">
        <f>INDEX(FactorTable!$B$2:$Y$301, MATCH(ROUND(MIN(300,MAX(1,D534)),0), FactorTable!$A$2:$A$301,0), Skills!M7+1)</f>
        <v/>
      </c>
      <c r="F534">
        <f>IF(Skills!N7=TRUE,(Skills!L7/10)*(E534/1000),Skills!L7/10)+Skills!O7</f>
        <v/>
      </c>
      <c r="G534">
        <f>Skills!G7*IF(Skills!H7&gt;0,Skills!I7/Skills!H7,1)</f>
        <v/>
      </c>
      <c r="H534">
        <f>1-(1-Skills!J7/100)^Skills!K7</f>
        <v/>
      </c>
      <c r="I534" t="inlineStr">
        <is>
          <t>1</t>
        </is>
      </c>
      <c r="J534">
        <f>((Inputs!$B$6*(1+Inputs!$B$7/100))+(((Inputs!$B$12*(1+Inputs!$B$13/100))-(Inputs!$B$12*(1+Inputs!$B$13/100)))+0.25*(Inputs!$B$14-Inputs!$B$14))*(1+Inputs!$B$7/100))*(F534/100)</f>
        <v/>
      </c>
      <c r="K534">
        <f>J534*(1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534)</f>
        <v/>
      </c>
      <c r="L534">
        <f>K534*(MIN(Inputs!$B$22+((C547=TRUE)*(F547-Calc!F20)),(Inputs!$B$23+0+(IF(ArtifactsInput!$M$15,CHOOSE(ArtifactsInput!$N$15+1,25,30,35,40,45,50)/100*(((1-(1-Inputs!$B$11/150)*(1-1/150))*150)-Inputs!$B$11),0))))/100+(Inputs!$B$23+0+(IF(ArtifactsInput!$M$15,CHOOSE(ArtifactsInput!$N$15+1,25,30,35,40,45,50)/100*(((1-(1-Inputs!$B$11/150)*(1-1/150))*150)-Inputs!$B$11),0)))/100)/2</f>
        <v/>
      </c>
      <c r="M534">
        <f>L534*(1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4">
        <f>L534*(1-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534*(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4">
        <f>(1-Summary!$B$11)*T534+Summary!$B$11*V534</f>
        <v/>
      </c>
      <c r="P534">
        <f>IF(B562=0,0,O534/B562)</f>
        <v/>
      </c>
      <c r="Q534">
        <f>IFERROR(1/(IF(Inputs!$B$38="pvp",15,MAX(0.1,Skills!D7-IF(Skills!E7=TRUE,Inputs!$B$32,0)))*(1-IF(AND(ArtifactsInput!$M$27,Inputs!$B$4="Chapter Hunt"),CHOOSE(ArtifactsInput!$N$27+1,20,24,28,32,36,40),0)/100)),0)</f>
        <v/>
      </c>
      <c r="R534">
        <f>IF(AND(Inputs!$B$38&lt;&gt;"pvp",Inputs!$B$43&gt;0),IF(MAX(0,Inputs!$B$43-B559)&lt;=0,0,(INT(MAX(0,Inputs!$B$43-B559)/(IF(Inputs!$B$38="pvp",15,MAX(0.1,Skills!D7-IF(Skills!E7=TRUE,Inputs!$B$32,0)))*(1-IF(AND(ArtifactsInput!$M$27,Inputs!$B$4="Chapter Hunt"),CHOOSE(ArtifactsInput!$N$27+1,20,24,28,32,36,40),0)/100)))+1)),0)</f>
        <v/>
      </c>
      <c r="S534">
        <f>IFERROR(O534/N534,0)</f>
        <v/>
      </c>
      <c r="T534">
        <f>IF(C534,(H534*N534*IF(AND(Inputs!$B$38&lt;&gt;"pvp",Inputs!$B$43&gt;0),((Skills!G7*((R534-1)*IF(Skills!H7&gt;0,Skills!I7/Skills!H7,1)+IF(Skills!H7&gt;0,MIN(Skills!I7,MAX(0,MAX(0,Inputs!$B$43-B559)-((R534-1)*(IF(Inputs!$B$38="pvp",15,MAX(0.1,Skills!D7-IF(Skills!E7=TRUE,Inputs!$B$32,0)))*(1-IF(AND(ArtifactsInput!$M$27,Inputs!$B$4="Chapter Hunt"),CHOOSE(ArtifactsInput!$N$27+1,20,24,28,32,36,40),0)/100)))))/Skills!H7,1)))/Inputs!$B$43),G534*Q534)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534*(1-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534*(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534*(1-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534*(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4">
        <f>IF(C534,(H534*N534*IF(AND(Inputs!$B$38&lt;&gt;"pvp",Inputs!$B$43&gt;0),((Skills!G7*((R534-1)*IF(Skills!H7&gt;0,Skills!I7/Skills!H7,1)+IF(Skills!H7&gt;0,MIN(Skills!I7,MAX(0,MAX(0,Inputs!$B$43-B559)-((R534-1)*(IF(Inputs!$B$38="pvp",15,MAX(0.1,Skills!D7-IF(Skills!E7=TRUE,Inputs!$B$32,0)))*(1-IF(AND(ArtifactsInput!$M$27,Inputs!$B$4="Chapter Hunt"),CHOOSE(ArtifactsInput!$N$27+1,20,24,28,32,36,40),0)/100)))))/Skills!H7,1)))/Inputs!$B$43),G534*Q534))*IF(Inputs!$B$38="pvp",1,(1+(Inputs!$B$21+Skills!Q7+(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5">
      <c r="A535">
        <f>Skills!A8</f>
        <v/>
      </c>
      <c r="B535">
        <f>Skills!B8</f>
        <v/>
      </c>
      <c r="C535">
        <f>Inputs!$B$3&gt;=110</f>
        <v/>
      </c>
      <c r="D535">
        <f>IF(Skills!C8=1,60+Inputs!$B$25+Inputs!$B$29,IF(Skills!C8=2,90+Inputs!$B$26+Inputs!$B$29,IF(Skills!C8=3,120+Inputs!$B$27+Inputs!$B$29,MAX(0,(Inputs!$B$3-100)*3)+Inputs!$B$28+Inputs!$B$29)))</f>
        <v/>
      </c>
      <c r="E535">
        <f>INDEX(FactorTable!$B$2:$Y$301, MATCH(ROUND(MIN(300,MAX(1,D535)),0), FactorTable!$A$2:$A$301,0), Skills!M8+1)</f>
        <v/>
      </c>
      <c r="F535">
        <f>IF(Skills!N8=TRUE,(Skills!L8/10)*(E535/1000),Skills!L8/10)+Skills!O8</f>
        <v/>
      </c>
      <c r="G535">
        <f>Skills!G8*IF(Skills!H8&gt;0,Skills!I8/Skills!H8,1)</f>
        <v/>
      </c>
      <c r="H535">
        <f>1-(1-Skills!J8/100)^Skills!K8</f>
        <v/>
      </c>
      <c r="I535" t="inlineStr">
        <is>
          <t>1</t>
        </is>
      </c>
      <c r="J535">
        <f>((Inputs!$B$6*(1+Inputs!$B$7/100))+(((Inputs!$B$12*(1+Inputs!$B$13/100))-(Inputs!$B$12*(1+Inputs!$B$13/100)))+0.25*(Inputs!$B$14-Inputs!$B$14))*(1+Inputs!$B$7/100))*(F535/100)</f>
        <v/>
      </c>
      <c r="K535">
        <f>J535*(1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535)</f>
        <v/>
      </c>
      <c r="L535">
        <f>K535*(MIN(Inputs!$B$22+((C547=TRUE)*(F547-Calc!F20)),(Inputs!$B$23+0+(IF(ArtifactsInput!$M$15,CHOOSE(ArtifactsInput!$N$15+1,25,30,35,40,45,50)/100*(((1-(1-Inputs!$B$11/150)*(1-1/150))*150)-Inputs!$B$11),0))))/100+(Inputs!$B$23+0+(IF(ArtifactsInput!$M$15,CHOOSE(ArtifactsInput!$N$15+1,25,30,35,40,45,50)/100*(((1-(1-Inputs!$B$11/150)*(1-1/150))*150)-Inputs!$B$11),0)))/100)/2</f>
        <v/>
      </c>
      <c r="M535">
        <f>L535*(1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5">
        <f>L535*(1-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535*(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5">
        <f>(1-Summary!$B$11)*T535+Summary!$B$11*V535</f>
        <v/>
      </c>
      <c r="P535">
        <f>IF(B562=0,0,O535/B562)</f>
        <v/>
      </c>
      <c r="Q535">
        <f>IFERROR(1/(IF(Inputs!$B$38="pvp",15,MAX(0.1,Skills!D8-IF(Skills!E8=TRUE,Inputs!$B$32,0)))*(1-IF(AND(ArtifactsInput!$M$27,Inputs!$B$4="Chapter Hunt"),CHOOSE(ArtifactsInput!$N$27+1,20,24,28,32,36,40),0)/100)),0)</f>
        <v/>
      </c>
      <c r="R535">
        <f>IF(AND(Inputs!$B$38&lt;&gt;"pvp",Inputs!$B$43&gt;0),IF(MAX(0,Inputs!$B$43-B559)&lt;=0,0,(INT(MAX(0,Inputs!$B$43-B559)/(IF(Inputs!$B$38="pvp",15,MAX(0.1,Skills!D8-IF(Skills!E8=TRUE,Inputs!$B$32,0)))*(1-IF(AND(ArtifactsInput!$M$27,Inputs!$B$4="Chapter Hunt"),CHOOSE(ArtifactsInput!$N$27+1,20,24,28,32,36,40),0)/100)))+1)),0)</f>
        <v/>
      </c>
      <c r="S535">
        <f>IFERROR(O535/N535,0)</f>
        <v/>
      </c>
      <c r="T535">
        <f>IF(C535,(H535*N535*IF(AND(Inputs!$B$38&lt;&gt;"pvp",Inputs!$B$43&gt;0),((Skills!G8*((R535-1)*IF(Skills!H8&gt;0,Skills!I8/Skills!H8,1)+IF(Skills!H8&gt;0,MIN(Skills!I8,MAX(0,MAX(0,Inputs!$B$43-B559)-((R535-1)*(IF(Inputs!$B$38="pvp",15,MAX(0.1,Skills!D8-IF(Skills!E8=TRUE,Inputs!$B$32,0)))*(1-IF(AND(ArtifactsInput!$M$27,Inputs!$B$4="Chapter Hunt"),CHOOSE(ArtifactsInput!$N$27+1,20,24,28,32,36,40),0)/100)))))/Skills!H8,1)))/Inputs!$B$43),G535*Q535)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535*(1-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535*(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535*(1-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535*(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5">
        <f>IF(C535,(H535*N535*IF(AND(Inputs!$B$38&lt;&gt;"pvp",Inputs!$B$43&gt;0),((Skills!G8*((R535-1)*IF(Skills!H8&gt;0,Skills!I8/Skills!H8,1)+IF(Skills!H8&gt;0,MIN(Skills!I8,MAX(0,MAX(0,Inputs!$B$43-B559)-((R535-1)*(IF(Inputs!$B$38="pvp",15,MAX(0.1,Skills!D8-IF(Skills!E8=TRUE,Inputs!$B$32,0)))*(1-IF(AND(ArtifactsInput!$M$27,Inputs!$B$4="Chapter Hunt"),CHOOSE(ArtifactsInput!$N$27+1,20,24,28,32,36,40),0)/100)))))/Skills!H8,1)))/Inputs!$B$43),G535*Q535))*IF(Inputs!$B$38="pvp",1,(1+(Inputs!$B$21+Skills!Q8+(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6">
      <c r="A536">
        <f>Skills!A9</f>
        <v/>
      </c>
      <c r="B536">
        <f>Skills!B9</f>
        <v/>
      </c>
      <c r="C536">
        <f>Inputs!$B$3&gt;=110</f>
        <v/>
      </c>
      <c r="D536">
        <f>IF(Skills!C9=1,60+Inputs!$B$25+Inputs!$B$29,IF(Skills!C9=2,90+Inputs!$B$26+Inputs!$B$29,IF(Skills!C9=3,120+Inputs!$B$27+Inputs!$B$29,MAX(0,(Inputs!$B$3-100)*3)+Inputs!$B$28+Inputs!$B$29)))</f>
        <v/>
      </c>
      <c r="E536">
        <f>INDEX(FactorTable!$B$2:$Y$301, MATCH(ROUND(MIN(300,MAX(1,D536)),0), FactorTable!$A$2:$A$301,0), Skills!M9+1)</f>
        <v/>
      </c>
      <c r="F536">
        <f>IF(Skills!N9=TRUE,(Skills!L9/10)*(E536/1000),Skills!L9/10)+Skills!O9</f>
        <v/>
      </c>
      <c r="G536">
        <f>Skills!G9*IF(Skills!H9&gt;0,Skills!I9/Skills!H9,1)</f>
        <v/>
      </c>
      <c r="H536">
        <f>1-(1-Skills!J9/100)^Skills!K9</f>
        <v/>
      </c>
      <c r="I536" t="inlineStr">
        <is>
          <t>1</t>
        </is>
      </c>
      <c r="J536">
        <f>((Inputs!$B$6*(1+Inputs!$B$7/100))+(((Inputs!$B$12*(1+Inputs!$B$13/100))-(Inputs!$B$12*(1+Inputs!$B$13/100)))+0.25*(Inputs!$B$14-Inputs!$B$14))*(1+Inputs!$B$7/100))*(F536/100)</f>
        <v/>
      </c>
      <c r="K536">
        <f>J536*(1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536)</f>
        <v/>
      </c>
      <c r="L536">
        <f>K536*(MIN(Inputs!$B$22+((C547=TRUE)*(F547-Calc!F20)),(Inputs!$B$23+0+(IF(ArtifactsInput!$M$15,CHOOSE(ArtifactsInput!$N$15+1,25,30,35,40,45,50)/100*(((1-(1-Inputs!$B$11/150)*(1-1/150))*150)-Inputs!$B$11),0))))/100+(Inputs!$B$23+0+(IF(ArtifactsInput!$M$15,CHOOSE(ArtifactsInput!$N$15+1,25,30,35,40,45,50)/100*(((1-(1-Inputs!$B$11/150)*(1-1/150))*150)-Inputs!$B$11),0)))/100)/2</f>
        <v/>
      </c>
      <c r="M536">
        <f>L536*(1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6">
        <f>L536*(1-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536*(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6">
        <f>(1-Summary!$B$11)*T536+Summary!$B$11*V536</f>
        <v/>
      </c>
      <c r="P536">
        <f>IF(B562=0,0,O536/B562)</f>
        <v/>
      </c>
      <c r="Q536">
        <f>IFERROR(1/(IF(Inputs!$B$38="pvp",15,MAX(0.1,Skills!D9-IF(Skills!E9=TRUE,Inputs!$B$32,0)))*(1-IF(AND(ArtifactsInput!$M$27,Inputs!$B$4="Chapter Hunt"),CHOOSE(ArtifactsInput!$N$27+1,20,24,28,32,36,40),0)/100)),0)</f>
        <v/>
      </c>
      <c r="R536">
        <f>IF(AND(Inputs!$B$38&lt;&gt;"pvp",Inputs!$B$43&gt;0),IF(MAX(0,Inputs!$B$43-B559)&lt;=0,0,(INT(MAX(0,Inputs!$B$43-B559)/(IF(Inputs!$B$38="pvp",15,MAX(0.1,Skills!D9-IF(Skills!E9=TRUE,Inputs!$B$32,0)))*(1-IF(AND(ArtifactsInput!$M$27,Inputs!$B$4="Chapter Hunt"),CHOOSE(ArtifactsInput!$N$27+1,20,24,28,32,36,40),0)/100)))+1)),0)</f>
        <v/>
      </c>
      <c r="S536">
        <f>IFERROR(O536/N536,0)</f>
        <v/>
      </c>
      <c r="T536">
        <f>IF(C536,(H536*N536*IF(AND(Inputs!$B$38&lt;&gt;"pvp",Inputs!$B$43&gt;0),((Skills!G9*((R536-1)*IF(Skills!H9&gt;0,Skills!I9/Skills!H9,1)+IF(Skills!H9&gt;0,MIN(Skills!I9,MAX(0,MAX(0,Inputs!$B$43-B559)-((R536-1)*(IF(Inputs!$B$38="pvp",15,MAX(0.1,Skills!D9-IF(Skills!E9=TRUE,Inputs!$B$32,0)))*(1-IF(AND(ArtifactsInput!$M$27,Inputs!$B$4="Chapter Hunt"),CHOOSE(ArtifactsInput!$N$27+1,20,24,28,32,36,40),0)/100)))))/Skills!H9,1)))/Inputs!$B$43),G536*Q536)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536*(1-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536*(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536*(1-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536*(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6">
        <f>IF(C536,(H536*N536*IF(AND(Inputs!$B$38&lt;&gt;"pvp",Inputs!$B$43&gt;0),((Skills!G9*((R536-1)*IF(Skills!H9&gt;0,Skills!I9/Skills!H9,1)+IF(Skills!H9&gt;0,MIN(Skills!I9,MAX(0,MAX(0,Inputs!$B$43-B559)-((R536-1)*(IF(Inputs!$B$38="pvp",15,MAX(0.1,Skills!D9-IF(Skills!E9=TRUE,Inputs!$B$32,0)))*(1-IF(AND(ArtifactsInput!$M$27,Inputs!$B$4="Chapter Hunt"),CHOOSE(ArtifactsInput!$N$27+1,20,24,28,32,36,40),0)/100)))))/Skills!H9,1)))/Inputs!$B$43),G536*Q536))*IF(Inputs!$B$38="pvp",1,(1+(Inputs!$B$21+Skills!Q9+(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7">
      <c r="A537">
        <f>Skills!A10</f>
        <v/>
      </c>
      <c r="B537">
        <f>Skills!B10</f>
        <v/>
      </c>
      <c r="C537">
        <f>Inputs!$B$3&gt;=103</f>
        <v/>
      </c>
      <c r="D537">
        <f>IF(Skills!C10=1,60+Inputs!$B$25+Inputs!$B$29,IF(Skills!C10=2,90+Inputs!$B$26+Inputs!$B$29,IF(Skills!C10=3,120+Inputs!$B$27+Inputs!$B$29,MAX(0,(Inputs!$B$3-100)*3)+Inputs!$B$28+Inputs!$B$29)))</f>
        <v/>
      </c>
      <c r="E537">
        <f>INDEX(FactorTable!$B$2:$Y$301, MATCH(ROUND(MIN(300,MAX(1,D537)),0), FactorTable!$A$2:$A$301,0), Skills!M10+1)</f>
        <v/>
      </c>
      <c r="F537">
        <f>IF(Skills!N10=TRUE,(Skills!L10/10)*(E537/1000),Skills!L10/10)+Skills!O10</f>
        <v/>
      </c>
      <c r="G537">
        <f>Skills!G10*IF(Skills!H10&gt;0,Skills!I10/Skills!H10,1)</f>
        <v/>
      </c>
      <c r="H537">
        <f>1-(1-Skills!J10/100)^Skills!K10</f>
        <v/>
      </c>
      <c r="I537" t="inlineStr">
        <is>
          <t>1</t>
        </is>
      </c>
      <c r="J537">
        <f>((Inputs!$B$6*(1+Inputs!$B$7/100))+(((Inputs!$B$12*(1+Inputs!$B$13/100))-(Inputs!$B$12*(1+Inputs!$B$13/100)))+0.25*(Inputs!$B$14-Inputs!$B$14))*(1+Inputs!$B$7/100))*(F537/100)</f>
        <v/>
      </c>
      <c r="K537">
        <f>J537*(1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537)</f>
        <v/>
      </c>
      <c r="L537">
        <f>K537*(MIN(Inputs!$B$22+((C547=TRUE)*(F547-Calc!F20)),(Inputs!$B$23+0+(IF(ArtifactsInput!$M$15,CHOOSE(ArtifactsInput!$N$15+1,25,30,35,40,45,50)/100*(((1-(1-Inputs!$B$11/150)*(1-1/150))*150)-Inputs!$B$11),0))))/100+(Inputs!$B$23+0+(IF(ArtifactsInput!$M$15,CHOOSE(ArtifactsInput!$N$15+1,25,30,35,40,45,50)/100*(((1-(1-Inputs!$B$11/150)*(1-1/150))*150)-Inputs!$B$11),0)))/100)/2</f>
        <v/>
      </c>
      <c r="M537">
        <f>L537*(1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7">
        <f>L537*(1-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537*(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7">
        <f>(1-Summary!$B$11)*T537+Summary!$B$11*V537</f>
        <v/>
      </c>
      <c r="P537">
        <f>IF(B562=0,0,O537/B562)</f>
        <v/>
      </c>
      <c r="Q537">
        <f>IFERROR(1/(IF(Inputs!$B$38="pvp",15,MAX(0.1,Skills!D10-IF(Skills!E10=TRUE,Inputs!$B$32,0)))*(1-IF(AND(ArtifactsInput!$M$27,Inputs!$B$4="Chapter Hunt"),CHOOSE(ArtifactsInput!$N$27+1,20,24,28,32,36,40),0)/100)),0)</f>
        <v/>
      </c>
      <c r="R537">
        <f>IF(AND(Inputs!$B$38&lt;&gt;"pvp",Inputs!$B$43&gt;0),IF(MAX(0,Inputs!$B$43-B559)&lt;=0,0,(INT(MAX(0,Inputs!$B$43-B559)/(IF(Inputs!$B$38="pvp",15,MAX(0.1,Skills!D10-IF(Skills!E10=TRUE,Inputs!$B$32,0)))*(1-IF(AND(ArtifactsInput!$M$27,Inputs!$B$4="Chapter Hunt"),CHOOSE(ArtifactsInput!$N$27+1,20,24,28,32,36,40),0)/100)))+1)),0)</f>
        <v/>
      </c>
      <c r="S537">
        <f>IFERROR(O537/N537,0)</f>
        <v/>
      </c>
      <c r="T537">
        <f>IF(C537,(H537*N537*IF(AND(Inputs!$B$38&lt;&gt;"pvp",Inputs!$B$43&gt;0),((Skills!G10*((R537-1)*IF(Skills!H10&gt;0,Skills!I10/Skills!H10,1)+IF(Skills!H10&gt;0,MIN(Skills!I10,MAX(0,MAX(0,Inputs!$B$43-B559)-((R537-1)*(IF(Inputs!$B$38="pvp",15,MAX(0.1,Skills!D10-IF(Skills!E10=TRUE,Inputs!$B$32,0)))*(1-IF(AND(ArtifactsInput!$M$27,Inputs!$B$4="Chapter Hunt"),CHOOSE(ArtifactsInput!$N$27+1,20,24,28,32,36,40),0)/100)))))/Skills!H10,1)))/Inputs!$B$43),G537*Q537)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537*(1-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537*(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537*(1-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537*(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7">
        <f>IF(C537,(H537*N537*IF(AND(Inputs!$B$38&lt;&gt;"pvp",Inputs!$B$43&gt;0),((Skills!G10*((R537-1)*IF(Skills!H10&gt;0,Skills!I10/Skills!H10,1)+IF(Skills!H10&gt;0,MIN(Skills!I10,MAX(0,MAX(0,Inputs!$B$43-B559)-((R537-1)*(IF(Inputs!$B$38="pvp",15,MAX(0.1,Skills!D10-IF(Skills!E10=TRUE,Inputs!$B$32,0)))*(1-IF(AND(ArtifactsInput!$M$27,Inputs!$B$4="Chapter Hunt"),CHOOSE(ArtifactsInput!$N$27+1,20,24,28,32,36,40),0)/100)))))/Skills!H10,1)))/Inputs!$B$43),G537*Q537))*IF(Inputs!$B$38="pvp",1,(1+(Inputs!$B$21+Skills!Q10+(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8">
      <c r="A538">
        <f>Skills!A11</f>
        <v/>
      </c>
      <c r="B538">
        <f>Skills!B11</f>
        <v/>
      </c>
      <c r="C538">
        <f>Inputs!$B$3&gt;=113</f>
        <v/>
      </c>
      <c r="D538">
        <f>IF(Skills!C11=1,60+Inputs!$B$25+Inputs!$B$29,IF(Skills!C11=2,90+Inputs!$B$26+Inputs!$B$29,IF(Skills!C11=3,120+Inputs!$B$27+Inputs!$B$29,MAX(0,(Inputs!$B$3-100)*3)+Inputs!$B$28+Inputs!$B$29)))</f>
        <v/>
      </c>
      <c r="E538">
        <f>INDEX(FactorTable!$B$2:$Y$301, MATCH(ROUND(MIN(300,MAX(1,D538)),0), FactorTable!$A$2:$A$301,0), Skills!M11+1)</f>
        <v/>
      </c>
      <c r="F538">
        <f>IF(Skills!N11=TRUE,(Skills!L11/10)*(E538/1000),Skills!L11/10)+Skills!O11</f>
        <v/>
      </c>
      <c r="G538">
        <f>Skills!G11*IF(Skills!H11&gt;0,Skills!I11/Skills!H11,1)</f>
        <v/>
      </c>
      <c r="H538">
        <f>1-(1-Skills!J11/100)^Skills!K11</f>
        <v/>
      </c>
      <c r="I538" t="inlineStr">
        <is>
          <t>1</t>
        </is>
      </c>
      <c r="J538">
        <f>((Inputs!$B$6*(1+Inputs!$B$7/100))+(((Inputs!$B$12*(1+Inputs!$B$13/100))-(Inputs!$B$12*(1+Inputs!$B$13/100)))+0.25*(Inputs!$B$14-Inputs!$B$14))*(1+Inputs!$B$7/100))*(F538/100)</f>
        <v/>
      </c>
      <c r="K538">
        <f>J538*(1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538)</f>
        <v/>
      </c>
      <c r="L538">
        <f>K538*(MIN(Inputs!$B$22+((C547=TRUE)*(F547-Calc!F20)),(Inputs!$B$23+0+(IF(ArtifactsInput!$M$15,CHOOSE(ArtifactsInput!$N$15+1,25,30,35,40,45,50)/100*(((1-(1-Inputs!$B$11/150)*(1-1/150))*150)-Inputs!$B$11),0))))/100+(Inputs!$B$23+0+(IF(ArtifactsInput!$M$15,CHOOSE(ArtifactsInput!$N$15+1,25,30,35,40,45,50)/100*(((1-(1-Inputs!$B$11/150)*(1-1/150))*150)-Inputs!$B$11),0)))/100)/2</f>
        <v/>
      </c>
      <c r="M538">
        <f>L538*(1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(1-Summary!$B$11)*T538+Summary!$B$11*V538</f>
        <v/>
      </c>
      <c r="P538">
        <f>IF(B562=0,0,O538/B562)</f>
        <v/>
      </c>
      <c r="Q538">
        <f>IFERROR(1/(IF(Inputs!$B$38="pvp",15,MAX(0.1,Skills!D11-IF(Skills!E11=TRUE,Inputs!$B$32,0)))*(1-IF(AND(ArtifactsInput!$M$27,Inputs!$B$4="Chapter Hunt"),CHOOSE(ArtifactsInput!$N$27+1,20,24,28,32,36,40),0)/100)),0)</f>
        <v/>
      </c>
      <c r="R538">
        <f>IF(AND(Inputs!$B$38&lt;&gt;"pvp",Inputs!$B$43&gt;0),IF(MAX(0,Inputs!$B$43-B559)&lt;=0,0,(INT(MAX(0,Inputs!$B$43-B559)/(IF(Inputs!$B$38="pvp",15,MAX(0.1,Skills!D11-IF(Skills!E11=TRUE,Inputs!$B$32,0)))*(1-IF(AND(ArtifactsInput!$M$27,Inputs!$B$4="Chapter Hunt"),CHOOSE(ArtifactsInput!$N$27+1,20,24,28,32,36,40),0)/100)))+1)),0)</f>
        <v/>
      </c>
      <c r="S538">
        <f>IFERROR(O538/N538,0)</f>
        <v/>
      </c>
      <c r="T538">
        <f>IF(C538,(H538*N538*IF(AND(Inputs!$B$38&lt;&gt;"pvp",Inputs!$B$43&gt;0),((Skills!G11*((R538-1)*IF(Skills!H11&gt;0,Skills!I11/Skills!H11,1)+IF(Skills!H11&gt;0,MIN(Skills!I11,MAX(0,MAX(0,Inputs!$B$43-B559)-((R538-1)*(IF(Inputs!$B$38="pvp",15,MAX(0.1,Skills!D11-IF(Skills!E11=TRUE,Inputs!$B$32,0)))*(1-IF(AND(ArtifactsInput!$M$27,Inputs!$B$4="Chapter Hunt"),CHOOSE(ArtifactsInput!$N$27+1,20,24,28,32,36,40),0)/100)))))/Skills!H11,1)))/Inputs!$B$43),G538*Q538)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538*(1-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8">
        <f>IF(C538,(H538*N538*IF(AND(Inputs!$B$38&lt;&gt;"pvp",Inputs!$B$43&gt;0),((Skills!G11*((R538-1)*IF(Skills!H11&gt;0,Skills!I11/Skills!H11,1)+IF(Skills!H11&gt;0,MIN(Skills!I11,MAX(0,MAX(0,Inputs!$B$43-B559)-((R538-1)*(IF(Inputs!$B$38="pvp",15,MAX(0.1,Skills!D11-IF(Skills!E11=TRUE,Inputs!$B$32,0)))*(1-IF(AND(ArtifactsInput!$M$27,Inputs!$B$4="Chapter Hunt"),CHOOSE(ArtifactsInput!$N$27+1,20,24,28,32,36,40),0)/100)))))/Skills!H11,1)))/Inputs!$B$43),G538*Q538))*IF(Inputs!$B$38="pvp",1,(1+(Inputs!$B$21+Skills!Q11+(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9">
      <c r="A539">
        <f>Skills!A12</f>
        <v/>
      </c>
      <c r="B539">
        <f>Skills!B12</f>
        <v/>
      </c>
      <c r="C539">
        <f>Inputs!$B$3&gt;=100</f>
        <v/>
      </c>
      <c r="D539">
        <f>IF(Skills!C12=1,60+Inputs!$B$25+Inputs!$B$29,IF(Skills!C12=2,90+Inputs!$B$26+Inputs!$B$29,IF(Skills!C12=3,120+Inputs!$B$27+Inputs!$B$29,MAX(0,(Inputs!$B$3-100)*3)+Inputs!$B$28+Inputs!$B$29)))</f>
        <v/>
      </c>
      <c r="E539">
        <f>INDEX(FactorTable!$B$2:$Y$301, MATCH(ROUND(MIN(300,MAX(1,D539)),0), FactorTable!$A$2:$A$301,0), Skills!M12+1)</f>
        <v/>
      </c>
      <c r="F539">
        <f>IF(Skills!N12=TRUE,(Skills!L12/10)*(E539/1000),Skills!L12/10)+Skills!O12</f>
        <v/>
      </c>
      <c r="G539" t="inlineStr"/>
      <c r="H539" t="inlineStr"/>
      <c r="I539" t="inlineStr">
        <is>
          <t>1</t>
        </is>
      </c>
      <c r="J539" t="inlineStr"/>
      <c r="K539" t="inlineStr"/>
      <c r="L539" t="inlineStr"/>
      <c r="M539" t="inlineStr"/>
      <c r="N539" t="inlineStr"/>
      <c r="O539" t="inlineStr"/>
      <c r="P539" t="inlineStr"/>
      <c r="Q539" t="inlineStr"/>
      <c r="R539" t="inlineStr"/>
      <c r="S539" t="inlineStr"/>
      <c r="T539" t="inlineStr"/>
      <c r="V539" t="inlineStr"/>
    </row>
    <row r="540">
      <c r="A540">
        <f>Skills!A13</f>
        <v/>
      </c>
      <c r="B540">
        <f>Skills!B13</f>
        <v/>
      </c>
      <c r="C540">
        <f>Inputs!$B$3&gt;=66</f>
        <v/>
      </c>
      <c r="D540">
        <f>IF(Skills!C13=1,60+Inputs!$B$25+Inputs!$B$29,IF(Skills!C13=2,90+Inputs!$B$26+Inputs!$B$29,IF(Skills!C13=3,120+Inputs!$B$27+Inputs!$B$29,MAX(0,(Inputs!$B$3-100)*3)+Inputs!$B$28+Inputs!$B$29)))</f>
        <v/>
      </c>
      <c r="E540">
        <f>INDEX(FactorTable!$B$2:$Y$301, MATCH(ROUND(MIN(300,MAX(1,D540)),0), FactorTable!$A$2:$A$301,0), Skills!M13+1)</f>
        <v/>
      </c>
      <c r="F540">
        <f>IF(Skills!N13=TRUE,(Skills!L13/10)*(E540/1000),Skills!L13/10)+Skills!O13</f>
        <v/>
      </c>
      <c r="G540">
        <f>Skills!G13*IF(Skills!H13&gt;0,Skills!I13/Skills!H13,1)</f>
        <v/>
      </c>
      <c r="H540">
        <f>1-(1-Skills!J13/100)^Skills!K13</f>
        <v/>
      </c>
      <c r="I540" t="inlineStr">
        <is>
          <t>1</t>
        </is>
      </c>
      <c r="J540" t="inlineStr"/>
      <c r="K540" t="inlineStr"/>
      <c r="L540" t="inlineStr"/>
      <c r="M540" t="inlineStr"/>
      <c r="N540" t="inlineStr"/>
      <c r="O540">
        <f>(1-Summary!$B$11)*T540+Summary!$B$11*V540</f>
        <v/>
      </c>
      <c r="P540">
        <f>IF(B562=0,0,O540/B562)</f>
        <v/>
      </c>
      <c r="Q540" t="n">
        <v>0</v>
      </c>
      <c r="R540" t="n">
        <v>0</v>
      </c>
      <c r="S540">
        <f>IFERROR(O540/N540,0)</f>
        <v/>
      </c>
      <c r="T540" t="n">
        <v>0</v>
      </c>
      <c r="V540" t="n">
        <v>0</v>
      </c>
    </row>
    <row r="541">
      <c r="A541">
        <f>Skills!A14</f>
        <v/>
      </c>
      <c r="B541">
        <f>Skills!B14</f>
        <v/>
      </c>
      <c r="C541">
        <f>Inputs!$B$3&gt;=107</f>
        <v/>
      </c>
      <c r="D541">
        <f>IF(Skills!C14=1,60+Inputs!$B$25+Inputs!$B$29,IF(Skills!C14=2,90+Inputs!$B$26+Inputs!$B$29,IF(Skills!C14=3,120+Inputs!$B$27+Inputs!$B$29,MAX(0,(Inputs!$B$3-100)*3)+Inputs!$B$28+Inputs!$B$29)))</f>
        <v/>
      </c>
      <c r="E541">
        <f>INDEX(FactorTable!$B$2:$Y$301, MATCH(ROUND(MIN(300,MAX(1,D541)),0), FactorTable!$A$2:$A$301,0), Skills!M14+1)</f>
        <v/>
      </c>
      <c r="F541">
        <f>IF(Skills!N14=TRUE,(Skills!L14/10)*(E541/1000),Skills!L14/10)+Skills!O14</f>
        <v/>
      </c>
      <c r="G541">
        <f>Skills!G14*IF(Skills!H14&gt;0,Skills!I14/Skills!H14,1)</f>
        <v/>
      </c>
      <c r="H541">
        <f>1-(1-Skills!J14/100)^Skills!K14</f>
        <v/>
      </c>
      <c r="I541" t="inlineStr">
        <is>
          <t>1</t>
        </is>
      </c>
      <c r="J541" t="inlineStr"/>
      <c r="K541" t="inlineStr"/>
      <c r="L541" t="inlineStr"/>
      <c r="M541" t="inlineStr"/>
      <c r="N541" t="inlineStr"/>
      <c r="O541">
        <f>(1-Summary!$B$11)*T541+Summary!$B$11*V541</f>
        <v/>
      </c>
      <c r="P541">
        <f>IF(B562=0,0,O541/B562)</f>
        <v/>
      </c>
      <c r="Q541" t="n">
        <v>0</v>
      </c>
      <c r="R541" t="n">
        <v>0</v>
      </c>
      <c r="S541">
        <f>IFERROR(O541/N541,0)</f>
        <v/>
      </c>
      <c r="T541" t="n">
        <v>0</v>
      </c>
      <c r="V541" t="n">
        <v>0</v>
      </c>
    </row>
    <row r="542">
      <c r="A542">
        <f>Skills!A15</f>
        <v/>
      </c>
      <c r="B542">
        <f>Skills!B15</f>
        <v/>
      </c>
      <c r="C542">
        <f>Inputs!$B$3&gt;=115</f>
        <v/>
      </c>
      <c r="D542">
        <f>IF(Skills!C15=1,60+Inputs!$B$25+Inputs!$B$29,IF(Skills!C15=2,90+Inputs!$B$26+Inputs!$B$29,IF(Skills!C15=3,120+Inputs!$B$27+Inputs!$B$29,MAX(0,(Inputs!$B$3-100)*3)+Inputs!$B$28+Inputs!$B$29)))</f>
        <v/>
      </c>
      <c r="E542">
        <f>INDEX(FactorTable!$B$2:$Y$301, MATCH(ROUND(MIN(300,MAX(1,D542)),0), FactorTable!$A$2:$A$301,0), Skills!M15+1)</f>
        <v/>
      </c>
      <c r="F542">
        <f>IF(Skills!N15=TRUE,(Skills!L15/10)*(E542/1000),Skills!L15/10)+Skills!O15</f>
        <v/>
      </c>
      <c r="G542">
        <f>Skills!G15*IF(Skills!H15&gt;0,Skills!I15/Skills!H15,1)</f>
        <v/>
      </c>
      <c r="H542">
        <f>1-(1-Skills!J15/100)^Skills!K15</f>
        <v/>
      </c>
      <c r="I542" t="inlineStr">
        <is>
          <t>1</t>
        </is>
      </c>
      <c r="J542" t="inlineStr"/>
      <c r="K542" t="inlineStr"/>
      <c r="L542" t="inlineStr"/>
      <c r="M542" t="inlineStr"/>
      <c r="N542" t="inlineStr"/>
      <c r="O542">
        <f>(1-Summary!$B$11)*T542+Summary!$B$11*V542</f>
        <v/>
      </c>
      <c r="P542">
        <f>IF(B562=0,0,O542/B562)</f>
        <v/>
      </c>
      <c r="Q542" t="n">
        <v>0</v>
      </c>
      <c r="R542" t="n">
        <v>0</v>
      </c>
      <c r="S542">
        <f>IFERROR(O542/N542,0)</f>
        <v/>
      </c>
      <c r="T542" t="n">
        <v>0</v>
      </c>
      <c r="V542" t="n">
        <v>0</v>
      </c>
    </row>
    <row r="543">
      <c r="A543">
        <f>Skills!A16</f>
        <v/>
      </c>
      <c r="B543">
        <f>Skills!B16</f>
        <v/>
      </c>
      <c r="C543">
        <f>Inputs!$B$3&gt;=15</f>
        <v/>
      </c>
      <c r="D543">
        <f>IF(Skills!C16=1,60+Inputs!$B$25+Inputs!$B$29,IF(Skills!C16=2,90+Inputs!$B$26+Inputs!$B$29,IF(Skills!C16=3,120+Inputs!$B$27+Inputs!$B$29,MAX(0,(Inputs!$B$3-100)*3)+Inputs!$B$28+Inputs!$B$29)))</f>
        <v/>
      </c>
      <c r="E543">
        <f>INDEX(FactorTable!$B$2:$Y$301, MATCH(ROUND(MIN(300,MAX(1,D543)),0), FactorTable!$A$2:$A$301,0), Skills!M16+1)</f>
        <v/>
      </c>
      <c r="F543">
        <f>IF(Skills!N16=TRUE,(Skills!L16/10)*(E543/1000),Skills!L16/10)+Skills!O16</f>
        <v/>
      </c>
      <c r="G543">
        <f>Skills!G16*IF(Skills!H16&gt;0,Skills!I16/Skills!H16,1)</f>
        <v/>
      </c>
      <c r="H543">
        <f>1-(1-Skills!J16/100)^Skills!K16</f>
        <v/>
      </c>
      <c r="I543" t="inlineStr">
        <is>
          <t>1</t>
        </is>
      </c>
      <c r="J543" t="inlineStr"/>
      <c r="K543" t="inlineStr"/>
      <c r="L543" t="inlineStr"/>
      <c r="M543" t="inlineStr"/>
      <c r="N543" t="inlineStr"/>
      <c r="O543">
        <f>(1-Summary!$B$11)*T543+Summary!$B$11*V543</f>
        <v/>
      </c>
      <c r="P543">
        <f>IF(B562=0,0,O543/B562)</f>
        <v/>
      </c>
      <c r="Q543" t="n">
        <v>0</v>
      </c>
      <c r="R543" t="n">
        <v>0</v>
      </c>
      <c r="S543">
        <f>IFERROR(O543/N543,0)</f>
        <v/>
      </c>
      <c r="T543" t="n">
        <v>0</v>
      </c>
      <c r="V543" t="n">
        <v>0</v>
      </c>
    </row>
    <row r="544">
      <c r="A544">
        <f>Skills!A17</f>
        <v/>
      </c>
      <c r="B544">
        <f>Skills!B17</f>
        <v/>
      </c>
      <c r="C544">
        <f>Inputs!$B$3&gt;=10</f>
        <v/>
      </c>
      <c r="D544">
        <f>IF(Skills!C17=1,60+Inputs!$B$25+Inputs!$B$29,IF(Skills!C17=2,90+Inputs!$B$26+Inputs!$B$29,IF(Skills!C17=3,120+Inputs!$B$27+Inputs!$B$29,MAX(0,(Inputs!$B$3-100)*3)+Inputs!$B$28+Inputs!$B$29)))</f>
        <v/>
      </c>
      <c r="E544">
        <f>INDEX(FactorTable!$B$2:$Y$301, MATCH(ROUND(MIN(300,MAX(1,D544)),0), FactorTable!$A$2:$A$301,0), Skills!M17+1)</f>
        <v/>
      </c>
      <c r="F544">
        <f>IF(Skills!N17=TRUE,(Skills!L17/10)*(E544/1000),Skills!L17/10)+Skills!O17</f>
        <v/>
      </c>
      <c r="G544">
        <f>Skills!G17*IF(Skills!H17&gt;0,Skills!I17/Skills!H17,1)</f>
        <v/>
      </c>
      <c r="H544">
        <f>1-(1-Skills!J17/100)^Skills!K17</f>
        <v/>
      </c>
      <c r="I544" t="inlineStr">
        <is>
          <t>1</t>
        </is>
      </c>
      <c r="J544" t="inlineStr"/>
      <c r="K544" t="inlineStr"/>
      <c r="L544" t="inlineStr"/>
      <c r="M544" t="inlineStr"/>
      <c r="N544" t="inlineStr"/>
      <c r="O544">
        <f>(1-Summary!$B$11)*T544+Summary!$B$11*V544</f>
        <v/>
      </c>
      <c r="P544">
        <f>IF(B562=0,0,O544/B562)</f>
        <v/>
      </c>
      <c r="Q544" t="n">
        <v>0</v>
      </c>
      <c r="R544" t="n">
        <v>0</v>
      </c>
      <c r="S544">
        <f>IFERROR(O544/N544,0)</f>
        <v/>
      </c>
      <c r="T544" t="n">
        <v>0</v>
      </c>
      <c r="V544" t="n">
        <v>0</v>
      </c>
    </row>
    <row r="545">
      <c r="A545">
        <f>Skills!A18</f>
        <v/>
      </c>
      <c r="B545">
        <f>Skills!B18</f>
        <v/>
      </c>
      <c r="C545">
        <f>Inputs!$B$3&gt;=33</f>
        <v/>
      </c>
      <c r="D545">
        <f>IF(Skills!C18=1,60+Inputs!$B$25+Inputs!$B$29,IF(Skills!C18=2,90+Inputs!$B$26+Inputs!$B$29,IF(Skills!C18=3,120+Inputs!$B$27+Inputs!$B$29,MAX(0,(Inputs!$B$3-100)*3)+Inputs!$B$28+Inputs!$B$29)))</f>
        <v/>
      </c>
      <c r="E545">
        <f>INDEX(FactorTable!$B$2:$Y$301, MATCH(ROUND(MIN(300,MAX(1,D545)),0), FactorTable!$A$2:$A$301,0), Skills!M18+1)</f>
        <v/>
      </c>
      <c r="F545">
        <f>IF(Skills!N18=TRUE,(Skills!L18/10)*(E545/1000),Skills!L18/10)+Skills!O18</f>
        <v/>
      </c>
      <c r="G545">
        <f>Skills!G18*IF(Skills!H18&gt;0,Skills!I18/Skills!H18,1)</f>
        <v/>
      </c>
      <c r="H545">
        <f>1-(1-Skills!J18/100)^Skills!K18</f>
        <v/>
      </c>
      <c r="I545" t="inlineStr">
        <is>
          <t>1</t>
        </is>
      </c>
      <c r="J545" t="inlineStr"/>
      <c r="K545" t="inlineStr"/>
      <c r="L545" t="inlineStr"/>
      <c r="M545" t="inlineStr"/>
      <c r="N545" t="inlineStr"/>
      <c r="O545">
        <f>(1-Summary!$B$11)*T545+Summary!$B$11*V545</f>
        <v/>
      </c>
      <c r="P545">
        <f>IF(B562=0,0,O545/B562)</f>
        <v/>
      </c>
      <c r="Q545" t="n">
        <v>0</v>
      </c>
      <c r="R545" t="n">
        <v>0</v>
      </c>
      <c r="S545">
        <f>IFERROR(O545/N545,0)</f>
        <v/>
      </c>
      <c r="T545" t="n">
        <v>0</v>
      </c>
      <c r="V545" t="n">
        <v>0</v>
      </c>
    </row>
    <row r="546">
      <c r="A546">
        <f>Skills!A19</f>
        <v/>
      </c>
      <c r="B546">
        <f>Skills!B19</f>
        <v/>
      </c>
      <c r="C546">
        <f>Inputs!$B$3&gt;=40</f>
        <v/>
      </c>
      <c r="D546">
        <f>IF(Skills!C19=1,60+Inputs!$B$25+Inputs!$B$29,IF(Skills!C19=2,90+Inputs!$B$26+Inputs!$B$29,IF(Skills!C19=3,120+Inputs!$B$27+Inputs!$B$29,MAX(0,(Inputs!$B$3-100)*3)+Inputs!$B$28+Inputs!$B$29)))</f>
        <v/>
      </c>
      <c r="E546">
        <f>INDEX(FactorTable!$B$2:$Y$301, MATCH(ROUND(MIN(300,MAX(1,D546)),0), FactorTable!$A$2:$A$301,0), Skills!M19+1)</f>
        <v/>
      </c>
      <c r="F546">
        <f>IF(Skills!N19=TRUE,(Skills!L19/10)*(E546/1000),Skills!L19/10)+Skills!O19</f>
        <v/>
      </c>
      <c r="G546">
        <f>Skills!G19*IF(Skills!H19&gt;0,Skills!I19/Skills!H19,1)</f>
        <v/>
      </c>
      <c r="H546">
        <f>1-(1-Skills!J19/100)^Skills!K19</f>
        <v/>
      </c>
      <c r="I546" t="inlineStr">
        <is>
          <t>1</t>
        </is>
      </c>
      <c r="J546" t="inlineStr"/>
      <c r="K546" t="inlineStr"/>
      <c r="L546" t="inlineStr"/>
      <c r="M546" t="inlineStr"/>
      <c r="N546" t="inlineStr"/>
      <c r="O546">
        <f>(1-Summary!$B$11)*T546+Summary!$B$11*V546</f>
        <v/>
      </c>
      <c r="P546">
        <f>IF(B562=0,0,O546/B562)</f>
        <v/>
      </c>
      <c r="Q546" t="n">
        <v>0</v>
      </c>
      <c r="R546" t="n">
        <v>0</v>
      </c>
      <c r="S546">
        <f>IFERROR(O546/N546,0)</f>
        <v/>
      </c>
      <c r="T546" t="n">
        <v>0</v>
      </c>
      <c r="V546" t="n">
        <v>0</v>
      </c>
    </row>
    <row r="547">
      <c r="A547">
        <f>Skills!A20</f>
        <v/>
      </c>
      <c r="B547">
        <f>Skills!B20</f>
        <v/>
      </c>
      <c r="C547">
        <f>Inputs!$B$3&gt;=43</f>
        <v/>
      </c>
      <c r="D547">
        <f>IF(Skills!C20=1,60+Inputs!$B$25+Inputs!$B$29,IF(Skills!C20=2,90+Inputs!$B$26+Inputs!$B$29,IF(Skills!C20=3,120+Inputs!$B$27+Inputs!$B$29,MAX(0,(Inputs!$B$3-100)*3)+Inputs!$B$28+Inputs!$B$29)))</f>
        <v/>
      </c>
      <c r="E547">
        <f>INDEX(FactorTable!$B$2:$Y$301, MATCH(ROUND(MIN(300,MAX(1,D547)),0), FactorTable!$A$2:$A$301,0), Skills!M20+1)</f>
        <v/>
      </c>
      <c r="F547">
        <f>IF(Skills!N20=TRUE,(Skills!L20/10)*(E547/1000),Skills!L20/10)+Skills!O20</f>
        <v/>
      </c>
      <c r="G547">
        <f>Skills!G20*IF(Skills!H20&gt;0,Skills!I20/Skills!H20,1)</f>
        <v/>
      </c>
      <c r="H547">
        <f>1-(1-Skills!J20/100)^Skills!K20</f>
        <v/>
      </c>
      <c r="I547" t="inlineStr">
        <is>
          <t>1</t>
        </is>
      </c>
      <c r="J547" t="inlineStr"/>
      <c r="K547" t="inlineStr"/>
      <c r="L547" t="inlineStr"/>
      <c r="M547" t="inlineStr"/>
      <c r="N547" t="inlineStr"/>
      <c r="O547">
        <f>(1-Summary!$B$11)*T547+Summary!$B$11*V547</f>
        <v/>
      </c>
      <c r="P547">
        <f>IF(B562=0,0,O547/B562)</f>
        <v/>
      </c>
      <c r="Q547" t="n">
        <v>0</v>
      </c>
      <c r="R547" t="n">
        <v>0</v>
      </c>
      <c r="S547">
        <f>IFERROR(O547/N547,0)</f>
        <v/>
      </c>
      <c r="T547" t="n">
        <v>0</v>
      </c>
      <c r="V547" t="n">
        <v>0</v>
      </c>
    </row>
    <row r="548">
      <c r="A548">
        <f>Skills!A21</f>
        <v/>
      </c>
      <c r="B548">
        <f>Skills!B21</f>
        <v/>
      </c>
      <c r="C548">
        <f>Inputs!$B$3&gt;=38</f>
        <v/>
      </c>
      <c r="D548">
        <f>IF(Skills!C21=1,60+Inputs!$B$25+Inputs!$B$29,IF(Skills!C21=2,90+Inputs!$B$26+Inputs!$B$29,IF(Skills!C21=3,120+Inputs!$B$27+Inputs!$B$29,MAX(0,(Inputs!$B$3-100)*3)+Inputs!$B$28+Inputs!$B$29)))</f>
        <v/>
      </c>
      <c r="E548">
        <f>INDEX(FactorTable!$B$2:$Y$301, MATCH(ROUND(MIN(300,MAX(1,D548)),0), FactorTable!$A$2:$A$301,0), Skills!M21+1)</f>
        <v/>
      </c>
      <c r="F548">
        <f>IF(Skills!N21=TRUE,(Skills!L21/10)*(E548/1000),Skills!L21/10)+Skills!O21</f>
        <v/>
      </c>
      <c r="G548">
        <f>Skills!G21*IF(Skills!H21&gt;0,Skills!I21/Skills!H21,1)</f>
        <v/>
      </c>
      <c r="H548">
        <f>1-(1-Skills!J21/100)^Skills!K21</f>
        <v/>
      </c>
      <c r="I548" t="inlineStr">
        <is>
          <t>1</t>
        </is>
      </c>
      <c r="J548" t="inlineStr"/>
      <c r="K548" t="inlineStr"/>
      <c r="L548" t="inlineStr"/>
      <c r="M548" t="inlineStr"/>
      <c r="N548" t="inlineStr"/>
      <c r="O548">
        <f>(1-Summary!$B$11)*T548+Summary!$B$11*V548</f>
        <v/>
      </c>
      <c r="P548">
        <f>IF(B562=0,0,O548/B562)</f>
        <v/>
      </c>
      <c r="Q548" t="n">
        <v>0</v>
      </c>
      <c r="R548" t="n">
        <v>0</v>
      </c>
      <c r="S548">
        <f>IFERROR(O548/N548,0)</f>
        <v/>
      </c>
      <c r="T548" t="n">
        <v>0</v>
      </c>
      <c r="V548" t="n">
        <v>0</v>
      </c>
    </row>
    <row r="549">
      <c r="A549">
        <f>Skills!A22</f>
        <v/>
      </c>
      <c r="B549">
        <f>Skills!B22</f>
        <v/>
      </c>
      <c r="C549">
        <f>Inputs!$B$3&gt;=75</f>
        <v/>
      </c>
      <c r="D549">
        <f>IF(Skills!C22=1,60+Inputs!$B$25+Inputs!$B$29,IF(Skills!C22=2,90+Inputs!$B$26+Inputs!$B$29,IF(Skills!C22=3,120+Inputs!$B$27+Inputs!$B$29,MAX(0,(Inputs!$B$3-100)*3)+Inputs!$B$28+Inputs!$B$29)))</f>
        <v/>
      </c>
      <c r="E549">
        <f>INDEX(FactorTable!$B$2:$Y$301, MATCH(ROUND(MIN(300,MAX(1,D549)),0), FactorTable!$A$2:$A$301,0), Skills!M22+1)</f>
        <v/>
      </c>
      <c r="F549">
        <f>IF(Skills!N22=TRUE,(Skills!L22/10)*(E549/1000),Skills!L22/10)+Skills!O22</f>
        <v/>
      </c>
      <c r="G549">
        <f>Skills!G22*IF(Skills!H22&gt;0,Skills!I22/Skills!H22,1)</f>
        <v/>
      </c>
      <c r="H549">
        <f>1-(1-Skills!J22/100)^Skills!K22</f>
        <v/>
      </c>
      <c r="I549" t="inlineStr">
        <is>
          <t>1</t>
        </is>
      </c>
      <c r="J549" t="inlineStr"/>
      <c r="K549" t="inlineStr"/>
      <c r="L549" t="inlineStr"/>
      <c r="M549" t="inlineStr"/>
      <c r="N549" t="inlineStr"/>
      <c r="O549">
        <f>(1-Summary!$B$11)*T549+Summary!$B$11*V549</f>
        <v/>
      </c>
      <c r="P549">
        <f>IF(B562=0,0,O549/B562)</f>
        <v/>
      </c>
      <c r="Q549" t="n">
        <v>0</v>
      </c>
      <c r="R549" t="n">
        <v>0</v>
      </c>
      <c r="S549">
        <f>IFERROR(O549/N549,0)</f>
        <v/>
      </c>
      <c r="T549" t="n">
        <v>0</v>
      </c>
      <c r="V549" t="n">
        <v>0</v>
      </c>
    </row>
    <row r="551">
      <c r="A551" t="inlineStr">
        <is>
          <t>Attack% Bucket Multiplier</t>
        </is>
      </c>
      <c r="B551">
        <f>(1+(((C540=TRUE)*F540)+((C546=TRUE)*(F546-Calc!F19))+(IF(ArtifactsInput!$M$21,CHOOSE(ArtifactsInput!$N$21+1,25,30,35,40,45,50)*(IF(OR(Inputs!$B$4="Chapter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52">
      <c r="A552" t="inlineStr">
        <is>
          <t>Global Crit Rate Bonus %</t>
        </is>
      </c>
      <c r="B552" t="n">
        <v>0</v>
      </c>
    </row>
    <row r="553">
      <c r="A553" t="inlineStr">
        <is>
          <t>Attack Speed Buff Bonus % (unused)</t>
        </is>
      </c>
      <c r="B553" t="n">
        <v>0</v>
      </c>
    </row>
    <row r="554">
      <c r="A554" t="inlineStr">
        <is>
          <t>Actions Per Second</t>
        </is>
      </c>
      <c r="B554">
        <f>1+MIN(150,150*(1-(1-(((1-(1-Inputs!$B$11/150)*(1-1/150))*150)+((C544=TRUE)*(F544-Calc!F17))+((C545=TRUE)*(F545-Calc!F18)))/150)*(1-B553/150)))/100</f>
        <v/>
      </c>
    </row>
    <row r="555">
      <c r="A555" t="inlineStr">
        <is>
          <t>Skill + Buff Cast Rate</t>
        </is>
      </c>
      <c r="B555">
        <f>IF(AND(Inputs!$B$38&lt;&gt;"pvp",Inputs!$B$43&gt;0),SUMPRODUCT((Skills!E2:E22=TRUE)*(C529:C549=TRUE)*R529:R549*Skills!F2:F22)/Inputs!$B$43,SUMPRODUCT((Skills!E2:E22=TRUE)*(C529:C549=TRUE)*Q529:Q549*Skills!F2:F22))</f>
        <v/>
      </c>
    </row>
    <row r="556">
      <c r="A556" t="inlineStr">
        <is>
          <t>Hook Bomber Casts Per Second</t>
        </is>
      </c>
      <c r="B556">
        <f>MAX(0,B554-B555)</f>
        <v/>
      </c>
    </row>
    <row r="557">
      <c r="A557" t="inlineStr">
        <is>
          <t>Global Critical Damage Bonus % (unused)</t>
        </is>
      </c>
      <c r="B557" t="n">
        <v>0</v>
      </c>
    </row>
    <row r="558">
      <c r="A558" t="inlineStr">
        <is>
          <t>Global Final Damage Bonus % (Serpent Scale + Crossbones + Time Leap + Speed Infusion)</t>
        </is>
      </c>
      <c r="B558">
        <f>((C532=TRUE)*F532*((10+IF(Inputs!$B$3&gt;=94,5,0))/((10+IF(Inputs!$B$3&gt;=94,5,0))+5/(B556*(1+IF(Inputs!$B$3&gt;=104,1,0))))))+((C541=TRUE)*F541)+((C542=TRUE)*F542)+((Inputs!$B$3&gt;=110)*20*(B554-1))</f>
        <v/>
      </c>
    </row>
    <row r="559">
      <c r="A559" t="inlineStr">
        <is>
          <t>Buff-Casting Startup Delay (s, fixed-duration only)</t>
        </is>
      </c>
      <c r="B559">
        <f>IF(AND(Inputs!$B$38&lt;&gt;"pvp",Inputs!$B$43&gt;0),SUMPRODUCT((Skills!T2:T22&gt;0)*(Skills!E2:E22=TRUE)*(C529:C549=TRUE))/B554,0)</f>
        <v/>
      </c>
    </row>
    <row r="560">
      <c r="A560" t="inlineStr">
        <is>
          <t>Boss-Only Total DPS (this block's swept value)</t>
        </is>
      </c>
      <c r="B560">
        <f>SUM(T529:T549)</f>
        <v/>
      </c>
    </row>
    <row r="561">
      <c r="A561" t="inlineStr">
        <is>
          <t>Normal-Only Total DPS (this block's swept value)</t>
        </is>
      </c>
      <c r="B561">
        <f>SUM(V529:V549)</f>
        <v/>
      </c>
    </row>
    <row r="562">
      <c r="A562" s="6" t="inlineStr">
        <is>
          <t>TOTAL DPS</t>
        </is>
      </c>
      <c r="B562" s="6">
        <f>SUM(O529:O549)</f>
        <v/>
      </c>
    </row>
    <row r="565">
      <c r="A565" s="6" t="inlineStr">
        <is>
          <t>Stat: DEF_PEN % (diminishing returns, factor 100)</t>
        </is>
      </c>
    </row>
    <row r="566">
      <c r="A566" s="5" t="inlineStr">
        <is>
          <t>Key</t>
        </is>
      </c>
      <c r="B566" s="5" t="inlineStr">
        <is>
          <t>Name</t>
        </is>
      </c>
      <c r="C566" s="5" t="inlineStr">
        <is>
          <t>Unlocked</t>
        </is>
      </c>
      <c r="D566" s="5" t="inlineStr">
        <is>
          <t>InputLevel</t>
        </is>
      </c>
      <c r="E566" s="5" t="inlineStr">
        <is>
          <t>Factor</t>
        </is>
      </c>
      <c r="F566" s="5" t="inlineStr">
        <is>
          <t>CoefficientPercent</t>
        </is>
      </c>
      <c r="G566" s="5" t="inlineStr">
        <is>
          <t>EffectiveHits</t>
        </is>
      </c>
      <c r="H566" s="5" t="inlineStr">
        <is>
          <t>ProcProbability</t>
        </is>
      </c>
      <c r="I566" s="5" t="inlineStr">
        <is>
          <t>MapleHeroMultiplier</t>
        </is>
      </c>
      <c r="J566" s="5" t="inlineStr">
        <is>
          <t>BaseDamage</t>
        </is>
      </c>
      <c r="K566" s="5" t="inlineStr">
        <is>
          <t>BaseHitDamage</t>
        </is>
      </c>
      <c r="L566" s="5" t="inlineStr">
        <is>
          <t>NonCritAvg</t>
        </is>
      </c>
      <c r="M566" s="5" t="inlineStr">
        <is>
          <t>CritAvg</t>
        </is>
      </c>
      <c r="N566" s="5" t="inlineStr">
        <is>
          <t>ExpectedDamage(perHit)</t>
        </is>
      </c>
      <c r="O566" s="5" t="inlineStr">
        <is>
          <t>DPS</t>
        </is>
      </c>
      <c r="P566" s="5" t="inlineStr">
        <is>
          <t>% of Total</t>
        </is>
      </c>
      <c r="Q566" s="5" t="inlineStr">
        <is>
          <t>InvCooldown</t>
        </is>
      </c>
      <c r="R566" s="5" t="inlineStr">
        <is>
          <t>CastsInFight</t>
        </is>
      </c>
      <c r="S566" s="5" t="inlineStr">
        <is>
          <t>HitRate(perSec)</t>
        </is>
      </c>
      <c r="U566" t="inlineStr">
        <is>
          <t>helpers</t>
        </is>
      </c>
    </row>
    <row r="567">
      <c r="A567">
        <f>Skills!A2</f>
        <v/>
      </c>
      <c r="B567">
        <f>Skills!B2</f>
        <v/>
      </c>
      <c r="C567">
        <f>Inputs!$B$3&gt;=100</f>
        <v/>
      </c>
      <c r="D567" t="inlineStr"/>
      <c r="E567" t="inlineStr"/>
      <c r="F567">
        <f>U569+Skills!O2</f>
        <v/>
      </c>
      <c r="G567">
        <f>Skills!G2*IF(Skills!H2&gt;0,Skills!I2/Skills!H2,1)</f>
        <v/>
      </c>
      <c r="H567">
        <f>1-(1-Skills!J2/100)^Skills!K2</f>
        <v/>
      </c>
      <c r="I567" t="inlineStr">
        <is>
          <t>1</t>
        </is>
      </c>
      <c r="J567">
        <f>((Inputs!$B$6*(1+Inputs!$B$7/100))+(((Inputs!$B$12*(1+Inputs!$B$13/100))-(Inputs!$B$12*(1+Inputs!$B$13/100)))+0.25*(Inputs!$B$14-Inputs!$B$14))*(1+Inputs!$B$7/100))*(F567/100)</f>
        <v/>
      </c>
      <c r="K567">
        <f>J567*(1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
      </c>
      <c r="L567">
        <f>K567*(MIN(Inputs!$B$22+((C585=TRUE)*(F585-Calc!F20)),(Inputs!$B$23+0+(IF(ArtifactsInput!$M$15,CHOOSE(ArtifactsInput!$N$15+1,25,30,35,40,45,50)/100*(Inputs!$B$11-Inputs!$B$11),0))))/100+(Inputs!$B$23+0+(IF(ArtifactsInput!$M$15,CHOOSE(ArtifactsInput!$N$15+1,25,30,35,40,45,50)/100*(Inputs!$B$11-Inputs!$B$11),0)))/100)/2</f>
        <v/>
      </c>
      <c r="M567">
        <f>L567*(1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7">
        <f>L567*(1-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7">
        <f>(1-Summary!$B$11)*T567+Summary!$B$11*V567</f>
        <v/>
      </c>
      <c r="P567">
        <f>IF(B600=0,0,O567/B600)</f>
        <v/>
      </c>
      <c r="Q567" t="n">
        <v>0</v>
      </c>
      <c r="R567" t="n">
        <v>0</v>
      </c>
      <c r="S567">
        <f>IFERROR(O567/N567,0)</f>
        <v/>
      </c>
      <c r="T567">
        <f>IF(C567,(Skills!G2*N567*B594)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567*(1-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7">
        <f>MAX(0,(Inputs!$B$3-100)*3)+Inputs!$B$28+Inputs!$B$29</f>
        <v/>
      </c>
      <c r="V567">
        <f>IF(C567,(Skills!G2*N567*B594)*IF(Inputs!$B$38="pvp",1,(1+(Inputs!$B$21+Skills!Q2+(IF(ArtifactsInput!$M$33,CHOOSE(ArtifactsInput!$N$33+1,30,36,42,48,54,60),0))+(IF(AND(ArtifactsInput!$M$35,Inputs!$B$4&lt;&gt;"Chapter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8">
      <c r="A568">
        <f>Skills!A3</f>
        <v/>
      </c>
      <c r="B568">
        <f>Skills!B3</f>
        <v/>
      </c>
      <c r="C568">
        <f>Inputs!$B$3&gt;=35</f>
        <v/>
      </c>
      <c r="D568">
        <f>IF(Skills!C3=1,60+Inputs!$B$25+Inputs!$B$29,IF(Skills!C3=2,90+Inputs!$B$26+Inputs!$B$29,IF(Skills!C3=3,120+Inputs!$B$27+Inputs!$B$29,MAX(0,(Inputs!$B$3-100)*3)+Inputs!$B$28+Inputs!$B$29)))</f>
        <v/>
      </c>
      <c r="E568">
        <f>INDEX(FactorTable!$B$2:$Y$301, MATCH(ROUND(MIN(300,MAX(1,D568)),0), FactorTable!$A$2:$A$301,0), Skills!M3+1)</f>
        <v/>
      </c>
      <c r="F568">
        <f>IF(Skills!N3=TRUE,(Skills!L3/10)*(E568/1000),Skills!L3/10)+Skills!O3</f>
        <v/>
      </c>
      <c r="G568">
        <f>Skills!G3*IF(Skills!H3&gt;0,Skills!I3/Skills!H3,1)</f>
        <v/>
      </c>
      <c r="H568">
        <f>1-(1-Skills!J3/100)^Skills!K3</f>
        <v/>
      </c>
      <c r="I568" t="inlineStr">
        <is>
          <t>1</t>
        </is>
      </c>
      <c r="J568">
        <f>((Inputs!$B$6*(1+Inputs!$B$7/100))+(((Inputs!$B$12*(1+Inputs!$B$13/100))-(Inputs!$B$12*(1+Inputs!$B$13/100)))+0.25*(Inputs!$B$14-Inputs!$B$14))*(1+Inputs!$B$7/100))*(F568/100)</f>
        <v/>
      </c>
      <c r="K568">
        <f>J568*(1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C585=TRUE)*(F585-Calc!F20)),(Inputs!$B$23+0+(IF(ArtifactsInput!$M$15,CHOOSE(ArtifactsInput!$N$15+1,25,30,35,40,45,50)/100*(Inputs!$B$11-Inputs!$B$11),0))))/100+(Inputs!$B$23+0+(IF(ArtifactsInput!$M$15,CHOOSE(ArtifactsInput!$N$15+1,25,30,35,40,45,50)/100*(Inputs!$B$11-Inputs!$B$11),0)))/100)/2</f>
        <v/>
      </c>
      <c r="M568">
        <f>L568*(1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(1-Summary!$B$11)*T568+Summary!$B$11*V568</f>
        <v/>
      </c>
      <c r="P568">
        <f>IF(B600=0,0,O568/B600)</f>
        <v/>
      </c>
      <c r="Q568" t="n">
        <v>0</v>
      </c>
      <c r="R568" t="n">
        <v>0</v>
      </c>
      <c r="S568">
        <f>IFERROR(O568/N568,0)</f>
        <v/>
      </c>
      <c r="T568">
        <f>IF(C568,(Skills!G3*H568*N568*B594)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568*(1-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INDEX(FactorTable!$B$2:$Y$301, MATCH(ROUND(MIN(300,MAX(1,U567)),0), FactorTable!$A$2:$A$301,0), 22)</f>
        <v/>
      </c>
      <c r="V568">
        <f>IF(C568,(Skills!G3*H568*N568*B594)*IF(Inputs!$B$38="pvp",1,(1+(Inputs!$B$21+Skills!Q3+(IF(ArtifactsInput!$M$33,CHOOSE(ArtifactsInput!$N$33+1,30,36,42,48,54,60),0))+(IF(AND(ArtifactsInput!$M$35,Inputs!$B$4&lt;&gt;"Chapter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Skills!A4</f>
        <v/>
      </c>
      <c r="B569">
        <f>Skills!B4</f>
        <v/>
      </c>
      <c r="C569">
        <f>Inputs!$B$3&gt;=60</f>
        <v/>
      </c>
      <c r="D569">
        <f>IF(Skills!C4=1,60+Inputs!$B$25+Inputs!$B$29,IF(Skills!C4=2,90+Inputs!$B$26+Inputs!$B$29,IF(Skills!C4=3,120+Inputs!$B$27+Inputs!$B$29,MAX(0,(Inputs!$B$3-100)*3)+Inputs!$B$28+Inputs!$B$29)))</f>
        <v/>
      </c>
      <c r="E569">
        <f>INDEX(FactorTable!$B$2:$Y$301, MATCH(ROUND(MIN(300,MAX(1,D569)),0), FactorTable!$A$2:$A$301,0), Skills!M4+1)</f>
        <v/>
      </c>
      <c r="F569">
        <f>IF(Skills!N4=TRUE,(Skills!L4/10)*(E569/1000),Skills!L4/10)+Skills!O4</f>
        <v/>
      </c>
      <c r="G569">
        <f>Skills!G4*IF(Skills!H4&gt;0,Skills!I4/Skills!H4,1)</f>
        <v/>
      </c>
      <c r="H569">
        <f>1-(1-Skills!J4/100)^Skills!K4</f>
        <v/>
      </c>
      <c r="I569" t="inlineStr">
        <is>
          <t>1</t>
        </is>
      </c>
      <c r="J569">
        <f>((Inputs!$B$6*(1+Inputs!$B$7/100))+(((Inputs!$B$12*(1+Inputs!$B$13/100))-(Inputs!$B$12*(1+Inputs!$B$13/100)))+0.25*(Inputs!$B$14-Inputs!$B$14))*(1+Inputs!$B$7/100))*(F569/100)</f>
        <v/>
      </c>
      <c r="K569">
        <f>J569*(1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577=TRUE,F577,0)/100)*(1+(IF(Skills!A4="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
      </c>
      <c r="L569">
        <f>K569*(MIN(Inputs!$B$22+((C585=TRUE)*(F585-Calc!F20)),(Inputs!$B$23+0+(IF(ArtifactsInput!$M$15,CHOOSE(ArtifactsInput!$N$15+1,25,30,35,40,45,50)/100*(Inputs!$B$11-Inputs!$B$11),0))))/100+(Inputs!$B$23+0+(IF(ArtifactsInput!$M$15,CHOOSE(ArtifactsInput!$N$15+1,25,30,35,40,45,50)/100*(Inputs!$B$11-Inputs!$B$11),0)))/100)/2</f>
        <v/>
      </c>
      <c r="M569">
        <f>L569*(1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9">
        <f>L569*(1-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9">
        <f>(1-Summary!$B$11)*T569+Summary!$B$11*V569</f>
        <v/>
      </c>
      <c r="P569">
        <f>IF(B600=0,0,O569/B600)</f>
        <v/>
      </c>
      <c r="Q569" t="n">
        <v>0</v>
      </c>
      <c r="R569" t="n">
        <v>0</v>
      </c>
      <c r="S569">
        <f>IFERROR(O569/N569,0)</f>
        <v/>
      </c>
      <c r="T569">
        <f>IF(C569,(Skills!G4*H569*N569*B594)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569*(1-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9">
        <f>290*U568/1000</f>
        <v/>
      </c>
      <c r="V569">
        <f>IF(C569,(Skills!G4*H569*N569*B594)*IF(Inputs!$B$38="pvp",1,(1+(Inputs!$B$21+Skills!Q4+(IF(ArtifactsInput!$M$33,CHOOSE(ArtifactsInput!$N$33+1,30,36,42,48,54,60),0))+(IF(AND(ArtifactsInput!$M$35,Inputs!$B$4&lt;&gt;"Chapter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0">
      <c r="A570">
        <f>Skills!A5</f>
        <v/>
      </c>
      <c r="B570">
        <f>Skills!B5</f>
        <v/>
      </c>
      <c r="C570">
        <f>Inputs!$B$3&gt;=60</f>
        <v/>
      </c>
      <c r="D570">
        <f>IF(Skills!C5=1,60+Inputs!$B$25+Inputs!$B$29,IF(Skills!C5=2,90+Inputs!$B$26+Inputs!$B$29,IF(Skills!C5=3,120+Inputs!$B$27+Inputs!$B$29,MAX(0,(Inputs!$B$3-100)*3)+Inputs!$B$28+Inputs!$B$29)))</f>
        <v/>
      </c>
      <c r="E570">
        <f>INDEX(FactorTable!$B$2:$Y$301, MATCH(ROUND(MIN(300,MAX(1,D570)),0), FactorTable!$A$2:$A$301,0), Skills!M5+1)</f>
        <v/>
      </c>
      <c r="F570">
        <f>IF(Skills!N5=TRUE,(Skills!L5/10)*(E570/1000),Skills!L5/10)+Skills!O5</f>
        <v/>
      </c>
      <c r="G570">
        <f>Skills!G5*IF(Skills!H5&gt;0,Skills!I5/Skills!H5,1)</f>
        <v/>
      </c>
      <c r="H570">
        <f>1-(1-Skills!J5/100)^Skills!K5</f>
        <v/>
      </c>
      <c r="I570" t="inlineStr">
        <is>
          <t>1</t>
        </is>
      </c>
      <c r="J570" t="inlineStr"/>
      <c r="K570" t="inlineStr"/>
      <c r="L570" t="inlineStr"/>
      <c r="M570" t="inlineStr"/>
      <c r="N570" t="inlineStr"/>
      <c r="O570">
        <f>(1-Summary!$B$11)*T570+Summary!$B$11*V570</f>
        <v/>
      </c>
      <c r="P570">
        <f>IF(B600=0,0,O570/B600)</f>
        <v/>
      </c>
      <c r="Q570" t="n">
        <v>0</v>
      </c>
      <c r="R570" t="n">
        <v>0</v>
      </c>
      <c r="S570">
        <f>IFERROR(O570/N570,0)</f>
        <v/>
      </c>
      <c r="T570" t="n">
        <v>0</v>
      </c>
      <c r="V570" t="n">
        <v>0</v>
      </c>
    </row>
    <row r="571">
      <c r="A571">
        <f>Skills!A6</f>
        <v/>
      </c>
      <c r="B571">
        <f>Skills!B6</f>
        <v/>
      </c>
      <c r="C571">
        <f>Inputs!$B$3&gt;=63</f>
        <v/>
      </c>
      <c r="D571">
        <f>IF(Skills!C6=1,60+Inputs!$B$25+Inputs!$B$29,IF(Skills!C6=2,90+Inputs!$B$26+Inputs!$B$29,IF(Skills!C6=3,120+Inputs!$B$27+Inputs!$B$29,MAX(0,(Inputs!$B$3-100)*3)+Inputs!$B$28+Inputs!$B$29)))</f>
        <v/>
      </c>
      <c r="E571">
        <f>INDEX(FactorTable!$B$2:$Y$301, MATCH(ROUND(MIN(300,MAX(1,D571)),0), FactorTable!$A$2:$A$301,0), Skills!M6+1)</f>
        <v/>
      </c>
      <c r="F571">
        <f>IF(Skills!N6=TRUE,(Skills!L6/10)*(E571/1000),Skills!L6/10)+Skills!O6</f>
        <v/>
      </c>
      <c r="G571">
        <f>Skills!G6*IF(Skills!H6&gt;0,Skills!I6/Skills!H6,1)</f>
        <v/>
      </c>
      <c r="H571">
        <f>1-(1-Skills!J6/100)^Skills!K6</f>
        <v/>
      </c>
      <c r="I571" t="inlineStr">
        <is>
          <t>1</t>
        </is>
      </c>
      <c r="J571">
        <f>((Inputs!$B$6*(1+Inputs!$B$7/100))+(((Inputs!$B$12*(1+Inputs!$B$13/100))-(Inputs!$B$12*(1+Inputs!$B$13/100)))+0.25*(Inputs!$B$14-Inputs!$B$14))*(1+Inputs!$B$7/100))*(F571/100)</f>
        <v/>
      </c>
      <c r="K571">
        <f>J571*(1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571)</f>
        <v/>
      </c>
      <c r="L571">
        <f>K571*(MIN(Inputs!$B$22+((C585=TRUE)*(F585-Calc!F20)),(Inputs!$B$23+0+(IF(ArtifactsInput!$M$15,CHOOSE(ArtifactsInput!$N$15+1,25,30,35,40,45,50)/100*(Inputs!$B$11-Inputs!$B$11),0))))/100+(Inputs!$B$23+0+(IF(ArtifactsInput!$M$15,CHOOSE(ArtifactsInput!$N$15+1,25,30,35,40,45,50)/100*(Inputs!$B$11-Inputs!$B$11),0)))/100)/2</f>
        <v/>
      </c>
      <c r="M571">
        <f>L571*(1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1">
        <f>L571*(1-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1">
        <f>(1-Summary!$B$11)*T571+Summary!$B$11*V571</f>
        <v/>
      </c>
      <c r="P571">
        <f>IF(B600=0,0,O571/B600)</f>
        <v/>
      </c>
      <c r="Q571">
        <f>IFERROR(1/(IF(Inputs!$B$38="pvp",15,MAX(0.1,Skills!D6-IF(Skills!E6=TRUE,Inputs!$B$32,0)))*(1-IF(AND(ArtifactsInput!$M$27,Inputs!$B$4="Chapter Hunt"),CHOOSE(ArtifactsInput!$N$27+1,20,24,28,32,36,40),0)/100)),0)</f>
        <v/>
      </c>
      <c r="R571">
        <f>IF(AND(Inputs!$B$38&lt;&gt;"pvp",Inputs!$B$43&gt;0),IF(MAX(0,Inputs!$B$43-B597)&lt;=0,0,(INT(MAX(0,Inputs!$B$43-B597)/(IF(Inputs!$B$38="pvp",15,MAX(0.1,Skills!D6-IF(Skills!E6=TRUE,Inputs!$B$32,0)))*(1-IF(AND(ArtifactsInput!$M$27,Inputs!$B$4="Chapter Hunt"),CHOOSE(ArtifactsInput!$N$27+1,20,24,28,32,36,40),0)/100)))+1)),0)</f>
        <v/>
      </c>
      <c r="S571">
        <f>IFERROR(O571/N571,0)</f>
        <v/>
      </c>
      <c r="T571">
        <f>IF(C571,(H571*N571*IF(AND(Inputs!$B$38&lt;&gt;"pvp",Inputs!$B$43&gt;0),((Skills!G6*((R571-1)*IF(Skills!H6&gt;0,Skills!I6/Skills!H6,1)+IF(Skills!H6&gt;0,MIN(Skills!I6,MAX(0,MAX(0,Inputs!$B$43-B597)-((R571-1)*(IF(Inputs!$B$38="pvp",15,MAX(0.1,Skills!D6-IF(Skills!E6=TRUE,Inputs!$B$32,0)))*(1-IF(AND(ArtifactsInput!$M$27,Inputs!$B$4="Chapter Hunt"),CHOOSE(ArtifactsInput!$N$27+1,20,24,28,32,36,40),0)/100)))))/Skills!H6,1)))/Inputs!$B$43),G571*Q571)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571*(1-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571*(1-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1">
        <f>IF(C571,(H571*N571*IF(AND(Inputs!$B$38&lt;&gt;"pvp",Inputs!$B$43&gt;0),((Skills!G6*((R571-1)*IF(Skills!H6&gt;0,Skills!I6/Skills!H6,1)+IF(Skills!H6&gt;0,MIN(Skills!I6,MAX(0,MAX(0,Inputs!$B$43-B597)-((R571-1)*(IF(Inputs!$B$38="pvp",15,MAX(0.1,Skills!D6-IF(Skills!E6=TRUE,Inputs!$B$32,0)))*(1-IF(AND(ArtifactsInput!$M$27,Inputs!$B$4="Chapter Hunt"),CHOOSE(ArtifactsInput!$N$27+1,20,24,28,32,36,40),0)/100)))))/Skills!H6,1)))/Inputs!$B$43),G571*Q571))*IF(Inputs!$B$38="pvp",1,(1+(Inputs!$B$21+Skills!Q6+(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2">
      <c r="A572">
        <f>Skills!A7</f>
        <v/>
      </c>
      <c r="B572">
        <f>Skills!B7</f>
        <v/>
      </c>
      <c r="C572">
        <f>Inputs!$B$3&gt;=100</f>
        <v/>
      </c>
      <c r="D572">
        <f>IF(Skills!C7=1,60+Inputs!$B$25+Inputs!$B$29,IF(Skills!C7=2,90+Inputs!$B$26+Inputs!$B$29,IF(Skills!C7=3,120+Inputs!$B$27+Inputs!$B$29,MAX(0,(Inputs!$B$3-100)*3)+Inputs!$B$28+Inputs!$B$29)))</f>
        <v/>
      </c>
      <c r="E572">
        <f>INDEX(FactorTable!$B$2:$Y$301, MATCH(ROUND(MIN(300,MAX(1,D572)),0), FactorTable!$A$2:$A$301,0), Skills!M7+1)</f>
        <v/>
      </c>
      <c r="F572">
        <f>IF(Skills!N7=TRUE,(Skills!L7/10)*(E572/1000),Skills!L7/10)+Skills!O7</f>
        <v/>
      </c>
      <c r="G572">
        <f>Skills!G7*IF(Skills!H7&gt;0,Skills!I7/Skills!H7,1)</f>
        <v/>
      </c>
      <c r="H572">
        <f>1-(1-Skills!J7/100)^Skills!K7</f>
        <v/>
      </c>
      <c r="I572" t="inlineStr">
        <is>
          <t>1</t>
        </is>
      </c>
      <c r="J572">
        <f>((Inputs!$B$6*(1+Inputs!$B$7/100))+(((Inputs!$B$12*(1+Inputs!$B$13/100))-(Inputs!$B$12*(1+Inputs!$B$13/100)))+0.25*(Inputs!$B$14-Inputs!$B$14))*(1+Inputs!$B$7/100))*(F572/100)</f>
        <v/>
      </c>
      <c r="K572">
        <f>J572*(1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572)</f>
        <v/>
      </c>
      <c r="L572">
        <f>K572*(MIN(Inputs!$B$22+((C585=TRUE)*(F585-Calc!F20)),(Inputs!$B$23+0+(IF(ArtifactsInput!$M$15,CHOOSE(ArtifactsInput!$N$15+1,25,30,35,40,45,50)/100*(Inputs!$B$11-Inputs!$B$11),0))))/100+(Inputs!$B$23+0+(IF(ArtifactsInput!$M$15,CHOOSE(ArtifactsInput!$N$15+1,25,30,35,40,45,50)/100*(Inputs!$B$11-Inputs!$B$11),0)))/100)/2</f>
        <v/>
      </c>
      <c r="M572">
        <f>L572*(1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2">
        <f>L572*(1-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572*(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2">
        <f>(1-Summary!$B$11)*T572+Summary!$B$11*V572</f>
        <v/>
      </c>
      <c r="P572">
        <f>IF(B600=0,0,O572/B600)</f>
        <v/>
      </c>
      <c r="Q572">
        <f>IFERROR(1/(IF(Inputs!$B$38="pvp",15,MAX(0.1,Skills!D7-IF(Skills!E7=TRUE,Inputs!$B$32,0)))*(1-IF(AND(ArtifactsInput!$M$27,Inputs!$B$4="Chapter Hunt"),CHOOSE(ArtifactsInput!$N$27+1,20,24,28,32,36,40),0)/100)),0)</f>
        <v/>
      </c>
      <c r="R572">
        <f>IF(AND(Inputs!$B$38&lt;&gt;"pvp",Inputs!$B$43&gt;0),IF(MAX(0,Inputs!$B$43-B597)&lt;=0,0,(INT(MAX(0,Inputs!$B$43-B597)/(IF(Inputs!$B$38="pvp",15,MAX(0.1,Skills!D7-IF(Skills!E7=TRUE,Inputs!$B$32,0)))*(1-IF(AND(ArtifactsInput!$M$27,Inputs!$B$4="Chapter Hunt"),CHOOSE(ArtifactsInput!$N$27+1,20,24,28,32,36,40),0)/100)))+1)),0)</f>
        <v/>
      </c>
      <c r="S572">
        <f>IFERROR(O572/N572,0)</f>
        <v/>
      </c>
      <c r="T572">
        <f>IF(C572,(H572*N572*IF(AND(Inputs!$B$38&lt;&gt;"pvp",Inputs!$B$43&gt;0),((Skills!G7*((R572-1)*IF(Skills!H7&gt;0,Skills!I7/Skills!H7,1)+IF(Skills!H7&gt;0,MIN(Skills!I7,MAX(0,MAX(0,Inputs!$B$43-B597)-((R572-1)*(IF(Inputs!$B$38="pvp",15,MAX(0.1,Skills!D7-IF(Skills!E7=TRUE,Inputs!$B$32,0)))*(1-IF(AND(ArtifactsInput!$M$27,Inputs!$B$4="Chapter Hunt"),CHOOSE(ArtifactsInput!$N$27+1,20,24,28,32,36,40),0)/100)))))/Skills!H7,1)))/Inputs!$B$43),G572*Q572)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572*(1-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572*(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572*(1-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572*(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2">
        <f>IF(C572,(H572*N572*IF(AND(Inputs!$B$38&lt;&gt;"pvp",Inputs!$B$43&gt;0),((Skills!G7*((R572-1)*IF(Skills!H7&gt;0,Skills!I7/Skills!H7,1)+IF(Skills!H7&gt;0,MIN(Skills!I7,MAX(0,MAX(0,Inputs!$B$43-B597)-((R572-1)*(IF(Inputs!$B$38="pvp",15,MAX(0.1,Skills!D7-IF(Skills!E7=TRUE,Inputs!$B$32,0)))*(1-IF(AND(ArtifactsInput!$M$27,Inputs!$B$4="Chapter Hunt"),CHOOSE(ArtifactsInput!$N$27+1,20,24,28,32,36,40),0)/100)))))/Skills!H7,1)))/Inputs!$B$43),G572*Q572))*IF(Inputs!$B$38="pvp",1,(1+(Inputs!$B$21+Skills!Q7+(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3">
      <c r="A573">
        <f>Skills!A8</f>
        <v/>
      </c>
      <c r="B573">
        <f>Skills!B8</f>
        <v/>
      </c>
      <c r="C573">
        <f>Inputs!$B$3&gt;=110</f>
        <v/>
      </c>
      <c r="D573">
        <f>IF(Skills!C8=1,60+Inputs!$B$25+Inputs!$B$29,IF(Skills!C8=2,90+Inputs!$B$26+Inputs!$B$29,IF(Skills!C8=3,120+Inputs!$B$27+Inputs!$B$29,MAX(0,(Inputs!$B$3-100)*3)+Inputs!$B$28+Inputs!$B$29)))</f>
        <v/>
      </c>
      <c r="E573">
        <f>INDEX(FactorTable!$B$2:$Y$301, MATCH(ROUND(MIN(300,MAX(1,D573)),0), FactorTable!$A$2:$A$301,0), Skills!M8+1)</f>
        <v/>
      </c>
      <c r="F573">
        <f>IF(Skills!N8=TRUE,(Skills!L8/10)*(E573/1000),Skills!L8/10)+Skills!O8</f>
        <v/>
      </c>
      <c r="G573">
        <f>Skills!G8*IF(Skills!H8&gt;0,Skills!I8/Skills!H8,1)</f>
        <v/>
      </c>
      <c r="H573">
        <f>1-(1-Skills!J8/100)^Skills!K8</f>
        <v/>
      </c>
      <c r="I573" t="inlineStr">
        <is>
          <t>1</t>
        </is>
      </c>
      <c r="J573">
        <f>((Inputs!$B$6*(1+Inputs!$B$7/100))+(((Inputs!$B$12*(1+Inputs!$B$13/100))-(Inputs!$B$12*(1+Inputs!$B$13/100)))+0.25*(Inputs!$B$14-Inputs!$B$14))*(1+Inputs!$B$7/100))*(F573/100)</f>
        <v/>
      </c>
      <c r="K573">
        <f>J573*(1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573)</f>
        <v/>
      </c>
      <c r="L573">
        <f>K573*(MIN(Inputs!$B$22+((C585=TRUE)*(F585-Calc!F20)),(Inputs!$B$23+0+(IF(ArtifactsInput!$M$15,CHOOSE(ArtifactsInput!$N$15+1,25,30,35,40,45,50)/100*(Inputs!$B$11-Inputs!$B$11),0))))/100+(Inputs!$B$23+0+(IF(ArtifactsInput!$M$15,CHOOSE(ArtifactsInput!$N$15+1,25,30,35,40,45,50)/100*(Inputs!$B$11-Inputs!$B$11),0)))/100)/2</f>
        <v/>
      </c>
      <c r="M573">
        <f>L573*(1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3">
        <f>L573*(1-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573*(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3">
        <f>(1-Summary!$B$11)*T573+Summary!$B$11*V573</f>
        <v/>
      </c>
      <c r="P573">
        <f>IF(B600=0,0,O573/B600)</f>
        <v/>
      </c>
      <c r="Q573">
        <f>IFERROR(1/(IF(Inputs!$B$38="pvp",15,MAX(0.1,Skills!D8-IF(Skills!E8=TRUE,Inputs!$B$32,0)))*(1-IF(AND(ArtifactsInput!$M$27,Inputs!$B$4="Chapter Hunt"),CHOOSE(ArtifactsInput!$N$27+1,20,24,28,32,36,40),0)/100)),0)</f>
        <v/>
      </c>
      <c r="R573">
        <f>IF(AND(Inputs!$B$38&lt;&gt;"pvp",Inputs!$B$43&gt;0),IF(MAX(0,Inputs!$B$43-B597)&lt;=0,0,(INT(MAX(0,Inputs!$B$43-B597)/(IF(Inputs!$B$38="pvp",15,MAX(0.1,Skills!D8-IF(Skills!E8=TRUE,Inputs!$B$32,0)))*(1-IF(AND(ArtifactsInput!$M$27,Inputs!$B$4="Chapter Hunt"),CHOOSE(ArtifactsInput!$N$27+1,20,24,28,32,36,40),0)/100)))+1)),0)</f>
        <v/>
      </c>
      <c r="S573">
        <f>IFERROR(O573/N573,0)</f>
        <v/>
      </c>
      <c r="T573">
        <f>IF(C573,(H573*N573*IF(AND(Inputs!$B$38&lt;&gt;"pvp",Inputs!$B$43&gt;0),((Skills!G8*((R573-1)*IF(Skills!H8&gt;0,Skills!I8/Skills!H8,1)+IF(Skills!H8&gt;0,MIN(Skills!I8,MAX(0,MAX(0,Inputs!$B$43-B597)-((R573-1)*(IF(Inputs!$B$38="pvp",15,MAX(0.1,Skills!D8-IF(Skills!E8=TRUE,Inputs!$B$32,0)))*(1-IF(AND(ArtifactsInput!$M$27,Inputs!$B$4="Chapter Hunt"),CHOOSE(ArtifactsInput!$N$27+1,20,24,28,32,36,40),0)/100)))))/Skills!H8,1)))/Inputs!$B$43),G573*Q573)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573*(1-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573*(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573*(1-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573*(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3">
        <f>IF(C573,(H573*N573*IF(AND(Inputs!$B$38&lt;&gt;"pvp",Inputs!$B$43&gt;0),((Skills!G8*((R573-1)*IF(Skills!H8&gt;0,Skills!I8/Skills!H8,1)+IF(Skills!H8&gt;0,MIN(Skills!I8,MAX(0,MAX(0,Inputs!$B$43-B597)-((R573-1)*(IF(Inputs!$B$38="pvp",15,MAX(0.1,Skills!D8-IF(Skills!E8=TRUE,Inputs!$B$32,0)))*(1-IF(AND(ArtifactsInput!$M$27,Inputs!$B$4="Chapter Hunt"),CHOOSE(ArtifactsInput!$N$27+1,20,24,28,32,36,40),0)/100)))))/Skills!H8,1)))/Inputs!$B$43),G573*Q573))*IF(Inputs!$B$38="pvp",1,(1+(Inputs!$B$21+Skills!Q8+(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4">
      <c r="A574">
        <f>Skills!A9</f>
        <v/>
      </c>
      <c r="B574">
        <f>Skills!B9</f>
        <v/>
      </c>
      <c r="C574">
        <f>Inputs!$B$3&gt;=110</f>
        <v/>
      </c>
      <c r="D574">
        <f>IF(Skills!C9=1,60+Inputs!$B$25+Inputs!$B$29,IF(Skills!C9=2,90+Inputs!$B$26+Inputs!$B$29,IF(Skills!C9=3,120+Inputs!$B$27+Inputs!$B$29,MAX(0,(Inputs!$B$3-100)*3)+Inputs!$B$28+Inputs!$B$29)))</f>
        <v/>
      </c>
      <c r="E574">
        <f>INDEX(FactorTable!$B$2:$Y$301, MATCH(ROUND(MIN(300,MAX(1,D574)),0), FactorTable!$A$2:$A$301,0), Skills!M9+1)</f>
        <v/>
      </c>
      <c r="F574">
        <f>IF(Skills!N9=TRUE,(Skills!L9/10)*(E574/1000),Skills!L9/10)+Skills!O9</f>
        <v/>
      </c>
      <c r="G574">
        <f>Skills!G9*IF(Skills!H9&gt;0,Skills!I9/Skills!H9,1)</f>
        <v/>
      </c>
      <c r="H574">
        <f>1-(1-Skills!J9/100)^Skills!K9</f>
        <v/>
      </c>
      <c r="I574" t="inlineStr">
        <is>
          <t>1</t>
        </is>
      </c>
      <c r="J574">
        <f>((Inputs!$B$6*(1+Inputs!$B$7/100))+(((Inputs!$B$12*(1+Inputs!$B$13/100))-(Inputs!$B$12*(1+Inputs!$B$13/100)))+0.25*(Inputs!$B$14-Inputs!$B$14))*(1+Inputs!$B$7/100))*(F574/100)</f>
        <v/>
      </c>
      <c r="K574">
        <f>J574*(1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574)</f>
        <v/>
      </c>
      <c r="L574">
        <f>K574*(MIN(Inputs!$B$22+((C585=TRUE)*(F585-Calc!F20)),(Inputs!$B$23+0+(IF(ArtifactsInput!$M$15,CHOOSE(ArtifactsInput!$N$15+1,25,30,35,40,45,50)/100*(Inputs!$B$11-Inputs!$B$11),0))))/100+(Inputs!$B$23+0+(IF(ArtifactsInput!$M$15,CHOOSE(ArtifactsInput!$N$15+1,25,30,35,40,45,50)/100*(Inputs!$B$11-Inputs!$B$11),0)))/100)/2</f>
        <v/>
      </c>
      <c r="M574">
        <f>L574*(1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4">
        <f>L574*(1-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574*(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4">
        <f>(1-Summary!$B$11)*T574+Summary!$B$11*V574</f>
        <v/>
      </c>
      <c r="P574">
        <f>IF(B600=0,0,O574/B600)</f>
        <v/>
      </c>
      <c r="Q574">
        <f>IFERROR(1/(IF(Inputs!$B$38="pvp",15,MAX(0.1,Skills!D9-IF(Skills!E9=TRUE,Inputs!$B$32,0)))*(1-IF(AND(ArtifactsInput!$M$27,Inputs!$B$4="Chapter Hunt"),CHOOSE(ArtifactsInput!$N$27+1,20,24,28,32,36,40),0)/100)),0)</f>
        <v/>
      </c>
      <c r="R574">
        <f>IF(AND(Inputs!$B$38&lt;&gt;"pvp",Inputs!$B$43&gt;0),IF(MAX(0,Inputs!$B$43-B597)&lt;=0,0,(INT(MAX(0,Inputs!$B$43-B597)/(IF(Inputs!$B$38="pvp",15,MAX(0.1,Skills!D9-IF(Skills!E9=TRUE,Inputs!$B$32,0)))*(1-IF(AND(ArtifactsInput!$M$27,Inputs!$B$4="Chapter Hunt"),CHOOSE(ArtifactsInput!$N$27+1,20,24,28,32,36,40),0)/100)))+1)),0)</f>
        <v/>
      </c>
      <c r="S574">
        <f>IFERROR(O574/N574,0)</f>
        <v/>
      </c>
      <c r="T574">
        <f>IF(C574,(H574*N574*IF(AND(Inputs!$B$38&lt;&gt;"pvp",Inputs!$B$43&gt;0),((Skills!G9*((R574-1)*IF(Skills!H9&gt;0,Skills!I9/Skills!H9,1)+IF(Skills!H9&gt;0,MIN(Skills!I9,MAX(0,MAX(0,Inputs!$B$43-B597)-((R574-1)*(IF(Inputs!$B$38="pvp",15,MAX(0.1,Skills!D9-IF(Skills!E9=TRUE,Inputs!$B$32,0)))*(1-IF(AND(ArtifactsInput!$M$27,Inputs!$B$4="Chapter Hunt"),CHOOSE(ArtifactsInput!$N$27+1,20,24,28,32,36,40),0)/100)))))/Skills!H9,1)))/Inputs!$B$43),G574*Q574)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574*(1-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574*(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574*(1-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574*(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4">
        <f>IF(C574,(H574*N574*IF(AND(Inputs!$B$38&lt;&gt;"pvp",Inputs!$B$43&gt;0),((Skills!G9*((R574-1)*IF(Skills!H9&gt;0,Skills!I9/Skills!H9,1)+IF(Skills!H9&gt;0,MIN(Skills!I9,MAX(0,MAX(0,Inputs!$B$43-B597)-((R574-1)*(IF(Inputs!$B$38="pvp",15,MAX(0.1,Skills!D9-IF(Skills!E9=TRUE,Inputs!$B$32,0)))*(1-IF(AND(ArtifactsInput!$M$27,Inputs!$B$4="Chapter Hunt"),CHOOSE(ArtifactsInput!$N$27+1,20,24,28,32,36,40),0)/100)))))/Skills!H9,1)))/Inputs!$B$43),G574*Q574))*IF(Inputs!$B$38="pvp",1,(1+(Inputs!$B$21+Skills!Q9+(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5">
      <c r="A575">
        <f>Skills!A10</f>
        <v/>
      </c>
      <c r="B575">
        <f>Skills!B10</f>
        <v/>
      </c>
      <c r="C575">
        <f>Inputs!$B$3&gt;=103</f>
        <v/>
      </c>
      <c r="D575">
        <f>IF(Skills!C10=1,60+Inputs!$B$25+Inputs!$B$29,IF(Skills!C10=2,90+Inputs!$B$26+Inputs!$B$29,IF(Skills!C10=3,120+Inputs!$B$27+Inputs!$B$29,MAX(0,(Inputs!$B$3-100)*3)+Inputs!$B$28+Inputs!$B$29)))</f>
        <v/>
      </c>
      <c r="E575">
        <f>INDEX(FactorTable!$B$2:$Y$301, MATCH(ROUND(MIN(300,MAX(1,D575)),0), FactorTable!$A$2:$A$301,0), Skills!M10+1)</f>
        <v/>
      </c>
      <c r="F575">
        <f>IF(Skills!N10=TRUE,(Skills!L10/10)*(E575/1000),Skills!L10/10)+Skills!O10</f>
        <v/>
      </c>
      <c r="G575">
        <f>Skills!G10*IF(Skills!H10&gt;0,Skills!I10/Skills!H10,1)</f>
        <v/>
      </c>
      <c r="H575">
        <f>1-(1-Skills!J10/100)^Skills!K10</f>
        <v/>
      </c>
      <c r="I575" t="inlineStr">
        <is>
          <t>1</t>
        </is>
      </c>
      <c r="J575">
        <f>((Inputs!$B$6*(1+Inputs!$B$7/100))+(((Inputs!$B$12*(1+Inputs!$B$13/100))-(Inputs!$B$12*(1+Inputs!$B$13/100)))+0.25*(Inputs!$B$14-Inputs!$B$14))*(1+Inputs!$B$7/100))*(F575/100)</f>
        <v/>
      </c>
      <c r="K575">
        <f>J575*(1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575)</f>
        <v/>
      </c>
      <c r="L575">
        <f>K575*(MIN(Inputs!$B$22+((C585=TRUE)*(F585-Calc!F20)),(Inputs!$B$23+0+(IF(ArtifactsInput!$M$15,CHOOSE(ArtifactsInput!$N$15+1,25,30,35,40,45,50)/100*(Inputs!$B$11-Inputs!$B$11),0))))/100+(Inputs!$B$23+0+(IF(ArtifactsInput!$M$15,CHOOSE(ArtifactsInput!$N$15+1,25,30,35,40,45,50)/100*(Inputs!$B$11-Inputs!$B$11),0)))/100)/2</f>
        <v/>
      </c>
      <c r="M575">
        <f>L575*(1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5">
        <f>L575*(1-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575*(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5">
        <f>(1-Summary!$B$11)*T575+Summary!$B$11*V575</f>
        <v/>
      </c>
      <c r="P575">
        <f>IF(B600=0,0,O575/B600)</f>
        <v/>
      </c>
      <c r="Q575">
        <f>IFERROR(1/(IF(Inputs!$B$38="pvp",15,MAX(0.1,Skills!D10-IF(Skills!E10=TRUE,Inputs!$B$32,0)))*(1-IF(AND(ArtifactsInput!$M$27,Inputs!$B$4="Chapter Hunt"),CHOOSE(ArtifactsInput!$N$27+1,20,24,28,32,36,40),0)/100)),0)</f>
        <v/>
      </c>
      <c r="R575">
        <f>IF(AND(Inputs!$B$38&lt;&gt;"pvp",Inputs!$B$43&gt;0),IF(MAX(0,Inputs!$B$43-B597)&lt;=0,0,(INT(MAX(0,Inputs!$B$43-B597)/(IF(Inputs!$B$38="pvp",15,MAX(0.1,Skills!D10-IF(Skills!E10=TRUE,Inputs!$B$32,0)))*(1-IF(AND(ArtifactsInput!$M$27,Inputs!$B$4="Chapter Hunt"),CHOOSE(ArtifactsInput!$N$27+1,20,24,28,32,36,40),0)/100)))+1)),0)</f>
        <v/>
      </c>
      <c r="S575">
        <f>IFERROR(O575/N575,0)</f>
        <v/>
      </c>
      <c r="T575">
        <f>IF(C575,(H575*N575*IF(AND(Inputs!$B$38&lt;&gt;"pvp",Inputs!$B$43&gt;0),((Skills!G10*((R575-1)*IF(Skills!H10&gt;0,Skills!I10/Skills!H10,1)+IF(Skills!H10&gt;0,MIN(Skills!I10,MAX(0,MAX(0,Inputs!$B$43-B597)-((R575-1)*(IF(Inputs!$B$38="pvp",15,MAX(0.1,Skills!D10-IF(Skills!E10=TRUE,Inputs!$B$32,0)))*(1-IF(AND(ArtifactsInput!$M$27,Inputs!$B$4="Chapter Hunt"),CHOOSE(ArtifactsInput!$N$27+1,20,24,28,32,36,40),0)/100)))))/Skills!H10,1)))/Inputs!$B$43),G575*Q575)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575*(1-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575*(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575*(1-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575*(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5">
        <f>IF(C575,(H575*N575*IF(AND(Inputs!$B$38&lt;&gt;"pvp",Inputs!$B$43&gt;0),((Skills!G10*((R575-1)*IF(Skills!H10&gt;0,Skills!I10/Skills!H10,1)+IF(Skills!H10&gt;0,MIN(Skills!I10,MAX(0,MAX(0,Inputs!$B$43-B597)-((R575-1)*(IF(Inputs!$B$38="pvp",15,MAX(0.1,Skills!D10-IF(Skills!E10=TRUE,Inputs!$B$32,0)))*(1-IF(AND(ArtifactsInput!$M$27,Inputs!$B$4="Chapter Hunt"),CHOOSE(ArtifactsInput!$N$27+1,20,24,28,32,36,40),0)/100)))))/Skills!H10,1)))/Inputs!$B$43),G575*Q575))*IF(Inputs!$B$38="pvp",1,(1+(Inputs!$B$21+Skills!Q10+(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6">
      <c r="A576">
        <f>Skills!A11</f>
        <v/>
      </c>
      <c r="B576">
        <f>Skills!B11</f>
        <v/>
      </c>
      <c r="C576">
        <f>Inputs!$B$3&gt;=113</f>
        <v/>
      </c>
      <c r="D576">
        <f>IF(Skills!C11=1,60+Inputs!$B$25+Inputs!$B$29,IF(Skills!C11=2,90+Inputs!$B$26+Inputs!$B$29,IF(Skills!C11=3,120+Inputs!$B$27+Inputs!$B$29,MAX(0,(Inputs!$B$3-100)*3)+Inputs!$B$28+Inputs!$B$29)))</f>
        <v/>
      </c>
      <c r="E576">
        <f>INDEX(FactorTable!$B$2:$Y$301, MATCH(ROUND(MIN(300,MAX(1,D576)),0), FactorTable!$A$2:$A$301,0), Skills!M11+1)</f>
        <v/>
      </c>
      <c r="F576">
        <f>IF(Skills!N11=TRUE,(Skills!L11/10)*(E576/1000),Skills!L11/10)+Skills!O11</f>
        <v/>
      </c>
      <c r="G576">
        <f>Skills!G11*IF(Skills!H11&gt;0,Skills!I11/Skills!H11,1)</f>
        <v/>
      </c>
      <c r="H576">
        <f>1-(1-Skills!J11/100)^Skills!K11</f>
        <v/>
      </c>
      <c r="I576" t="inlineStr">
        <is>
          <t>1</t>
        </is>
      </c>
      <c r="J576">
        <f>((Inputs!$B$6*(1+Inputs!$B$7/100))+(((Inputs!$B$12*(1+Inputs!$B$13/100))-(Inputs!$B$12*(1+Inputs!$B$13/100)))+0.25*(Inputs!$B$14-Inputs!$B$14))*(1+Inputs!$B$7/100))*(F576/100)</f>
        <v/>
      </c>
      <c r="K576">
        <f>J576*(1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576)</f>
        <v/>
      </c>
      <c r="L576">
        <f>K576*(MIN(Inputs!$B$22+((C585=TRUE)*(F585-Calc!F20)),(Inputs!$B$23+0+(IF(ArtifactsInput!$M$15,CHOOSE(ArtifactsInput!$N$15+1,25,30,35,40,45,50)/100*(Inputs!$B$11-Inputs!$B$11),0))))/100+(Inputs!$B$23+0+(IF(ArtifactsInput!$M$15,CHOOSE(ArtifactsInput!$N$15+1,25,30,35,40,45,50)/100*(Inputs!$B$11-Inputs!$B$11),0)))/100)/2</f>
        <v/>
      </c>
      <c r="M576">
        <f>L576*(1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6">
        <f>L576*(1-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576*(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6">
        <f>(1-Summary!$B$11)*T576+Summary!$B$11*V576</f>
        <v/>
      </c>
      <c r="P576">
        <f>IF(B600=0,0,O576/B600)</f>
        <v/>
      </c>
      <c r="Q576">
        <f>IFERROR(1/(IF(Inputs!$B$38="pvp",15,MAX(0.1,Skills!D11-IF(Skills!E11=TRUE,Inputs!$B$32,0)))*(1-IF(AND(ArtifactsInput!$M$27,Inputs!$B$4="Chapter Hunt"),CHOOSE(ArtifactsInput!$N$27+1,20,24,28,32,36,40),0)/100)),0)</f>
        <v/>
      </c>
      <c r="R576">
        <f>IF(AND(Inputs!$B$38&lt;&gt;"pvp",Inputs!$B$43&gt;0),IF(MAX(0,Inputs!$B$43-B597)&lt;=0,0,(INT(MAX(0,Inputs!$B$43-B597)/(IF(Inputs!$B$38="pvp",15,MAX(0.1,Skills!D11-IF(Skills!E11=TRUE,Inputs!$B$32,0)))*(1-IF(AND(ArtifactsInput!$M$27,Inputs!$B$4="Chapter Hunt"),CHOOSE(ArtifactsInput!$N$27+1,20,24,28,32,36,40),0)/100)))+1)),0)</f>
        <v/>
      </c>
      <c r="S576">
        <f>IFERROR(O576/N576,0)</f>
        <v/>
      </c>
      <c r="T576">
        <f>IF(C576,(H576*N576*IF(AND(Inputs!$B$38&lt;&gt;"pvp",Inputs!$B$43&gt;0),((Skills!G11*((R576-1)*IF(Skills!H11&gt;0,Skills!I11/Skills!H11,1)+IF(Skills!H11&gt;0,MIN(Skills!I11,MAX(0,MAX(0,Inputs!$B$43-B597)-((R576-1)*(IF(Inputs!$B$38="pvp",15,MAX(0.1,Skills!D11-IF(Skills!E11=TRUE,Inputs!$B$32,0)))*(1-IF(AND(ArtifactsInput!$M$27,Inputs!$B$4="Chapter Hunt"),CHOOSE(ArtifactsInput!$N$27+1,20,24,28,32,36,40),0)/100)))))/Skills!H11,1)))/Inputs!$B$43),G576*Q576)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576*(1-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576*(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576*(1-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576*(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6">
        <f>IF(C576,(H576*N576*IF(AND(Inputs!$B$38&lt;&gt;"pvp",Inputs!$B$43&gt;0),((Skills!G11*((R576-1)*IF(Skills!H11&gt;0,Skills!I11/Skills!H11,1)+IF(Skills!H11&gt;0,MIN(Skills!I11,MAX(0,MAX(0,Inputs!$B$43-B597)-((R576-1)*(IF(Inputs!$B$38="pvp",15,MAX(0.1,Skills!D11-IF(Skills!E11=TRUE,Inputs!$B$32,0)))*(1-IF(AND(ArtifactsInput!$M$27,Inputs!$B$4="Chapter Hunt"),CHOOSE(ArtifactsInput!$N$27+1,20,24,28,32,36,40),0)/100)))))/Skills!H11,1)))/Inputs!$B$43),G576*Q576))*IF(Inputs!$B$38="pvp",1,(1+(Inputs!$B$21+Skills!Q11+(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7">
      <c r="A577">
        <f>Skills!A12</f>
        <v/>
      </c>
      <c r="B577">
        <f>Skills!B12</f>
        <v/>
      </c>
      <c r="C577">
        <f>Inputs!$B$3&gt;=100</f>
        <v/>
      </c>
      <c r="D577">
        <f>IF(Skills!C12=1,60+Inputs!$B$25+Inputs!$B$29,IF(Skills!C12=2,90+Inputs!$B$26+Inputs!$B$29,IF(Skills!C12=3,120+Inputs!$B$27+Inputs!$B$29,MAX(0,(Inputs!$B$3-100)*3)+Inputs!$B$28+Inputs!$B$29)))</f>
        <v/>
      </c>
      <c r="E577">
        <f>INDEX(FactorTable!$B$2:$Y$301, MATCH(ROUND(MIN(300,MAX(1,D577)),0), FactorTable!$A$2:$A$301,0), Skills!M12+1)</f>
        <v/>
      </c>
      <c r="F577">
        <f>IF(Skills!N12=TRUE,(Skills!L12/10)*(E577/1000),Skills!L12/10)+Skills!O12</f>
        <v/>
      </c>
      <c r="G577" t="inlineStr"/>
      <c r="H577" t="inlineStr"/>
      <c r="I577" t="inlineStr">
        <is>
          <t>1</t>
        </is>
      </c>
      <c r="J577" t="inlineStr"/>
      <c r="K577" t="inlineStr"/>
      <c r="L577" t="inlineStr"/>
      <c r="M577" t="inlineStr"/>
      <c r="N577" t="inlineStr"/>
      <c r="O577" t="inlineStr"/>
      <c r="P577" t="inlineStr"/>
      <c r="Q577" t="inlineStr"/>
      <c r="R577" t="inlineStr"/>
      <c r="S577" t="inlineStr"/>
      <c r="T577" t="inlineStr"/>
      <c r="V577" t="inlineStr"/>
    </row>
    <row r="578">
      <c r="A578">
        <f>Skills!A13</f>
        <v/>
      </c>
      <c r="B578">
        <f>Skills!B13</f>
        <v/>
      </c>
      <c r="C578">
        <f>Inputs!$B$3&gt;=66</f>
        <v/>
      </c>
      <c r="D578">
        <f>IF(Skills!C13=1,60+Inputs!$B$25+Inputs!$B$29,IF(Skills!C13=2,90+Inputs!$B$26+Inputs!$B$29,IF(Skills!C13=3,120+Inputs!$B$27+Inputs!$B$29,MAX(0,(Inputs!$B$3-100)*3)+Inputs!$B$28+Inputs!$B$29)))</f>
        <v/>
      </c>
      <c r="E578">
        <f>INDEX(FactorTable!$B$2:$Y$301, MATCH(ROUND(MIN(300,MAX(1,D578)),0), FactorTable!$A$2:$A$301,0), Skills!M13+1)</f>
        <v/>
      </c>
      <c r="F578">
        <f>IF(Skills!N13=TRUE,(Skills!L13/10)*(E578/1000),Skills!L13/10)+Skills!O13</f>
        <v/>
      </c>
      <c r="G578">
        <f>Skills!G13*IF(Skills!H13&gt;0,Skills!I13/Skills!H13,1)</f>
        <v/>
      </c>
      <c r="H578">
        <f>1-(1-Skills!J13/100)^Skills!K13</f>
        <v/>
      </c>
      <c r="I578" t="inlineStr">
        <is>
          <t>1</t>
        </is>
      </c>
      <c r="J578" t="inlineStr"/>
      <c r="K578" t="inlineStr"/>
      <c r="L578" t="inlineStr"/>
      <c r="M578" t="inlineStr"/>
      <c r="N578" t="inlineStr"/>
      <c r="O578">
        <f>(1-Summary!$B$11)*T578+Summary!$B$11*V578</f>
        <v/>
      </c>
      <c r="P578">
        <f>IF(B600=0,0,O578/B600)</f>
        <v/>
      </c>
      <c r="Q578" t="n">
        <v>0</v>
      </c>
      <c r="R578" t="n">
        <v>0</v>
      </c>
      <c r="S578">
        <f>IFERROR(O578/N578,0)</f>
        <v/>
      </c>
      <c r="T578" t="n">
        <v>0</v>
      </c>
      <c r="V578" t="n">
        <v>0</v>
      </c>
    </row>
    <row r="579">
      <c r="A579">
        <f>Skills!A14</f>
        <v/>
      </c>
      <c r="B579">
        <f>Skills!B14</f>
        <v/>
      </c>
      <c r="C579">
        <f>Inputs!$B$3&gt;=107</f>
        <v/>
      </c>
      <c r="D579">
        <f>IF(Skills!C14=1,60+Inputs!$B$25+Inputs!$B$29,IF(Skills!C14=2,90+Inputs!$B$26+Inputs!$B$29,IF(Skills!C14=3,120+Inputs!$B$27+Inputs!$B$29,MAX(0,(Inputs!$B$3-100)*3)+Inputs!$B$28+Inputs!$B$29)))</f>
        <v/>
      </c>
      <c r="E579">
        <f>INDEX(FactorTable!$B$2:$Y$301, MATCH(ROUND(MIN(300,MAX(1,D579)),0), FactorTable!$A$2:$A$301,0), Skills!M14+1)</f>
        <v/>
      </c>
      <c r="F579">
        <f>IF(Skills!N14=TRUE,(Skills!L14/10)*(E579/1000),Skills!L14/10)+Skills!O14</f>
        <v/>
      </c>
      <c r="G579">
        <f>Skills!G14*IF(Skills!H14&gt;0,Skills!I14/Skills!H14,1)</f>
        <v/>
      </c>
      <c r="H579">
        <f>1-(1-Skills!J14/100)^Skills!K14</f>
        <v/>
      </c>
      <c r="I579" t="inlineStr">
        <is>
          <t>1</t>
        </is>
      </c>
      <c r="J579" t="inlineStr"/>
      <c r="K579" t="inlineStr"/>
      <c r="L579" t="inlineStr"/>
      <c r="M579" t="inlineStr"/>
      <c r="N579" t="inlineStr"/>
      <c r="O579">
        <f>(1-Summary!$B$11)*T579+Summary!$B$11*V579</f>
        <v/>
      </c>
      <c r="P579">
        <f>IF(B600=0,0,O579/B600)</f>
        <v/>
      </c>
      <c r="Q579" t="n">
        <v>0</v>
      </c>
      <c r="R579" t="n">
        <v>0</v>
      </c>
      <c r="S579">
        <f>IFERROR(O579/N579,0)</f>
        <v/>
      </c>
      <c r="T579" t="n">
        <v>0</v>
      </c>
      <c r="V579" t="n">
        <v>0</v>
      </c>
    </row>
    <row r="580">
      <c r="A580">
        <f>Skills!A15</f>
        <v/>
      </c>
      <c r="B580">
        <f>Skills!B15</f>
        <v/>
      </c>
      <c r="C580">
        <f>Inputs!$B$3&gt;=115</f>
        <v/>
      </c>
      <c r="D580">
        <f>IF(Skills!C15=1,60+Inputs!$B$25+Inputs!$B$29,IF(Skills!C15=2,90+Inputs!$B$26+Inputs!$B$29,IF(Skills!C15=3,120+Inputs!$B$27+Inputs!$B$29,MAX(0,(Inputs!$B$3-100)*3)+Inputs!$B$28+Inputs!$B$29)))</f>
        <v/>
      </c>
      <c r="E580">
        <f>INDEX(FactorTable!$B$2:$Y$301, MATCH(ROUND(MIN(300,MAX(1,D580)),0), FactorTable!$A$2:$A$301,0), Skills!M15+1)</f>
        <v/>
      </c>
      <c r="F580">
        <f>IF(Skills!N15=TRUE,(Skills!L15/10)*(E580/1000),Skills!L15/10)+Skills!O15</f>
        <v/>
      </c>
      <c r="G580">
        <f>Skills!G15*IF(Skills!H15&gt;0,Skills!I15/Skills!H15,1)</f>
        <v/>
      </c>
      <c r="H580">
        <f>1-(1-Skills!J15/100)^Skills!K15</f>
        <v/>
      </c>
      <c r="I580" t="inlineStr">
        <is>
          <t>1</t>
        </is>
      </c>
      <c r="J580" t="inlineStr"/>
      <c r="K580" t="inlineStr"/>
      <c r="L580" t="inlineStr"/>
      <c r="M580" t="inlineStr"/>
      <c r="N580" t="inlineStr"/>
      <c r="O580">
        <f>(1-Summary!$B$11)*T580+Summary!$B$11*V580</f>
        <v/>
      </c>
      <c r="P580">
        <f>IF(B600=0,0,O580/B600)</f>
        <v/>
      </c>
      <c r="Q580" t="n">
        <v>0</v>
      </c>
      <c r="R580" t="n">
        <v>0</v>
      </c>
      <c r="S580">
        <f>IFERROR(O580/N580,0)</f>
        <v/>
      </c>
      <c r="T580" t="n">
        <v>0</v>
      </c>
      <c r="V580" t="n">
        <v>0</v>
      </c>
    </row>
    <row r="581">
      <c r="A581">
        <f>Skills!A16</f>
        <v/>
      </c>
      <c r="B581">
        <f>Skills!B16</f>
        <v/>
      </c>
      <c r="C581">
        <f>Inputs!$B$3&gt;=15</f>
        <v/>
      </c>
      <c r="D581">
        <f>IF(Skills!C16=1,60+Inputs!$B$25+Inputs!$B$29,IF(Skills!C16=2,90+Inputs!$B$26+Inputs!$B$29,IF(Skills!C16=3,120+Inputs!$B$27+Inputs!$B$29,MAX(0,(Inputs!$B$3-100)*3)+Inputs!$B$28+Inputs!$B$29)))</f>
        <v/>
      </c>
      <c r="E581">
        <f>INDEX(FactorTable!$B$2:$Y$301, MATCH(ROUND(MIN(300,MAX(1,D581)),0), FactorTable!$A$2:$A$301,0), Skills!M16+1)</f>
        <v/>
      </c>
      <c r="F581">
        <f>IF(Skills!N16=TRUE,(Skills!L16/10)*(E581/1000),Skills!L16/10)+Skills!O16</f>
        <v/>
      </c>
      <c r="G581">
        <f>Skills!G16*IF(Skills!H16&gt;0,Skills!I16/Skills!H16,1)</f>
        <v/>
      </c>
      <c r="H581">
        <f>1-(1-Skills!J16/100)^Skills!K16</f>
        <v/>
      </c>
      <c r="I581" t="inlineStr">
        <is>
          <t>1</t>
        </is>
      </c>
      <c r="J581" t="inlineStr"/>
      <c r="K581" t="inlineStr"/>
      <c r="L581" t="inlineStr"/>
      <c r="M581" t="inlineStr"/>
      <c r="N581" t="inlineStr"/>
      <c r="O581">
        <f>(1-Summary!$B$11)*T581+Summary!$B$11*V581</f>
        <v/>
      </c>
      <c r="P581">
        <f>IF(B600=0,0,O581/B600)</f>
        <v/>
      </c>
      <c r="Q581" t="n">
        <v>0</v>
      </c>
      <c r="R581" t="n">
        <v>0</v>
      </c>
      <c r="S581">
        <f>IFERROR(O581/N581,0)</f>
        <v/>
      </c>
      <c r="T581" t="n">
        <v>0</v>
      </c>
      <c r="V581" t="n">
        <v>0</v>
      </c>
    </row>
    <row r="582">
      <c r="A582">
        <f>Skills!A17</f>
        <v/>
      </c>
      <c r="B582">
        <f>Skills!B17</f>
        <v/>
      </c>
      <c r="C582">
        <f>Inputs!$B$3&gt;=10</f>
        <v/>
      </c>
      <c r="D582">
        <f>IF(Skills!C17=1,60+Inputs!$B$25+Inputs!$B$29,IF(Skills!C17=2,90+Inputs!$B$26+Inputs!$B$29,IF(Skills!C17=3,120+Inputs!$B$27+Inputs!$B$29,MAX(0,(Inputs!$B$3-100)*3)+Inputs!$B$28+Inputs!$B$29)))</f>
        <v/>
      </c>
      <c r="E582">
        <f>INDEX(FactorTable!$B$2:$Y$301, MATCH(ROUND(MIN(300,MAX(1,D582)),0), FactorTable!$A$2:$A$301,0), Skills!M17+1)</f>
        <v/>
      </c>
      <c r="F582">
        <f>IF(Skills!N17=TRUE,(Skills!L17/10)*(E582/1000),Skills!L17/10)+Skills!O17</f>
        <v/>
      </c>
      <c r="G582">
        <f>Skills!G17*IF(Skills!H17&gt;0,Skills!I17/Skills!H17,1)</f>
        <v/>
      </c>
      <c r="H582">
        <f>1-(1-Skills!J17/100)^Skills!K17</f>
        <v/>
      </c>
      <c r="I582" t="inlineStr">
        <is>
          <t>1</t>
        </is>
      </c>
      <c r="J582" t="inlineStr"/>
      <c r="K582" t="inlineStr"/>
      <c r="L582" t="inlineStr"/>
      <c r="M582" t="inlineStr"/>
      <c r="N582" t="inlineStr"/>
      <c r="O582">
        <f>(1-Summary!$B$11)*T582+Summary!$B$11*V582</f>
        <v/>
      </c>
      <c r="P582">
        <f>IF(B600=0,0,O582/B600)</f>
        <v/>
      </c>
      <c r="Q582" t="n">
        <v>0</v>
      </c>
      <c r="R582" t="n">
        <v>0</v>
      </c>
      <c r="S582">
        <f>IFERROR(O582/N582,0)</f>
        <v/>
      </c>
      <c r="T582" t="n">
        <v>0</v>
      </c>
      <c r="V582" t="n">
        <v>0</v>
      </c>
    </row>
    <row r="583">
      <c r="A583">
        <f>Skills!A18</f>
        <v/>
      </c>
      <c r="B583">
        <f>Skills!B18</f>
        <v/>
      </c>
      <c r="C583">
        <f>Inputs!$B$3&gt;=33</f>
        <v/>
      </c>
      <c r="D583">
        <f>IF(Skills!C18=1,60+Inputs!$B$25+Inputs!$B$29,IF(Skills!C18=2,90+Inputs!$B$26+Inputs!$B$29,IF(Skills!C18=3,120+Inputs!$B$27+Inputs!$B$29,MAX(0,(Inputs!$B$3-100)*3)+Inputs!$B$28+Inputs!$B$29)))</f>
        <v/>
      </c>
      <c r="E583">
        <f>INDEX(FactorTable!$B$2:$Y$301, MATCH(ROUND(MIN(300,MAX(1,D583)),0), FactorTable!$A$2:$A$301,0), Skills!M18+1)</f>
        <v/>
      </c>
      <c r="F583">
        <f>IF(Skills!N18=TRUE,(Skills!L18/10)*(E583/1000),Skills!L18/10)+Skills!O18</f>
        <v/>
      </c>
      <c r="G583">
        <f>Skills!G18*IF(Skills!H18&gt;0,Skills!I18/Skills!H18,1)</f>
        <v/>
      </c>
      <c r="H583">
        <f>1-(1-Skills!J18/100)^Skills!K18</f>
        <v/>
      </c>
      <c r="I583" t="inlineStr">
        <is>
          <t>1</t>
        </is>
      </c>
      <c r="J583" t="inlineStr"/>
      <c r="K583" t="inlineStr"/>
      <c r="L583" t="inlineStr"/>
      <c r="M583" t="inlineStr"/>
      <c r="N583" t="inlineStr"/>
      <c r="O583">
        <f>(1-Summary!$B$11)*T583+Summary!$B$11*V583</f>
        <v/>
      </c>
      <c r="P583">
        <f>IF(B600=0,0,O583/B600)</f>
        <v/>
      </c>
      <c r="Q583" t="n">
        <v>0</v>
      </c>
      <c r="R583" t="n">
        <v>0</v>
      </c>
      <c r="S583">
        <f>IFERROR(O583/N583,0)</f>
        <v/>
      </c>
      <c r="T583" t="n">
        <v>0</v>
      </c>
      <c r="V583" t="n">
        <v>0</v>
      </c>
    </row>
    <row r="584">
      <c r="A584">
        <f>Skills!A19</f>
        <v/>
      </c>
      <c r="B584">
        <f>Skills!B19</f>
        <v/>
      </c>
      <c r="C584">
        <f>Inputs!$B$3&gt;=40</f>
        <v/>
      </c>
      <c r="D584">
        <f>IF(Skills!C19=1,60+Inputs!$B$25+Inputs!$B$29,IF(Skills!C19=2,90+Inputs!$B$26+Inputs!$B$29,IF(Skills!C19=3,120+Inputs!$B$27+Inputs!$B$29,MAX(0,(Inputs!$B$3-100)*3)+Inputs!$B$28+Inputs!$B$29)))</f>
        <v/>
      </c>
      <c r="E584">
        <f>INDEX(FactorTable!$B$2:$Y$301, MATCH(ROUND(MIN(300,MAX(1,D584)),0), FactorTable!$A$2:$A$301,0), Skills!M19+1)</f>
        <v/>
      </c>
      <c r="F584">
        <f>IF(Skills!N19=TRUE,(Skills!L19/10)*(E584/1000),Skills!L19/10)+Skills!O19</f>
        <v/>
      </c>
      <c r="G584">
        <f>Skills!G19*IF(Skills!H19&gt;0,Skills!I19/Skills!H19,1)</f>
        <v/>
      </c>
      <c r="H584">
        <f>1-(1-Skills!J19/100)^Skills!K19</f>
        <v/>
      </c>
      <c r="I584" t="inlineStr">
        <is>
          <t>1</t>
        </is>
      </c>
      <c r="J584" t="inlineStr"/>
      <c r="K584" t="inlineStr"/>
      <c r="L584" t="inlineStr"/>
      <c r="M584" t="inlineStr"/>
      <c r="N584" t="inlineStr"/>
      <c r="O584">
        <f>(1-Summary!$B$11)*T584+Summary!$B$11*V584</f>
        <v/>
      </c>
      <c r="P584">
        <f>IF(B600=0,0,O584/B600)</f>
        <v/>
      </c>
      <c r="Q584" t="n">
        <v>0</v>
      </c>
      <c r="R584" t="n">
        <v>0</v>
      </c>
      <c r="S584">
        <f>IFERROR(O584/N584,0)</f>
        <v/>
      </c>
      <c r="T584" t="n">
        <v>0</v>
      </c>
      <c r="V584" t="n">
        <v>0</v>
      </c>
    </row>
    <row r="585">
      <c r="A585">
        <f>Skills!A20</f>
        <v/>
      </c>
      <c r="B585">
        <f>Skills!B20</f>
        <v/>
      </c>
      <c r="C585">
        <f>Inputs!$B$3&gt;=43</f>
        <v/>
      </c>
      <c r="D585">
        <f>IF(Skills!C20=1,60+Inputs!$B$25+Inputs!$B$29,IF(Skills!C20=2,90+Inputs!$B$26+Inputs!$B$29,IF(Skills!C20=3,120+Inputs!$B$27+Inputs!$B$29,MAX(0,(Inputs!$B$3-100)*3)+Inputs!$B$28+Inputs!$B$29)))</f>
        <v/>
      </c>
      <c r="E585">
        <f>INDEX(FactorTable!$B$2:$Y$301, MATCH(ROUND(MIN(300,MAX(1,D585)),0), FactorTable!$A$2:$A$301,0), Skills!M20+1)</f>
        <v/>
      </c>
      <c r="F585">
        <f>IF(Skills!N20=TRUE,(Skills!L20/10)*(E585/1000),Skills!L20/10)+Skills!O20</f>
        <v/>
      </c>
      <c r="G585">
        <f>Skills!G20*IF(Skills!H20&gt;0,Skills!I20/Skills!H20,1)</f>
        <v/>
      </c>
      <c r="H585">
        <f>1-(1-Skills!J20/100)^Skills!K20</f>
        <v/>
      </c>
      <c r="I585" t="inlineStr">
        <is>
          <t>1</t>
        </is>
      </c>
      <c r="J585" t="inlineStr"/>
      <c r="K585" t="inlineStr"/>
      <c r="L585" t="inlineStr"/>
      <c r="M585" t="inlineStr"/>
      <c r="N585" t="inlineStr"/>
      <c r="O585">
        <f>(1-Summary!$B$11)*T585+Summary!$B$11*V585</f>
        <v/>
      </c>
      <c r="P585">
        <f>IF(B600=0,0,O585/B600)</f>
        <v/>
      </c>
      <c r="Q585" t="n">
        <v>0</v>
      </c>
      <c r="R585" t="n">
        <v>0</v>
      </c>
      <c r="S585">
        <f>IFERROR(O585/N585,0)</f>
        <v/>
      </c>
      <c r="T585" t="n">
        <v>0</v>
      </c>
      <c r="V585" t="n">
        <v>0</v>
      </c>
    </row>
    <row r="586">
      <c r="A586">
        <f>Skills!A21</f>
        <v/>
      </c>
      <c r="B586">
        <f>Skills!B21</f>
        <v/>
      </c>
      <c r="C586">
        <f>Inputs!$B$3&gt;=38</f>
        <v/>
      </c>
      <c r="D586">
        <f>IF(Skills!C21=1,60+Inputs!$B$25+Inputs!$B$29,IF(Skills!C21=2,90+Inputs!$B$26+Inputs!$B$29,IF(Skills!C21=3,120+Inputs!$B$27+Inputs!$B$29,MAX(0,(Inputs!$B$3-100)*3)+Inputs!$B$28+Inputs!$B$29)))</f>
        <v/>
      </c>
      <c r="E586">
        <f>INDEX(FactorTable!$B$2:$Y$301, MATCH(ROUND(MIN(300,MAX(1,D586)),0), FactorTable!$A$2:$A$301,0), Skills!M21+1)</f>
        <v/>
      </c>
      <c r="F586">
        <f>IF(Skills!N21=TRUE,(Skills!L21/10)*(E586/1000),Skills!L21/10)+Skills!O21</f>
        <v/>
      </c>
      <c r="G586">
        <f>Skills!G21*IF(Skills!H21&gt;0,Skills!I21/Skills!H21,1)</f>
        <v/>
      </c>
      <c r="H586">
        <f>1-(1-Skills!J21/100)^Skills!K21</f>
        <v/>
      </c>
      <c r="I586" t="inlineStr">
        <is>
          <t>1</t>
        </is>
      </c>
      <c r="J586" t="inlineStr"/>
      <c r="K586" t="inlineStr"/>
      <c r="L586" t="inlineStr"/>
      <c r="M586" t="inlineStr"/>
      <c r="N586" t="inlineStr"/>
      <c r="O586">
        <f>(1-Summary!$B$11)*T586+Summary!$B$11*V586</f>
        <v/>
      </c>
      <c r="P586">
        <f>IF(B600=0,0,O586/B600)</f>
        <v/>
      </c>
      <c r="Q586" t="n">
        <v>0</v>
      </c>
      <c r="R586" t="n">
        <v>0</v>
      </c>
      <c r="S586">
        <f>IFERROR(O586/N586,0)</f>
        <v/>
      </c>
      <c r="T586" t="n">
        <v>0</v>
      </c>
      <c r="V586" t="n">
        <v>0</v>
      </c>
    </row>
    <row r="587">
      <c r="A587">
        <f>Skills!A22</f>
        <v/>
      </c>
      <c r="B587">
        <f>Skills!B22</f>
        <v/>
      </c>
      <c r="C587">
        <f>Inputs!$B$3&gt;=75</f>
        <v/>
      </c>
      <c r="D587">
        <f>IF(Skills!C22=1,60+Inputs!$B$25+Inputs!$B$29,IF(Skills!C22=2,90+Inputs!$B$26+Inputs!$B$29,IF(Skills!C22=3,120+Inputs!$B$27+Inputs!$B$29,MAX(0,(Inputs!$B$3-100)*3)+Inputs!$B$28+Inputs!$B$29)))</f>
        <v/>
      </c>
      <c r="E587">
        <f>INDEX(FactorTable!$B$2:$Y$301, MATCH(ROUND(MIN(300,MAX(1,D587)),0), FactorTable!$A$2:$A$301,0), Skills!M22+1)</f>
        <v/>
      </c>
      <c r="F587">
        <f>IF(Skills!N22=TRUE,(Skills!L22/10)*(E587/1000),Skills!L22/10)+Skills!O22</f>
        <v/>
      </c>
      <c r="G587">
        <f>Skills!G22*IF(Skills!H22&gt;0,Skills!I22/Skills!H22,1)</f>
        <v/>
      </c>
      <c r="H587">
        <f>1-(1-Skills!J22/100)^Skills!K22</f>
        <v/>
      </c>
      <c r="I587" t="inlineStr">
        <is>
          <t>1</t>
        </is>
      </c>
      <c r="J587" t="inlineStr"/>
      <c r="K587" t="inlineStr"/>
      <c r="L587" t="inlineStr"/>
      <c r="M587" t="inlineStr"/>
      <c r="N587" t="inlineStr"/>
      <c r="O587">
        <f>(1-Summary!$B$11)*T587+Summary!$B$11*V587</f>
        <v/>
      </c>
      <c r="P587">
        <f>IF(B600=0,0,O587/B600)</f>
        <v/>
      </c>
      <c r="Q587" t="n">
        <v>0</v>
      </c>
      <c r="R587" t="n">
        <v>0</v>
      </c>
      <c r="S587">
        <f>IFERROR(O587/N587,0)</f>
        <v/>
      </c>
      <c r="T587" t="n">
        <v>0</v>
      </c>
      <c r="V587" t="n">
        <v>0</v>
      </c>
    </row>
    <row r="589">
      <c r="A589" t="inlineStr">
        <is>
          <t>Attack% Bucket Multiplier</t>
        </is>
      </c>
      <c r="B589">
        <f>(1+(((C578=TRUE)*F578)+((C584=TRUE)*(F584-Calc!F19))+(IF(ArtifactsInput!$M$21,CHOOSE(ArtifactsInput!$N$21+1,25,30,35,40,45,50)*(IF(OR(Inputs!$B$4="Chapter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90">
      <c r="A590" t="inlineStr">
        <is>
          <t>Global Crit Rate Bonus %</t>
        </is>
      </c>
      <c r="B590" t="n">
        <v>0</v>
      </c>
    </row>
    <row r="591">
      <c r="A591" t="inlineStr">
        <is>
          <t>Attack Speed Buff Bonus % (unused)</t>
        </is>
      </c>
      <c r="B591" t="n">
        <v>0</v>
      </c>
    </row>
    <row r="592">
      <c r="A592" t="inlineStr">
        <is>
          <t>Actions Per Second</t>
        </is>
      </c>
      <c r="B592">
        <f>1+MIN(150,150*(1-(1-(Inputs!$B$11+((C582=TRUE)*(F582-Calc!F17))+((C583=TRUE)*(F583-Calc!F18)))/150)*(1-B591/150)))/100</f>
        <v/>
      </c>
    </row>
    <row r="593">
      <c r="A593" t="inlineStr">
        <is>
          <t>Skill + Buff Cast Rate</t>
        </is>
      </c>
      <c r="B593">
        <f>IF(AND(Inputs!$B$38&lt;&gt;"pvp",Inputs!$B$43&gt;0),SUMPRODUCT((Skills!E2:E22=TRUE)*(C567:C587=TRUE)*R567:R587*Skills!F2:F22)/Inputs!$B$43,SUMPRODUCT((Skills!E2:E22=TRUE)*(C567:C587=TRUE)*Q567:Q587*Skills!F2:F22))</f>
        <v/>
      </c>
    </row>
    <row r="594">
      <c r="A594" t="inlineStr">
        <is>
          <t>Hook Bomber Casts Per Second</t>
        </is>
      </c>
      <c r="B594">
        <f>MAX(0,B592-B593)</f>
        <v/>
      </c>
    </row>
    <row r="595">
      <c r="A595" t="inlineStr">
        <is>
          <t>Global Critical Damage Bonus % (unused)</t>
        </is>
      </c>
      <c r="B595" t="n">
        <v>0</v>
      </c>
    </row>
    <row r="596">
      <c r="A596" t="inlineStr">
        <is>
          <t>Global Final Damage Bonus % (Serpent Scale + Crossbones + Time Leap + Speed Infusion)</t>
        </is>
      </c>
      <c r="B596">
        <f>((C570=TRUE)*F570*((10+IF(Inputs!$B$3&gt;=94,5,0))/((10+IF(Inputs!$B$3&gt;=94,5,0))+5/(B594*(1+IF(Inputs!$B$3&gt;=104,1,0))))))+((C579=TRUE)*F579)+((C580=TRUE)*F580)+((Inputs!$B$3&gt;=110)*20*(B592-1))</f>
        <v/>
      </c>
    </row>
    <row r="597">
      <c r="A597" t="inlineStr">
        <is>
          <t>Buff-Casting Startup Delay (s, fixed-duration only)</t>
        </is>
      </c>
      <c r="B597">
        <f>IF(AND(Inputs!$B$38&lt;&gt;"pvp",Inputs!$B$43&gt;0),SUMPRODUCT((Skills!T2:T22&gt;0)*(Skills!E2:E22=TRUE)*(C567:C587=TRUE))/B592,0)</f>
        <v/>
      </c>
    </row>
    <row r="598">
      <c r="A598" t="inlineStr">
        <is>
          <t>Boss-Only Total DPS (this block's swept value)</t>
        </is>
      </c>
      <c r="B598">
        <f>SUM(T567:T587)</f>
        <v/>
      </c>
    </row>
    <row r="599">
      <c r="A599" t="inlineStr">
        <is>
          <t>Normal-Only Total DPS (this block's swept value)</t>
        </is>
      </c>
      <c r="B599">
        <f>SUM(V567:V587)</f>
        <v/>
      </c>
    </row>
    <row r="600">
      <c r="A600" s="6" t="inlineStr">
        <is>
          <t>TOTAL DPS</t>
        </is>
      </c>
      <c r="B600" s="6">
        <f>SUM(O567:O587)</f>
        <v/>
      </c>
    </row>
    <row r="603">
      <c r="A603" s="6" t="inlineStr">
        <is>
          <t>Stat: BASIC_ATTACK_DAMAGE %</t>
        </is>
      </c>
    </row>
    <row r="604">
      <c r="A604" s="5" t="inlineStr">
        <is>
          <t>Key</t>
        </is>
      </c>
      <c r="B604" s="5" t="inlineStr">
        <is>
          <t>Name</t>
        </is>
      </c>
      <c r="C604" s="5" t="inlineStr">
        <is>
          <t>Unlocked</t>
        </is>
      </c>
      <c r="D604" s="5" t="inlineStr">
        <is>
          <t>InputLevel</t>
        </is>
      </c>
      <c r="E604" s="5" t="inlineStr">
        <is>
          <t>Factor</t>
        </is>
      </c>
      <c r="F604" s="5" t="inlineStr">
        <is>
          <t>CoefficientPercent</t>
        </is>
      </c>
      <c r="G604" s="5" t="inlineStr">
        <is>
          <t>EffectiveHits</t>
        </is>
      </c>
      <c r="H604" s="5" t="inlineStr">
        <is>
          <t>ProcProbability</t>
        </is>
      </c>
      <c r="I604" s="5" t="inlineStr">
        <is>
          <t>MapleHeroMultiplier</t>
        </is>
      </c>
      <c r="J604" s="5" t="inlineStr">
        <is>
          <t>BaseDamage</t>
        </is>
      </c>
      <c r="K604" s="5" t="inlineStr">
        <is>
          <t>BaseHitDamage</t>
        </is>
      </c>
      <c r="L604" s="5" t="inlineStr">
        <is>
          <t>NonCritAvg</t>
        </is>
      </c>
      <c r="M604" s="5" t="inlineStr">
        <is>
          <t>CritAvg</t>
        </is>
      </c>
      <c r="N604" s="5" t="inlineStr">
        <is>
          <t>ExpectedDamage(perHit)</t>
        </is>
      </c>
      <c r="O604" s="5" t="inlineStr">
        <is>
          <t>DPS</t>
        </is>
      </c>
      <c r="P604" s="5" t="inlineStr">
        <is>
          <t>% of Total</t>
        </is>
      </c>
      <c r="Q604" s="5" t="inlineStr">
        <is>
          <t>InvCooldown</t>
        </is>
      </c>
      <c r="R604" s="5" t="inlineStr">
        <is>
          <t>CastsInFight</t>
        </is>
      </c>
      <c r="S604" s="5" t="inlineStr">
        <is>
          <t>HitRate(perSec)</t>
        </is>
      </c>
      <c r="U604" t="inlineStr">
        <is>
          <t>helpers</t>
        </is>
      </c>
    </row>
    <row r="605">
      <c r="A605">
        <f>Skills!A2</f>
        <v/>
      </c>
      <c r="B605">
        <f>Skills!B2</f>
        <v/>
      </c>
      <c r="C605">
        <f>Inputs!$B$3&gt;=100</f>
        <v/>
      </c>
      <c r="D605" t="inlineStr"/>
      <c r="E605" t="inlineStr"/>
      <c r="F605">
        <f>U607+Skills!O2</f>
        <v/>
      </c>
      <c r="G605">
        <f>Skills!G2*IF(Skills!H2&gt;0,Skills!I2/Skills!H2,1)</f>
        <v/>
      </c>
      <c r="H605">
        <f>1-(1-Skills!J2/100)^Skills!K2</f>
        <v/>
      </c>
      <c r="I605" t="inlineStr">
        <is>
          <t>1</t>
        </is>
      </c>
      <c r="J605">
        <f>((Inputs!$B$6*(1+Inputs!$B$7/100))+(((Inputs!$B$12*(1+Inputs!$B$13/100))-(Inputs!$B$12*(1+Inputs!$B$13/100)))+0.25*(Inputs!$B$14-Inputs!$B$14))*(1+Inputs!$B$7/100))*(F605/100)</f>
        <v/>
      </c>
      <c r="K605">
        <f>J605*(1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C623=TRUE)*(F623-Calc!F20)),(Inputs!$B$23+0+(IF(ArtifactsInput!$M$15,CHOOSE(ArtifactsInput!$N$15+1,25,30,35,40,45,50)/100*(Inputs!$B$11-Inputs!$B$11),0))))/100+(Inputs!$B$23+0+(IF(ArtifactsInput!$M$15,CHOOSE(ArtifactsInput!$N$15+1,25,30,35,40,45,50)/100*(Inputs!$B$11-Inputs!$B$11),0)))/100)/2</f>
        <v/>
      </c>
      <c r="M605">
        <f>L605*(1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(1-Summary!$B$11)*T605+Summary!$B$11*V605</f>
        <v/>
      </c>
      <c r="P605">
        <f>IF(B638=0,0,O605/B638)</f>
        <v/>
      </c>
      <c r="Q605" t="n">
        <v>0</v>
      </c>
      <c r="R605" t="n">
        <v>0</v>
      </c>
      <c r="S605">
        <f>IFERROR(O605/N605,0)</f>
        <v/>
      </c>
      <c r="T605">
        <f>IF(C605,(Skills!G2*N605*B632)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605*(1-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5">
        <f>MAX(0,(Inputs!$B$3-100)*3)+Inputs!$B$28+Inputs!$B$29</f>
        <v/>
      </c>
      <c r="V605">
        <f>IF(C605,(Skills!G2*N605*B632)*IF(Inputs!$B$38="pvp",1,(1+(Inputs!$B$21+Skills!Q2+(IF(ArtifactsInput!$M$33,CHOOSE(ArtifactsInput!$N$33+1,30,36,42,48,54,60),0))+(IF(AND(ArtifactsInput!$M$35,Inputs!$B$4&lt;&gt;"Chapter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6">
      <c r="A606">
        <f>Skills!A3</f>
        <v/>
      </c>
      <c r="B606">
        <f>Skills!B3</f>
        <v/>
      </c>
      <c r="C606">
        <f>Inputs!$B$3&gt;=35</f>
        <v/>
      </c>
      <c r="D606">
        <f>IF(Skills!C3=1,60+Inputs!$B$25+Inputs!$B$29,IF(Skills!C3=2,90+Inputs!$B$26+Inputs!$B$29,IF(Skills!C3=3,120+Inputs!$B$27+Inputs!$B$29,MAX(0,(Inputs!$B$3-100)*3)+Inputs!$B$28+Inputs!$B$29)))</f>
        <v/>
      </c>
      <c r="E606">
        <f>INDEX(FactorTable!$B$2:$Y$301, MATCH(ROUND(MIN(300,MAX(1,D606)),0), FactorTable!$A$2:$A$301,0), Skills!M3+1)</f>
        <v/>
      </c>
      <c r="F606">
        <f>IF(Skills!N3=TRUE,(Skills!L3/10)*(E606/1000),Skills!L3/10)+Skills!O3</f>
        <v/>
      </c>
      <c r="G606">
        <f>Skills!G3*IF(Skills!H3&gt;0,Skills!I3/Skills!H3,1)</f>
        <v/>
      </c>
      <c r="H606">
        <f>1-(1-Skills!J3/100)^Skills!K3</f>
        <v/>
      </c>
      <c r="I606" t="inlineStr">
        <is>
          <t>1</t>
        </is>
      </c>
      <c r="J606">
        <f>((Inputs!$B$6*(1+Inputs!$B$7/100))+(((Inputs!$B$12*(1+Inputs!$B$13/100))-(Inputs!$B$12*(1+Inputs!$B$13/100)))+0.25*(Inputs!$B$14-Inputs!$B$14))*(1+Inputs!$B$7/100))*(F606/100)</f>
        <v/>
      </c>
      <c r="K606">
        <f>J606*(1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606)</f>
        <v/>
      </c>
      <c r="L606">
        <f>K606*(MIN(Inputs!$B$22+((C623=TRUE)*(F623-Calc!F20)),(Inputs!$B$23+0+(IF(ArtifactsInput!$M$15,CHOOSE(ArtifactsInput!$N$15+1,25,30,35,40,45,50)/100*(Inputs!$B$11-Inputs!$B$11),0))))/100+(Inputs!$B$23+0+(IF(ArtifactsInput!$M$15,CHOOSE(ArtifactsInput!$N$15+1,25,30,35,40,45,50)/100*(Inputs!$B$11-Inputs!$B$11),0)))/100)/2</f>
        <v/>
      </c>
      <c r="M606">
        <f>L606*(1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6">
        <f>L606*(1-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606*(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6">
        <f>(1-Summary!$B$11)*T606+Summary!$B$11*V606</f>
        <v/>
      </c>
      <c r="P606">
        <f>IF(B638=0,0,O606/B638)</f>
        <v/>
      </c>
      <c r="Q606" t="n">
        <v>0</v>
      </c>
      <c r="R606" t="n">
        <v>0</v>
      </c>
      <c r="S606">
        <f>IFERROR(O606/N606,0)</f>
        <v/>
      </c>
      <c r="T606">
        <f>IF(C606,(Skills!G3*H606*N606*B632)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606*(1-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606*(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606*(1-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606*(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6">
        <f>INDEX(FactorTable!$B$2:$Y$301, MATCH(ROUND(MIN(300,MAX(1,U605)),0), FactorTable!$A$2:$A$301,0), 22)</f>
        <v/>
      </c>
      <c r="V606">
        <f>IF(C606,(Skills!G3*H606*N606*B632)*IF(Inputs!$B$38="pvp",1,(1+(Inputs!$B$21+Skills!Q3+(IF(ArtifactsInput!$M$33,CHOOSE(ArtifactsInput!$N$33+1,30,36,42,48,54,60),0))+(IF(AND(ArtifactsInput!$M$35,Inputs!$B$4&lt;&gt;"Chapter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7">
      <c r="A607">
        <f>Skills!A4</f>
        <v/>
      </c>
      <c r="B607">
        <f>Skills!B4</f>
        <v/>
      </c>
      <c r="C607">
        <f>Inputs!$B$3&gt;=60</f>
        <v/>
      </c>
      <c r="D607">
        <f>IF(Skills!C4=1,60+Inputs!$B$25+Inputs!$B$29,IF(Skills!C4=2,90+Inputs!$B$26+Inputs!$B$29,IF(Skills!C4=3,120+Inputs!$B$27+Inputs!$B$29,MAX(0,(Inputs!$B$3-100)*3)+Inputs!$B$28+Inputs!$B$29)))</f>
        <v/>
      </c>
      <c r="E607">
        <f>INDEX(FactorTable!$B$2:$Y$301, MATCH(ROUND(MIN(300,MAX(1,D607)),0), FactorTable!$A$2:$A$301,0), Skills!M4+1)</f>
        <v/>
      </c>
      <c r="F607">
        <f>IF(Skills!N4=TRUE,(Skills!L4/10)*(E607/1000),Skills!L4/10)+Skills!O4</f>
        <v/>
      </c>
      <c r="G607">
        <f>Skills!G4*IF(Skills!H4&gt;0,Skills!I4/Skills!H4,1)</f>
        <v/>
      </c>
      <c r="H607">
        <f>1-(1-Skills!J4/100)^Skills!K4</f>
        <v/>
      </c>
      <c r="I607" t="inlineStr">
        <is>
          <t>1</t>
        </is>
      </c>
      <c r="J607">
        <f>((Inputs!$B$6*(1+Inputs!$B$7/100))+(((Inputs!$B$12*(1+Inputs!$B$13/100))-(Inputs!$B$12*(1+Inputs!$B$13/100)))+0.25*(Inputs!$B$14-Inputs!$B$14))*(1+Inputs!$B$7/100))*(F607/100)</f>
        <v/>
      </c>
      <c r="K607">
        <f>J607*(1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615=TRUE,F615,0)/100)*(1+(IF(Skills!A4="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
      </c>
      <c r="L607">
        <f>K607*(MIN(Inputs!$B$22+((C623=TRUE)*(F623-Calc!F20)),(Inputs!$B$23+0+(IF(ArtifactsInput!$M$15,CHOOSE(ArtifactsInput!$N$15+1,25,30,35,40,45,50)/100*(Inputs!$B$11-Inputs!$B$11),0))))/100+(Inputs!$B$23+0+(IF(ArtifactsInput!$M$15,CHOOSE(ArtifactsInput!$N$15+1,25,30,35,40,45,50)/100*(Inputs!$B$11-Inputs!$B$11),0)))/100)/2</f>
        <v/>
      </c>
      <c r="M607">
        <f>L607*(1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7">
        <f>L607*(1-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7">
        <f>(1-Summary!$B$11)*T607+Summary!$B$11*V607</f>
        <v/>
      </c>
      <c r="P607">
        <f>IF(B638=0,0,O607/B638)</f>
        <v/>
      </c>
      <c r="Q607" t="n">
        <v>0</v>
      </c>
      <c r="R607" t="n">
        <v>0</v>
      </c>
      <c r="S607">
        <f>IFERROR(O607/N607,0)</f>
        <v/>
      </c>
      <c r="T607">
        <f>IF(C607,(Skills!G4*H607*N607*B632)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607*(1-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7">
        <f>290*U606/1000</f>
        <v/>
      </c>
      <c r="V607">
        <f>IF(C607,(Skills!G4*H607*N607*B632)*IF(Inputs!$B$38="pvp",1,(1+(Inputs!$B$21+Skills!Q4+(IF(ArtifactsInput!$M$33,CHOOSE(ArtifactsInput!$N$33+1,30,36,42,48,54,60),0))+(IF(AND(ArtifactsInput!$M$35,Inputs!$B$4&lt;&gt;"Chapter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8">
      <c r="A608">
        <f>Skills!A5</f>
        <v/>
      </c>
      <c r="B608">
        <f>Skills!B5</f>
        <v/>
      </c>
      <c r="C608">
        <f>Inputs!$B$3&gt;=60</f>
        <v/>
      </c>
      <c r="D608">
        <f>IF(Skills!C5=1,60+Inputs!$B$25+Inputs!$B$29,IF(Skills!C5=2,90+Inputs!$B$26+Inputs!$B$29,IF(Skills!C5=3,120+Inputs!$B$27+Inputs!$B$29,MAX(0,(Inputs!$B$3-100)*3)+Inputs!$B$28+Inputs!$B$29)))</f>
        <v/>
      </c>
      <c r="E608">
        <f>INDEX(FactorTable!$B$2:$Y$301, MATCH(ROUND(MIN(300,MAX(1,D608)),0), FactorTable!$A$2:$A$301,0), Skills!M5+1)</f>
        <v/>
      </c>
      <c r="F608">
        <f>IF(Skills!N5=TRUE,(Skills!L5/10)*(E608/1000),Skills!L5/10)+Skills!O5</f>
        <v/>
      </c>
      <c r="G608">
        <f>Skills!G5*IF(Skills!H5&gt;0,Skills!I5/Skills!H5,1)</f>
        <v/>
      </c>
      <c r="H608">
        <f>1-(1-Skills!J5/100)^Skills!K5</f>
        <v/>
      </c>
      <c r="I608" t="inlineStr">
        <is>
          <t>1</t>
        </is>
      </c>
      <c r="J608" t="inlineStr"/>
      <c r="K608" t="inlineStr"/>
      <c r="L608" t="inlineStr"/>
      <c r="M608" t="inlineStr"/>
      <c r="N608" t="inlineStr"/>
      <c r="O608">
        <f>(1-Summary!$B$11)*T608+Summary!$B$11*V608</f>
        <v/>
      </c>
      <c r="P608">
        <f>IF(B638=0,0,O608/B638)</f>
        <v/>
      </c>
      <c r="Q608" t="n">
        <v>0</v>
      </c>
      <c r="R608" t="n">
        <v>0</v>
      </c>
      <c r="S608">
        <f>IFERROR(O608/N608,0)</f>
        <v/>
      </c>
      <c r="T608" t="n">
        <v>0</v>
      </c>
      <c r="V608" t="n">
        <v>0</v>
      </c>
    </row>
    <row r="609">
      <c r="A609">
        <f>Skills!A6</f>
        <v/>
      </c>
      <c r="B609">
        <f>Skills!B6</f>
        <v/>
      </c>
      <c r="C609">
        <f>Inputs!$B$3&gt;=63</f>
        <v/>
      </c>
      <c r="D609">
        <f>IF(Skills!C6=1,60+Inputs!$B$25+Inputs!$B$29,IF(Skills!C6=2,90+Inputs!$B$26+Inputs!$B$29,IF(Skills!C6=3,120+Inputs!$B$27+Inputs!$B$29,MAX(0,(Inputs!$B$3-100)*3)+Inputs!$B$28+Inputs!$B$29)))</f>
        <v/>
      </c>
      <c r="E609">
        <f>INDEX(FactorTable!$B$2:$Y$301, MATCH(ROUND(MIN(300,MAX(1,D609)),0), FactorTable!$A$2:$A$301,0), Skills!M6+1)</f>
        <v/>
      </c>
      <c r="F609">
        <f>IF(Skills!N6=TRUE,(Skills!L6/10)*(E609/1000),Skills!L6/10)+Skills!O6</f>
        <v/>
      </c>
      <c r="G609">
        <f>Skills!G6*IF(Skills!H6&gt;0,Skills!I6/Skills!H6,1)</f>
        <v/>
      </c>
      <c r="H609">
        <f>1-(1-Skills!J6/100)^Skills!K6</f>
        <v/>
      </c>
      <c r="I609" t="inlineStr">
        <is>
          <t>1</t>
        </is>
      </c>
      <c r="J609">
        <f>((Inputs!$B$6*(1+Inputs!$B$7/100))+(((Inputs!$B$12*(1+Inputs!$B$13/100))-(Inputs!$B$12*(1+Inputs!$B$13/100)))+0.25*(Inputs!$B$14-Inputs!$B$14))*(1+Inputs!$B$7/100))*(F609/100)</f>
        <v/>
      </c>
      <c r="K609">
        <f>J609*(1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609)</f>
        <v/>
      </c>
      <c r="L609">
        <f>K609*(MIN(Inputs!$B$22+((C623=TRUE)*(F623-Calc!F20)),(Inputs!$B$23+0+(IF(ArtifactsInput!$M$15,CHOOSE(ArtifactsInput!$N$15+1,25,30,35,40,45,50)/100*(Inputs!$B$11-Inputs!$B$11),0))))/100+(Inputs!$B$23+0+(IF(ArtifactsInput!$M$15,CHOOSE(ArtifactsInput!$N$15+1,25,30,35,40,45,50)/100*(Inputs!$B$11-Inputs!$B$11),0)))/100)/2</f>
        <v/>
      </c>
      <c r="M609">
        <f>L609*(1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9">
        <f>L609*(1-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609*(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9">
        <f>(1-Summary!$B$11)*T609+Summary!$B$11*V609</f>
        <v/>
      </c>
      <c r="P609">
        <f>IF(B638=0,0,O609/B638)</f>
        <v/>
      </c>
      <c r="Q609">
        <f>IFERROR(1/(IF(Inputs!$B$38="pvp",15,MAX(0.1,Skills!D6-IF(Skills!E6=TRUE,Inputs!$B$32,0)))*(1-IF(AND(ArtifactsInput!$M$27,Inputs!$B$4="Chapter Hunt"),CHOOSE(ArtifactsInput!$N$27+1,20,24,28,32,36,40),0)/100)),0)</f>
        <v/>
      </c>
      <c r="R609">
        <f>IF(AND(Inputs!$B$38&lt;&gt;"pvp",Inputs!$B$43&gt;0),IF(MAX(0,Inputs!$B$43-B635)&lt;=0,0,(INT(MAX(0,Inputs!$B$43-B635)/(IF(Inputs!$B$38="pvp",15,MAX(0.1,Skills!D6-IF(Skills!E6=TRUE,Inputs!$B$32,0)))*(1-IF(AND(ArtifactsInput!$M$27,Inputs!$B$4="Chapter Hunt"),CHOOSE(ArtifactsInput!$N$27+1,20,24,28,32,36,40),0)/100)))+1)),0)</f>
        <v/>
      </c>
      <c r="S609">
        <f>IFERROR(O609/N609,0)</f>
        <v/>
      </c>
      <c r="T609">
        <f>IF(C609,(H609*N609*IF(AND(Inputs!$B$38&lt;&gt;"pvp",Inputs!$B$43&gt;0),((Skills!G6*((R609-1)*IF(Skills!H6&gt;0,Skills!I6/Skills!H6,1)+IF(Skills!H6&gt;0,MIN(Skills!I6,MAX(0,MAX(0,Inputs!$B$43-B635)-((R609-1)*(IF(Inputs!$B$38="pvp",15,MAX(0.1,Skills!D6-IF(Skills!E6=TRUE,Inputs!$B$32,0)))*(1-IF(AND(ArtifactsInput!$M$27,Inputs!$B$4="Chapter Hunt"),CHOOSE(ArtifactsInput!$N$27+1,20,24,28,32,36,40),0)/100)))))/Skills!H6,1)))/Inputs!$B$43),G609*Q609)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609*(1-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609*(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609*(1-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609*(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9">
        <f>IF(C609,(H609*N609*IF(AND(Inputs!$B$38&lt;&gt;"pvp",Inputs!$B$43&gt;0),((Skills!G6*((R609-1)*IF(Skills!H6&gt;0,Skills!I6/Skills!H6,1)+IF(Skills!H6&gt;0,MIN(Skills!I6,MAX(0,MAX(0,Inputs!$B$43-B635)-((R609-1)*(IF(Inputs!$B$38="pvp",15,MAX(0.1,Skills!D6-IF(Skills!E6=TRUE,Inputs!$B$32,0)))*(1-IF(AND(ArtifactsInput!$M$27,Inputs!$B$4="Chapter Hunt"),CHOOSE(ArtifactsInput!$N$27+1,20,24,28,32,36,40),0)/100)))))/Skills!H6,1)))/Inputs!$B$43),G609*Q609))*IF(Inputs!$B$38="pvp",1,(1+(Inputs!$B$21+Skills!Q6+(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0">
      <c r="A610">
        <f>Skills!A7</f>
        <v/>
      </c>
      <c r="B610">
        <f>Skills!B7</f>
        <v/>
      </c>
      <c r="C610">
        <f>Inputs!$B$3&gt;=100</f>
        <v/>
      </c>
      <c r="D610">
        <f>IF(Skills!C7=1,60+Inputs!$B$25+Inputs!$B$29,IF(Skills!C7=2,90+Inputs!$B$26+Inputs!$B$29,IF(Skills!C7=3,120+Inputs!$B$27+Inputs!$B$29,MAX(0,(Inputs!$B$3-100)*3)+Inputs!$B$28+Inputs!$B$29)))</f>
        <v/>
      </c>
      <c r="E610">
        <f>INDEX(FactorTable!$B$2:$Y$301, MATCH(ROUND(MIN(300,MAX(1,D610)),0), FactorTable!$A$2:$A$301,0), Skills!M7+1)</f>
        <v/>
      </c>
      <c r="F610">
        <f>IF(Skills!N7=TRUE,(Skills!L7/10)*(E610/1000),Skills!L7/10)+Skills!O7</f>
        <v/>
      </c>
      <c r="G610">
        <f>Skills!G7*IF(Skills!H7&gt;0,Skills!I7/Skills!H7,1)</f>
        <v/>
      </c>
      <c r="H610">
        <f>1-(1-Skills!J7/100)^Skills!K7</f>
        <v/>
      </c>
      <c r="I610" t="inlineStr">
        <is>
          <t>1</t>
        </is>
      </c>
      <c r="J610">
        <f>((Inputs!$B$6*(1+Inputs!$B$7/100))+(((Inputs!$B$12*(1+Inputs!$B$13/100))-(Inputs!$B$12*(1+Inputs!$B$13/100)))+0.25*(Inputs!$B$14-Inputs!$B$14))*(1+Inputs!$B$7/100))*(F610/100)</f>
        <v/>
      </c>
      <c r="K610">
        <f>J610*(1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610)</f>
        <v/>
      </c>
      <c r="L610">
        <f>K610*(MIN(Inputs!$B$22+((C623=TRUE)*(F623-Calc!F20)),(Inputs!$B$23+0+(IF(ArtifactsInput!$M$15,CHOOSE(ArtifactsInput!$N$15+1,25,30,35,40,45,50)/100*(Inputs!$B$11-Inputs!$B$11),0))))/100+(Inputs!$B$23+0+(IF(ArtifactsInput!$M$15,CHOOSE(ArtifactsInput!$N$15+1,25,30,35,40,45,50)/100*(Inputs!$B$11-Inputs!$B$11),0)))/100)/2</f>
        <v/>
      </c>
      <c r="M610">
        <f>L610*(1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0">
        <f>L610*(1-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610*(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0">
        <f>(1-Summary!$B$11)*T610+Summary!$B$11*V610</f>
        <v/>
      </c>
      <c r="P610">
        <f>IF(B638=0,0,O610/B638)</f>
        <v/>
      </c>
      <c r="Q610">
        <f>IFERROR(1/(IF(Inputs!$B$38="pvp",15,MAX(0.1,Skills!D7-IF(Skills!E7=TRUE,Inputs!$B$32,0)))*(1-IF(AND(ArtifactsInput!$M$27,Inputs!$B$4="Chapter Hunt"),CHOOSE(ArtifactsInput!$N$27+1,20,24,28,32,36,40),0)/100)),0)</f>
        <v/>
      </c>
      <c r="R610">
        <f>IF(AND(Inputs!$B$38&lt;&gt;"pvp",Inputs!$B$43&gt;0),IF(MAX(0,Inputs!$B$43-B635)&lt;=0,0,(INT(MAX(0,Inputs!$B$43-B635)/(IF(Inputs!$B$38="pvp",15,MAX(0.1,Skills!D7-IF(Skills!E7=TRUE,Inputs!$B$32,0)))*(1-IF(AND(ArtifactsInput!$M$27,Inputs!$B$4="Chapter Hunt"),CHOOSE(ArtifactsInput!$N$27+1,20,24,28,32,36,40),0)/100)))+1)),0)</f>
        <v/>
      </c>
      <c r="S610">
        <f>IFERROR(O610/N610,0)</f>
        <v/>
      </c>
      <c r="T610">
        <f>IF(C610,(H610*N610*IF(AND(Inputs!$B$38&lt;&gt;"pvp",Inputs!$B$43&gt;0),((Skills!G7*((R610-1)*IF(Skills!H7&gt;0,Skills!I7/Skills!H7,1)+IF(Skills!H7&gt;0,MIN(Skills!I7,MAX(0,MAX(0,Inputs!$B$43-B635)-((R610-1)*(IF(Inputs!$B$38="pvp",15,MAX(0.1,Skills!D7-IF(Skills!E7=TRUE,Inputs!$B$32,0)))*(1-IF(AND(ArtifactsInput!$M$27,Inputs!$B$4="Chapter Hunt"),CHOOSE(ArtifactsInput!$N$27+1,20,24,28,32,36,40),0)/100)))))/Skills!H7,1)))/Inputs!$B$43),G610*Q610)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610*(1-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610*(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610*(1-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610*(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0">
        <f>IF(C610,(H610*N610*IF(AND(Inputs!$B$38&lt;&gt;"pvp",Inputs!$B$43&gt;0),((Skills!G7*((R610-1)*IF(Skills!H7&gt;0,Skills!I7/Skills!H7,1)+IF(Skills!H7&gt;0,MIN(Skills!I7,MAX(0,MAX(0,Inputs!$B$43-B635)-((R610-1)*(IF(Inputs!$B$38="pvp",15,MAX(0.1,Skills!D7-IF(Skills!E7=TRUE,Inputs!$B$32,0)))*(1-IF(AND(ArtifactsInput!$M$27,Inputs!$B$4="Chapter Hunt"),CHOOSE(ArtifactsInput!$N$27+1,20,24,28,32,36,40),0)/100)))))/Skills!H7,1)))/Inputs!$B$43),G610*Q610))*IF(Inputs!$B$38="pvp",1,(1+(Inputs!$B$21+Skills!Q7+(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1">
      <c r="A611">
        <f>Skills!A8</f>
        <v/>
      </c>
      <c r="B611">
        <f>Skills!B8</f>
        <v/>
      </c>
      <c r="C611">
        <f>Inputs!$B$3&gt;=110</f>
        <v/>
      </c>
      <c r="D611">
        <f>IF(Skills!C8=1,60+Inputs!$B$25+Inputs!$B$29,IF(Skills!C8=2,90+Inputs!$B$26+Inputs!$B$29,IF(Skills!C8=3,120+Inputs!$B$27+Inputs!$B$29,MAX(0,(Inputs!$B$3-100)*3)+Inputs!$B$28+Inputs!$B$29)))</f>
        <v/>
      </c>
      <c r="E611">
        <f>INDEX(FactorTable!$B$2:$Y$301, MATCH(ROUND(MIN(300,MAX(1,D611)),0), FactorTable!$A$2:$A$301,0), Skills!M8+1)</f>
        <v/>
      </c>
      <c r="F611">
        <f>IF(Skills!N8=TRUE,(Skills!L8/10)*(E611/1000),Skills!L8/10)+Skills!O8</f>
        <v/>
      </c>
      <c r="G611">
        <f>Skills!G8*IF(Skills!H8&gt;0,Skills!I8/Skills!H8,1)</f>
        <v/>
      </c>
      <c r="H611">
        <f>1-(1-Skills!J8/100)^Skills!K8</f>
        <v/>
      </c>
      <c r="I611" t="inlineStr">
        <is>
          <t>1</t>
        </is>
      </c>
      <c r="J611">
        <f>((Inputs!$B$6*(1+Inputs!$B$7/100))+(((Inputs!$B$12*(1+Inputs!$B$13/100))-(Inputs!$B$12*(1+Inputs!$B$13/100)))+0.25*(Inputs!$B$14-Inputs!$B$14))*(1+Inputs!$B$7/100))*(F611/100)</f>
        <v/>
      </c>
      <c r="K611">
        <f>J611*(1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
      </c>
      <c r="L611">
        <f>K611*(MIN(Inputs!$B$22+((C623=TRUE)*(F623-Calc!F20)),(Inputs!$B$23+0+(IF(ArtifactsInput!$M$15,CHOOSE(ArtifactsInput!$N$15+1,25,30,35,40,45,50)/100*(Inputs!$B$11-Inputs!$B$11),0))))/100+(Inputs!$B$23+0+(IF(ArtifactsInput!$M$15,CHOOSE(ArtifactsInput!$N$15+1,25,30,35,40,45,50)/100*(Inputs!$B$11-Inputs!$B$11),0)))/100)/2</f>
        <v/>
      </c>
      <c r="M611">
        <f>L611*(1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1">
        <f>L611*(1-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1">
        <f>(1-Summary!$B$11)*T611+Summary!$B$11*V611</f>
        <v/>
      </c>
      <c r="P611">
        <f>IF(B638=0,0,O611/B638)</f>
        <v/>
      </c>
      <c r="Q611">
        <f>IFERROR(1/(IF(Inputs!$B$38="pvp",15,MAX(0.1,Skills!D8-IF(Skills!E8=TRUE,Inputs!$B$32,0)))*(1-IF(AND(ArtifactsInput!$M$27,Inputs!$B$4="Chapter Hunt"),CHOOSE(ArtifactsInput!$N$27+1,20,24,28,32,36,40),0)/100)),0)</f>
        <v/>
      </c>
      <c r="R611">
        <f>IF(AND(Inputs!$B$38&lt;&gt;"pvp",Inputs!$B$43&gt;0),IF(MAX(0,Inputs!$B$43-B635)&lt;=0,0,(INT(MAX(0,Inputs!$B$43-B635)/(IF(Inputs!$B$38="pvp",15,MAX(0.1,Skills!D8-IF(Skills!E8=TRUE,Inputs!$B$32,0)))*(1-IF(AND(ArtifactsInput!$M$27,Inputs!$B$4="Chapter Hunt"),CHOOSE(ArtifactsInput!$N$27+1,20,24,28,32,36,40),0)/100)))+1)),0)</f>
        <v/>
      </c>
      <c r="S611">
        <f>IFERROR(O611/N611,0)</f>
        <v/>
      </c>
      <c r="T611">
        <f>IF(C611,(H611*N611*IF(AND(Inputs!$B$38&lt;&gt;"pvp",Inputs!$B$43&gt;0),((Skills!G8*((R611-1)*IF(Skills!H8&gt;0,Skills!I8/Skills!H8,1)+IF(Skills!H8&gt;0,MIN(Skills!I8,MAX(0,MAX(0,Inputs!$B$43-B635)-((R611-1)*(IF(Inputs!$B$38="pvp",15,MAX(0.1,Skills!D8-IF(Skills!E8=TRUE,Inputs!$B$32,0)))*(1-IF(AND(ArtifactsInput!$M$27,Inputs!$B$4="Chapter Hunt"),CHOOSE(ArtifactsInput!$N$27+1,20,24,28,32,36,40),0)/100)))))/Skills!H8,1)))/Inputs!$B$43),G611*Q611)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611*(1-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1">
        <f>IF(C611,(H611*N611*IF(AND(Inputs!$B$38&lt;&gt;"pvp",Inputs!$B$43&gt;0),((Skills!G8*((R611-1)*IF(Skills!H8&gt;0,Skills!I8/Skills!H8,1)+IF(Skills!H8&gt;0,MIN(Skills!I8,MAX(0,MAX(0,Inputs!$B$43-B635)-((R611-1)*(IF(Inputs!$B$38="pvp",15,MAX(0.1,Skills!D8-IF(Skills!E8=TRUE,Inputs!$B$32,0)))*(1-IF(AND(ArtifactsInput!$M$27,Inputs!$B$4="Chapter Hunt"),CHOOSE(ArtifactsInput!$N$27+1,20,24,28,32,36,40),0)/100)))))/Skills!H8,1)))/Inputs!$B$43),G611*Q611))*IF(Inputs!$B$38="pvp",1,(1+(Inputs!$B$21+Skills!Q8+(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2">
      <c r="A612">
        <f>Skills!A9</f>
        <v/>
      </c>
      <c r="B612">
        <f>Skills!B9</f>
        <v/>
      </c>
      <c r="C612">
        <f>Inputs!$B$3&gt;=110</f>
        <v/>
      </c>
      <c r="D612">
        <f>IF(Skills!C9=1,60+Inputs!$B$25+Inputs!$B$29,IF(Skills!C9=2,90+Inputs!$B$26+Inputs!$B$29,IF(Skills!C9=3,120+Inputs!$B$27+Inputs!$B$29,MAX(0,(Inputs!$B$3-100)*3)+Inputs!$B$28+Inputs!$B$29)))</f>
        <v/>
      </c>
      <c r="E612">
        <f>INDEX(FactorTable!$B$2:$Y$301, MATCH(ROUND(MIN(300,MAX(1,D612)),0), FactorTable!$A$2:$A$301,0), Skills!M9+1)</f>
        <v/>
      </c>
      <c r="F612">
        <f>IF(Skills!N9=TRUE,(Skills!L9/10)*(E612/1000),Skills!L9/10)+Skills!O9</f>
        <v/>
      </c>
      <c r="G612">
        <f>Skills!G9*IF(Skills!H9&gt;0,Skills!I9/Skills!H9,1)</f>
        <v/>
      </c>
      <c r="H612">
        <f>1-(1-Skills!J9/100)^Skills!K9</f>
        <v/>
      </c>
      <c r="I612" t="inlineStr">
        <is>
          <t>1</t>
        </is>
      </c>
      <c r="J612">
        <f>((Inputs!$B$6*(1+Inputs!$B$7/100))+(((Inputs!$B$12*(1+Inputs!$B$13/100))-(Inputs!$B$12*(1+Inputs!$B$13/100)))+0.25*(Inputs!$B$14-Inputs!$B$14))*(1+Inputs!$B$7/100))*(F612/100)</f>
        <v/>
      </c>
      <c r="K612">
        <f>J612*(1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C623=TRUE)*(F623-Calc!F20)),(Inputs!$B$23+0+(IF(ArtifactsInput!$M$15,CHOOSE(ArtifactsInput!$N$15+1,25,30,35,40,45,50)/100*(Inputs!$B$11-Inputs!$B$11),0))))/100+(Inputs!$B$23+0+(IF(ArtifactsInput!$M$15,CHOOSE(ArtifactsInput!$N$15+1,25,30,35,40,45,50)/100*(Inputs!$B$11-Inputs!$B$11),0)))/100)/2</f>
        <v/>
      </c>
      <c r="M612">
        <f>L612*(1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(1-Summary!$B$11)*T612+Summary!$B$11*V612</f>
        <v/>
      </c>
      <c r="P612">
        <f>IF(B638=0,0,O612/B638)</f>
        <v/>
      </c>
      <c r="Q612">
        <f>IFERROR(1/(IF(Inputs!$B$38="pvp",15,MAX(0.1,Skills!D9-IF(Skills!E9=TRUE,Inputs!$B$32,0)))*(1-IF(AND(ArtifactsInput!$M$27,Inputs!$B$4="Chapter Hunt"),CHOOSE(ArtifactsInput!$N$27+1,20,24,28,32,36,40),0)/100)),0)</f>
        <v/>
      </c>
      <c r="R612">
        <f>IF(AND(Inputs!$B$38&lt;&gt;"pvp",Inputs!$B$43&gt;0),IF(MAX(0,Inputs!$B$43-B635)&lt;=0,0,(INT(MAX(0,Inputs!$B$43-B635)/(IF(Inputs!$B$38="pvp",15,MAX(0.1,Skills!D9-IF(Skills!E9=TRUE,Inputs!$B$32,0)))*(1-IF(AND(ArtifactsInput!$M$27,Inputs!$B$4="Chapter Hunt"),CHOOSE(ArtifactsInput!$N$27+1,20,24,28,32,36,40),0)/100)))+1)),0)</f>
        <v/>
      </c>
      <c r="S612">
        <f>IFERROR(O612/N612,0)</f>
        <v/>
      </c>
      <c r="T612">
        <f>IF(C612,(H612*N612*IF(AND(Inputs!$B$38&lt;&gt;"pvp",Inputs!$B$43&gt;0),((Skills!G9*((R612-1)*IF(Skills!H9&gt;0,Skills!I9/Skills!H9,1)+IF(Skills!H9&gt;0,MIN(Skills!I9,MAX(0,MAX(0,Inputs!$B$43-B635)-((R612-1)*(IF(Inputs!$B$38="pvp",15,MAX(0.1,Skills!D9-IF(Skills!E9=TRUE,Inputs!$B$32,0)))*(1-IF(AND(ArtifactsInput!$M$27,Inputs!$B$4="Chapter Hunt"),CHOOSE(ArtifactsInput!$N$27+1,20,24,28,32,36,40),0)/100)))))/Skills!H9,1)))/Inputs!$B$43),G612*Q612)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612*(1-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2">
        <f>IF(C612,(H612*N612*IF(AND(Inputs!$B$38&lt;&gt;"pvp",Inputs!$B$43&gt;0),((Skills!G9*((R612-1)*IF(Skills!H9&gt;0,Skills!I9/Skills!H9,1)+IF(Skills!H9&gt;0,MIN(Skills!I9,MAX(0,MAX(0,Inputs!$B$43-B635)-((R612-1)*(IF(Inputs!$B$38="pvp",15,MAX(0.1,Skills!D9-IF(Skills!E9=TRUE,Inputs!$B$32,0)))*(1-IF(AND(ArtifactsInput!$M$27,Inputs!$B$4="Chapter Hunt"),CHOOSE(ArtifactsInput!$N$27+1,20,24,28,32,36,40),0)/100)))))/Skills!H9,1)))/Inputs!$B$43),G612*Q612))*IF(Inputs!$B$38="pvp",1,(1+(Inputs!$B$21+Skills!Q9+(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Skills!A10</f>
        <v/>
      </c>
      <c r="B613">
        <f>Skills!B10</f>
        <v/>
      </c>
      <c r="C613">
        <f>Inputs!$B$3&gt;=103</f>
        <v/>
      </c>
      <c r="D613">
        <f>IF(Skills!C10=1,60+Inputs!$B$25+Inputs!$B$29,IF(Skills!C10=2,90+Inputs!$B$26+Inputs!$B$29,IF(Skills!C10=3,120+Inputs!$B$27+Inputs!$B$29,MAX(0,(Inputs!$B$3-100)*3)+Inputs!$B$28+Inputs!$B$29)))</f>
        <v/>
      </c>
      <c r="E613">
        <f>INDEX(FactorTable!$B$2:$Y$301, MATCH(ROUND(MIN(300,MAX(1,D613)),0), FactorTable!$A$2:$A$301,0), Skills!M10+1)</f>
        <v/>
      </c>
      <c r="F613">
        <f>IF(Skills!N10=TRUE,(Skills!L10/10)*(E613/1000),Skills!L10/10)+Skills!O10</f>
        <v/>
      </c>
      <c r="G613">
        <f>Skills!G10*IF(Skills!H10&gt;0,Skills!I10/Skills!H10,1)</f>
        <v/>
      </c>
      <c r="H613">
        <f>1-(1-Skills!J10/100)^Skills!K10</f>
        <v/>
      </c>
      <c r="I613" t="inlineStr">
        <is>
          <t>1</t>
        </is>
      </c>
      <c r="J613">
        <f>((Inputs!$B$6*(1+Inputs!$B$7/100))+(((Inputs!$B$12*(1+Inputs!$B$13/100))-(Inputs!$B$12*(1+Inputs!$B$13/100)))+0.25*(Inputs!$B$14-Inputs!$B$14))*(1+Inputs!$B$7/100))*(F613/100)</f>
        <v/>
      </c>
      <c r="K613">
        <f>J613*(1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C623=TRUE)*(F623-Calc!F20)),(Inputs!$B$23+0+(IF(ArtifactsInput!$M$15,CHOOSE(ArtifactsInput!$N$15+1,25,30,35,40,45,50)/100*(Inputs!$B$11-Inputs!$B$11),0))))/100+(Inputs!$B$23+0+(IF(ArtifactsInput!$M$15,CHOOSE(ArtifactsInput!$N$15+1,25,30,35,40,45,50)/100*(Inputs!$B$11-Inputs!$B$11),0)))/100)/2</f>
        <v/>
      </c>
      <c r="M613">
        <f>L613*(1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(1-Summary!$B$11)*T613+Summary!$B$11*V613</f>
        <v/>
      </c>
      <c r="P613">
        <f>IF(B638=0,0,O613/B638)</f>
        <v/>
      </c>
      <c r="Q613">
        <f>IFERROR(1/(IF(Inputs!$B$38="pvp",15,MAX(0.1,Skills!D10-IF(Skills!E10=TRUE,Inputs!$B$32,0)))*(1-IF(AND(ArtifactsInput!$M$27,Inputs!$B$4="Chapter Hunt"),CHOOSE(ArtifactsInput!$N$27+1,20,24,28,32,36,40),0)/100)),0)</f>
        <v/>
      </c>
      <c r="R613">
        <f>IF(AND(Inputs!$B$38&lt;&gt;"pvp",Inputs!$B$43&gt;0),IF(MAX(0,Inputs!$B$43-B635)&lt;=0,0,(INT(MAX(0,Inputs!$B$43-B635)/(IF(Inputs!$B$38="pvp",15,MAX(0.1,Skills!D10-IF(Skills!E10=TRUE,Inputs!$B$32,0)))*(1-IF(AND(ArtifactsInput!$M$27,Inputs!$B$4="Chapter Hunt"),CHOOSE(ArtifactsInput!$N$27+1,20,24,28,32,36,40),0)/100)))+1)),0)</f>
        <v/>
      </c>
      <c r="S613">
        <f>IFERROR(O613/N613,0)</f>
        <v/>
      </c>
      <c r="T613">
        <f>IF(C613,(H613*N613*IF(AND(Inputs!$B$38&lt;&gt;"pvp",Inputs!$B$43&gt;0),((Skills!G10*((R613-1)*IF(Skills!H10&gt;0,Skills!I10/Skills!H10,1)+IF(Skills!H10&gt;0,MIN(Skills!I10,MAX(0,MAX(0,Inputs!$B$43-B635)-((R613-1)*(IF(Inputs!$B$38="pvp",15,MAX(0.1,Skills!D10-IF(Skills!E10=TRUE,Inputs!$B$32,0)))*(1-IF(AND(ArtifactsInput!$M$27,Inputs!$B$4="Chapter Hunt"),CHOOSE(ArtifactsInput!$N$27+1,20,24,28,32,36,40),0)/100)))))/Skills!H10,1)))/Inputs!$B$43),G613*Q613)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613*(1-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3">
        <f>IF(C613,(H613*N613*IF(AND(Inputs!$B$38&lt;&gt;"pvp",Inputs!$B$43&gt;0),((Skills!G10*((R613-1)*IF(Skills!H10&gt;0,Skills!I10/Skills!H10,1)+IF(Skills!H10&gt;0,MIN(Skills!I10,MAX(0,MAX(0,Inputs!$B$43-B635)-((R613-1)*(IF(Inputs!$B$38="pvp",15,MAX(0.1,Skills!D10-IF(Skills!E10=TRUE,Inputs!$B$32,0)))*(1-IF(AND(ArtifactsInput!$M$27,Inputs!$B$4="Chapter Hunt"),CHOOSE(ArtifactsInput!$N$27+1,20,24,28,32,36,40),0)/100)))))/Skills!H10,1)))/Inputs!$B$43),G613*Q613))*IF(Inputs!$B$38="pvp",1,(1+(Inputs!$B$21+Skills!Q10+(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Skills!A11</f>
        <v/>
      </c>
      <c r="B614">
        <f>Skills!B11</f>
        <v/>
      </c>
      <c r="C614">
        <f>Inputs!$B$3&gt;=113</f>
        <v/>
      </c>
      <c r="D614">
        <f>IF(Skills!C11=1,60+Inputs!$B$25+Inputs!$B$29,IF(Skills!C11=2,90+Inputs!$B$26+Inputs!$B$29,IF(Skills!C11=3,120+Inputs!$B$27+Inputs!$B$29,MAX(0,(Inputs!$B$3-100)*3)+Inputs!$B$28+Inputs!$B$29)))</f>
        <v/>
      </c>
      <c r="E614">
        <f>INDEX(FactorTable!$B$2:$Y$301, MATCH(ROUND(MIN(300,MAX(1,D614)),0), FactorTable!$A$2:$A$301,0), Skills!M11+1)</f>
        <v/>
      </c>
      <c r="F614">
        <f>IF(Skills!N11=TRUE,(Skills!L11/10)*(E614/1000),Skills!L11/10)+Skills!O11</f>
        <v/>
      </c>
      <c r="G614">
        <f>Skills!G11*IF(Skills!H11&gt;0,Skills!I11/Skills!H11,1)</f>
        <v/>
      </c>
      <c r="H614">
        <f>1-(1-Skills!J11/100)^Skills!K11</f>
        <v/>
      </c>
      <c r="I614" t="inlineStr">
        <is>
          <t>1</t>
        </is>
      </c>
      <c r="J614">
        <f>((Inputs!$B$6*(1+Inputs!$B$7/100))+(((Inputs!$B$12*(1+Inputs!$B$13/100))-(Inputs!$B$12*(1+Inputs!$B$13/100)))+0.25*(Inputs!$B$14-Inputs!$B$14))*(1+Inputs!$B$7/100))*(F614/100)</f>
        <v/>
      </c>
      <c r="K614">
        <f>J614*(1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614)</f>
        <v/>
      </c>
      <c r="L614">
        <f>K614*(MIN(Inputs!$B$22+((C623=TRUE)*(F623-Calc!F20)),(Inputs!$B$23+0+(IF(ArtifactsInput!$M$15,CHOOSE(ArtifactsInput!$N$15+1,25,30,35,40,45,50)/100*(Inputs!$B$11-Inputs!$B$11),0))))/100+(Inputs!$B$23+0+(IF(ArtifactsInput!$M$15,CHOOSE(ArtifactsInput!$N$15+1,25,30,35,40,45,50)/100*(Inputs!$B$11-Inputs!$B$11),0)))/100)/2</f>
        <v/>
      </c>
      <c r="M614">
        <f>L614*(1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4">
        <f>L614*(1-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614*(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4">
        <f>(1-Summary!$B$11)*T614+Summary!$B$11*V614</f>
        <v/>
      </c>
      <c r="P614">
        <f>IF(B638=0,0,O614/B638)</f>
        <v/>
      </c>
      <c r="Q614">
        <f>IFERROR(1/(IF(Inputs!$B$38="pvp",15,MAX(0.1,Skills!D11-IF(Skills!E11=TRUE,Inputs!$B$32,0)))*(1-IF(AND(ArtifactsInput!$M$27,Inputs!$B$4="Chapter Hunt"),CHOOSE(ArtifactsInput!$N$27+1,20,24,28,32,36,40),0)/100)),0)</f>
        <v/>
      </c>
      <c r="R614">
        <f>IF(AND(Inputs!$B$38&lt;&gt;"pvp",Inputs!$B$43&gt;0),IF(MAX(0,Inputs!$B$43-B635)&lt;=0,0,(INT(MAX(0,Inputs!$B$43-B635)/(IF(Inputs!$B$38="pvp",15,MAX(0.1,Skills!D11-IF(Skills!E11=TRUE,Inputs!$B$32,0)))*(1-IF(AND(ArtifactsInput!$M$27,Inputs!$B$4="Chapter Hunt"),CHOOSE(ArtifactsInput!$N$27+1,20,24,28,32,36,40),0)/100)))+1)),0)</f>
        <v/>
      </c>
      <c r="S614">
        <f>IFERROR(O614/N614,0)</f>
        <v/>
      </c>
      <c r="T614">
        <f>IF(C614,(H614*N614*IF(AND(Inputs!$B$38&lt;&gt;"pvp",Inputs!$B$43&gt;0),((Skills!G11*((R614-1)*IF(Skills!H11&gt;0,Skills!I11/Skills!H11,1)+IF(Skills!H11&gt;0,MIN(Skills!I11,MAX(0,MAX(0,Inputs!$B$43-B635)-((R614-1)*(IF(Inputs!$B$38="pvp",15,MAX(0.1,Skills!D11-IF(Skills!E11=TRUE,Inputs!$B$32,0)))*(1-IF(AND(ArtifactsInput!$M$27,Inputs!$B$4="Chapter Hunt"),CHOOSE(ArtifactsInput!$N$27+1,20,24,28,32,36,40),0)/100)))))/Skills!H11,1)))/Inputs!$B$43),G614*Q614)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614*(1-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614*(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614*(1-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614*(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4">
        <f>IF(C614,(H614*N614*IF(AND(Inputs!$B$38&lt;&gt;"pvp",Inputs!$B$43&gt;0),((Skills!G11*((R614-1)*IF(Skills!H11&gt;0,Skills!I11/Skills!H11,1)+IF(Skills!H11&gt;0,MIN(Skills!I11,MAX(0,MAX(0,Inputs!$B$43-B635)-((R614-1)*(IF(Inputs!$B$38="pvp",15,MAX(0.1,Skills!D11-IF(Skills!E11=TRUE,Inputs!$B$32,0)))*(1-IF(AND(ArtifactsInput!$M$27,Inputs!$B$4="Chapter Hunt"),CHOOSE(ArtifactsInput!$N$27+1,20,24,28,32,36,40),0)/100)))))/Skills!H11,1)))/Inputs!$B$43),G614*Q614))*IF(Inputs!$B$38="pvp",1,(1+(Inputs!$B$21+Skills!Q11+(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5">
      <c r="A615">
        <f>Skills!A12</f>
        <v/>
      </c>
      <c r="B615">
        <f>Skills!B12</f>
        <v/>
      </c>
      <c r="C615">
        <f>Inputs!$B$3&gt;=100</f>
        <v/>
      </c>
      <c r="D615">
        <f>IF(Skills!C12=1,60+Inputs!$B$25+Inputs!$B$29,IF(Skills!C12=2,90+Inputs!$B$26+Inputs!$B$29,IF(Skills!C12=3,120+Inputs!$B$27+Inputs!$B$29,MAX(0,(Inputs!$B$3-100)*3)+Inputs!$B$28+Inputs!$B$29)))</f>
        <v/>
      </c>
      <c r="E615">
        <f>INDEX(FactorTable!$B$2:$Y$301, MATCH(ROUND(MIN(300,MAX(1,D615)),0), FactorTable!$A$2:$A$301,0), Skills!M12+1)</f>
        <v/>
      </c>
      <c r="F615">
        <f>IF(Skills!N12=TRUE,(Skills!L12/10)*(E615/1000),Skills!L12/10)+Skills!O12</f>
        <v/>
      </c>
      <c r="G615" t="inlineStr"/>
      <c r="H615" t="inlineStr"/>
      <c r="I615" t="inlineStr">
        <is>
          <t>1</t>
        </is>
      </c>
      <c r="J615" t="inlineStr"/>
      <c r="K615" t="inlineStr"/>
      <c r="L615" t="inlineStr"/>
      <c r="M615" t="inlineStr"/>
      <c r="N615" t="inlineStr"/>
      <c r="O615" t="inlineStr"/>
      <c r="P615" t="inlineStr"/>
      <c r="Q615" t="inlineStr"/>
      <c r="R615" t="inlineStr"/>
      <c r="S615" t="inlineStr"/>
      <c r="T615" t="inlineStr"/>
      <c r="V615" t="inlineStr"/>
    </row>
    <row r="616">
      <c r="A616">
        <f>Skills!A13</f>
        <v/>
      </c>
      <c r="B616">
        <f>Skills!B13</f>
        <v/>
      </c>
      <c r="C616">
        <f>Inputs!$B$3&gt;=66</f>
        <v/>
      </c>
      <c r="D616">
        <f>IF(Skills!C13=1,60+Inputs!$B$25+Inputs!$B$29,IF(Skills!C13=2,90+Inputs!$B$26+Inputs!$B$29,IF(Skills!C13=3,120+Inputs!$B$27+Inputs!$B$29,MAX(0,(Inputs!$B$3-100)*3)+Inputs!$B$28+Inputs!$B$29)))</f>
        <v/>
      </c>
      <c r="E616">
        <f>INDEX(FactorTable!$B$2:$Y$301, MATCH(ROUND(MIN(300,MAX(1,D616)),0), FactorTable!$A$2:$A$301,0), Skills!M13+1)</f>
        <v/>
      </c>
      <c r="F616">
        <f>IF(Skills!N13=TRUE,(Skills!L13/10)*(E616/1000),Skills!L13/10)+Skills!O13</f>
        <v/>
      </c>
      <c r="G616">
        <f>Skills!G13*IF(Skills!H13&gt;0,Skills!I13/Skills!H13,1)</f>
        <v/>
      </c>
      <c r="H616">
        <f>1-(1-Skills!J13/100)^Skills!K13</f>
        <v/>
      </c>
      <c r="I616" t="inlineStr">
        <is>
          <t>1</t>
        </is>
      </c>
      <c r="J616" t="inlineStr"/>
      <c r="K616" t="inlineStr"/>
      <c r="L616" t="inlineStr"/>
      <c r="M616" t="inlineStr"/>
      <c r="N616" t="inlineStr"/>
      <c r="O616">
        <f>(1-Summary!$B$11)*T616+Summary!$B$11*V616</f>
        <v/>
      </c>
      <c r="P616">
        <f>IF(B638=0,0,O616/B638)</f>
        <v/>
      </c>
      <c r="Q616" t="n">
        <v>0</v>
      </c>
      <c r="R616" t="n">
        <v>0</v>
      </c>
      <c r="S616">
        <f>IFERROR(O616/N616,0)</f>
        <v/>
      </c>
      <c r="T616" t="n">
        <v>0</v>
      </c>
      <c r="V616" t="n">
        <v>0</v>
      </c>
    </row>
    <row r="617">
      <c r="A617">
        <f>Skills!A14</f>
        <v/>
      </c>
      <c r="B617">
        <f>Skills!B14</f>
        <v/>
      </c>
      <c r="C617">
        <f>Inputs!$B$3&gt;=107</f>
        <v/>
      </c>
      <c r="D617">
        <f>IF(Skills!C14=1,60+Inputs!$B$25+Inputs!$B$29,IF(Skills!C14=2,90+Inputs!$B$26+Inputs!$B$29,IF(Skills!C14=3,120+Inputs!$B$27+Inputs!$B$29,MAX(0,(Inputs!$B$3-100)*3)+Inputs!$B$28+Inputs!$B$29)))</f>
        <v/>
      </c>
      <c r="E617">
        <f>INDEX(FactorTable!$B$2:$Y$301, MATCH(ROUND(MIN(300,MAX(1,D617)),0), FactorTable!$A$2:$A$301,0), Skills!M14+1)</f>
        <v/>
      </c>
      <c r="F617">
        <f>IF(Skills!N14=TRUE,(Skills!L14/10)*(E617/1000),Skills!L14/10)+Skills!O14</f>
        <v/>
      </c>
      <c r="G617">
        <f>Skills!G14*IF(Skills!H14&gt;0,Skills!I14/Skills!H14,1)</f>
        <v/>
      </c>
      <c r="H617">
        <f>1-(1-Skills!J14/100)^Skills!K14</f>
        <v/>
      </c>
      <c r="I617" t="inlineStr">
        <is>
          <t>1</t>
        </is>
      </c>
      <c r="J617" t="inlineStr"/>
      <c r="K617" t="inlineStr"/>
      <c r="L617" t="inlineStr"/>
      <c r="M617" t="inlineStr"/>
      <c r="N617" t="inlineStr"/>
      <c r="O617">
        <f>(1-Summary!$B$11)*T617+Summary!$B$11*V617</f>
        <v/>
      </c>
      <c r="P617">
        <f>IF(B638=0,0,O617/B638)</f>
        <v/>
      </c>
      <c r="Q617" t="n">
        <v>0</v>
      </c>
      <c r="R617" t="n">
        <v>0</v>
      </c>
      <c r="S617">
        <f>IFERROR(O617/N617,0)</f>
        <v/>
      </c>
      <c r="T617" t="n">
        <v>0</v>
      </c>
      <c r="V617" t="n">
        <v>0</v>
      </c>
    </row>
    <row r="618">
      <c r="A618">
        <f>Skills!A15</f>
        <v/>
      </c>
      <c r="B618">
        <f>Skills!B15</f>
        <v/>
      </c>
      <c r="C618">
        <f>Inputs!$B$3&gt;=115</f>
        <v/>
      </c>
      <c r="D618">
        <f>IF(Skills!C15=1,60+Inputs!$B$25+Inputs!$B$29,IF(Skills!C15=2,90+Inputs!$B$26+Inputs!$B$29,IF(Skills!C15=3,120+Inputs!$B$27+Inputs!$B$29,MAX(0,(Inputs!$B$3-100)*3)+Inputs!$B$28+Inputs!$B$29)))</f>
        <v/>
      </c>
      <c r="E618">
        <f>INDEX(FactorTable!$B$2:$Y$301, MATCH(ROUND(MIN(300,MAX(1,D618)),0), FactorTable!$A$2:$A$301,0), Skills!M15+1)</f>
        <v/>
      </c>
      <c r="F618">
        <f>IF(Skills!N15=TRUE,(Skills!L15/10)*(E618/1000),Skills!L15/10)+Skills!O15</f>
        <v/>
      </c>
      <c r="G618">
        <f>Skills!G15*IF(Skills!H15&gt;0,Skills!I15/Skills!H15,1)</f>
        <v/>
      </c>
      <c r="H618">
        <f>1-(1-Skills!J15/100)^Skills!K15</f>
        <v/>
      </c>
      <c r="I618" t="inlineStr">
        <is>
          <t>1</t>
        </is>
      </c>
      <c r="J618" t="inlineStr"/>
      <c r="K618" t="inlineStr"/>
      <c r="L618" t="inlineStr"/>
      <c r="M618" t="inlineStr"/>
      <c r="N618" t="inlineStr"/>
      <c r="O618">
        <f>(1-Summary!$B$11)*T618+Summary!$B$11*V618</f>
        <v/>
      </c>
      <c r="P618">
        <f>IF(B638=0,0,O618/B638)</f>
        <v/>
      </c>
      <c r="Q618" t="n">
        <v>0</v>
      </c>
      <c r="R618" t="n">
        <v>0</v>
      </c>
      <c r="S618">
        <f>IFERROR(O618/N618,0)</f>
        <v/>
      </c>
      <c r="T618" t="n">
        <v>0</v>
      </c>
      <c r="V618" t="n">
        <v>0</v>
      </c>
    </row>
    <row r="619">
      <c r="A619">
        <f>Skills!A16</f>
        <v/>
      </c>
      <c r="B619">
        <f>Skills!B16</f>
        <v/>
      </c>
      <c r="C619">
        <f>Inputs!$B$3&gt;=15</f>
        <v/>
      </c>
      <c r="D619">
        <f>IF(Skills!C16=1,60+Inputs!$B$25+Inputs!$B$29,IF(Skills!C16=2,90+Inputs!$B$26+Inputs!$B$29,IF(Skills!C16=3,120+Inputs!$B$27+Inputs!$B$29,MAX(0,(Inputs!$B$3-100)*3)+Inputs!$B$28+Inputs!$B$29)))</f>
        <v/>
      </c>
      <c r="E619">
        <f>INDEX(FactorTable!$B$2:$Y$301, MATCH(ROUND(MIN(300,MAX(1,D619)),0), FactorTable!$A$2:$A$301,0), Skills!M16+1)</f>
        <v/>
      </c>
      <c r="F619">
        <f>IF(Skills!N16=TRUE,(Skills!L16/10)*(E619/1000),Skills!L16/10)+Skills!O16</f>
        <v/>
      </c>
      <c r="G619">
        <f>Skills!G16*IF(Skills!H16&gt;0,Skills!I16/Skills!H16,1)</f>
        <v/>
      </c>
      <c r="H619">
        <f>1-(1-Skills!J16/100)^Skills!K16</f>
        <v/>
      </c>
      <c r="I619" t="inlineStr">
        <is>
          <t>1</t>
        </is>
      </c>
      <c r="J619" t="inlineStr"/>
      <c r="K619" t="inlineStr"/>
      <c r="L619" t="inlineStr"/>
      <c r="M619" t="inlineStr"/>
      <c r="N619" t="inlineStr"/>
      <c r="O619">
        <f>(1-Summary!$B$11)*T619+Summary!$B$11*V619</f>
        <v/>
      </c>
      <c r="P619">
        <f>IF(B638=0,0,O619/B638)</f>
        <v/>
      </c>
      <c r="Q619" t="n">
        <v>0</v>
      </c>
      <c r="R619" t="n">
        <v>0</v>
      </c>
      <c r="S619">
        <f>IFERROR(O619/N619,0)</f>
        <v/>
      </c>
      <c r="T619" t="n">
        <v>0</v>
      </c>
      <c r="V619" t="n">
        <v>0</v>
      </c>
    </row>
    <row r="620">
      <c r="A620">
        <f>Skills!A17</f>
        <v/>
      </c>
      <c r="B620">
        <f>Skills!B17</f>
        <v/>
      </c>
      <c r="C620">
        <f>Inputs!$B$3&gt;=10</f>
        <v/>
      </c>
      <c r="D620">
        <f>IF(Skills!C17=1,60+Inputs!$B$25+Inputs!$B$29,IF(Skills!C17=2,90+Inputs!$B$26+Inputs!$B$29,IF(Skills!C17=3,120+Inputs!$B$27+Inputs!$B$29,MAX(0,(Inputs!$B$3-100)*3)+Inputs!$B$28+Inputs!$B$29)))</f>
        <v/>
      </c>
      <c r="E620">
        <f>INDEX(FactorTable!$B$2:$Y$301, MATCH(ROUND(MIN(300,MAX(1,D620)),0), FactorTable!$A$2:$A$301,0), Skills!M17+1)</f>
        <v/>
      </c>
      <c r="F620">
        <f>IF(Skills!N17=TRUE,(Skills!L17/10)*(E620/1000),Skills!L17/10)+Skills!O17</f>
        <v/>
      </c>
      <c r="G620">
        <f>Skills!G17*IF(Skills!H17&gt;0,Skills!I17/Skills!H17,1)</f>
        <v/>
      </c>
      <c r="H620">
        <f>1-(1-Skills!J17/100)^Skills!K17</f>
        <v/>
      </c>
      <c r="I620" t="inlineStr">
        <is>
          <t>1</t>
        </is>
      </c>
      <c r="J620" t="inlineStr"/>
      <c r="K620" t="inlineStr"/>
      <c r="L620" t="inlineStr"/>
      <c r="M620" t="inlineStr"/>
      <c r="N620" t="inlineStr"/>
      <c r="O620">
        <f>(1-Summary!$B$11)*T620+Summary!$B$11*V620</f>
        <v/>
      </c>
      <c r="P620">
        <f>IF(B638=0,0,O620/B638)</f>
        <v/>
      </c>
      <c r="Q620" t="n">
        <v>0</v>
      </c>
      <c r="R620" t="n">
        <v>0</v>
      </c>
      <c r="S620">
        <f>IFERROR(O620/N620,0)</f>
        <v/>
      </c>
      <c r="T620" t="n">
        <v>0</v>
      </c>
      <c r="V620" t="n">
        <v>0</v>
      </c>
    </row>
    <row r="621">
      <c r="A621">
        <f>Skills!A18</f>
        <v/>
      </c>
      <c r="B621">
        <f>Skills!B18</f>
        <v/>
      </c>
      <c r="C621">
        <f>Inputs!$B$3&gt;=33</f>
        <v/>
      </c>
      <c r="D621">
        <f>IF(Skills!C18=1,60+Inputs!$B$25+Inputs!$B$29,IF(Skills!C18=2,90+Inputs!$B$26+Inputs!$B$29,IF(Skills!C18=3,120+Inputs!$B$27+Inputs!$B$29,MAX(0,(Inputs!$B$3-100)*3)+Inputs!$B$28+Inputs!$B$29)))</f>
        <v/>
      </c>
      <c r="E621">
        <f>INDEX(FactorTable!$B$2:$Y$301, MATCH(ROUND(MIN(300,MAX(1,D621)),0), FactorTable!$A$2:$A$301,0), Skills!M18+1)</f>
        <v/>
      </c>
      <c r="F621">
        <f>IF(Skills!N18=TRUE,(Skills!L18/10)*(E621/1000),Skills!L18/10)+Skills!O18</f>
        <v/>
      </c>
      <c r="G621">
        <f>Skills!G18*IF(Skills!H18&gt;0,Skills!I18/Skills!H18,1)</f>
        <v/>
      </c>
      <c r="H621">
        <f>1-(1-Skills!J18/100)^Skills!K18</f>
        <v/>
      </c>
      <c r="I621" t="inlineStr">
        <is>
          <t>1</t>
        </is>
      </c>
      <c r="J621" t="inlineStr"/>
      <c r="K621" t="inlineStr"/>
      <c r="L621" t="inlineStr"/>
      <c r="M621" t="inlineStr"/>
      <c r="N621" t="inlineStr"/>
      <c r="O621">
        <f>(1-Summary!$B$11)*T621+Summary!$B$11*V621</f>
        <v/>
      </c>
      <c r="P621">
        <f>IF(B638=0,0,O621/B638)</f>
        <v/>
      </c>
      <c r="Q621" t="n">
        <v>0</v>
      </c>
      <c r="R621" t="n">
        <v>0</v>
      </c>
      <c r="S621">
        <f>IFERROR(O621/N621,0)</f>
        <v/>
      </c>
      <c r="T621" t="n">
        <v>0</v>
      </c>
      <c r="V621" t="n">
        <v>0</v>
      </c>
    </row>
    <row r="622">
      <c r="A622">
        <f>Skills!A19</f>
        <v/>
      </c>
      <c r="B622">
        <f>Skills!B19</f>
        <v/>
      </c>
      <c r="C622">
        <f>Inputs!$B$3&gt;=40</f>
        <v/>
      </c>
      <c r="D622">
        <f>IF(Skills!C19=1,60+Inputs!$B$25+Inputs!$B$29,IF(Skills!C19=2,90+Inputs!$B$26+Inputs!$B$29,IF(Skills!C19=3,120+Inputs!$B$27+Inputs!$B$29,MAX(0,(Inputs!$B$3-100)*3)+Inputs!$B$28+Inputs!$B$29)))</f>
        <v/>
      </c>
      <c r="E622">
        <f>INDEX(FactorTable!$B$2:$Y$301, MATCH(ROUND(MIN(300,MAX(1,D622)),0), FactorTable!$A$2:$A$301,0), Skills!M19+1)</f>
        <v/>
      </c>
      <c r="F622">
        <f>IF(Skills!N19=TRUE,(Skills!L19/10)*(E622/1000),Skills!L19/10)+Skills!O19</f>
        <v/>
      </c>
      <c r="G622">
        <f>Skills!G19*IF(Skills!H19&gt;0,Skills!I19/Skills!H19,1)</f>
        <v/>
      </c>
      <c r="H622">
        <f>1-(1-Skills!J19/100)^Skills!K19</f>
        <v/>
      </c>
      <c r="I622" t="inlineStr">
        <is>
          <t>1</t>
        </is>
      </c>
      <c r="J622" t="inlineStr"/>
      <c r="K622" t="inlineStr"/>
      <c r="L622" t="inlineStr"/>
      <c r="M622" t="inlineStr"/>
      <c r="N622" t="inlineStr"/>
      <c r="O622">
        <f>(1-Summary!$B$11)*T622+Summary!$B$11*V622</f>
        <v/>
      </c>
      <c r="P622">
        <f>IF(B638=0,0,O622/B638)</f>
        <v/>
      </c>
      <c r="Q622" t="n">
        <v>0</v>
      </c>
      <c r="R622" t="n">
        <v>0</v>
      </c>
      <c r="S622">
        <f>IFERROR(O622/N622,0)</f>
        <v/>
      </c>
      <c r="T622" t="n">
        <v>0</v>
      </c>
      <c r="V622" t="n">
        <v>0</v>
      </c>
    </row>
    <row r="623">
      <c r="A623">
        <f>Skills!A20</f>
        <v/>
      </c>
      <c r="B623">
        <f>Skills!B20</f>
        <v/>
      </c>
      <c r="C623">
        <f>Inputs!$B$3&gt;=43</f>
        <v/>
      </c>
      <c r="D623">
        <f>IF(Skills!C20=1,60+Inputs!$B$25+Inputs!$B$29,IF(Skills!C20=2,90+Inputs!$B$26+Inputs!$B$29,IF(Skills!C20=3,120+Inputs!$B$27+Inputs!$B$29,MAX(0,(Inputs!$B$3-100)*3)+Inputs!$B$28+Inputs!$B$29)))</f>
        <v/>
      </c>
      <c r="E623">
        <f>INDEX(FactorTable!$B$2:$Y$301, MATCH(ROUND(MIN(300,MAX(1,D623)),0), FactorTable!$A$2:$A$301,0), Skills!M20+1)</f>
        <v/>
      </c>
      <c r="F623">
        <f>IF(Skills!N20=TRUE,(Skills!L20/10)*(E623/1000),Skills!L20/10)+Skills!O20</f>
        <v/>
      </c>
      <c r="G623">
        <f>Skills!G20*IF(Skills!H20&gt;0,Skills!I20/Skills!H20,1)</f>
        <v/>
      </c>
      <c r="H623">
        <f>1-(1-Skills!J20/100)^Skills!K20</f>
        <v/>
      </c>
      <c r="I623" t="inlineStr">
        <is>
          <t>1</t>
        </is>
      </c>
      <c r="J623" t="inlineStr"/>
      <c r="K623" t="inlineStr"/>
      <c r="L623" t="inlineStr"/>
      <c r="M623" t="inlineStr"/>
      <c r="N623" t="inlineStr"/>
      <c r="O623">
        <f>(1-Summary!$B$11)*T623+Summary!$B$11*V623</f>
        <v/>
      </c>
      <c r="P623">
        <f>IF(B638=0,0,O623/B638)</f>
        <v/>
      </c>
      <c r="Q623" t="n">
        <v>0</v>
      </c>
      <c r="R623" t="n">
        <v>0</v>
      </c>
      <c r="S623">
        <f>IFERROR(O623/N623,0)</f>
        <v/>
      </c>
      <c r="T623" t="n">
        <v>0</v>
      </c>
      <c r="V623" t="n">
        <v>0</v>
      </c>
    </row>
    <row r="624">
      <c r="A624">
        <f>Skills!A21</f>
        <v/>
      </c>
      <c r="B624">
        <f>Skills!B21</f>
        <v/>
      </c>
      <c r="C624">
        <f>Inputs!$B$3&gt;=38</f>
        <v/>
      </c>
      <c r="D624">
        <f>IF(Skills!C21=1,60+Inputs!$B$25+Inputs!$B$29,IF(Skills!C21=2,90+Inputs!$B$26+Inputs!$B$29,IF(Skills!C21=3,120+Inputs!$B$27+Inputs!$B$29,MAX(0,(Inputs!$B$3-100)*3)+Inputs!$B$28+Inputs!$B$29)))</f>
        <v/>
      </c>
      <c r="E624">
        <f>INDEX(FactorTable!$B$2:$Y$301, MATCH(ROUND(MIN(300,MAX(1,D624)),0), FactorTable!$A$2:$A$301,0), Skills!M21+1)</f>
        <v/>
      </c>
      <c r="F624">
        <f>IF(Skills!N21=TRUE,(Skills!L21/10)*(E624/1000),Skills!L21/10)+Skills!O21</f>
        <v/>
      </c>
      <c r="G624">
        <f>Skills!G21*IF(Skills!H21&gt;0,Skills!I21/Skills!H21,1)</f>
        <v/>
      </c>
      <c r="H624">
        <f>1-(1-Skills!J21/100)^Skills!K21</f>
        <v/>
      </c>
      <c r="I624" t="inlineStr">
        <is>
          <t>1</t>
        </is>
      </c>
      <c r="J624" t="inlineStr"/>
      <c r="K624" t="inlineStr"/>
      <c r="L624" t="inlineStr"/>
      <c r="M624" t="inlineStr"/>
      <c r="N624" t="inlineStr"/>
      <c r="O624">
        <f>(1-Summary!$B$11)*T624+Summary!$B$11*V624</f>
        <v/>
      </c>
      <c r="P624">
        <f>IF(B638=0,0,O624/B638)</f>
        <v/>
      </c>
      <c r="Q624" t="n">
        <v>0</v>
      </c>
      <c r="R624" t="n">
        <v>0</v>
      </c>
      <c r="S624">
        <f>IFERROR(O624/N624,0)</f>
        <v/>
      </c>
      <c r="T624" t="n">
        <v>0</v>
      </c>
      <c r="V624" t="n">
        <v>0</v>
      </c>
    </row>
    <row r="625">
      <c r="A625">
        <f>Skills!A22</f>
        <v/>
      </c>
      <c r="B625">
        <f>Skills!B22</f>
        <v/>
      </c>
      <c r="C625">
        <f>Inputs!$B$3&gt;=75</f>
        <v/>
      </c>
      <c r="D625">
        <f>IF(Skills!C22=1,60+Inputs!$B$25+Inputs!$B$29,IF(Skills!C22=2,90+Inputs!$B$26+Inputs!$B$29,IF(Skills!C22=3,120+Inputs!$B$27+Inputs!$B$29,MAX(0,(Inputs!$B$3-100)*3)+Inputs!$B$28+Inputs!$B$29)))</f>
        <v/>
      </c>
      <c r="E625">
        <f>INDEX(FactorTable!$B$2:$Y$301, MATCH(ROUND(MIN(300,MAX(1,D625)),0), FactorTable!$A$2:$A$301,0), Skills!M22+1)</f>
        <v/>
      </c>
      <c r="F625">
        <f>IF(Skills!N22=TRUE,(Skills!L22/10)*(E625/1000),Skills!L22/10)+Skills!O22</f>
        <v/>
      </c>
      <c r="G625">
        <f>Skills!G22*IF(Skills!H22&gt;0,Skills!I22/Skills!H22,1)</f>
        <v/>
      </c>
      <c r="H625">
        <f>1-(1-Skills!J22/100)^Skills!K22</f>
        <v/>
      </c>
      <c r="I625" t="inlineStr">
        <is>
          <t>1</t>
        </is>
      </c>
      <c r="J625" t="inlineStr"/>
      <c r="K625" t="inlineStr"/>
      <c r="L625" t="inlineStr"/>
      <c r="M625" t="inlineStr"/>
      <c r="N625" t="inlineStr"/>
      <c r="O625">
        <f>(1-Summary!$B$11)*T625+Summary!$B$11*V625</f>
        <v/>
      </c>
      <c r="P625">
        <f>IF(B638=0,0,O625/B638)</f>
        <v/>
      </c>
      <c r="Q625" t="n">
        <v>0</v>
      </c>
      <c r="R625" t="n">
        <v>0</v>
      </c>
      <c r="S625">
        <f>IFERROR(O625/N625,0)</f>
        <v/>
      </c>
      <c r="T625" t="n">
        <v>0</v>
      </c>
      <c r="V625" t="n">
        <v>0</v>
      </c>
    </row>
    <row r="627">
      <c r="A627" t="inlineStr">
        <is>
          <t>Attack% Bucket Multiplier</t>
        </is>
      </c>
      <c r="B627">
        <f>(1+(((C616=TRUE)*F616)+((C622=TRUE)*(F622-Calc!F19))+(IF(ArtifactsInput!$M$21,CHOOSE(ArtifactsInput!$N$21+1,25,30,35,40,45,50)*(IF(OR(Inputs!$B$4="Chapter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28">
      <c r="A628" t="inlineStr">
        <is>
          <t>Global Crit Rate Bonus %</t>
        </is>
      </c>
      <c r="B628" t="n">
        <v>0</v>
      </c>
    </row>
    <row r="629">
      <c r="A629" t="inlineStr">
        <is>
          <t>Attack Speed Buff Bonus % (unused)</t>
        </is>
      </c>
      <c r="B629" t="n">
        <v>0</v>
      </c>
    </row>
    <row r="630">
      <c r="A630" t="inlineStr">
        <is>
          <t>Actions Per Second</t>
        </is>
      </c>
      <c r="B630">
        <f>1+MIN(150,150*(1-(1-(Inputs!$B$11+((C620=TRUE)*(F620-Calc!F17))+((C621=TRUE)*(F621-Calc!F18)))/150)*(1-B629/150)))/100</f>
        <v/>
      </c>
    </row>
    <row r="631">
      <c r="A631" t="inlineStr">
        <is>
          <t>Skill + Buff Cast Rate</t>
        </is>
      </c>
      <c r="B631">
        <f>IF(AND(Inputs!$B$38&lt;&gt;"pvp",Inputs!$B$43&gt;0),SUMPRODUCT((Skills!E2:E22=TRUE)*(C605:C625=TRUE)*R605:R625*Skills!F2:F22)/Inputs!$B$43,SUMPRODUCT((Skills!E2:E22=TRUE)*(C605:C625=TRUE)*Q605:Q625*Skills!F2:F22))</f>
        <v/>
      </c>
    </row>
    <row r="632">
      <c r="A632" t="inlineStr">
        <is>
          <t>Hook Bomber Casts Per Second</t>
        </is>
      </c>
      <c r="B632">
        <f>MAX(0,B630-B631)</f>
        <v/>
      </c>
    </row>
    <row r="633">
      <c r="A633" t="inlineStr">
        <is>
          <t>Global Critical Damage Bonus % (unused)</t>
        </is>
      </c>
      <c r="B633" t="n">
        <v>0</v>
      </c>
    </row>
    <row r="634">
      <c r="A634" t="inlineStr">
        <is>
          <t>Global Final Damage Bonus % (Serpent Scale + Crossbones + Time Leap + Speed Infusion)</t>
        </is>
      </c>
      <c r="B634">
        <f>((C608=TRUE)*F608*((10+IF(Inputs!$B$3&gt;=94,5,0))/((10+IF(Inputs!$B$3&gt;=94,5,0))+5/(B632*(1+IF(Inputs!$B$3&gt;=104,1,0))))))+((C617=TRUE)*F617)+((C618=TRUE)*F618)+((Inputs!$B$3&gt;=110)*20*(B630-1))</f>
        <v/>
      </c>
    </row>
    <row r="635">
      <c r="A635" t="inlineStr">
        <is>
          <t>Buff-Casting Startup Delay (s, fixed-duration only)</t>
        </is>
      </c>
      <c r="B635">
        <f>IF(AND(Inputs!$B$38&lt;&gt;"pvp",Inputs!$B$43&gt;0),SUMPRODUCT((Skills!T2:T22&gt;0)*(Skills!E2:E22=TRUE)*(C605:C625=TRUE))/B630,0)</f>
        <v/>
      </c>
    </row>
    <row r="636">
      <c r="A636" t="inlineStr">
        <is>
          <t>Boss-Only Total DPS (this block's swept value)</t>
        </is>
      </c>
      <c r="B636">
        <f>SUM(T605:T625)</f>
        <v/>
      </c>
    </row>
    <row r="637">
      <c r="A637" t="inlineStr">
        <is>
          <t>Normal-Only Total DPS (this block's swept value)</t>
        </is>
      </c>
      <c r="B637">
        <f>SUM(V605:V625)</f>
        <v/>
      </c>
    </row>
    <row r="638">
      <c r="A638" s="6" t="inlineStr">
        <is>
          <t>TOTAL DPS</t>
        </is>
      </c>
      <c r="B638" s="6">
        <f>SUM(O605:O625)</f>
        <v/>
      </c>
    </row>
    <row r="641">
      <c r="A641" s="6" t="inlineStr">
        <is>
          <t>Stat: SKILL_DAMAGE %</t>
        </is>
      </c>
    </row>
    <row r="642">
      <c r="A642" s="5" t="inlineStr">
        <is>
          <t>Key</t>
        </is>
      </c>
      <c r="B642" s="5" t="inlineStr">
        <is>
          <t>Name</t>
        </is>
      </c>
      <c r="C642" s="5" t="inlineStr">
        <is>
          <t>Unlocked</t>
        </is>
      </c>
      <c r="D642" s="5" t="inlineStr">
        <is>
          <t>InputLevel</t>
        </is>
      </c>
      <c r="E642" s="5" t="inlineStr">
        <is>
          <t>Factor</t>
        </is>
      </c>
      <c r="F642" s="5" t="inlineStr">
        <is>
          <t>CoefficientPercent</t>
        </is>
      </c>
      <c r="G642" s="5" t="inlineStr">
        <is>
          <t>EffectiveHits</t>
        </is>
      </c>
      <c r="H642" s="5" t="inlineStr">
        <is>
          <t>ProcProbability</t>
        </is>
      </c>
      <c r="I642" s="5" t="inlineStr">
        <is>
          <t>MapleHeroMultiplier</t>
        </is>
      </c>
      <c r="J642" s="5" t="inlineStr">
        <is>
          <t>BaseDamage</t>
        </is>
      </c>
      <c r="K642" s="5" t="inlineStr">
        <is>
          <t>BaseHitDamage</t>
        </is>
      </c>
      <c r="L642" s="5" t="inlineStr">
        <is>
          <t>NonCritAvg</t>
        </is>
      </c>
      <c r="M642" s="5" t="inlineStr">
        <is>
          <t>CritAvg</t>
        </is>
      </c>
      <c r="N642" s="5" t="inlineStr">
        <is>
          <t>ExpectedDamage(perHit)</t>
        </is>
      </c>
      <c r="O642" s="5" t="inlineStr">
        <is>
          <t>DPS</t>
        </is>
      </c>
      <c r="P642" s="5" t="inlineStr">
        <is>
          <t>% of Total</t>
        </is>
      </c>
      <c r="Q642" s="5" t="inlineStr">
        <is>
          <t>InvCooldown</t>
        </is>
      </c>
      <c r="R642" s="5" t="inlineStr">
        <is>
          <t>CastsInFight</t>
        </is>
      </c>
      <c r="S642" s="5" t="inlineStr">
        <is>
          <t>HitRate(perSec)</t>
        </is>
      </c>
      <c r="U642" t="inlineStr">
        <is>
          <t>helpers</t>
        </is>
      </c>
    </row>
    <row r="643">
      <c r="A643">
        <f>Skills!A2</f>
        <v/>
      </c>
      <c r="B643">
        <f>Skills!B2</f>
        <v/>
      </c>
      <c r="C643">
        <f>Inputs!$B$3&gt;=100</f>
        <v/>
      </c>
      <c r="D643" t="inlineStr"/>
      <c r="E643" t="inlineStr"/>
      <c r="F643">
        <f>U645+Skills!O2</f>
        <v/>
      </c>
      <c r="G643">
        <f>Skills!G2*IF(Skills!H2&gt;0,Skills!I2/Skills!H2,1)</f>
        <v/>
      </c>
      <c r="H643">
        <f>1-(1-Skills!J2/100)^Skills!K2</f>
        <v/>
      </c>
      <c r="I643" t="inlineStr">
        <is>
          <t>1</t>
        </is>
      </c>
      <c r="J643">
        <f>((Inputs!$B$6*(1+Inputs!$B$7/100))+(((Inputs!$B$12*(1+Inputs!$B$13/100))-(Inputs!$B$12*(1+Inputs!$B$13/100)))+0.25*(Inputs!$B$14-Inputs!$B$14))*(1+Inputs!$B$7/100))*(F643/100)</f>
        <v/>
      </c>
      <c r="K643">
        <f>J643*(1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643)</f>
        <v/>
      </c>
      <c r="L643">
        <f>K643*(MIN(Inputs!$B$22+((C661=TRUE)*(F661-Calc!F20)),(Inputs!$B$23+0+(IF(ArtifactsInput!$M$15,CHOOSE(ArtifactsInput!$N$15+1,25,30,35,40,45,50)/100*(Inputs!$B$11-Inputs!$B$11),0))))/100+(Inputs!$B$23+0+(IF(ArtifactsInput!$M$15,CHOOSE(ArtifactsInput!$N$15+1,25,30,35,40,45,50)/100*(Inputs!$B$11-Inputs!$B$11),0)))/100)/2</f>
        <v/>
      </c>
      <c r="M643">
        <f>L643*(1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3">
        <f>L643*(1-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643*(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3">
        <f>(1-Summary!$B$11)*T643+Summary!$B$11*V643</f>
        <v/>
      </c>
      <c r="P643">
        <f>IF(B676=0,0,O643/B676)</f>
        <v/>
      </c>
      <c r="Q643" t="n">
        <v>0</v>
      </c>
      <c r="R643" t="n">
        <v>0</v>
      </c>
      <c r="S643">
        <f>IFERROR(O643/N643,0)</f>
        <v/>
      </c>
      <c r="T643">
        <f>IF(C643,(Skills!G2*N643*B670)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643*(1-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643*(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643*(1-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643*(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3">
        <f>MAX(0,(Inputs!$B$3-100)*3)+Inputs!$B$28+Inputs!$B$29</f>
        <v/>
      </c>
      <c r="V643">
        <f>IF(C643,(Skills!G2*N643*B670)*IF(Inputs!$B$38="pvp",1,(1+(Inputs!$B$21+Skills!Q2+(IF(ArtifactsInput!$M$33,CHOOSE(ArtifactsInput!$N$33+1,30,36,42,48,54,60),0))+(IF(AND(ArtifactsInput!$M$35,Inputs!$B$4&lt;&gt;"Chapter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4">
      <c r="A644">
        <f>Skills!A3</f>
        <v/>
      </c>
      <c r="B644">
        <f>Skills!B3</f>
        <v/>
      </c>
      <c r="C644">
        <f>Inputs!$B$3&gt;=35</f>
        <v/>
      </c>
      <c r="D644">
        <f>IF(Skills!C3=1,60+Inputs!$B$25+Inputs!$B$29,IF(Skills!C3=2,90+Inputs!$B$26+Inputs!$B$29,IF(Skills!C3=3,120+Inputs!$B$27+Inputs!$B$29,MAX(0,(Inputs!$B$3-100)*3)+Inputs!$B$28+Inputs!$B$29)))</f>
        <v/>
      </c>
      <c r="E644">
        <f>INDEX(FactorTable!$B$2:$Y$301, MATCH(ROUND(MIN(300,MAX(1,D644)),0), FactorTable!$A$2:$A$301,0), Skills!M3+1)</f>
        <v/>
      </c>
      <c r="F644">
        <f>IF(Skills!N3=TRUE,(Skills!L3/10)*(E644/1000),Skills!L3/10)+Skills!O3</f>
        <v/>
      </c>
      <c r="G644">
        <f>Skills!G3*IF(Skills!H3&gt;0,Skills!I3/Skills!H3,1)</f>
        <v/>
      </c>
      <c r="H644">
        <f>1-(1-Skills!J3/100)^Skills!K3</f>
        <v/>
      </c>
      <c r="I644" t="inlineStr">
        <is>
          <t>1</t>
        </is>
      </c>
      <c r="J644">
        <f>((Inputs!$B$6*(1+Inputs!$B$7/100))+(((Inputs!$B$12*(1+Inputs!$B$13/100))-(Inputs!$B$12*(1+Inputs!$B$13/100)))+0.25*(Inputs!$B$14-Inputs!$B$14))*(1+Inputs!$B$7/100))*(F644/100)</f>
        <v/>
      </c>
      <c r="K644">
        <f>J644*(1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
      </c>
      <c r="L644">
        <f>K644*(MIN(Inputs!$B$22+((C661=TRUE)*(F661-Calc!F20)),(Inputs!$B$23+0+(IF(ArtifactsInput!$M$15,CHOOSE(ArtifactsInput!$N$15+1,25,30,35,40,45,50)/100*(Inputs!$B$11-Inputs!$B$11),0))))/100+(Inputs!$B$23+0+(IF(ArtifactsInput!$M$15,CHOOSE(ArtifactsInput!$N$15+1,25,30,35,40,45,50)/100*(Inputs!$B$11-Inputs!$B$11),0)))/100)/2</f>
        <v/>
      </c>
      <c r="M644">
        <f>L644*(1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4">
        <f>L644*(1-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4">
        <f>(1-Summary!$B$11)*T644+Summary!$B$11*V644</f>
        <v/>
      </c>
      <c r="P644">
        <f>IF(B676=0,0,O644/B676)</f>
        <v/>
      </c>
      <c r="Q644" t="n">
        <v>0</v>
      </c>
      <c r="R644" t="n">
        <v>0</v>
      </c>
      <c r="S644">
        <f>IFERROR(O644/N644,0)</f>
        <v/>
      </c>
      <c r="T644">
        <f>IF(C644,(Skills!G3*H644*N644*B670)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644*(1-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4">
        <f>INDEX(FactorTable!$B$2:$Y$301, MATCH(ROUND(MIN(300,MAX(1,U643)),0), FactorTable!$A$2:$A$301,0), 22)</f>
        <v/>
      </c>
      <c r="V644">
        <f>IF(C644,(Skills!G3*H644*N644*B670)*IF(Inputs!$B$38="pvp",1,(1+(Inputs!$B$21+Skills!Q3+(IF(ArtifactsInput!$M$33,CHOOSE(ArtifactsInput!$N$33+1,30,36,42,48,54,60),0))+(IF(AND(ArtifactsInput!$M$35,Inputs!$B$4&lt;&gt;"Chapter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5">
      <c r="A645">
        <f>Skills!A4</f>
        <v/>
      </c>
      <c r="B645">
        <f>Skills!B4</f>
        <v/>
      </c>
      <c r="C645">
        <f>Inputs!$B$3&gt;=60</f>
        <v/>
      </c>
      <c r="D645">
        <f>IF(Skills!C4=1,60+Inputs!$B$25+Inputs!$B$29,IF(Skills!C4=2,90+Inputs!$B$26+Inputs!$B$29,IF(Skills!C4=3,120+Inputs!$B$27+Inputs!$B$29,MAX(0,(Inputs!$B$3-100)*3)+Inputs!$B$28+Inputs!$B$29)))</f>
        <v/>
      </c>
      <c r="E645">
        <f>INDEX(FactorTable!$B$2:$Y$301, MATCH(ROUND(MIN(300,MAX(1,D645)),0), FactorTable!$A$2:$A$301,0), Skills!M4+1)</f>
        <v/>
      </c>
      <c r="F645">
        <f>IF(Skills!N4=TRUE,(Skills!L4/10)*(E645/1000),Skills!L4/10)+Skills!O4</f>
        <v/>
      </c>
      <c r="G645">
        <f>Skills!G4*IF(Skills!H4&gt;0,Skills!I4/Skills!H4,1)</f>
        <v/>
      </c>
      <c r="H645">
        <f>1-(1-Skills!J4/100)^Skills!K4</f>
        <v/>
      </c>
      <c r="I645" t="inlineStr">
        <is>
          <t>1</t>
        </is>
      </c>
      <c r="J645">
        <f>((Inputs!$B$6*(1+Inputs!$B$7/100))+(((Inputs!$B$12*(1+Inputs!$B$13/100))-(Inputs!$B$12*(1+Inputs!$B$13/100)))+0.25*(Inputs!$B$14-Inputs!$B$14))*(1+Inputs!$B$7/100))*(F645/100)</f>
        <v/>
      </c>
      <c r="K645">
        <f>J645*(1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653=TRUE,F653,0)/100)*(1+(IF(Skills!A4="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
      </c>
      <c r="L645">
        <f>K645*(MIN(Inputs!$B$22+((C661=TRUE)*(F661-Calc!F20)),(Inputs!$B$23+0+(IF(ArtifactsInput!$M$15,CHOOSE(ArtifactsInput!$N$15+1,25,30,35,40,45,50)/100*(Inputs!$B$11-Inputs!$B$11),0))))/100+(Inputs!$B$23+0+(IF(ArtifactsInput!$M$15,CHOOSE(ArtifactsInput!$N$15+1,25,30,35,40,45,50)/100*(Inputs!$B$11-Inputs!$B$11),0)))/100)/2</f>
        <v/>
      </c>
      <c r="M645">
        <f>L645*(1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5">
        <f>L645*(1-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5">
        <f>(1-Summary!$B$11)*T645+Summary!$B$11*V645</f>
        <v/>
      </c>
      <c r="P645">
        <f>IF(B676=0,0,O645/B676)</f>
        <v/>
      </c>
      <c r="Q645" t="n">
        <v>0</v>
      </c>
      <c r="R645" t="n">
        <v>0</v>
      </c>
      <c r="S645">
        <f>IFERROR(O645/N645,0)</f>
        <v/>
      </c>
      <c r="T645">
        <f>IF(C645,(Skills!G4*H645*N645*B670)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645*(1-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5">
        <f>290*U644/1000</f>
        <v/>
      </c>
      <c r="V645">
        <f>IF(C645,(Skills!G4*H645*N645*B670)*IF(Inputs!$B$38="pvp",1,(1+(Inputs!$B$21+Skills!Q4+(IF(ArtifactsInput!$M$33,CHOOSE(ArtifactsInput!$N$33+1,30,36,42,48,54,60),0))+(IF(AND(ArtifactsInput!$M$35,Inputs!$B$4&lt;&gt;"Chapter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6">
      <c r="A646">
        <f>Skills!A5</f>
        <v/>
      </c>
      <c r="B646">
        <f>Skills!B5</f>
        <v/>
      </c>
      <c r="C646">
        <f>Inputs!$B$3&gt;=60</f>
        <v/>
      </c>
      <c r="D646">
        <f>IF(Skills!C5=1,60+Inputs!$B$25+Inputs!$B$29,IF(Skills!C5=2,90+Inputs!$B$26+Inputs!$B$29,IF(Skills!C5=3,120+Inputs!$B$27+Inputs!$B$29,MAX(0,(Inputs!$B$3-100)*3)+Inputs!$B$28+Inputs!$B$29)))</f>
        <v/>
      </c>
      <c r="E646">
        <f>INDEX(FactorTable!$B$2:$Y$301, MATCH(ROUND(MIN(300,MAX(1,D646)),0), FactorTable!$A$2:$A$301,0), Skills!M5+1)</f>
        <v/>
      </c>
      <c r="F646">
        <f>IF(Skills!N5=TRUE,(Skills!L5/10)*(E646/1000),Skills!L5/10)+Skills!O5</f>
        <v/>
      </c>
      <c r="G646">
        <f>Skills!G5*IF(Skills!H5&gt;0,Skills!I5/Skills!H5,1)</f>
        <v/>
      </c>
      <c r="H646">
        <f>1-(1-Skills!J5/100)^Skills!K5</f>
        <v/>
      </c>
      <c r="I646" t="inlineStr">
        <is>
          <t>1</t>
        </is>
      </c>
      <c r="J646" t="inlineStr"/>
      <c r="K646" t="inlineStr"/>
      <c r="L646" t="inlineStr"/>
      <c r="M646" t="inlineStr"/>
      <c r="N646" t="inlineStr"/>
      <c r="O646">
        <f>(1-Summary!$B$11)*T646+Summary!$B$11*V646</f>
        <v/>
      </c>
      <c r="P646">
        <f>IF(B676=0,0,O646/B676)</f>
        <v/>
      </c>
      <c r="Q646" t="n">
        <v>0</v>
      </c>
      <c r="R646" t="n">
        <v>0</v>
      </c>
      <c r="S646">
        <f>IFERROR(O646/N646,0)</f>
        <v/>
      </c>
      <c r="T646" t="n">
        <v>0</v>
      </c>
      <c r="V646" t="n">
        <v>0</v>
      </c>
    </row>
    <row r="647">
      <c r="A647">
        <f>Skills!A6</f>
        <v/>
      </c>
      <c r="B647">
        <f>Skills!B6</f>
        <v/>
      </c>
      <c r="C647">
        <f>Inputs!$B$3&gt;=63</f>
        <v/>
      </c>
      <c r="D647">
        <f>IF(Skills!C6=1,60+Inputs!$B$25+Inputs!$B$29,IF(Skills!C6=2,90+Inputs!$B$26+Inputs!$B$29,IF(Skills!C6=3,120+Inputs!$B$27+Inputs!$B$29,MAX(0,(Inputs!$B$3-100)*3)+Inputs!$B$28+Inputs!$B$29)))</f>
        <v/>
      </c>
      <c r="E647">
        <f>INDEX(FactorTable!$B$2:$Y$301, MATCH(ROUND(MIN(300,MAX(1,D647)),0), FactorTable!$A$2:$A$301,0), Skills!M6+1)</f>
        <v/>
      </c>
      <c r="F647">
        <f>IF(Skills!N6=TRUE,(Skills!L6/10)*(E647/1000),Skills!L6/10)+Skills!O6</f>
        <v/>
      </c>
      <c r="G647">
        <f>Skills!G6*IF(Skills!H6&gt;0,Skills!I6/Skills!H6,1)</f>
        <v/>
      </c>
      <c r="H647">
        <f>1-(1-Skills!J6/100)^Skills!K6</f>
        <v/>
      </c>
      <c r="I647" t="inlineStr">
        <is>
          <t>1</t>
        </is>
      </c>
      <c r="J647">
        <f>((Inputs!$B$6*(1+Inputs!$B$7/100))+(((Inputs!$B$12*(1+Inputs!$B$13/100))-(Inputs!$B$12*(1+Inputs!$B$13/100)))+0.25*(Inputs!$B$14-Inputs!$B$14))*(1+Inputs!$B$7/100))*(F647/100)</f>
        <v/>
      </c>
      <c r="K647">
        <f>J647*(1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
      </c>
      <c r="L647">
        <f>K647*(MIN(Inputs!$B$22+((C661=TRUE)*(F661-Calc!F20)),(Inputs!$B$23+0+(IF(ArtifactsInput!$M$15,CHOOSE(ArtifactsInput!$N$15+1,25,30,35,40,45,50)/100*(Inputs!$B$11-Inputs!$B$11),0))))/100+(Inputs!$B$23+0+(IF(ArtifactsInput!$M$15,CHOOSE(ArtifactsInput!$N$15+1,25,30,35,40,45,50)/100*(Inputs!$B$11-Inputs!$B$11),0)))/100)/2</f>
        <v/>
      </c>
      <c r="M647">
        <f>L647*(1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7">
        <f>L647*(1-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7">
        <f>(1-Summary!$B$11)*T647+Summary!$B$11*V647</f>
        <v/>
      </c>
      <c r="P647">
        <f>IF(B676=0,0,O647/B676)</f>
        <v/>
      </c>
      <c r="Q647">
        <f>IFERROR(1/(IF(Inputs!$B$38="pvp",15,MAX(0.1,Skills!D6-IF(Skills!E6=TRUE,Inputs!$B$32,0)))*(1-IF(AND(ArtifactsInput!$M$27,Inputs!$B$4="Chapter Hunt"),CHOOSE(ArtifactsInput!$N$27+1,20,24,28,32,36,40),0)/100)),0)</f>
        <v/>
      </c>
      <c r="R647">
        <f>IF(AND(Inputs!$B$38&lt;&gt;"pvp",Inputs!$B$43&gt;0),IF(MAX(0,Inputs!$B$43-B673)&lt;=0,0,(INT(MAX(0,Inputs!$B$43-B673)/(IF(Inputs!$B$38="pvp",15,MAX(0.1,Skills!D6-IF(Skills!E6=TRUE,Inputs!$B$32,0)))*(1-IF(AND(ArtifactsInput!$M$27,Inputs!$B$4="Chapter Hunt"),CHOOSE(ArtifactsInput!$N$27+1,20,24,28,32,36,40),0)/100)))+1)),0)</f>
        <v/>
      </c>
      <c r="S647">
        <f>IFERROR(O647/N647,0)</f>
        <v/>
      </c>
      <c r="T647">
        <f>IF(C647,(H647*N647*IF(AND(Inputs!$B$38&lt;&gt;"pvp",Inputs!$B$43&gt;0),((Skills!G6*((R647-1)*IF(Skills!H6&gt;0,Skills!I6/Skills!H6,1)+IF(Skills!H6&gt;0,MIN(Skills!I6,MAX(0,MAX(0,Inputs!$B$43-B673)-((R647-1)*(IF(Inputs!$B$38="pvp",15,MAX(0.1,Skills!D6-IF(Skills!E6=TRUE,Inputs!$B$32,0)))*(1-IF(AND(ArtifactsInput!$M$27,Inputs!$B$4="Chapter Hunt"),CHOOSE(ArtifactsInput!$N$27+1,20,24,28,32,36,40),0)/100)))))/Skills!H6,1)))/Inputs!$B$43),G647*Q647)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647*(1-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7">
        <f>IF(C647,(H647*N647*IF(AND(Inputs!$B$38&lt;&gt;"pvp",Inputs!$B$43&gt;0),((Skills!G6*((R647-1)*IF(Skills!H6&gt;0,Skills!I6/Skills!H6,1)+IF(Skills!H6&gt;0,MIN(Skills!I6,MAX(0,MAX(0,Inputs!$B$43-B673)-((R647-1)*(IF(Inputs!$B$38="pvp",15,MAX(0.1,Skills!D6-IF(Skills!E6=TRUE,Inputs!$B$32,0)))*(1-IF(AND(ArtifactsInput!$M$27,Inputs!$B$4="Chapter Hunt"),CHOOSE(ArtifactsInput!$N$27+1,20,24,28,32,36,40),0)/100)))))/Skills!H6,1)))/Inputs!$B$43),G647*Q647))*IF(Inputs!$B$38="pvp",1,(1+(Inputs!$B$21+Skills!Q6+(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8">
      <c r="A648">
        <f>Skills!A7</f>
        <v/>
      </c>
      <c r="B648">
        <f>Skills!B7</f>
        <v/>
      </c>
      <c r="C648">
        <f>Inputs!$B$3&gt;=100</f>
        <v/>
      </c>
      <c r="D648">
        <f>IF(Skills!C7=1,60+Inputs!$B$25+Inputs!$B$29,IF(Skills!C7=2,90+Inputs!$B$26+Inputs!$B$29,IF(Skills!C7=3,120+Inputs!$B$27+Inputs!$B$29,MAX(0,(Inputs!$B$3-100)*3)+Inputs!$B$28+Inputs!$B$29)))</f>
        <v/>
      </c>
      <c r="E648">
        <f>INDEX(FactorTable!$B$2:$Y$301, MATCH(ROUND(MIN(300,MAX(1,D648)),0), FactorTable!$A$2:$A$301,0), Skills!M7+1)</f>
        <v/>
      </c>
      <c r="F648">
        <f>IF(Skills!N7=TRUE,(Skills!L7/10)*(E648/1000),Skills!L7/10)+Skills!O7</f>
        <v/>
      </c>
      <c r="G648">
        <f>Skills!G7*IF(Skills!H7&gt;0,Skills!I7/Skills!H7,1)</f>
        <v/>
      </c>
      <c r="H648">
        <f>1-(1-Skills!J7/100)^Skills!K7</f>
        <v/>
      </c>
      <c r="I648" t="inlineStr">
        <is>
          <t>1</t>
        </is>
      </c>
      <c r="J648">
        <f>((Inputs!$B$6*(1+Inputs!$B$7/100))+(((Inputs!$B$12*(1+Inputs!$B$13/100))-(Inputs!$B$12*(1+Inputs!$B$13/100)))+0.25*(Inputs!$B$14-Inputs!$B$14))*(1+Inputs!$B$7/100))*(F648/100)</f>
        <v/>
      </c>
      <c r="K648">
        <f>J648*(1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648)</f>
        <v/>
      </c>
      <c r="L648">
        <f>K648*(MIN(Inputs!$B$22+((C661=TRUE)*(F661-Calc!F20)),(Inputs!$B$23+0+(IF(ArtifactsInput!$M$15,CHOOSE(ArtifactsInput!$N$15+1,25,30,35,40,45,50)/100*(Inputs!$B$11-Inputs!$B$11),0))))/100+(Inputs!$B$23+0+(IF(ArtifactsInput!$M$15,CHOOSE(ArtifactsInput!$N$15+1,25,30,35,40,45,50)/100*(Inputs!$B$11-Inputs!$B$11),0)))/100)/2</f>
        <v/>
      </c>
      <c r="M648">
        <f>L648*(1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8">
        <f>L648*(1-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648*(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8">
        <f>(1-Summary!$B$11)*T648+Summary!$B$11*V648</f>
        <v/>
      </c>
      <c r="P648">
        <f>IF(B676=0,0,O648/B676)</f>
        <v/>
      </c>
      <c r="Q648">
        <f>IFERROR(1/(IF(Inputs!$B$38="pvp",15,MAX(0.1,Skills!D7-IF(Skills!E7=TRUE,Inputs!$B$32,0)))*(1-IF(AND(ArtifactsInput!$M$27,Inputs!$B$4="Chapter Hunt"),CHOOSE(ArtifactsInput!$N$27+1,20,24,28,32,36,40),0)/100)),0)</f>
        <v/>
      </c>
      <c r="R648">
        <f>IF(AND(Inputs!$B$38&lt;&gt;"pvp",Inputs!$B$43&gt;0),IF(MAX(0,Inputs!$B$43-B673)&lt;=0,0,(INT(MAX(0,Inputs!$B$43-B673)/(IF(Inputs!$B$38="pvp",15,MAX(0.1,Skills!D7-IF(Skills!E7=TRUE,Inputs!$B$32,0)))*(1-IF(AND(ArtifactsInput!$M$27,Inputs!$B$4="Chapter Hunt"),CHOOSE(ArtifactsInput!$N$27+1,20,24,28,32,36,40),0)/100)))+1)),0)</f>
        <v/>
      </c>
      <c r="S648">
        <f>IFERROR(O648/N648,0)</f>
        <v/>
      </c>
      <c r="T648">
        <f>IF(C648,(H648*N648*IF(AND(Inputs!$B$38&lt;&gt;"pvp",Inputs!$B$43&gt;0),((Skills!G7*((R648-1)*IF(Skills!H7&gt;0,Skills!I7/Skills!H7,1)+IF(Skills!H7&gt;0,MIN(Skills!I7,MAX(0,MAX(0,Inputs!$B$43-B673)-((R648-1)*(IF(Inputs!$B$38="pvp",15,MAX(0.1,Skills!D7-IF(Skills!E7=TRUE,Inputs!$B$32,0)))*(1-IF(AND(ArtifactsInput!$M$27,Inputs!$B$4="Chapter Hunt"),CHOOSE(ArtifactsInput!$N$27+1,20,24,28,32,36,40),0)/100)))))/Skills!H7,1)))/Inputs!$B$43),G648*Q648)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648*(1-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648*(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648*(1-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648*(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8">
        <f>IF(C648,(H648*N648*IF(AND(Inputs!$B$38&lt;&gt;"pvp",Inputs!$B$43&gt;0),((Skills!G7*((R648-1)*IF(Skills!H7&gt;0,Skills!I7/Skills!H7,1)+IF(Skills!H7&gt;0,MIN(Skills!I7,MAX(0,MAX(0,Inputs!$B$43-B673)-((R648-1)*(IF(Inputs!$B$38="pvp",15,MAX(0.1,Skills!D7-IF(Skills!E7=TRUE,Inputs!$B$32,0)))*(1-IF(AND(ArtifactsInput!$M$27,Inputs!$B$4="Chapter Hunt"),CHOOSE(ArtifactsInput!$N$27+1,20,24,28,32,36,40),0)/100)))))/Skills!H7,1)))/Inputs!$B$43),G648*Q648))*IF(Inputs!$B$38="pvp",1,(1+(Inputs!$B$21+Skills!Q7+(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9">
      <c r="A649">
        <f>Skills!A8</f>
        <v/>
      </c>
      <c r="B649">
        <f>Skills!B8</f>
        <v/>
      </c>
      <c r="C649">
        <f>Inputs!$B$3&gt;=110</f>
        <v/>
      </c>
      <c r="D649">
        <f>IF(Skills!C8=1,60+Inputs!$B$25+Inputs!$B$29,IF(Skills!C8=2,90+Inputs!$B$26+Inputs!$B$29,IF(Skills!C8=3,120+Inputs!$B$27+Inputs!$B$29,MAX(0,(Inputs!$B$3-100)*3)+Inputs!$B$28+Inputs!$B$29)))</f>
        <v/>
      </c>
      <c r="E649">
        <f>INDEX(FactorTable!$B$2:$Y$301, MATCH(ROUND(MIN(300,MAX(1,D649)),0), FactorTable!$A$2:$A$301,0), Skills!M8+1)</f>
        <v/>
      </c>
      <c r="F649">
        <f>IF(Skills!N8=TRUE,(Skills!L8/10)*(E649/1000),Skills!L8/10)+Skills!O8</f>
        <v/>
      </c>
      <c r="G649">
        <f>Skills!G8*IF(Skills!H8&gt;0,Skills!I8/Skills!H8,1)</f>
        <v/>
      </c>
      <c r="H649">
        <f>1-(1-Skills!J8/100)^Skills!K8</f>
        <v/>
      </c>
      <c r="I649" t="inlineStr">
        <is>
          <t>1</t>
        </is>
      </c>
      <c r="J649">
        <f>((Inputs!$B$6*(1+Inputs!$B$7/100))+(((Inputs!$B$12*(1+Inputs!$B$13/100))-(Inputs!$B$12*(1+Inputs!$B$13/100)))+0.25*(Inputs!$B$14-Inputs!$B$14))*(1+Inputs!$B$7/100))*(F649/100)</f>
        <v/>
      </c>
      <c r="K649">
        <f>J649*(1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C661=TRUE)*(F661-Calc!F20)),(Inputs!$B$23+0+(IF(ArtifactsInput!$M$15,CHOOSE(ArtifactsInput!$N$15+1,25,30,35,40,45,50)/100*(Inputs!$B$11-Inputs!$B$11),0))))/100+(Inputs!$B$23+0+(IF(ArtifactsInput!$M$15,CHOOSE(ArtifactsInput!$N$15+1,25,30,35,40,45,50)/100*(Inputs!$B$11-Inputs!$B$11),0)))/100)/2</f>
        <v/>
      </c>
      <c r="M649">
        <f>L649*(1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(1-Summary!$B$11)*T649+Summary!$B$11*V649</f>
        <v/>
      </c>
      <c r="P649">
        <f>IF(B676=0,0,O649/B676)</f>
        <v/>
      </c>
      <c r="Q649">
        <f>IFERROR(1/(IF(Inputs!$B$38="pvp",15,MAX(0.1,Skills!D8-IF(Skills!E8=TRUE,Inputs!$B$32,0)))*(1-IF(AND(ArtifactsInput!$M$27,Inputs!$B$4="Chapter Hunt"),CHOOSE(ArtifactsInput!$N$27+1,20,24,28,32,36,40),0)/100)),0)</f>
        <v/>
      </c>
      <c r="R649">
        <f>IF(AND(Inputs!$B$38&lt;&gt;"pvp",Inputs!$B$43&gt;0),IF(MAX(0,Inputs!$B$43-B673)&lt;=0,0,(INT(MAX(0,Inputs!$B$43-B673)/(IF(Inputs!$B$38="pvp",15,MAX(0.1,Skills!D8-IF(Skills!E8=TRUE,Inputs!$B$32,0)))*(1-IF(AND(ArtifactsInput!$M$27,Inputs!$B$4="Chapter Hunt"),CHOOSE(ArtifactsInput!$N$27+1,20,24,28,32,36,40),0)/100)))+1)),0)</f>
        <v/>
      </c>
      <c r="S649">
        <f>IFERROR(O649/N649,0)</f>
        <v/>
      </c>
      <c r="T649">
        <f>IF(C649,(H649*N649*IF(AND(Inputs!$B$38&lt;&gt;"pvp",Inputs!$B$43&gt;0),((Skills!G8*((R649-1)*IF(Skills!H8&gt;0,Skills!I8/Skills!H8,1)+IF(Skills!H8&gt;0,MIN(Skills!I8,MAX(0,MAX(0,Inputs!$B$43-B673)-((R649-1)*(IF(Inputs!$B$38="pvp",15,MAX(0.1,Skills!D8-IF(Skills!E8=TRUE,Inputs!$B$32,0)))*(1-IF(AND(ArtifactsInput!$M$27,Inputs!$B$4="Chapter Hunt"),CHOOSE(ArtifactsInput!$N$27+1,20,24,28,32,36,40),0)/100)))))/Skills!H8,1)))/Inputs!$B$43),G649*Q649)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649*(1-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9">
        <f>IF(C649,(H649*N649*IF(AND(Inputs!$B$38&lt;&gt;"pvp",Inputs!$B$43&gt;0),((Skills!G8*((R649-1)*IF(Skills!H8&gt;0,Skills!I8/Skills!H8,1)+IF(Skills!H8&gt;0,MIN(Skills!I8,MAX(0,MAX(0,Inputs!$B$43-B673)-((R649-1)*(IF(Inputs!$B$38="pvp",15,MAX(0.1,Skills!D8-IF(Skills!E8=TRUE,Inputs!$B$32,0)))*(1-IF(AND(ArtifactsInput!$M$27,Inputs!$B$4="Chapter Hunt"),CHOOSE(ArtifactsInput!$N$27+1,20,24,28,32,36,40),0)/100)))))/Skills!H8,1)))/Inputs!$B$43),G649*Q649))*IF(Inputs!$B$38="pvp",1,(1+(Inputs!$B$21+Skills!Q8+(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Skills!A9</f>
        <v/>
      </c>
      <c r="B650">
        <f>Skills!B9</f>
        <v/>
      </c>
      <c r="C650">
        <f>Inputs!$B$3&gt;=110</f>
        <v/>
      </c>
      <c r="D650">
        <f>IF(Skills!C9=1,60+Inputs!$B$25+Inputs!$B$29,IF(Skills!C9=2,90+Inputs!$B$26+Inputs!$B$29,IF(Skills!C9=3,120+Inputs!$B$27+Inputs!$B$29,MAX(0,(Inputs!$B$3-100)*3)+Inputs!$B$28+Inputs!$B$29)))</f>
        <v/>
      </c>
      <c r="E650">
        <f>INDEX(FactorTable!$B$2:$Y$301, MATCH(ROUND(MIN(300,MAX(1,D650)),0), FactorTable!$A$2:$A$301,0), Skills!M9+1)</f>
        <v/>
      </c>
      <c r="F650">
        <f>IF(Skills!N9=TRUE,(Skills!L9/10)*(E650/1000),Skills!L9/10)+Skills!O9</f>
        <v/>
      </c>
      <c r="G650">
        <f>Skills!G9*IF(Skills!H9&gt;0,Skills!I9/Skills!H9,1)</f>
        <v/>
      </c>
      <c r="H650">
        <f>1-(1-Skills!J9/100)^Skills!K9</f>
        <v/>
      </c>
      <c r="I650" t="inlineStr">
        <is>
          <t>1</t>
        </is>
      </c>
      <c r="J650">
        <f>((Inputs!$B$6*(1+Inputs!$B$7/100))+(((Inputs!$B$12*(1+Inputs!$B$13/100))-(Inputs!$B$12*(1+Inputs!$B$13/100)))+0.25*(Inputs!$B$14-Inputs!$B$14))*(1+Inputs!$B$7/100))*(F650/100)</f>
        <v/>
      </c>
      <c r="K650">
        <f>J650*(1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C661=TRUE)*(F661-Calc!F20)),(Inputs!$B$23+0+(IF(ArtifactsInput!$M$15,CHOOSE(ArtifactsInput!$N$15+1,25,30,35,40,45,50)/100*(Inputs!$B$11-Inputs!$B$11),0))))/100+(Inputs!$B$23+0+(IF(ArtifactsInput!$M$15,CHOOSE(ArtifactsInput!$N$15+1,25,30,35,40,45,50)/100*(Inputs!$B$11-Inputs!$B$11),0)))/100)/2</f>
        <v/>
      </c>
      <c r="M650">
        <f>L650*(1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(1-Summary!$B$11)*T650+Summary!$B$11*V650</f>
        <v/>
      </c>
      <c r="P650">
        <f>IF(B676=0,0,O650/B676)</f>
        <v/>
      </c>
      <c r="Q650">
        <f>IFERROR(1/(IF(Inputs!$B$38="pvp",15,MAX(0.1,Skills!D9-IF(Skills!E9=TRUE,Inputs!$B$32,0)))*(1-IF(AND(ArtifactsInput!$M$27,Inputs!$B$4="Chapter Hunt"),CHOOSE(ArtifactsInput!$N$27+1,20,24,28,32,36,40),0)/100)),0)</f>
        <v/>
      </c>
      <c r="R650">
        <f>IF(AND(Inputs!$B$38&lt;&gt;"pvp",Inputs!$B$43&gt;0),IF(MAX(0,Inputs!$B$43-B673)&lt;=0,0,(INT(MAX(0,Inputs!$B$43-B673)/(IF(Inputs!$B$38="pvp",15,MAX(0.1,Skills!D9-IF(Skills!E9=TRUE,Inputs!$B$32,0)))*(1-IF(AND(ArtifactsInput!$M$27,Inputs!$B$4="Chapter Hunt"),CHOOSE(ArtifactsInput!$N$27+1,20,24,28,32,36,40),0)/100)))+1)),0)</f>
        <v/>
      </c>
      <c r="S650">
        <f>IFERROR(O650/N650,0)</f>
        <v/>
      </c>
      <c r="T650">
        <f>IF(C650,(H650*N650*IF(AND(Inputs!$B$38&lt;&gt;"pvp",Inputs!$B$43&gt;0),((Skills!G9*((R650-1)*IF(Skills!H9&gt;0,Skills!I9/Skills!H9,1)+IF(Skills!H9&gt;0,MIN(Skills!I9,MAX(0,MAX(0,Inputs!$B$43-B673)-((R650-1)*(IF(Inputs!$B$38="pvp",15,MAX(0.1,Skills!D9-IF(Skills!E9=TRUE,Inputs!$B$32,0)))*(1-IF(AND(ArtifactsInput!$M$27,Inputs!$B$4="Chapter Hunt"),CHOOSE(ArtifactsInput!$N$27+1,20,24,28,32,36,40),0)/100)))))/Skills!H9,1)))/Inputs!$B$43),G650*Q650)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650*(1-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0">
        <f>IF(C650,(H650*N650*IF(AND(Inputs!$B$38&lt;&gt;"pvp",Inputs!$B$43&gt;0),((Skills!G9*((R650-1)*IF(Skills!H9&gt;0,Skills!I9/Skills!H9,1)+IF(Skills!H9&gt;0,MIN(Skills!I9,MAX(0,MAX(0,Inputs!$B$43-B673)-((R650-1)*(IF(Inputs!$B$38="pvp",15,MAX(0.1,Skills!D9-IF(Skills!E9=TRUE,Inputs!$B$32,0)))*(1-IF(AND(ArtifactsInput!$M$27,Inputs!$B$4="Chapter Hunt"),CHOOSE(ArtifactsInput!$N$27+1,20,24,28,32,36,40),0)/100)))))/Skills!H9,1)))/Inputs!$B$43),G650*Q650))*IF(Inputs!$B$38="pvp",1,(1+(Inputs!$B$21+Skills!Q9+(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Skills!A10</f>
        <v/>
      </c>
      <c r="B651">
        <f>Skills!B10</f>
        <v/>
      </c>
      <c r="C651">
        <f>Inputs!$B$3&gt;=103</f>
        <v/>
      </c>
      <c r="D651">
        <f>IF(Skills!C10=1,60+Inputs!$B$25+Inputs!$B$29,IF(Skills!C10=2,90+Inputs!$B$26+Inputs!$B$29,IF(Skills!C10=3,120+Inputs!$B$27+Inputs!$B$29,MAX(0,(Inputs!$B$3-100)*3)+Inputs!$B$28+Inputs!$B$29)))</f>
        <v/>
      </c>
      <c r="E651">
        <f>INDEX(FactorTable!$B$2:$Y$301, MATCH(ROUND(MIN(300,MAX(1,D651)),0), FactorTable!$A$2:$A$301,0), Skills!M10+1)</f>
        <v/>
      </c>
      <c r="F651">
        <f>IF(Skills!N10=TRUE,(Skills!L10/10)*(E651/1000),Skills!L10/10)+Skills!O10</f>
        <v/>
      </c>
      <c r="G651">
        <f>Skills!G10*IF(Skills!H10&gt;0,Skills!I10/Skills!H10,1)</f>
        <v/>
      </c>
      <c r="H651">
        <f>1-(1-Skills!J10/100)^Skills!K10</f>
        <v/>
      </c>
      <c r="I651" t="inlineStr">
        <is>
          <t>1</t>
        </is>
      </c>
      <c r="J651">
        <f>((Inputs!$B$6*(1+Inputs!$B$7/100))+(((Inputs!$B$12*(1+Inputs!$B$13/100))-(Inputs!$B$12*(1+Inputs!$B$13/100)))+0.25*(Inputs!$B$14-Inputs!$B$14))*(1+Inputs!$B$7/100))*(F651/100)</f>
        <v/>
      </c>
      <c r="K651">
        <f>J651*(1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
      </c>
      <c r="L651">
        <f>K651*(MIN(Inputs!$B$22+((C661=TRUE)*(F661-Calc!F20)),(Inputs!$B$23+0+(IF(ArtifactsInput!$M$15,CHOOSE(ArtifactsInput!$N$15+1,25,30,35,40,45,50)/100*(Inputs!$B$11-Inputs!$B$11),0))))/100+(Inputs!$B$23+0+(IF(ArtifactsInput!$M$15,CHOOSE(ArtifactsInput!$N$15+1,25,30,35,40,45,50)/100*(Inputs!$B$11-Inputs!$B$11),0)))/100)/2</f>
        <v/>
      </c>
      <c r="M651">
        <f>L651*(1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1">
        <f>L651*(1-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1">
        <f>(1-Summary!$B$11)*T651+Summary!$B$11*V651</f>
        <v/>
      </c>
      <c r="P651">
        <f>IF(B676=0,0,O651/B676)</f>
        <v/>
      </c>
      <c r="Q651">
        <f>IFERROR(1/(IF(Inputs!$B$38="pvp",15,MAX(0.1,Skills!D10-IF(Skills!E10=TRUE,Inputs!$B$32,0)))*(1-IF(AND(ArtifactsInput!$M$27,Inputs!$B$4="Chapter Hunt"),CHOOSE(ArtifactsInput!$N$27+1,20,24,28,32,36,40),0)/100)),0)</f>
        <v/>
      </c>
      <c r="R651">
        <f>IF(AND(Inputs!$B$38&lt;&gt;"pvp",Inputs!$B$43&gt;0),IF(MAX(0,Inputs!$B$43-B673)&lt;=0,0,(INT(MAX(0,Inputs!$B$43-B673)/(IF(Inputs!$B$38="pvp",15,MAX(0.1,Skills!D10-IF(Skills!E10=TRUE,Inputs!$B$32,0)))*(1-IF(AND(ArtifactsInput!$M$27,Inputs!$B$4="Chapter Hunt"),CHOOSE(ArtifactsInput!$N$27+1,20,24,28,32,36,40),0)/100)))+1)),0)</f>
        <v/>
      </c>
      <c r="S651">
        <f>IFERROR(O651/N651,0)</f>
        <v/>
      </c>
      <c r="T651">
        <f>IF(C651,(H651*N651*IF(AND(Inputs!$B$38&lt;&gt;"pvp",Inputs!$B$43&gt;0),((Skills!G10*((R651-1)*IF(Skills!H10&gt;0,Skills!I10/Skills!H10,1)+IF(Skills!H10&gt;0,MIN(Skills!I10,MAX(0,MAX(0,Inputs!$B$43-B673)-((R651-1)*(IF(Inputs!$B$38="pvp",15,MAX(0.1,Skills!D10-IF(Skills!E10=TRUE,Inputs!$B$32,0)))*(1-IF(AND(ArtifactsInput!$M$27,Inputs!$B$4="Chapter Hunt"),CHOOSE(ArtifactsInput!$N$27+1,20,24,28,32,36,40),0)/100)))))/Skills!H10,1)))/Inputs!$B$43),G651*Q651)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651*(1-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1">
        <f>IF(C651,(H651*N651*IF(AND(Inputs!$B$38&lt;&gt;"pvp",Inputs!$B$43&gt;0),((Skills!G10*((R651-1)*IF(Skills!H10&gt;0,Skills!I10/Skills!H10,1)+IF(Skills!H10&gt;0,MIN(Skills!I10,MAX(0,MAX(0,Inputs!$B$43-B673)-((R651-1)*(IF(Inputs!$B$38="pvp",15,MAX(0.1,Skills!D10-IF(Skills!E10=TRUE,Inputs!$B$32,0)))*(1-IF(AND(ArtifactsInput!$M$27,Inputs!$B$4="Chapter Hunt"),CHOOSE(ArtifactsInput!$N$27+1,20,24,28,32,36,40),0)/100)))))/Skills!H10,1)))/Inputs!$B$43),G651*Q651))*IF(Inputs!$B$38="pvp",1,(1+(Inputs!$B$21+Skills!Q10+(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2">
      <c r="A652">
        <f>Skills!A11</f>
        <v/>
      </c>
      <c r="B652">
        <f>Skills!B11</f>
        <v/>
      </c>
      <c r="C652">
        <f>Inputs!$B$3&gt;=113</f>
        <v/>
      </c>
      <c r="D652">
        <f>IF(Skills!C11=1,60+Inputs!$B$25+Inputs!$B$29,IF(Skills!C11=2,90+Inputs!$B$26+Inputs!$B$29,IF(Skills!C11=3,120+Inputs!$B$27+Inputs!$B$29,MAX(0,(Inputs!$B$3-100)*3)+Inputs!$B$28+Inputs!$B$29)))</f>
        <v/>
      </c>
      <c r="E652">
        <f>INDEX(FactorTable!$B$2:$Y$301, MATCH(ROUND(MIN(300,MAX(1,D652)),0), FactorTable!$A$2:$A$301,0), Skills!M11+1)</f>
        <v/>
      </c>
      <c r="F652">
        <f>IF(Skills!N11=TRUE,(Skills!L11/10)*(E652/1000),Skills!L11/10)+Skills!O11</f>
        <v/>
      </c>
      <c r="G652">
        <f>Skills!G11*IF(Skills!H11&gt;0,Skills!I11/Skills!H11,1)</f>
        <v/>
      </c>
      <c r="H652">
        <f>1-(1-Skills!J11/100)^Skills!K11</f>
        <v/>
      </c>
      <c r="I652" t="inlineStr">
        <is>
          <t>1</t>
        </is>
      </c>
      <c r="J652">
        <f>((Inputs!$B$6*(1+Inputs!$B$7/100))+(((Inputs!$B$12*(1+Inputs!$B$13/100))-(Inputs!$B$12*(1+Inputs!$B$13/100)))+0.25*(Inputs!$B$14-Inputs!$B$14))*(1+Inputs!$B$7/100))*(F652/100)</f>
        <v/>
      </c>
      <c r="K652">
        <f>J652*(1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C661=TRUE)*(F661-Calc!F20)),(Inputs!$B$23+0+(IF(ArtifactsInput!$M$15,CHOOSE(ArtifactsInput!$N$15+1,25,30,35,40,45,50)/100*(Inputs!$B$11-Inputs!$B$11),0))))/100+(Inputs!$B$23+0+(IF(ArtifactsInput!$M$15,CHOOSE(ArtifactsInput!$N$15+1,25,30,35,40,45,50)/100*(Inputs!$B$11-Inputs!$B$11),0)))/100)/2</f>
        <v/>
      </c>
      <c r="M652">
        <f>L652*(1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(1-Summary!$B$11)*T652+Summary!$B$11*V652</f>
        <v/>
      </c>
      <c r="P652">
        <f>IF(B676=0,0,O652/B676)</f>
        <v/>
      </c>
      <c r="Q652">
        <f>IFERROR(1/(IF(Inputs!$B$38="pvp",15,MAX(0.1,Skills!D11-IF(Skills!E11=TRUE,Inputs!$B$32,0)))*(1-IF(AND(ArtifactsInput!$M$27,Inputs!$B$4="Chapter Hunt"),CHOOSE(ArtifactsInput!$N$27+1,20,24,28,32,36,40),0)/100)),0)</f>
        <v/>
      </c>
      <c r="R652">
        <f>IF(AND(Inputs!$B$38&lt;&gt;"pvp",Inputs!$B$43&gt;0),IF(MAX(0,Inputs!$B$43-B673)&lt;=0,0,(INT(MAX(0,Inputs!$B$43-B673)/(IF(Inputs!$B$38="pvp",15,MAX(0.1,Skills!D11-IF(Skills!E11=TRUE,Inputs!$B$32,0)))*(1-IF(AND(ArtifactsInput!$M$27,Inputs!$B$4="Chapter Hunt"),CHOOSE(ArtifactsInput!$N$27+1,20,24,28,32,36,40),0)/100)))+1)),0)</f>
        <v/>
      </c>
      <c r="S652">
        <f>IFERROR(O652/N652,0)</f>
        <v/>
      </c>
      <c r="T652">
        <f>IF(C652,(H652*N652*IF(AND(Inputs!$B$38&lt;&gt;"pvp",Inputs!$B$43&gt;0),((Skills!G11*((R652-1)*IF(Skills!H11&gt;0,Skills!I11/Skills!H11,1)+IF(Skills!H11&gt;0,MIN(Skills!I11,MAX(0,MAX(0,Inputs!$B$43-B673)-((R652-1)*(IF(Inputs!$B$38="pvp",15,MAX(0.1,Skills!D11-IF(Skills!E11=TRUE,Inputs!$B$32,0)))*(1-IF(AND(ArtifactsInput!$M$27,Inputs!$B$4="Chapter Hunt"),CHOOSE(ArtifactsInput!$N$27+1,20,24,28,32,36,40),0)/100)))))/Skills!H11,1)))/Inputs!$B$43),G652*Q652)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652*(1-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2">
        <f>IF(C652,(H652*N652*IF(AND(Inputs!$B$38&lt;&gt;"pvp",Inputs!$B$43&gt;0),((Skills!G11*((R652-1)*IF(Skills!H11&gt;0,Skills!I11/Skills!H11,1)+IF(Skills!H11&gt;0,MIN(Skills!I11,MAX(0,MAX(0,Inputs!$B$43-B673)-((R652-1)*(IF(Inputs!$B$38="pvp",15,MAX(0.1,Skills!D11-IF(Skills!E11=TRUE,Inputs!$B$32,0)))*(1-IF(AND(ArtifactsInput!$M$27,Inputs!$B$4="Chapter Hunt"),CHOOSE(ArtifactsInput!$N$27+1,20,24,28,32,36,40),0)/100)))))/Skills!H11,1)))/Inputs!$B$43),G652*Q652))*IF(Inputs!$B$38="pvp",1,(1+(Inputs!$B$21+Skills!Q11+(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Skills!A12</f>
        <v/>
      </c>
      <c r="B653">
        <f>Skills!B12</f>
        <v/>
      </c>
      <c r="C653">
        <f>Inputs!$B$3&gt;=100</f>
        <v/>
      </c>
      <c r="D653">
        <f>IF(Skills!C12=1,60+Inputs!$B$25+Inputs!$B$29,IF(Skills!C12=2,90+Inputs!$B$26+Inputs!$B$29,IF(Skills!C12=3,120+Inputs!$B$27+Inputs!$B$29,MAX(0,(Inputs!$B$3-100)*3)+Inputs!$B$28+Inputs!$B$29)))</f>
        <v/>
      </c>
      <c r="E653">
        <f>INDEX(FactorTable!$B$2:$Y$301, MATCH(ROUND(MIN(300,MAX(1,D653)),0), FactorTable!$A$2:$A$301,0), Skills!M12+1)</f>
        <v/>
      </c>
      <c r="F653">
        <f>IF(Skills!N12=TRUE,(Skills!L12/10)*(E653/1000),Skills!L12/10)+Skills!O12</f>
        <v/>
      </c>
      <c r="G653" t="inlineStr"/>
      <c r="H653" t="inlineStr"/>
      <c r="I653" t="inlineStr">
        <is>
          <t>1</t>
        </is>
      </c>
      <c r="J653" t="inlineStr"/>
      <c r="K653" t="inlineStr"/>
      <c r="L653" t="inlineStr"/>
      <c r="M653" t="inlineStr"/>
      <c r="N653" t="inlineStr"/>
      <c r="O653" t="inlineStr"/>
      <c r="P653" t="inlineStr"/>
      <c r="Q653" t="inlineStr"/>
      <c r="R653" t="inlineStr"/>
      <c r="S653" t="inlineStr"/>
      <c r="T653" t="inlineStr"/>
      <c r="V653" t="inlineStr"/>
    </row>
    <row r="654">
      <c r="A654">
        <f>Skills!A13</f>
        <v/>
      </c>
      <c r="B654">
        <f>Skills!B13</f>
        <v/>
      </c>
      <c r="C654">
        <f>Inputs!$B$3&gt;=66</f>
        <v/>
      </c>
      <c r="D654">
        <f>IF(Skills!C13=1,60+Inputs!$B$25+Inputs!$B$29,IF(Skills!C13=2,90+Inputs!$B$26+Inputs!$B$29,IF(Skills!C13=3,120+Inputs!$B$27+Inputs!$B$29,MAX(0,(Inputs!$B$3-100)*3)+Inputs!$B$28+Inputs!$B$29)))</f>
        <v/>
      </c>
      <c r="E654">
        <f>INDEX(FactorTable!$B$2:$Y$301, MATCH(ROUND(MIN(300,MAX(1,D654)),0), FactorTable!$A$2:$A$301,0), Skills!M13+1)</f>
        <v/>
      </c>
      <c r="F654">
        <f>IF(Skills!N13=TRUE,(Skills!L13/10)*(E654/1000),Skills!L13/10)+Skills!O13</f>
        <v/>
      </c>
      <c r="G654">
        <f>Skills!G13*IF(Skills!H13&gt;0,Skills!I13/Skills!H13,1)</f>
        <v/>
      </c>
      <c r="H654">
        <f>1-(1-Skills!J13/100)^Skills!K13</f>
        <v/>
      </c>
      <c r="I654" t="inlineStr">
        <is>
          <t>1</t>
        </is>
      </c>
      <c r="J654" t="inlineStr"/>
      <c r="K654" t="inlineStr"/>
      <c r="L654" t="inlineStr"/>
      <c r="M654" t="inlineStr"/>
      <c r="N654" t="inlineStr"/>
      <c r="O654">
        <f>(1-Summary!$B$11)*T654+Summary!$B$11*V654</f>
        <v/>
      </c>
      <c r="P654">
        <f>IF(B676=0,0,O654/B676)</f>
        <v/>
      </c>
      <c r="Q654" t="n">
        <v>0</v>
      </c>
      <c r="R654" t="n">
        <v>0</v>
      </c>
      <c r="S654">
        <f>IFERROR(O654/N654,0)</f>
        <v/>
      </c>
      <c r="T654" t="n">
        <v>0</v>
      </c>
      <c r="V654" t="n">
        <v>0</v>
      </c>
    </row>
    <row r="655">
      <c r="A655">
        <f>Skills!A14</f>
        <v/>
      </c>
      <c r="B655">
        <f>Skills!B14</f>
        <v/>
      </c>
      <c r="C655">
        <f>Inputs!$B$3&gt;=107</f>
        <v/>
      </c>
      <c r="D655">
        <f>IF(Skills!C14=1,60+Inputs!$B$25+Inputs!$B$29,IF(Skills!C14=2,90+Inputs!$B$26+Inputs!$B$29,IF(Skills!C14=3,120+Inputs!$B$27+Inputs!$B$29,MAX(0,(Inputs!$B$3-100)*3)+Inputs!$B$28+Inputs!$B$29)))</f>
        <v/>
      </c>
      <c r="E655">
        <f>INDEX(FactorTable!$B$2:$Y$301, MATCH(ROUND(MIN(300,MAX(1,D655)),0), FactorTable!$A$2:$A$301,0), Skills!M14+1)</f>
        <v/>
      </c>
      <c r="F655">
        <f>IF(Skills!N14=TRUE,(Skills!L14/10)*(E655/1000),Skills!L14/10)+Skills!O14</f>
        <v/>
      </c>
      <c r="G655">
        <f>Skills!G14*IF(Skills!H14&gt;0,Skills!I14/Skills!H14,1)</f>
        <v/>
      </c>
      <c r="H655">
        <f>1-(1-Skills!J14/100)^Skills!K14</f>
        <v/>
      </c>
      <c r="I655" t="inlineStr">
        <is>
          <t>1</t>
        </is>
      </c>
      <c r="J655" t="inlineStr"/>
      <c r="K655" t="inlineStr"/>
      <c r="L655" t="inlineStr"/>
      <c r="M655" t="inlineStr"/>
      <c r="N655" t="inlineStr"/>
      <c r="O655">
        <f>(1-Summary!$B$11)*T655+Summary!$B$11*V655</f>
        <v/>
      </c>
      <c r="P655">
        <f>IF(B676=0,0,O655/B676)</f>
        <v/>
      </c>
      <c r="Q655" t="n">
        <v>0</v>
      </c>
      <c r="R655" t="n">
        <v>0</v>
      </c>
      <c r="S655">
        <f>IFERROR(O655/N655,0)</f>
        <v/>
      </c>
      <c r="T655" t="n">
        <v>0</v>
      </c>
      <c r="V655" t="n">
        <v>0</v>
      </c>
    </row>
    <row r="656">
      <c r="A656">
        <f>Skills!A15</f>
        <v/>
      </c>
      <c r="B656">
        <f>Skills!B15</f>
        <v/>
      </c>
      <c r="C656">
        <f>Inputs!$B$3&gt;=115</f>
        <v/>
      </c>
      <c r="D656">
        <f>IF(Skills!C15=1,60+Inputs!$B$25+Inputs!$B$29,IF(Skills!C15=2,90+Inputs!$B$26+Inputs!$B$29,IF(Skills!C15=3,120+Inputs!$B$27+Inputs!$B$29,MAX(0,(Inputs!$B$3-100)*3)+Inputs!$B$28+Inputs!$B$29)))</f>
        <v/>
      </c>
      <c r="E656">
        <f>INDEX(FactorTable!$B$2:$Y$301, MATCH(ROUND(MIN(300,MAX(1,D656)),0), FactorTable!$A$2:$A$301,0), Skills!M15+1)</f>
        <v/>
      </c>
      <c r="F656">
        <f>IF(Skills!N15=TRUE,(Skills!L15/10)*(E656/1000),Skills!L15/10)+Skills!O15</f>
        <v/>
      </c>
      <c r="G656">
        <f>Skills!G15*IF(Skills!H15&gt;0,Skills!I15/Skills!H15,1)</f>
        <v/>
      </c>
      <c r="H656">
        <f>1-(1-Skills!J15/100)^Skills!K15</f>
        <v/>
      </c>
      <c r="I656" t="inlineStr">
        <is>
          <t>1</t>
        </is>
      </c>
      <c r="J656" t="inlineStr"/>
      <c r="K656" t="inlineStr"/>
      <c r="L656" t="inlineStr"/>
      <c r="M656" t="inlineStr"/>
      <c r="N656" t="inlineStr"/>
      <c r="O656">
        <f>(1-Summary!$B$11)*T656+Summary!$B$11*V656</f>
        <v/>
      </c>
      <c r="P656">
        <f>IF(B676=0,0,O656/B676)</f>
        <v/>
      </c>
      <c r="Q656" t="n">
        <v>0</v>
      </c>
      <c r="R656" t="n">
        <v>0</v>
      </c>
      <c r="S656">
        <f>IFERROR(O656/N656,0)</f>
        <v/>
      </c>
      <c r="T656" t="n">
        <v>0</v>
      </c>
      <c r="V656" t="n">
        <v>0</v>
      </c>
    </row>
    <row r="657">
      <c r="A657">
        <f>Skills!A16</f>
        <v/>
      </c>
      <c r="B657">
        <f>Skills!B16</f>
        <v/>
      </c>
      <c r="C657">
        <f>Inputs!$B$3&gt;=15</f>
        <v/>
      </c>
      <c r="D657">
        <f>IF(Skills!C16=1,60+Inputs!$B$25+Inputs!$B$29,IF(Skills!C16=2,90+Inputs!$B$26+Inputs!$B$29,IF(Skills!C16=3,120+Inputs!$B$27+Inputs!$B$29,MAX(0,(Inputs!$B$3-100)*3)+Inputs!$B$28+Inputs!$B$29)))</f>
        <v/>
      </c>
      <c r="E657">
        <f>INDEX(FactorTable!$B$2:$Y$301, MATCH(ROUND(MIN(300,MAX(1,D657)),0), FactorTable!$A$2:$A$301,0), Skills!M16+1)</f>
        <v/>
      </c>
      <c r="F657">
        <f>IF(Skills!N16=TRUE,(Skills!L16/10)*(E657/1000),Skills!L16/10)+Skills!O16</f>
        <v/>
      </c>
      <c r="G657">
        <f>Skills!G16*IF(Skills!H16&gt;0,Skills!I16/Skills!H16,1)</f>
        <v/>
      </c>
      <c r="H657">
        <f>1-(1-Skills!J16/100)^Skills!K16</f>
        <v/>
      </c>
      <c r="I657" t="inlineStr">
        <is>
          <t>1</t>
        </is>
      </c>
      <c r="J657" t="inlineStr"/>
      <c r="K657" t="inlineStr"/>
      <c r="L657" t="inlineStr"/>
      <c r="M657" t="inlineStr"/>
      <c r="N657" t="inlineStr"/>
      <c r="O657">
        <f>(1-Summary!$B$11)*T657+Summary!$B$11*V657</f>
        <v/>
      </c>
      <c r="P657">
        <f>IF(B676=0,0,O657/B676)</f>
        <v/>
      </c>
      <c r="Q657" t="n">
        <v>0</v>
      </c>
      <c r="R657" t="n">
        <v>0</v>
      </c>
      <c r="S657">
        <f>IFERROR(O657/N657,0)</f>
        <v/>
      </c>
      <c r="T657" t="n">
        <v>0</v>
      </c>
      <c r="V657" t="n">
        <v>0</v>
      </c>
    </row>
    <row r="658">
      <c r="A658">
        <f>Skills!A17</f>
        <v/>
      </c>
      <c r="B658">
        <f>Skills!B17</f>
        <v/>
      </c>
      <c r="C658">
        <f>Inputs!$B$3&gt;=10</f>
        <v/>
      </c>
      <c r="D658">
        <f>IF(Skills!C17=1,60+Inputs!$B$25+Inputs!$B$29,IF(Skills!C17=2,90+Inputs!$B$26+Inputs!$B$29,IF(Skills!C17=3,120+Inputs!$B$27+Inputs!$B$29,MAX(0,(Inputs!$B$3-100)*3)+Inputs!$B$28+Inputs!$B$29)))</f>
        <v/>
      </c>
      <c r="E658">
        <f>INDEX(FactorTable!$B$2:$Y$301, MATCH(ROUND(MIN(300,MAX(1,D658)),0), FactorTable!$A$2:$A$301,0), Skills!M17+1)</f>
        <v/>
      </c>
      <c r="F658">
        <f>IF(Skills!N17=TRUE,(Skills!L17/10)*(E658/1000),Skills!L17/10)+Skills!O17</f>
        <v/>
      </c>
      <c r="G658">
        <f>Skills!G17*IF(Skills!H17&gt;0,Skills!I17/Skills!H17,1)</f>
        <v/>
      </c>
      <c r="H658">
        <f>1-(1-Skills!J17/100)^Skills!K17</f>
        <v/>
      </c>
      <c r="I658" t="inlineStr">
        <is>
          <t>1</t>
        </is>
      </c>
      <c r="J658" t="inlineStr"/>
      <c r="K658" t="inlineStr"/>
      <c r="L658" t="inlineStr"/>
      <c r="M658" t="inlineStr"/>
      <c r="N658" t="inlineStr"/>
      <c r="O658">
        <f>(1-Summary!$B$11)*T658+Summary!$B$11*V658</f>
        <v/>
      </c>
      <c r="P658">
        <f>IF(B676=0,0,O658/B676)</f>
        <v/>
      </c>
      <c r="Q658" t="n">
        <v>0</v>
      </c>
      <c r="R658" t="n">
        <v>0</v>
      </c>
      <c r="S658">
        <f>IFERROR(O658/N658,0)</f>
        <v/>
      </c>
      <c r="T658" t="n">
        <v>0</v>
      </c>
      <c r="V658" t="n">
        <v>0</v>
      </c>
    </row>
    <row r="659">
      <c r="A659">
        <f>Skills!A18</f>
        <v/>
      </c>
      <c r="B659">
        <f>Skills!B18</f>
        <v/>
      </c>
      <c r="C659">
        <f>Inputs!$B$3&gt;=33</f>
        <v/>
      </c>
      <c r="D659">
        <f>IF(Skills!C18=1,60+Inputs!$B$25+Inputs!$B$29,IF(Skills!C18=2,90+Inputs!$B$26+Inputs!$B$29,IF(Skills!C18=3,120+Inputs!$B$27+Inputs!$B$29,MAX(0,(Inputs!$B$3-100)*3)+Inputs!$B$28+Inputs!$B$29)))</f>
        <v/>
      </c>
      <c r="E659">
        <f>INDEX(FactorTable!$B$2:$Y$301, MATCH(ROUND(MIN(300,MAX(1,D659)),0), FactorTable!$A$2:$A$301,0), Skills!M18+1)</f>
        <v/>
      </c>
      <c r="F659">
        <f>IF(Skills!N18=TRUE,(Skills!L18/10)*(E659/1000),Skills!L18/10)+Skills!O18</f>
        <v/>
      </c>
      <c r="G659">
        <f>Skills!G18*IF(Skills!H18&gt;0,Skills!I18/Skills!H18,1)</f>
        <v/>
      </c>
      <c r="H659">
        <f>1-(1-Skills!J18/100)^Skills!K18</f>
        <v/>
      </c>
      <c r="I659" t="inlineStr">
        <is>
          <t>1</t>
        </is>
      </c>
      <c r="J659" t="inlineStr"/>
      <c r="K659" t="inlineStr"/>
      <c r="L659" t="inlineStr"/>
      <c r="M659" t="inlineStr"/>
      <c r="N659" t="inlineStr"/>
      <c r="O659">
        <f>(1-Summary!$B$11)*T659+Summary!$B$11*V659</f>
        <v/>
      </c>
      <c r="P659">
        <f>IF(B676=0,0,O659/B676)</f>
        <v/>
      </c>
      <c r="Q659" t="n">
        <v>0</v>
      </c>
      <c r="R659" t="n">
        <v>0</v>
      </c>
      <c r="S659">
        <f>IFERROR(O659/N659,0)</f>
        <v/>
      </c>
      <c r="T659" t="n">
        <v>0</v>
      </c>
      <c r="V659" t="n">
        <v>0</v>
      </c>
    </row>
    <row r="660">
      <c r="A660">
        <f>Skills!A19</f>
        <v/>
      </c>
      <c r="B660">
        <f>Skills!B19</f>
        <v/>
      </c>
      <c r="C660">
        <f>Inputs!$B$3&gt;=40</f>
        <v/>
      </c>
      <c r="D660">
        <f>IF(Skills!C19=1,60+Inputs!$B$25+Inputs!$B$29,IF(Skills!C19=2,90+Inputs!$B$26+Inputs!$B$29,IF(Skills!C19=3,120+Inputs!$B$27+Inputs!$B$29,MAX(0,(Inputs!$B$3-100)*3)+Inputs!$B$28+Inputs!$B$29)))</f>
        <v/>
      </c>
      <c r="E660">
        <f>INDEX(FactorTable!$B$2:$Y$301, MATCH(ROUND(MIN(300,MAX(1,D660)),0), FactorTable!$A$2:$A$301,0), Skills!M19+1)</f>
        <v/>
      </c>
      <c r="F660">
        <f>IF(Skills!N19=TRUE,(Skills!L19/10)*(E660/1000),Skills!L19/10)+Skills!O19</f>
        <v/>
      </c>
      <c r="G660">
        <f>Skills!G19*IF(Skills!H19&gt;0,Skills!I19/Skills!H19,1)</f>
        <v/>
      </c>
      <c r="H660">
        <f>1-(1-Skills!J19/100)^Skills!K19</f>
        <v/>
      </c>
      <c r="I660" t="inlineStr">
        <is>
          <t>1</t>
        </is>
      </c>
      <c r="J660" t="inlineStr"/>
      <c r="K660" t="inlineStr"/>
      <c r="L660" t="inlineStr"/>
      <c r="M660" t="inlineStr"/>
      <c r="N660" t="inlineStr"/>
      <c r="O660">
        <f>(1-Summary!$B$11)*T660+Summary!$B$11*V660</f>
        <v/>
      </c>
      <c r="P660">
        <f>IF(B676=0,0,O660/B676)</f>
        <v/>
      </c>
      <c r="Q660" t="n">
        <v>0</v>
      </c>
      <c r="R660" t="n">
        <v>0</v>
      </c>
      <c r="S660">
        <f>IFERROR(O660/N660,0)</f>
        <v/>
      </c>
      <c r="T660" t="n">
        <v>0</v>
      </c>
      <c r="V660" t="n">
        <v>0</v>
      </c>
    </row>
    <row r="661">
      <c r="A661">
        <f>Skills!A20</f>
        <v/>
      </c>
      <c r="B661">
        <f>Skills!B20</f>
        <v/>
      </c>
      <c r="C661">
        <f>Inputs!$B$3&gt;=43</f>
        <v/>
      </c>
      <c r="D661">
        <f>IF(Skills!C20=1,60+Inputs!$B$25+Inputs!$B$29,IF(Skills!C20=2,90+Inputs!$B$26+Inputs!$B$29,IF(Skills!C20=3,120+Inputs!$B$27+Inputs!$B$29,MAX(0,(Inputs!$B$3-100)*3)+Inputs!$B$28+Inputs!$B$29)))</f>
        <v/>
      </c>
      <c r="E661">
        <f>INDEX(FactorTable!$B$2:$Y$301, MATCH(ROUND(MIN(300,MAX(1,D661)),0), FactorTable!$A$2:$A$301,0), Skills!M20+1)</f>
        <v/>
      </c>
      <c r="F661">
        <f>IF(Skills!N20=TRUE,(Skills!L20/10)*(E661/1000),Skills!L20/10)+Skills!O20</f>
        <v/>
      </c>
      <c r="G661">
        <f>Skills!G20*IF(Skills!H20&gt;0,Skills!I20/Skills!H20,1)</f>
        <v/>
      </c>
      <c r="H661">
        <f>1-(1-Skills!J20/100)^Skills!K20</f>
        <v/>
      </c>
      <c r="I661" t="inlineStr">
        <is>
          <t>1</t>
        </is>
      </c>
      <c r="J661" t="inlineStr"/>
      <c r="K661" t="inlineStr"/>
      <c r="L661" t="inlineStr"/>
      <c r="M661" t="inlineStr"/>
      <c r="N661" t="inlineStr"/>
      <c r="O661">
        <f>(1-Summary!$B$11)*T661+Summary!$B$11*V661</f>
        <v/>
      </c>
      <c r="P661">
        <f>IF(B676=0,0,O661/B676)</f>
        <v/>
      </c>
      <c r="Q661" t="n">
        <v>0</v>
      </c>
      <c r="R661" t="n">
        <v>0</v>
      </c>
      <c r="S661">
        <f>IFERROR(O661/N661,0)</f>
        <v/>
      </c>
      <c r="T661" t="n">
        <v>0</v>
      </c>
      <c r="V661" t="n">
        <v>0</v>
      </c>
    </row>
    <row r="662">
      <c r="A662">
        <f>Skills!A21</f>
        <v/>
      </c>
      <c r="B662">
        <f>Skills!B21</f>
        <v/>
      </c>
      <c r="C662">
        <f>Inputs!$B$3&gt;=38</f>
        <v/>
      </c>
      <c r="D662">
        <f>IF(Skills!C21=1,60+Inputs!$B$25+Inputs!$B$29,IF(Skills!C21=2,90+Inputs!$B$26+Inputs!$B$29,IF(Skills!C21=3,120+Inputs!$B$27+Inputs!$B$29,MAX(0,(Inputs!$B$3-100)*3)+Inputs!$B$28+Inputs!$B$29)))</f>
        <v/>
      </c>
      <c r="E662">
        <f>INDEX(FactorTable!$B$2:$Y$301, MATCH(ROUND(MIN(300,MAX(1,D662)),0), FactorTable!$A$2:$A$301,0), Skills!M21+1)</f>
        <v/>
      </c>
      <c r="F662">
        <f>IF(Skills!N21=TRUE,(Skills!L21/10)*(E662/1000),Skills!L21/10)+Skills!O21</f>
        <v/>
      </c>
      <c r="G662">
        <f>Skills!G21*IF(Skills!H21&gt;0,Skills!I21/Skills!H21,1)</f>
        <v/>
      </c>
      <c r="H662">
        <f>1-(1-Skills!J21/100)^Skills!K21</f>
        <v/>
      </c>
      <c r="I662" t="inlineStr">
        <is>
          <t>1</t>
        </is>
      </c>
      <c r="J662" t="inlineStr"/>
      <c r="K662" t="inlineStr"/>
      <c r="L662" t="inlineStr"/>
      <c r="M662" t="inlineStr"/>
      <c r="N662" t="inlineStr"/>
      <c r="O662">
        <f>(1-Summary!$B$11)*T662+Summary!$B$11*V662</f>
        <v/>
      </c>
      <c r="P662">
        <f>IF(B676=0,0,O662/B676)</f>
        <v/>
      </c>
      <c r="Q662" t="n">
        <v>0</v>
      </c>
      <c r="R662" t="n">
        <v>0</v>
      </c>
      <c r="S662">
        <f>IFERROR(O662/N662,0)</f>
        <v/>
      </c>
      <c r="T662" t="n">
        <v>0</v>
      </c>
      <c r="V662" t="n">
        <v>0</v>
      </c>
    </row>
    <row r="663">
      <c r="A663">
        <f>Skills!A22</f>
        <v/>
      </c>
      <c r="B663">
        <f>Skills!B22</f>
        <v/>
      </c>
      <c r="C663">
        <f>Inputs!$B$3&gt;=75</f>
        <v/>
      </c>
      <c r="D663">
        <f>IF(Skills!C22=1,60+Inputs!$B$25+Inputs!$B$29,IF(Skills!C22=2,90+Inputs!$B$26+Inputs!$B$29,IF(Skills!C22=3,120+Inputs!$B$27+Inputs!$B$29,MAX(0,(Inputs!$B$3-100)*3)+Inputs!$B$28+Inputs!$B$29)))</f>
        <v/>
      </c>
      <c r="E663">
        <f>INDEX(FactorTable!$B$2:$Y$301, MATCH(ROUND(MIN(300,MAX(1,D663)),0), FactorTable!$A$2:$A$301,0), Skills!M22+1)</f>
        <v/>
      </c>
      <c r="F663">
        <f>IF(Skills!N22=TRUE,(Skills!L22/10)*(E663/1000),Skills!L22/10)+Skills!O22</f>
        <v/>
      </c>
      <c r="G663">
        <f>Skills!G22*IF(Skills!H22&gt;0,Skills!I22/Skills!H22,1)</f>
        <v/>
      </c>
      <c r="H663">
        <f>1-(1-Skills!J22/100)^Skills!K22</f>
        <v/>
      </c>
      <c r="I663" t="inlineStr">
        <is>
          <t>1</t>
        </is>
      </c>
      <c r="J663" t="inlineStr"/>
      <c r="K663" t="inlineStr"/>
      <c r="L663" t="inlineStr"/>
      <c r="M663" t="inlineStr"/>
      <c r="N663" t="inlineStr"/>
      <c r="O663">
        <f>(1-Summary!$B$11)*T663+Summary!$B$11*V663</f>
        <v/>
      </c>
      <c r="P663">
        <f>IF(B676=0,0,O663/B676)</f>
        <v/>
      </c>
      <c r="Q663" t="n">
        <v>0</v>
      </c>
      <c r="R663" t="n">
        <v>0</v>
      </c>
      <c r="S663">
        <f>IFERROR(O663/N663,0)</f>
        <v/>
      </c>
      <c r="T663" t="n">
        <v>0</v>
      </c>
      <c r="V663" t="n">
        <v>0</v>
      </c>
    </row>
    <row r="665">
      <c r="A665" t="inlineStr">
        <is>
          <t>Attack% Bucket Multiplier</t>
        </is>
      </c>
      <c r="B665">
        <f>(1+(((C654=TRUE)*F654)+((C660=TRUE)*(F660-Calc!F19))+(IF(ArtifactsInput!$M$21,CHOOSE(ArtifactsInput!$N$21+1,25,30,35,40,45,50)*(IF(OR(Inputs!$B$4="Chapter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66">
      <c r="A666" t="inlineStr">
        <is>
          <t>Global Crit Rate Bonus %</t>
        </is>
      </c>
      <c r="B666" t="n">
        <v>0</v>
      </c>
    </row>
    <row r="667">
      <c r="A667" t="inlineStr">
        <is>
          <t>Attack Speed Buff Bonus % (unused)</t>
        </is>
      </c>
      <c r="B667" t="n">
        <v>0</v>
      </c>
    </row>
    <row r="668">
      <c r="A668" t="inlineStr">
        <is>
          <t>Actions Per Second</t>
        </is>
      </c>
      <c r="B668">
        <f>1+MIN(150,150*(1-(1-(Inputs!$B$11+((C658=TRUE)*(F658-Calc!F17))+((C659=TRUE)*(F659-Calc!F18)))/150)*(1-B667/150)))/100</f>
        <v/>
      </c>
    </row>
    <row r="669">
      <c r="A669" t="inlineStr">
        <is>
          <t>Skill + Buff Cast Rate</t>
        </is>
      </c>
      <c r="B669">
        <f>IF(AND(Inputs!$B$38&lt;&gt;"pvp",Inputs!$B$43&gt;0),SUMPRODUCT((Skills!E2:E22=TRUE)*(C643:C663=TRUE)*R643:R663*Skills!F2:F22)/Inputs!$B$43,SUMPRODUCT((Skills!E2:E22=TRUE)*(C643:C663=TRUE)*Q643:Q663*Skills!F2:F22))</f>
        <v/>
      </c>
    </row>
    <row r="670">
      <c r="A670" t="inlineStr">
        <is>
          <t>Hook Bomber Casts Per Second</t>
        </is>
      </c>
      <c r="B670">
        <f>MAX(0,B668-B669)</f>
        <v/>
      </c>
    </row>
    <row r="671">
      <c r="A671" t="inlineStr">
        <is>
          <t>Global Critical Damage Bonus % (unused)</t>
        </is>
      </c>
      <c r="B671" t="n">
        <v>0</v>
      </c>
    </row>
    <row r="672">
      <c r="A672" t="inlineStr">
        <is>
          <t>Global Final Damage Bonus % (Serpent Scale + Crossbones + Time Leap + Speed Infusion)</t>
        </is>
      </c>
      <c r="B672">
        <f>((C646=TRUE)*F646*((10+IF(Inputs!$B$3&gt;=94,5,0))/((10+IF(Inputs!$B$3&gt;=94,5,0))+5/(B670*(1+IF(Inputs!$B$3&gt;=104,1,0))))))+((C655=TRUE)*F655)+((C656=TRUE)*F656)+((Inputs!$B$3&gt;=110)*20*(B668-1))</f>
        <v/>
      </c>
    </row>
    <row r="673">
      <c r="A673" t="inlineStr">
        <is>
          <t>Buff-Casting Startup Delay (s, fixed-duration only)</t>
        </is>
      </c>
      <c r="B673">
        <f>IF(AND(Inputs!$B$38&lt;&gt;"pvp",Inputs!$B$43&gt;0),SUMPRODUCT((Skills!T2:T22&gt;0)*(Skills!E2:E22=TRUE)*(C643:C663=TRUE))/B668,0)</f>
        <v/>
      </c>
    </row>
    <row r="674">
      <c r="A674" t="inlineStr">
        <is>
          <t>Boss-Only Total DPS (this block's swept value)</t>
        </is>
      </c>
      <c r="B674">
        <f>SUM(T643:T663)</f>
        <v/>
      </c>
    </row>
    <row r="675">
      <c r="A675" t="inlineStr">
        <is>
          <t>Normal-Only Total DPS (this block's swept value)</t>
        </is>
      </c>
      <c r="B675">
        <f>SUM(V643:V663)</f>
        <v/>
      </c>
    </row>
    <row r="676">
      <c r="A676" s="6" t="inlineStr">
        <is>
          <t>TOTAL DPS</t>
        </is>
      </c>
      <c r="B676" s="6">
        <f>SUM(O643:O663)</f>
        <v/>
      </c>
    </row>
    <row r="679">
      <c r="A679" s="6" t="inlineStr">
        <is>
          <t>Stat: Skill Level Bonus — 1st Job</t>
        </is>
      </c>
    </row>
    <row r="680">
      <c r="A680" s="5" t="inlineStr">
        <is>
          <t>Key</t>
        </is>
      </c>
      <c r="B680" s="5" t="inlineStr">
        <is>
          <t>Name</t>
        </is>
      </c>
      <c r="C680" s="5" t="inlineStr">
        <is>
          <t>Unlocked</t>
        </is>
      </c>
      <c r="D680" s="5" t="inlineStr">
        <is>
          <t>InputLevel</t>
        </is>
      </c>
      <c r="E680" s="5" t="inlineStr">
        <is>
          <t>Factor</t>
        </is>
      </c>
      <c r="F680" s="5" t="inlineStr">
        <is>
          <t>CoefficientPercent</t>
        </is>
      </c>
      <c r="G680" s="5" t="inlineStr">
        <is>
          <t>EffectiveHits</t>
        </is>
      </c>
      <c r="H680" s="5" t="inlineStr">
        <is>
          <t>ProcProbability</t>
        </is>
      </c>
      <c r="I680" s="5" t="inlineStr">
        <is>
          <t>MapleHeroMultiplier</t>
        </is>
      </c>
      <c r="J680" s="5" t="inlineStr">
        <is>
          <t>BaseDamage</t>
        </is>
      </c>
      <c r="K680" s="5" t="inlineStr">
        <is>
          <t>BaseHitDamage</t>
        </is>
      </c>
      <c r="L680" s="5" t="inlineStr">
        <is>
          <t>NonCritAvg</t>
        </is>
      </c>
      <c r="M680" s="5" t="inlineStr">
        <is>
          <t>CritAvg</t>
        </is>
      </c>
      <c r="N680" s="5" t="inlineStr">
        <is>
          <t>ExpectedDamage(perHit)</t>
        </is>
      </c>
      <c r="O680" s="5" t="inlineStr">
        <is>
          <t>DPS</t>
        </is>
      </c>
      <c r="P680" s="5" t="inlineStr">
        <is>
          <t>% of Total</t>
        </is>
      </c>
      <c r="Q680" s="5" t="inlineStr">
        <is>
          <t>InvCooldown</t>
        </is>
      </c>
      <c r="R680" s="5" t="inlineStr">
        <is>
          <t>CastsInFight</t>
        </is>
      </c>
      <c r="S680" s="5" t="inlineStr">
        <is>
          <t>HitRate(perSec)</t>
        </is>
      </c>
      <c r="U680" t="inlineStr">
        <is>
          <t>helpers</t>
        </is>
      </c>
    </row>
    <row r="681">
      <c r="A681">
        <f>Skills!A2</f>
        <v/>
      </c>
      <c r="B681">
        <f>Skills!B2</f>
        <v/>
      </c>
      <c r="C681">
        <f>Inputs!$B$3&gt;=100</f>
        <v/>
      </c>
      <c r="D681" t="inlineStr"/>
      <c r="E681" t="inlineStr"/>
      <c r="F681">
        <f>U683+Skills!O2</f>
        <v/>
      </c>
      <c r="G681">
        <f>Skills!G2*IF(Skills!H2&gt;0,Skills!I2/Skills!H2,1)</f>
        <v/>
      </c>
      <c r="H681">
        <f>1-(1-Skills!J2/100)^Skills!K2</f>
        <v/>
      </c>
      <c r="I681" t="inlineStr">
        <is>
          <t>1</t>
        </is>
      </c>
      <c r="J681">
        <f>((Inputs!$B$6*(1+Inputs!$B$7/100))+(((Inputs!$B$12*(1+Inputs!$B$13/100))-(Inputs!$B$12*(1+Inputs!$B$13/100)))+0.25*(Inputs!$B$14-Inputs!$B$14))*(1+Inputs!$B$7/100))*(F681/100)</f>
        <v/>
      </c>
      <c r="K681">
        <f>J681*(1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C699=TRUE)*(F699-Calc!F20)),(Inputs!$B$23+0+(IF(ArtifactsInput!$M$15,CHOOSE(ArtifactsInput!$N$15+1,25,30,35,40,45,50)/100*(Inputs!$B$11-Inputs!$B$11),0))))/100+(Inputs!$B$23+0+(IF(ArtifactsInput!$M$15,CHOOSE(ArtifactsInput!$N$15+1,25,30,35,40,45,50)/100*(Inputs!$B$11-Inputs!$B$11),0)))/100)/2</f>
        <v/>
      </c>
      <c r="M681">
        <f>L681*(1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(1-Summary!$B$11)*T681+Summary!$B$11*V681</f>
        <v/>
      </c>
      <c r="P681">
        <f>IF(B714=0,0,O681/B714)</f>
        <v/>
      </c>
      <c r="Q681" t="n">
        <v>0</v>
      </c>
      <c r="R681" t="n">
        <v>0</v>
      </c>
      <c r="S681">
        <f>IFERROR(O681/N681,0)</f>
        <v/>
      </c>
      <c r="T681">
        <f>IF(C681,(Skills!G2*N681*B708)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681*(1-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1">
        <f>MAX(0,(Inputs!$B$3-100)*3)+Inputs!$B$28+Inputs!$B$29</f>
        <v/>
      </c>
      <c r="V681">
        <f>IF(C681,(Skills!G2*N681*B708)*IF(Inputs!$B$38="pvp",1,(1+(Inputs!$B$21+Skills!Q2+(IF(ArtifactsInput!$M$33,CHOOSE(ArtifactsInput!$N$33+1,30,36,42,48,54,60),0))+(IF(AND(ArtifactsInput!$M$35,Inputs!$B$4&lt;&gt;"Chapter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Skills!A3</f>
        <v/>
      </c>
      <c r="B682">
        <f>Skills!B3</f>
        <v/>
      </c>
      <c r="C682">
        <f>Inputs!$B$3&gt;=35</f>
        <v/>
      </c>
      <c r="D682">
        <f>IF(Skills!C3=1,60+(Inputs!$B$25+1)+Inputs!$B$29,IF(Skills!C3=2,90+Inputs!$B$26+Inputs!$B$29,IF(Skills!C3=3,120+Inputs!$B$27+Inputs!$B$29,MAX(0,(Inputs!$B$3-100)*3)+Inputs!$B$28+Inputs!$B$29)))</f>
        <v/>
      </c>
      <c r="E682">
        <f>INDEX(FactorTable!$B$2:$Y$301, MATCH(ROUND(MIN(300,MAX(1,D682)),0), FactorTable!$A$2:$A$301,0), Skills!M3+1)</f>
        <v/>
      </c>
      <c r="F682">
        <f>IF(Skills!N3=TRUE,(Skills!L3/10)*(E682/1000),Skills!L3/10)+Skills!O3</f>
        <v/>
      </c>
      <c r="G682">
        <f>Skills!G3*IF(Skills!H3&gt;0,Skills!I3/Skills!H3,1)</f>
        <v/>
      </c>
      <c r="H682">
        <f>1-(1-Skills!J3/100)^Skills!K3</f>
        <v/>
      </c>
      <c r="I682" t="inlineStr">
        <is>
          <t>1</t>
        </is>
      </c>
      <c r="J682">
        <f>((Inputs!$B$6*(1+Inputs!$B$7/100))+(((Inputs!$B$12*(1+Inputs!$B$13/100))-(Inputs!$B$12*(1+Inputs!$B$13/100)))+0.25*(Inputs!$B$14-Inputs!$B$14))*(1+Inputs!$B$7/100))*(F682/100)</f>
        <v/>
      </c>
      <c r="K682">
        <f>J682*(1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C699=TRUE)*(F699-Calc!F20)),(Inputs!$B$23+0+(IF(ArtifactsInput!$M$15,CHOOSE(ArtifactsInput!$N$15+1,25,30,35,40,45,50)/100*(Inputs!$B$11-Inputs!$B$11),0))))/100+(Inputs!$B$23+0+(IF(ArtifactsInput!$M$15,CHOOSE(ArtifactsInput!$N$15+1,25,30,35,40,45,50)/100*(Inputs!$B$11-Inputs!$B$11),0)))/100)/2</f>
        <v/>
      </c>
      <c r="M682">
        <f>L682*(1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(1-Summary!$B$11)*T682+Summary!$B$11*V682</f>
        <v/>
      </c>
      <c r="P682">
        <f>IF(B714=0,0,O682/B714)</f>
        <v/>
      </c>
      <c r="Q682" t="n">
        <v>0</v>
      </c>
      <c r="R682" t="n">
        <v>0</v>
      </c>
      <c r="S682">
        <f>IFERROR(O682/N682,0)</f>
        <v/>
      </c>
      <c r="T682">
        <f>IF(C682,(Skills!G3*H682*N682*B708)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682*(1-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2">
        <f>INDEX(FactorTable!$B$2:$Y$301, MATCH(ROUND(MIN(300,MAX(1,U681)),0), FactorTable!$A$2:$A$301,0), 22)</f>
        <v/>
      </c>
      <c r="V682">
        <f>IF(C682,(Skills!G3*H682*N682*B708)*IF(Inputs!$B$38="pvp",1,(1+(Inputs!$B$21+Skills!Q3+(IF(ArtifactsInput!$M$33,CHOOSE(ArtifactsInput!$N$33+1,30,36,42,48,54,60),0))+(IF(AND(ArtifactsInput!$M$35,Inputs!$B$4&lt;&gt;"Chapter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Skills!A4</f>
        <v/>
      </c>
      <c r="B683">
        <f>Skills!B4</f>
        <v/>
      </c>
      <c r="C683">
        <f>Inputs!$B$3&gt;=60</f>
        <v/>
      </c>
      <c r="D683">
        <f>IF(Skills!C4=1,60+(Inputs!$B$25+1)+Inputs!$B$29,IF(Skills!C4=2,90+Inputs!$B$26+Inputs!$B$29,IF(Skills!C4=3,120+Inputs!$B$27+Inputs!$B$29,MAX(0,(Inputs!$B$3-100)*3)+Inputs!$B$28+Inputs!$B$29)))</f>
        <v/>
      </c>
      <c r="E683">
        <f>INDEX(FactorTable!$B$2:$Y$301, MATCH(ROUND(MIN(300,MAX(1,D683)),0), FactorTable!$A$2:$A$301,0), Skills!M4+1)</f>
        <v/>
      </c>
      <c r="F683">
        <f>IF(Skills!N4=TRUE,(Skills!L4/10)*(E683/1000),Skills!L4/10)+Skills!O4</f>
        <v/>
      </c>
      <c r="G683">
        <f>Skills!G4*IF(Skills!H4&gt;0,Skills!I4/Skills!H4,1)</f>
        <v/>
      </c>
      <c r="H683">
        <f>1-(1-Skills!J4/100)^Skills!K4</f>
        <v/>
      </c>
      <c r="I683" t="inlineStr">
        <is>
          <t>1</t>
        </is>
      </c>
      <c r="J683">
        <f>((Inputs!$B$6*(1+Inputs!$B$7/100))+(((Inputs!$B$12*(1+Inputs!$B$13/100))-(Inputs!$B$12*(1+Inputs!$B$13/100)))+0.25*(Inputs!$B$14-Inputs!$B$14))*(1+Inputs!$B$7/100))*(F683/100)</f>
        <v/>
      </c>
      <c r="K683">
        <f>J683*(1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691=TRUE,F691,0)/100)*(1+(IF(Skills!A4="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683)</f>
        <v/>
      </c>
      <c r="L683">
        <f>K683*(MIN(Inputs!$B$22+((C699=TRUE)*(F699-Calc!F20)),(Inputs!$B$23+0+(IF(ArtifactsInput!$M$15,CHOOSE(ArtifactsInput!$N$15+1,25,30,35,40,45,50)/100*(Inputs!$B$11-Inputs!$B$11),0))))/100+(Inputs!$B$23+0+(IF(ArtifactsInput!$M$15,CHOOSE(ArtifactsInput!$N$15+1,25,30,35,40,45,50)/100*(Inputs!$B$11-Inputs!$B$11),0)))/100)/2</f>
        <v/>
      </c>
      <c r="M683">
        <f>L683*(1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3">
        <f>L683*(1-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683*(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3">
        <f>(1-Summary!$B$11)*T683+Summary!$B$11*V683</f>
        <v/>
      </c>
      <c r="P683">
        <f>IF(B714=0,0,O683/B714)</f>
        <v/>
      </c>
      <c r="Q683" t="n">
        <v>0</v>
      </c>
      <c r="R683" t="n">
        <v>0</v>
      </c>
      <c r="S683">
        <f>IFERROR(O683/N683,0)</f>
        <v/>
      </c>
      <c r="T683">
        <f>IF(C683,(Skills!G4*H683*N683*B708)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683*(1-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683*(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683*(1-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683*(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3">
        <f>290*U682/1000</f>
        <v/>
      </c>
      <c r="V683">
        <f>IF(C683,(Skills!G4*H683*N683*B708)*IF(Inputs!$B$38="pvp",1,(1+(Inputs!$B$21+Skills!Q4+(IF(ArtifactsInput!$M$33,CHOOSE(ArtifactsInput!$N$33+1,30,36,42,48,54,60),0))+(IF(AND(ArtifactsInput!$M$35,Inputs!$B$4&lt;&gt;"Chapter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4">
      <c r="A684">
        <f>Skills!A5</f>
        <v/>
      </c>
      <c r="B684">
        <f>Skills!B5</f>
        <v/>
      </c>
      <c r="C684">
        <f>Inputs!$B$3&gt;=60</f>
        <v/>
      </c>
      <c r="D684">
        <f>IF(Skills!C5=1,60+(Inputs!$B$25+1)+Inputs!$B$29,IF(Skills!C5=2,90+Inputs!$B$26+Inputs!$B$29,IF(Skills!C5=3,120+Inputs!$B$27+Inputs!$B$29,MAX(0,(Inputs!$B$3-100)*3)+Inputs!$B$28+Inputs!$B$29)))</f>
        <v/>
      </c>
      <c r="E684">
        <f>INDEX(FactorTable!$B$2:$Y$301, MATCH(ROUND(MIN(300,MAX(1,D684)),0), FactorTable!$A$2:$A$301,0), Skills!M5+1)</f>
        <v/>
      </c>
      <c r="F684">
        <f>IF(Skills!N5=TRUE,(Skills!L5/10)*(E684/1000),Skills!L5/10)+Skills!O5</f>
        <v/>
      </c>
      <c r="G684">
        <f>Skills!G5*IF(Skills!H5&gt;0,Skills!I5/Skills!H5,1)</f>
        <v/>
      </c>
      <c r="H684">
        <f>1-(1-Skills!J5/100)^Skills!K5</f>
        <v/>
      </c>
      <c r="I684" t="inlineStr">
        <is>
          <t>1</t>
        </is>
      </c>
      <c r="J684" t="inlineStr"/>
      <c r="K684" t="inlineStr"/>
      <c r="L684" t="inlineStr"/>
      <c r="M684" t="inlineStr"/>
      <c r="N684" t="inlineStr"/>
      <c r="O684">
        <f>(1-Summary!$B$11)*T684+Summary!$B$11*V684</f>
        <v/>
      </c>
      <c r="P684">
        <f>IF(B714=0,0,O684/B714)</f>
        <v/>
      </c>
      <c r="Q684" t="n">
        <v>0</v>
      </c>
      <c r="R684" t="n">
        <v>0</v>
      </c>
      <c r="S684">
        <f>IFERROR(O684/N684,0)</f>
        <v/>
      </c>
      <c r="T684" t="n">
        <v>0</v>
      </c>
      <c r="V684" t="n">
        <v>0</v>
      </c>
    </row>
    <row r="685">
      <c r="A685">
        <f>Skills!A6</f>
        <v/>
      </c>
      <c r="B685">
        <f>Skills!B6</f>
        <v/>
      </c>
      <c r="C685">
        <f>Inputs!$B$3&gt;=63</f>
        <v/>
      </c>
      <c r="D685">
        <f>IF(Skills!C6=1,60+(Inputs!$B$25+1)+Inputs!$B$29,IF(Skills!C6=2,90+Inputs!$B$26+Inputs!$B$29,IF(Skills!C6=3,120+Inputs!$B$27+Inputs!$B$29,MAX(0,(Inputs!$B$3-100)*3)+Inputs!$B$28+Inputs!$B$29)))</f>
        <v/>
      </c>
      <c r="E685">
        <f>INDEX(FactorTable!$B$2:$Y$301, MATCH(ROUND(MIN(300,MAX(1,D685)),0), FactorTable!$A$2:$A$301,0), Skills!M6+1)</f>
        <v/>
      </c>
      <c r="F685">
        <f>IF(Skills!N6=TRUE,(Skills!L6/10)*(E685/1000),Skills!L6/10)+Skills!O6</f>
        <v/>
      </c>
      <c r="G685">
        <f>Skills!G6*IF(Skills!H6&gt;0,Skills!I6/Skills!H6,1)</f>
        <v/>
      </c>
      <c r="H685">
        <f>1-(1-Skills!J6/100)^Skills!K6</f>
        <v/>
      </c>
      <c r="I685" t="inlineStr">
        <is>
          <t>1</t>
        </is>
      </c>
      <c r="J685">
        <f>((Inputs!$B$6*(1+Inputs!$B$7/100))+(((Inputs!$B$12*(1+Inputs!$B$13/100))-(Inputs!$B$12*(1+Inputs!$B$13/100)))+0.25*(Inputs!$B$14-Inputs!$B$14))*(1+Inputs!$B$7/100))*(F685/100)</f>
        <v/>
      </c>
      <c r="K685">
        <f>J685*(1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685)</f>
        <v/>
      </c>
      <c r="L685">
        <f>K685*(MIN(Inputs!$B$22+((C699=TRUE)*(F699-Calc!F20)),(Inputs!$B$23+0+(IF(ArtifactsInput!$M$15,CHOOSE(ArtifactsInput!$N$15+1,25,30,35,40,45,50)/100*(Inputs!$B$11-Inputs!$B$11),0))))/100+(Inputs!$B$23+0+(IF(ArtifactsInput!$M$15,CHOOSE(ArtifactsInput!$N$15+1,25,30,35,40,45,50)/100*(Inputs!$B$11-Inputs!$B$11),0)))/100)/2</f>
        <v/>
      </c>
      <c r="M685">
        <f>L685*(1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5">
        <f>L685*(1-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685*(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5">
        <f>(1-Summary!$B$11)*T685+Summary!$B$11*V685</f>
        <v/>
      </c>
      <c r="P685">
        <f>IF(B714=0,0,O685/B714)</f>
        <v/>
      </c>
      <c r="Q685">
        <f>IFERROR(1/(IF(Inputs!$B$38="pvp",15,MAX(0.1,Skills!D6-IF(Skills!E6=TRUE,Inputs!$B$32,0)))*(1-IF(AND(ArtifactsInput!$M$27,Inputs!$B$4="Chapter Hunt"),CHOOSE(ArtifactsInput!$N$27+1,20,24,28,32,36,40),0)/100)),0)</f>
        <v/>
      </c>
      <c r="R685">
        <f>IF(AND(Inputs!$B$38&lt;&gt;"pvp",Inputs!$B$43&gt;0),IF(MAX(0,Inputs!$B$43-B711)&lt;=0,0,(INT(MAX(0,Inputs!$B$43-B711)/(IF(Inputs!$B$38="pvp",15,MAX(0.1,Skills!D6-IF(Skills!E6=TRUE,Inputs!$B$32,0)))*(1-IF(AND(ArtifactsInput!$M$27,Inputs!$B$4="Chapter Hunt"),CHOOSE(ArtifactsInput!$N$27+1,20,24,28,32,36,40),0)/100)))+1)),0)</f>
        <v/>
      </c>
      <c r="S685">
        <f>IFERROR(O685/N685,0)</f>
        <v/>
      </c>
      <c r="T685">
        <f>IF(C685,(H685*N685*IF(AND(Inputs!$B$38&lt;&gt;"pvp",Inputs!$B$43&gt;0),((Skills!G6*((R685-1)*IF(Skills!H6&gt;0,Skills!I6/Skills!H6,1)+IF(Skills!H6&gt;0,MIN(Skills!I6,MAX(0,MAX(0,Inputs!$B$43-B711)-((R685-1)*(IF(Inputs!$B$38="pvp",15,MAX(0.1,Skills!D6-IF(Skills!E6=TRUE,Inputs!$B$32,0)))*(1-IF(AND(ArtifactsInput!$M$27,Inputs!$B$4="Chapter Hunt"),CHOOSE(ArtifactsInput!$N$27+1,20,24,28,32,36,40),0)/100)))))/Skills!H6,1)))/Inputs!$B$43),G685*Q685)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685*(1-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685*(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685*(1-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685*(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5">
        <f>IF(C685,(H685*N685*IF(AND(Inputs!$B$38&lt;&gt;"pvp",Inputs!$B$43&gt;0),((Skills!G6*((R685-1)*IF(Skills!H6&gt;0,Skills!I6/Skills!H6,1)+IF(Skills!H6&gt;0,MIN(Skills!I6,MAX(0,MAX(0,Inputs!$B$43-B711)-((R685-1)*(IF(Inputs!$B$38="pvp",15,MAX(0.1,Skills!D6-IF(Skills!E6=TRUE,Inputs!$B$32,0)))*(1-IF(AND(ArtifactsInput!$M$27,Inputs!$B$4="Chapter Hunt"),CHOOSE(ArtifactsInput!$N$27+1,20,24,28,32,36,40),0)/100)))))/Skills!H6,1)))/Inputs!$B$43),G685*Q685))*IF(Inputs!$B$38="pvp",1,(1+(Inputs!$B$21+Skills!Q6+(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6">
      <c r="A686">
        <f>Skills!A7</f>
        <v/>
      </c>
      <c r="B686">
        <f>Skills!B7</f>
        <v/>
      </c>
      <c r="C686">
        <f>Inputs!$B$3&gt;=100</f>
        <v/>
      </c>
      <c r="D686">
        <f>IF(Skills!C7=1,60+(Inputs!$B$25+1)+Inputs!$B$29,IF(Skills!C7=2,90+Inputs!$B$26+Inputs!$B$29,IF(Skills!C7=3,120+Inputs!$B$27+Inputs!$B$29,MAX(0,(Inputs!$B$3-100)*3)+Inputs!$B$28+Inputs!$B$29)))</f>
        <v/>
      </c>
      <c r="E686">
        <f>INDEX(FactorTable!$B$2:$Y$301, MATCH(ROUND(MIN(300,MAX(1,D686)),0), FactorTable!$A$2:$A$301,0), Skills!M7+1)</f>
        <v/>
      </c>
      <c r="F686">
        <f>IF(Skills!N7=TRUE,(Skills!L7/10)*(E686/1000),Skills!L7/10)+Skills!O7</f>
        <v/>
      </c>
      <c r="G686">
        <f>Skills!G7*IF(Skills!H7&gt;0,Skills!I7/Skills!H7,1)</f>
        <v/>
      </c>
      <c r="H686">
        <f>1-(1-Skills!J7/100)^Skills!K7</f>
        <v/>
      </c>
      <c r="I686" t="inlineStr">
        <is>
          <t>1</t>
        </is>
      </c>
      <c r="J686">
        <f>((Inputs!$B$6*(1+Inputs!$B$7/100))+(((Inputs!$B$12*(1+Inputs!$B$13/100))-(Inputs!$B$12*(1+Inputs!$B$13/100)))+0.25*(Inputs!$B$14-Inputs!$B$14))*(1+Inputs!$B$7/100))*(F686/100)</f>
        <v/>
      </c>
      <c r="K686">
        <f>J686*(1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686)</f>
        <v/>
      </c>
      <c r="L686">
        <f>K686*(MIN(Inputs!$B$22+((C699=TRUE)*(F699-Calc!F20)),(Inputs!$B$23+0+(IF(ArtifactsInput!$M$15,CHOOSE(ArtifactsInput!$N$15+1,25,30,35,40,45,50)/100*(Inputs!$B$11-Inputs!$B$11),0))))/100+(Inputs!$B$23+0+(IF(ArtifactsInput!$M$15,CHOOSE(ArtifactsInput!$N$15+1,25,30,35,40,45,50)/100*(Inputs!$B$11-Inputs!$B$11),0)))/100)/2</f>
        <v/>
      </c>
      <c r="M686">
        <f>L686*(1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6">
        <f>L686*(1-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686*(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6">
        <f>(1-Summary!$B$11)*T686+Summary!$B$11*V686</f>
        <v/>
      </c>
      <c r="P686">
        <f>IF(B714=0,0,O686/B714)</f>
        <v/>
      </c>
      <c r="Q686">
        <f>IFERROR(1/(IF(Inputs!$B$38="pvp",15,MAX(0.1,Skills!D7-IF(Skills!E7=TRUE,Inputs!$B$32,0)))*(1-IF(AND(ArtifactsInput!$M$27,Inputs!$B$4="Chapter Hunt"),CHOOSE(ArtifactsInput!$N$27+1,20,24,28,32,36,40),0)/100)),0)</f>
        <v/>
      </c>
      <c r="R686">
        <f>IF(AND(Inputs!$B$38&lt;&gt;"pvp",Inputs!$B$43&gt;0),IF(MAX(0,Inputs!$B$43-B711)&lt;=0,0,(INT(MAX(0,Inputs!$B$43-B711)/(IF(Inputs!$B$38="pvp",15,MAX(0.1,Skills!D7-IF(Skills!E7=TRUE,Inputs!$B$32,0)))*(1-IF(AND(ArtifactsInput!$M$27,Inputs!$B$4="Chapter Hunt"),CHOOSE(ArtifactsInput!$N$27+1,20,24,28,32,36,40),0)/100)))+1)),0)</f>
        <v/>
      </c>
      <c r="S686">
        <f>IFERROR(O686/N686,0)</f>
        <v/>
      </c>
      <c r="T686">
        <f>IF(C686,(H686*N686*IF(AND(Inputs!$B$38&lt;&gt;"pvp",Inputs!$B$43&gt;0),((Skills!G7*((R686-1)*IF(Skills!H7&gt;0,Skills!I7/Skills!H7,1)+IF(Skills!H7&gt;0,MIN(Skills!I7,MAX(0,MAX(0,Inputs!$B$43-B711)-((R686-1)*(IF(Inputs!$B$38="pvp",15,MAX(0.1,Skills!D7-IF(Skills!E7=TRUE,Inputs!$B$32,0)))*(1-IF(AND(ArtifactsInput!$M$27,Inputs!$B$4="Chapter Hunt"),CHOOSE(ArtifactsInput!$N$27+1,20,24,28,32,36,40),0)/100)))))/Skills!H7,1)))/Inputs!$B$43),G686*Q686)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686*(1-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686*(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686*(1-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686*(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6">
        <f>IF(C686,(H686*N686*IF(AND(Inputs!$B$38&lt;&gt;"pvp",Inputs!$B$43&gt;0),((Skills!G7*((R686-1)*IF(Skills!H7&gt;0,Skills!I7/Skills!H7,1)+IF(Skills!H7&gt;0,MIN(Skills!I7,MAX(0,MAX(0,Inputs!$B$43-B711)-((R686-1)*(IF(Inputs!$B$38="pvp",15,MAX(0.1,Skills!D7-IF(Skills!E7=TRUE,Inputs!$B$32,0)))*(1-IF(AND(ArtifactsInput!$M$27,Inputs!$B$4="Chapter Hunt"),CHOOSE(ArtifactsInput!$N$27+1,20,24,28,32,36,40),0)/100)))))/Skills!H7,1)))/Inputs!$B$43),G686*Q686))*IF(Inputs!$B$38="pvp",1,(1+(Inputs!$B$21+Skills!Q7+(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7">
      <c r="A687">
        <f>Skills!A8</f>
        <v/>
      </c>
      <c r="B687">
        <f>Skills!B8</f>
        <v/>
      </c>
      <c r="C687">
        <f>Inputs!$B$3&gt;=110</f>
        <v/>
      </c>
      <c r="D687">
        <f>IF(Skills!C8=1,60+(Inputs!$B$25+1)+Inputs!$B$29,IF(Skills!C8=2,90+Inputs!$B$26+Inputs!$B$29,IF(Skills!C8=3,120+Inputs!$B$27+Inputs!$B$29,MAX(0,(Inputs!$B$3-100)*3)+Inputs!$B$28+Inputs!$B$29)))</f>
        <v/>
      </c>
      <c r="E687">
        <f>INDEX(FactorTable!$B$2:$Y$301, MATCH(ROUND(MIN(300,MAX(1,D687)),0), FactorTable!$A$2:$A$301,0), Skills!M8+1)</f>
        <v/>
      </c>
      <c r="F687">
        <f>IF(Skills!N8=TRUE,(Skills!L8/10)*(E687/1000),Skills!L8/10)+Skills!O8</f>
        <v/>
      </c>
      <c r="G687">
        <f>Skills!G8*IF(Skills!H8&gt;0,Skills!I8/Skills!H8,1)</f>
        <v/>
      </c>
      <c r="H687">
        <f>1-(1-Skills!J8/100)^Skills!K8</f>
        <v/>
      </c>
      <c r="I687" t="inlineStr">
        <is>
          <t>1</t>
        </is>
      </c>
      <c r="J687">
        <f>((Inputs!$B$6*(1+Inputs!$B$7/100))+(((Inputs!$B$12*(1+Inputs!$B$13/100))-(Inputs!$B$12*(1+Inputs!$B$13/100)))+0.25*(Inputs!$B$14-Inputs!$B$14))*(1+Inputs!$B$7/100))*(F687/100)</f>
        <v/>
      </c>
      <c r="K687">
        <f>J687*(1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687)</f>
        <v/>
      </c>
      <c r="L687">
        <f>K687*(MIN(Inputs!$B$22+((C699=TRUE)*(F699-Calc!F20)),(Inputs!$B$23+0+(IF(ArtifactsInput!$M$15,CHOOSE(ArtifactsInput!$N$15+1,25,30,35,40,45,50)/100*(Inputs!$B$11-Inputs!$B$11),0))))/100+(Inputs!$B$23+0+(IF(ArtifactsInput!$M$15,CHOOSE(ArtifactsInput!$N$15+1,25,30,35,40,45,50)/100*(Inputs!$B$11-Inputs!$B$11),0)))/100)/2</f>
        <v/>
      </c>
      <c r="M687">
        <f>L687*(1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7">
        <f>L687*(1-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687*(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7">
        <f>(1-Summary!$B$11)*T687+Summary!$B$11*V687</f>
        <v/>
      </c>
      <c r="P687">
        <f>IF(B714=0,0,O687/B714)</f>
        <v/>
      </c>
      <c r="Q687">
        <f>IFERROR(1/(IF(Inputs!$B$38="pvp",15,MAX(0.1,Skills!D8-IF(Skills!E8=TRUE,Inputs!$B$32,0)))*(1-IF(AND(ArtifactsInput!$M$27,Inputs!$B$4="Chapter Hunt"),CHOOSE(ArtifactsInput!$N$27+1,20,24,28,32,36,40),0)/100)),0)</f>
        <v/>
      </c>
      <c r="R687">
        <f>IF(AND(Inputs!$B$38&lt;&gt;"pvp",Inputs!$B$43&gt;0),IF(MAX(0,Inputs!$B$43-B711)&lt;=0,0,(INT(MAX(0,Inputs!$B$43-B711)/(IF(Inputs!$B$38="pvp",15,MAX(0.1,Skills!D8-IF(Skills!E8=TRUE,Inputs!$B$32,0)))*(1-IF(AND(ArtifactsInput!$M$27,Inputs!$B$4="Chapter Hunt"),CHOOSE(ArtifactsInput!$N$27+1,20,24,28,32,36,40),0)/100)))+1)),0)</f>
        <v/>
      </c>
      <c r="S687">
        <f>IFERROR(O687/N687,0)</f>
        <v/>
      </c>
      <c r="T687">
        <f>IF(C687,(H687*N687*IF(AND(Inputs!$B$38&lt;&gt;"pvp",Inputs!$B$43&gt;0),((Skills!G8*((R687-1)*IF(Skills!H8&gt;0,Skills!I8/Skills!H8,1)+IF(Skills!H8&gt;0,MIN(Skills!I8,MAX(0,MAX(0,Inputs!$B$43-B711)-((R687-1)*(IF(Inputs!$B$38="pvp",15,MAX(0.1,Skills!D8-IF(Skills!E8=TRUE,Inputs!$B$32,0)))*(1-IF(AND(ArtifactsInput!$M$27,Inputs!$B$4="Chapter Hunt"),CHOOSE(ArtifactsInput!$N$27+1,20,24,28,32,36,40),0)/100)))))/Skills!H8,1)))/Inputs!$B$43),G687*Q687)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687*(1-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687*(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687*(1-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687*(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7">
        <f>IF(C687,(H687*N687*IF(AND(Inputs!$B$38&lt;&gt;"pvp",Inputs!$B$43&gt;0),((Skills!G8*((R687-1)*IF(Skills!H8&gt;0,Skills!I8/Skills!H8,1)+IF(Skills!H8&gt;0,MIN(Skills!I8,MAX(0,MAX(0,Inputs!$B$43-B711)-((R687-1)*(IF(Inputs!$B$38="pvp",15,MAX(0.1,Skills!D8-IF(Skills!E8=TRUE,Inputs!$B$32,0)))*(1-IF(AND(ArtifactsInput!$M$27,Inputs!$B$4="Chapter Hunt"),CHOOSE(ArtifactsInput!$N$27+1,20,24,28,32,36,40),0)/100)))))/Skills!H8,1)))/Inputs!$B$43),G687*Q687))*IF(Inputs!$B$38="pvp",1,(1+(Inputs!$B$21+Skills!Q8+(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8">
      <c r="A688">
        <f>Skills!A9</f>
        <v/>
      </c>
      <c r="B688">
        <f>Skills!B9</f>
        <v/>
      </c>
      <c r="C688">
        <f>Inputs!$B$3&gt;=110</f>
        <v/>
      </c>
      <c r="D688">
        <f>IF(Skills!C9=1,60+(Inputs!$B$25+1)+Inputs!$B$29,IF(Skills!C9=2,90+Inputs!$B$26+Inputs!$B$29,IF(Skills!C9=3,120+Inputs!$B$27+Inputs!$B$29,MAX(0,(Inputs!$B$3-100)*3)+Inputs!$B$28+Inputs!$B$29)))</f>
        <v/>
      </c>
      <c r="E688">
        <f>INDEX(FactorTable!$B$2:$Y$301, MATCH(ROUND(MIN(300,MAX(1,D688)),0), FactorTable!$A$2:$A$301,0), Skills!M9+1)</f>
        <v/>
      </c>
      <c r="F688">
        <f>IF(Skills!N9=TRUE,(Skills!L9/10)*(E688/1000),Skills!L9/10)+Skills!O9</f>
        <v/>
      </c>
      <c r="G688">
        <f>Skills!G9*IF(Skills!H9&gt;0,Skills!I9/Skills!H9,1)</f>
        <v/>
      </c>
      <c r="H688">
        <f>1-(1-Skills!J9/100)^Skills!K9</f>
        <v/>
      </c>
      <c r="I688" t="inlineStr">
        <is>
          <t>1</t>
        </is>
      </c>
      <c r="J688">
        <f>((Inputs!$B$6*(1+Inputs!$B$7/100))+(((Inputs!$B$12*(1+Inputs!$B$13/100))-(Inputs!$B$12*(1+Inputs!$B$13/100)))+0.25*(Inputs!$B$14-Inputs!$B$14))*(1+Inputs!$B$7/100))*(F688/100)</f>
        <v/>
      </c>
      <c r="K688">
        <f>J688*(1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688)</f>
        <v/>
      </c>
      <c r="L688">
        <f>K688*(MIN(Inputs!$B$22+((C699=TRUE)*(F699-Calc!F20)),(Inputs!$B$23+0+(IF(ArtifactsInput!$M$15,CHOOSE(ArtifactsInput!$N$15+1,25,30,35,40,45,50)/100*(Inputs!$B$11-Inputs!$B$11),0))))/100+(Inputs!$B$23+0+(IF(ArtifactsInput!$M$15,CHOOSE(ArtifactsInput!$N$15+1,25,30,35,40,45,50)/100*(Inputs!$B$11-Inputs!$B$11),0)))/100)/2</f>
        <v/>
      </c>
      <c r="M688">
        <f>L688*(1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8">
        <f>L688*(1-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688*(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8">
        <f>(1-Summary!$B$11)*T688+Summary!$B$11*V688</f>
        <v/>
      </c>
      <c r="P688">
        <f>IF(B714=0,0,O688/B714)</f>
        <v/>
      </c>
      <c r="Q688">
        <f>IFERROR(1/(IF(Inputs!$B$38="pvp",15,MAX(0.1,Skills!D9-IF(Skills!E9=TRUE,Inputs!$B$32,0)))*(1-IF(AND(ArtifactsInput!$M$27,Inputs!$B$4="Chapter Hunt"),CHOOSE(ArtifactsInput!$N$27+1,20,24,28,32,36,40),0)/100)),0)</f>
        <v/>
      </c>
      <c r="R688">
        <f>IF(AND(Inputs!$B$38&lt;&gt;"pvp",Inputs!$B$43&gt;0),IF(MAX(0,Inputs!$B$43-B711)&lt;=0,0,(INT(MAX(0,Inputs!$B$43-B711)/(IF(Inputs!$B$38="pvp",15,MAX(0.1,Skills!D9-IF(Skills!E9=TRUE,Inputs!$B$32,0)))*(1-IF(AND(ArtifactsInput!$M$27,Inputs!$B$4="Chapter Hunt"),CHOOSE(ArtifactsInput!$N$27+1,20,24,28,32,36,40),0)/100)))+1)),0)</f>
        <v/>
      </c>
      <c r="S688">
        <f>IFERROR(O688/N688,0)</f>
        <v/>
      </c>
      <c r="T688">
        <f>IF(C688,(H688*N688*IF(AND(Inputs!$B$38&lt;&gt;"pvp",Inputs!$B$43&gt;0),((Skills!G9*((R688-1)*IF(Skills!H9&gt;0,Skills!I9/Skills!H9,1)+IF(Skills!H9&gt;0,MIN(Skills!I9,MAX(0,MAX(0,Inputs!$B$43-B711)-((R688-1)*(IF(Inputs!$B$38="pvp",15,MAX(0.1,Skills!D9-IF(Skills!E9=TRUE,Inputs!$B$32,0)))*(1-IF(AND(ArtifactsInput!$M$27,Inputs!$B$4="Chapter Hunt"),CHOOSE(ArtifactsInput!$N$27+1,20,24,28,32,36,40),0)/100)))))/Skills!H9,1)))/Inputs!$B$43),G688*Q688)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688*(1-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688*(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688*(1-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688*(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8">
        <f>IF(C688,(H688*N688*IF(AND(Inputs!$B$38&lt;&gt;"pvp",Inputs!$B$43&gt;0),((Skills!G9*((R688-1)*IF(Skills!H9&gt;0,Skills!I9/Skills!H9,1)+IF(Skills!H9&gt;0,MIN(Skills!I9,MAX(0,MAX(0,Inputs!$B$43-B711)-((R688-1)*(IF(Inputs!$B$38="pvp",15,MAX(0.1,Skills!D9-IF(Skills!E9=TRUE,Inputs!$B$32,0)))*(1-IF(AND(ArtifactsInput!$M$27,Inputs!$B$4="Chapter Hunt"),CHOOSE(ArtifactsInput!$N$27+1,20,24,28,32,36,40),0)/100)))))/Skills!H9,1)))/Inputs!$B$43),G688*Q688))*IF(Inputs!$B$38="pvp",1,(1+(Inputs!$B$21+Skills!Q9+(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9">
      <c r="A689">
        <f>Skills!A10</f>
        <v/>
      </c>
      <c r="B689">
        <f>Skills!B10</f>
        <v/>
      </c>
      <c r="C689">
        <f>Inputs!$B$3&gt;=103</f>
        <v/>
      </c>
      <c r="D689">
        <f>IF(Skills!C10=1,60+(Inputs!$B$25+1)+Inputs!$B$29,IF(Skills!C10=2,90+Inputs!$B$26+Inputs!$B$29,IF(Skills!C10=3,120+Inputs!$B$27+Inputs!$B$29,MAX(0,(Inputs!$B$3-100)*3)+Inputs!$B$28+Inputs!$B$29)))</f>
        <v/>
      </c>
      <c r="E689">
        <f>INDEX(FactorTable!$B$2:$Y$301, MATCH(ROUND(MIN(300,MAX(1,D689)),0), FactorTable!$A$2:$A$301,0), Skills!M10+1)</f>
        <v/>
      </c>
      <c r="F689">
        <f>IF(Skills!N10=TRUE,(Skills!L10/10)*(E689/1000),Skills!L10/10)+Skills!O10</f>
        <v/>
      </c>
      <c r="G689">
        <f>Skills!G10*IF(Skills!H10&gt;0,Skills!I10/Skills!H10,1)</f>
        <v/>
      </c>
      <c r="H689">
        <f>1-(1-Skills!J10/100)^Skills!K10</f>
        <v/>
      </c>
      <c r="I689" t="inlineStr">
        <is>
          <t>1</t>
        </is>
      </c>
      <c r="J689">
        <f>((Inputs!$B$6*(1+Inputs!$B$7/100))+(((Inputs!$B$12*(1+Inputs!$B$13/100))-(Inputs!$B$12*(1+Inputs!$B$13/100)))+0.25*(Inputs!$B$14-Inputs!$B$14))*(1+Inputs!$B$7/100))*(F689/100)</f>
        <v/>
      </c>
      <c r="K689">
        <f>J689*(1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689)</f>
        <v/>
      </c>
      <c r="L689">
        <f>K689*(MIN(Inputs!$B$22+((C699=TRUE)*(F699-Calc!F20)),(Inputs!$B$23+0+(IF(ArtifactsInput!$M$15,CHOOSE(ArtifactsInput!$N$15+1,25,30,35,40,45,50)/100*(Inputs!$B$11-Inputs!$B$11),0))))/100+(Inputs!$B$23+0+(IF(ArtifactsInput!$M$15,CHOOSE(ArtifactsInput!$N$15+1,25,30,35,40,45,50)/100*(Inputs!$B$11-Inputs!$B$11),0)))/100)/2</f>
        <v/>
      </c>
      <c r="M689">
        <f>L689*(1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9">
        <f>L689*(1-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689*(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9">
        <f>(1-Summary!$B$11)*T689+Summary!$B$11*V689</f>
        <v/>
      </c>
      <c r="P689">
        <f>IF(B714=0,0,O689/B714)</f>
        <v/>
      </c>
      <c r="Q689">
        <f>IFERROR(1/(IF(Inputs!$B$38="pvp",15,MAX(0.1,Skills!D10-IF(Skills!E10=TRUE,Inputs!$B$32,0)))*(1-IF(AND(ArtifactsInput!$M$27,Inputs!$B$4="Chapter Hunt"),CHOOSE(ArtifactsInput!$N$27+1,20,24,28,32,36,40),0)/100)),0)</f>
        <v/>
      </c>
      <c r="R689">
        <f>IF(AND(Inputs!$B$38&lt;&gt;"pvp",Inputs!$B$43&gt;0),IF(MAX(0,Inputs!$B$43-B711)&lt;=0,0,(INT(MAX(0,Inputs!$B$43-B711)/(IF(Inputs!$B$38="pvp",15,MAX(0.1,Skills!D10-IF(Skills!E10=TRUE,Inputs!$B$32,0)))*(1-IF(AND(ArtifactsInput!$M$27,Inputs!$B$4="Chapter Hunt"),CHOOSE(ArtifactsInput!$N$27+1,20,24,28,32,36,40),0)/100)))+1)),0)</f>
        <v/>
      </c>
      <c r="S689">
        <f>IFERROR(O689/N689,0)</f>
        <v/>
      </c>
      <c r="T689">
        <f>IF(C689,(H689*N689*IF(AND(Inputs!$B$38&lt;&gt;"pvp",Inputs!$B$43&gt;0),((Skills!G10*((R689-1)*IF(Skills!H10&gt;0,Skills!I10/Skills!H10,1)+IF(Skills!H10&gt;0,MIN(Skills!I10,MAX(0,MAX(0,Inputs!$B$43-B711)-((R689-1)*(IF(Inputs!$B$38="pvp",15,MAX(0.1,Skills!D10-IF(Skills!E10=TRUE,Inputs!$B$32,0)))*(1-IF(AND(ArtifactsInput!$M$27,Inputs!$B$4="Chapter Hunt"),CHOOSE(ArtifactsInput!$N$27+1,20,24,28,32,36,40),0)/100)))))/Skills!H10,1)))/Inputs!$B$43),G689*Q689)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689*(1-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689*(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689*(1-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689*(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9">
        <f>IF(C689,(H689*N689*IF(AND(Inputs!$B$38&lt;&gt;"pvp",Inputs!$B$43&gt;0),((Skills!G10*((R689-1)*IF(Skills!H10&gt;0,Skills!I10/Skills!H10,1)+IF(Skills!H10&gt;0,MIN(Skills!I10,MAX(0,MAX(0,Inputs!$B$43-B711)-((R689-1)*(IF(Inputs!$B$38="pvp",15,MAX(0.1,Skills!D10-IF(Skills!E10=TRUE,Inputs!$B$32,0)))*(1-IF(AND(ArtifactsInput!$M$27,Inputs!$B$4="Chapter Hunt"),CHOOSE(ArtifactsInput!$N$27+1,20,24,28,32,36,40),0)/100)))))/Skills!H10,1)))/Inputs!$B$43),G689*Q689))*IF(Inputs!$B$38="pvp",1,(1+(Inputs!$B$21+Skills!Q10+(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0">
      <c r="A690">
        <f>Skills!A11</f>
        <v/>
      </c>
      <c r="B690">
        <f>Skills!B11</f>
        <v/>
      </c>
      <c r="C690">
        <f>Inputs!$B$3&gt;=113</f>
        <v/>
      </c>
      <c r="D690">
        <f>IF(Skills!C11=1,60+(Inputs!$B$25+1)+Inputs!$B$29,IF(Skills!C11=2,90+Inputs!$B$26+Inputs!$B$29,IF(Skills!C11=3,120+Inputs!$B$27+Inputs!$B$29,MAX(0,(Inputs!$B$3-100)*3)+Inputs!$B$28+Inputs!$B$29)))</f>
        <v/>
      </c>
      <c r="E690">
        <f>INDEX(FactorTable!$B$2:$Y$301, MATCH(ROUND(MIN(300,MAX(1,D690)),0), FactorTable!$A$2:$A$301,0), Skills!M11+1)</f>
        <v/>
      </c>
      <c r="F690">
        <f>IF(Skills!N11=TRUE,(Skills!L11/10)*(E690/1000),Skills!L11/10)+Skills!O11</f>
        <v/>
      </c>
      <c r="G690">
        <f>Skills!G11*IF(Skills!H11&gt;0,Skills!I11/Skills!H11,1)</f>
        <v/>
      </c>
      <c r="H690">
        <f>1-(1-Skills!J11/100)^Skills!K11</f>
        <v/>
      </c>
      <c r="I690" t="inlineStr">
        <is>
          <t>1</t>
        </is>
      </c>
      <c r="J690">
        <f>((Inputs!$B$6*(1+Inputs!$B$7/100))+(((Inputs!$B$12*(1+Inputs!$B$13/100))-(Inputs!$B$12*(1+Inputs!$B$13/100)))+0.25*(Inputs!$B$14-Inputs!$B$14))*(1+Inputs!$B$7/100))*(F690/100)</f>
        <v/>
      </c>
      <c r="K690">
        <f>J690*(1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C699=TRUE)*(F699-Calc!F20)),(Inputs!$B$23+0+(IF(ArtifactsInput!$M$15,CHOOSE(ArtifactsInput!$N$15+1,25,30,35,40,45,50)/100*(Inputs!$B$11-Inputs!$B$11),0))))/100+(Inputs!$B$23+0+(IF(ArtifactsInput!$M$15,CHOOSE(ArtifactsInput!$N$15+1,25,30,35,40,45,50)/100*(Inputs!$B$11-Inputs!$B$11),0)))/100)/2</f>
        <v/>
      </c>
      <c r="M690">
        <f>L690*(1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(1-Summary!$B$11)*T690+Summary!$B$11*V690</f>
        <v/>
      </c>
      <c r="P690">
        <f>IF(B714=0,0,O690/B714)</f>
        <v/>
      </c>
      <c r="Q690">
        <f>IFERROR(1/(IF(Inputs!$B$38="pvp",15,MAX(0.1,Skills!D11-IF(Skills!E11=TRUE,Inputs!$B$32,0)))*(1-IF(AND(ArtifactsInput!$M$27,Inputs!$B$4="Chapter Hunt"),CHOOSE(ArtifactsInput!$N$27+1,20,24,28,32,36,40),0)/100)),0)</f>
        <v/>
      </c>
      <c r="R690">
        <f>IF(AND(Inputs!$B$38&lt;&gt;"pvp",Inputs!$B$43&gt;0),IF(MAX(0,Inputs!$B$43-B711)&lt;=0,0,(INT(MAX(0,Inputs!$B$43-B711)/(IF(Inputs!$B$38="pvp",15,MAX(0.1,Skills!D11-IF(Skills!E11=TRUE,Inputs!$B$32,0)))*(1-IF(AND(ArtifactsInput!$M$27,Inputs!$B$4="Chapter Hunt"),CHOOSE(ArtifactsInput!$N$27+1,20,24,28,32,36,40),0)/100)))+1)),0)</f>
        <v/>
      </c>
      <c r="S690">
        <f>IFERROR(O690/N690,0)</f>
        <v/>
      </c>
      <c r="T690">
        <f>IF(C690,(H690*N690*IF(AND(Inputs!$B$38&lt;&gt;"pvp",Inputs!$B$43&gt;0),((Skills!G11*((R690-1)*IF(Skills!H11&gt;0,Skills!I11/Skills!H11,1)+IF(Skills!H11&gt;0,MIN(Skills!I11,MAX(0,MAX(0,Inputs!$B$43-B711)-((R690-1)*(IF(Inputs!$B$38="pvp",15,MAX(0.1,Skills!D11-IF(Skills!E11=TRUE,Inputs!$B$32,0)))*(1-IF(AND(ArtifactsInput!$M$27,Inputs!$B$4="Chapter Hunt"),CHOOSE(ArtifactsInput!$N$27+1,20,24,28,32,36,40),0)/100)))))/Skills!H11,1)))/Inputs!$B$43),G690*Q690)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690*(1-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0">
        <f>IF(C690,(H690*N690*IF(AND(Inputs!$B$38&lt;&gt;"pvp",Inputs!$B$43&gt;0),((Skills!G11*((R690-1)*IF(Skills!H11&gt;0,Skills!I11/Skills!H11,1)+IF(Skills!H11&gt;0,MIN(Skills!I11,MAX(0,MAX(0,Inputs!$B$43-B711)-((R690-1)*(IF(Inputs!$B$38="pvp",15,MAX(0.1,Skills!D11-IF(Skills!E11=TRUE,Inputs!$B$32,0)))*(1-IF(AND(ArtifactsInput!$M$27,Inputs!$B$4="Chapter Hunt"),CHOOSE(ArtifactsInput!$N$27+1,20,24,28,32,36,40),0)/100)))))/Skills!H11,1)))/Inputs!$B$43),G690*Q690))*IF(Inputs!$B$38="pvp",1,(1+(Inputs!$B$21+Skills!Q11+(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Skills!A12</f>
        <v/>
      </c>
      <c r="B691">
        <f>Skills!B12</f>
        <v/>
      </c>
      <c r="C691">
        <f>Inputs!$B$3&gt;=100</f>
        <v/>
      </c>
      <c r="D691">
        <f>IF(Skills!C12=1,60+(Inputs!$B$25+1)+Inputs!$B$29,IF(Skills!C12=2,90+Inputs!$B$26+Inputs!$B$29,IF(Skills!C12=3,120+Inputs!$B$27+Inputs!$B$29,MAX(0,(Inputs!$B$3-100)*3)+Inputs!$B$28+Inputs!$B$29)))</f>
        <v/>
      </c>
      <c r="E691">
        <f>INDEX(FactorTable!$B$2:$Y$301, MATCH(ROUND(MIN(300,MAX(1,D691)),0), FactorTable!$A$2:$A$301,0), Skills!M12+1)</f>
        <v/>
      </c>
      <c r="F691">
        <f>IF(Skills!N12=TRUE,(Skills!L12/10)*(E691/1000),Skills!L12/10)+Skills!O12</f>
        <v/>
      </c>
      <c r="G691" t="inlineStr"/>
      <c r="H691" t="inlineStr"/>
      <c r="I691" t="inlineStr">
        <is>
          <t>1</t>
        </is>
      </c>
      <c r="J691" t="inlineStr"/>
      <c r="K691" t="inlineStr"/>
      <c r="L691" t="inlineStr"/>
      <c r="M691" t="inlineStr"/>
      <c r="N691" t="inlineStr"/>
      <c r="O691" t="inlineStr"/>
      <c r="P691" t="inlineStr"/>
      <c r="Q691" t="inlineStr"/>
      <c r="R691" t="inlineStr"/>
      <c r="S691" t="inlineStr"/>
      <c r="T691" t="inlineStr"/>
      <c r="V691" t="inlineStr"/>
    </row>
    <row r="692">
      <c r="A692">
        <f>Skills!A13</f>
        <v/>
      </c>
      <c r="B692">
        <f>Skills!B13</f>
        <v/>
      </c>
      <c r="C692">
        <f>Inputs!$B$3&gt;=66</f>
        <v/>
      </c>
      <c r="D692">
        <f>IF(Skills!C13=1,60+(Inputs!$B$25+1)+Inputs!$B$29,IF(Skills!C13=2,90+Inputs!$B$26+Inputs!$B$29,IF(Skills!C13=3,120+Inputs!$B$27+Inputs!$B$29,MAX(0,(Inputs!$B$3-100)*3)+Inputs!$B$28+Inputs!$B$29)))</f>
        <v/>
      </c>
      <c r="E692">
        <f>INDEX(FactorTable!$B$2:$Y$301, MATCH(ROUND(MIN(300,MAX(1,D692)),0), FactorTable!$A$2:$A$301,0), Skills!M13+1)</f>
        <v/>
      </c>
      <c r="F692">
        <f>IF(Skills!N13=TRUE,(Skills!L13/10)*(E692/1000),Skills!L13/10)+Skills!O13</f>
        <v/>
      </c>
      <c r="G692">
        <f>Skills!G13*IF(Skills!H13&gt;0,Skills!I13/Skills!H13,1)</f>
        <v/>
      </c>
      <c r="H692">
        <f>1-(1-Skills!J13/100)^Skills!K13</f>
        <v/>
      </c>
      <c r="I692" t="inlineStr">
        <is>
          <t>1</t>
        </is>
      </c>
      <c r="J692" t="inlineStr"/>
      <c r="K692" t="inlineStr"/>
      <c r="L692" t="inlineStr"/>
      <c r="M692" t="inlineStr"/>
      <c r="N692" t="inlineStr"/>
      <c r="O692">
        <f>(1-Summary!$B$11)*T692+Summary!$B$11*V692</f>
        <v/>
      </c>
      <c r="P692">
        <f>IF(B714=0,0,O692/B714)</f>
        <v/>
      </c>
      <c r="Q692" t="n">
        <v>0</v>
      </c>
      <c r="R692" t="n">
        <v>0</v>
      </c>
      <c r="S692">
        <f>IFERROR(O692/N692,0)</f>
        <v/>
      </c>
      <c r="T692" t="n">
        <v>0</v>
      </c>
      <c r="V692" t="n">
        <v>0</v>
      </c>
    </row>
    <row r="693">
      <c r="A693">
        <f>Skills!A14</f>
        <v/>
      </c>
      <c r="B693">
        <f>Skills!B14</f>
        <v/>
      </c>
      <c r="C693">
        <f>Inputs!$B$3&gt;=107</f>
        <v/>
      </c>
      <c r="D693">
        <f>IF(Skills!C14=1,60+(Inputs!$B$25+1)+Inputs!$B$29,IF(Skills!C14=2,90+Inputs!$B$26+Inputs!$B$29,IF(Skills!C14=3,120+Inputs!$B$27+Inputs!$B$29,MAX(0,(Inputs!$B$3-100)*3)+Inputs!$B$28+Inputs!$B$29)))</f>
        <v/>
      </c>
      <c r="E693">
        <f>INDEX(FactorTable!$B$2:$Y$301, MATCH(ROUND(MIN(300,MAX(1,D693)),0), FactorTable!$A$2:$A$301,0), Skills!M14+1)</f>
        <v/>
      </c>
      <c r="F693">
        <f>IF(Skills!N14=TRUE,(Skills!L14/10)*(E693/1000),Skills!L14/10)+Skills!O14</f>
        <v/>
      </c>
      <c r="G693">
        <f>Skills!G14*IF(Skills!H14&gt;0,Skills!I14/Skills!H14,1)</f>
        <v/>
      </c>
      <c r="H693">
        <f>1-(1-Skills!J14/100)^Skills!K14</f>
        <v/>
      </c>
      <c r="I693" t="inlineStr">
        <is>
          <t>1</t>
        </is>
      </c>
      <c r="J693" t="inlineStr"/>
      <c r="K693" t="inlineStr"/>
      <c r="L693" t="inlineStr"/>
      <c r="M693" t="inlineStr"/>
      <c r="N693" t="inlineStr"/>
      <c r="O693">
        <f>(1-Summary!$B$11)*T693+Summary!$B$11*V693</f>
        <v/>
      </c>
      <c r="P693">
        <f>IF(B714=0,0,O693/B714)</f>
        <v/>
      </c>
      <c r="Q693" t="n">
        <v>0</v>
      </c>
      <c r="R693" t="n">
        <v>0</v>
      </c>
      <c r="S693">
        <f>IFERROR(O693/N693,0)</f>
        <v/>
      </c>
      <c r="T693" t="n">
        <v>0</v>
      </c>
      <c r="V693" t="n">
        <v>0</v>
      </c>
    </row>
    <row r="694">
      <c r="A694">
        <f>Skills!A15</f>
        <v/>
      </c>
      <c r="B694">
        <f>Skills!B15</f>
        <v/>
      </c>
      <c r="C694">
        <f>Inputs!$B$3&gt;=115</f>
        <v/>
      </c>
      <c r="D694">
        <f>IF(Skills!C15=1,60+(Inputs!$B$25+1)+Inputs!$B$29,IF(Skills!C15=2,90+Inputs!$B$26+Inputs!$B$29,IF(Skills!C15=3,120+Inputs!$B$27+Inputs!$B$29,MAX(0,(Inputs!$B$3-100)*3)+Inputs!$B$28+Inputs!$B$29)))</f>
        <v/>
      </c>
      <c r="E694">
        <f>INDEX(FactorTable!$B$2:$Y$301, MATCH(ROUND(MIN(300,MAX(1,D694)),0), FactorTable!$A$2:$A$301,0), Skills!M15+1)</f>
        <v/>
      </c>
      <c r="F694">
        <f>IF(Skills!N15=TRUE,(Skills!L15/10)*(E694/1000),Skills!L15/10)+Skills!O15</f>
        <v/>
      </c>
      <c r="G694">
        <f>Skills!G15*IF(Skills!H15&gt;0,Skills!I15/Skills!H15,1)</f>
        <v/>
      </c>
      <c r="H694">
        <f>1-(1-Skills!J15/100)^Skills!K15</f>
        <v/>
      </c>
      <c r="I694" t="inlineStr">
        <is>
          <t>1</t>
        </is>
      </c>
      <c r="J694" t="inlineStr"/>
      <c r="K694" t="inlineStr"/>
      <c r="L694" t="inlineStr"/>
      <c r="M694" t="inlineStr"/>
      <c r="N694" t="inlineStr"/>
      <c r="O694">
        <f>(1-Summary!$B$11)*T694+Summary!$B$11*V694</f>
        <v/>
      </c>
      <c r="P694">
        <f>IF(B714=0,0,O694/B714)</f>
        <v/>
      </c>
      <c r="Q694" t="n">
        <v>0</v>
      </c>
      <c r="R694" t="n">
        <v>0</v>
      </c>
      <c r="S694">
        <f>IFERROR(O694/N694,0)</f>
        <v/>
      </c>
      <c r="T694" t="n">
        <v>0</v>
      </c>
      <c r="V694" t="n">
        <v>0</v>
      </c>
    </row>
    <row r="695">
      <c r="A695">
        <f>Skills!A16</f>
        <v/>
      </c>
      <c r="B695">
        <f>Skills!B16</f>
        <v/>
      </c>
      <c r="C695">
        <f>Inputs!$B$3&gt;=15</f>
        <v/>
      </c>
      <c r="D695">
        <f>IF(Skills!C16=1,60+(Inputs!$B$25+1)+Inputs!$B$29,IF(Skills!C16=2,90+Inputs!$B$26+Inputs!$B$29,IF(Skills!C16=3,120+Inputs!$B$27+Inputs!$B$29,MAX(0,(Inputs!$B$3-100)*3)+Inputs!$B$28+Inputs!$B$29)))</f>
        <v/>
      </c>
      <c r="E695">
        <f>INDEX(FactorTable!$B$2:$Y$301, MATCH(ROUND(MIN(300,MAX(1,D695)),0), FactorTable!$A$2:$A$301,0), Skills!M16+1)</f>
        <v/>
      </c>
      <c r="F695">
        <f>IF(Skills!N16=TRUE,(Skills!L16/10)*(E695/1000),Skills!L16/10)+Skills!O16</f>
        <v/>
      </c>
      <c r="G695">
        <f>Skills!G16*IF(Skills!H16&gt;0,Skills!I16/Skills!H16,1)</f>
        <v/>
      </c>
      <c r="H695">
        <f>1-(1-Skills!J16/100)^Skills!K16</f>
        <v/>
      </c>
      <c r="I695" t="inlineStr">
        <is>
          <t>1</t>
        </is>
      </c>
      <c r="J695" t="inlineStr"/>
      <c r="K695" t="inlineStr"/>
      <c r="L695" t="inlineStr"/>
      <c r="M695" t="inlineStr"/>
      <c r="N695" t="inlineStr"/>
      <c r="O695">
        <f>(1-Summary!$B$11)*T695+Summary!$B$11*V695</f>
        <v/>
      </c>
      <c r="P695">
        <f>IF(B714=0,0,O695/B714)</f>
        <v/>
      </c>
      <c r="Q695" t="n">
        <v>0</v>
      </c>
      <c r="R695" t="n">
        <v>0</v>
      </c>
      <c r="S695">
        <f>IFERROR(O695/N695,0)</f>
        <v/>
      </c>
      <c r="T695" t="n">
        <v>0</v>
      </c>
      <c r="V695" t="n">
        <v>0</v>
      </c>
    </row>
    <row r="696">
      <c r="A696">
        <f>Skills!A17</f>
        <v/>
      </c>
      <c r="B696">
        <f>Skills!B17</f>
        <v/>
      </c>
      <c r="C696">
        <f>Inputs!$B$3&gt;=10</f>
        <v/>
      </c>
      <c r="D696">
        <f>IF(Skills!C17=1,60+(Inputs!$B$25+1)+Inputs!$B$29,IF(Skills!C17=2,90+Inputs!$B$26+Inputs!$B$29,IF(Skills!C17=3,120+Inputs!$B$27+Inputs!$B$29,MAX(0,(Inputs!$B$3-100)*3)+Inputs!$B$28+Inputs!$B$29)))</f>
        <v/>
      </c>
      <c r="E696">
        <f>INDEX(FactorTable!$B$2:$Y$301, MATCH(ROUND(MIN(300,MAX(1,D696)),0), FactorTable!$A$2:$A$301,0), Skills!M17+1)</f>
        <v/>
      </c>
      <c r="F696">
        <f>IF(Skills!N17=TRUE,(Skills!L17/10)*(E696/1000),Skills!L17/10)+Skills!O17</f>
        <v/>
      </c>
      <c r="G696">
        <f>Skills!G17*IF(Skills!H17&gt;0,Skills!I17/Skills!H17,1)</f>
        <v/>
      </c>
      <c r="H696">
        <f>1-(1-Skills!J17/100)^Skills!K17</f>
        <v/>
      </c>
      <c r="I696" t="inlineStr">
        <is>
          <t>1</t>
        </is>
      </c>
      <c r="J696" t="inlineStr"/>
      <c r="K696" t="inlineStr"/>
      <c r="L696" t="inlineStr"/>
      <c r="M696" t="inlineStr"/>
      <c r="N696" t="inlineStr"/>
      <c r="O696">
        <f>(1-Summary!$B$11)*T696+Summary!$B$11*V696</f>
        <v/>
      </c>
      <c r="P696">
        <f>IF(B714=0,0,O696/B714)</f>
        <v/>
      </c>
      <c r="Q696" t="n">
        <v>0</v>
      </c>
      <c r="R696" t="n">
        <v>0</v>
      </c>
      <c r="S696">
        <f>IFERROR(O696/N696,0)</f>
        <v/>
      </c>
      <c r="T696" t="n">
        <v>0</v>
      </c>
      <c r="V696" t="n">
        <v>0</v>
      </c>
    </row>
    <row r="697">
      <c r="A697">
        <f>Skills!A18</f>
        <v/>
      </c>
      <c r="B697">
        <f>Skills!B18</f>
        <v/>
      </c>
      <c r="C697">
        <f>Inputs!$B$3&gt;=33</f>
        <v/>
      </c>
      <c r="D697">
        <f>IF(Skills!C18=1,60+(Inputs!$B$25+1)+Inputs!$B$29,IF(Skills!C18=2,90+Inputs!$B$26+Inputs!$B$29,IF(Skills!C18=3,120+Inputs!$B$27+Inputs!$B$29,MAX(0,(Inputs!$B$3-100)*3)+Inputs!$B$28+Inputs!$B$29)))</f>
        <v/>
      </c>
      <c r="E697">
        <f>INDEX(FactorTable!$B$2:$Y$301, MATCH(ROUND(MIN(300,MAX(1,D697)),0), FactorTable!$A$2:$A$301,0), Skills!M18+1)</f>
        <v/>
      </c>
      <c r="F697">
        <f>IF(Skills!N18=TRUE,(Skills!L18/10)*(E697/1000),Skills!L18/10)+Skills!O18</f>
        <v/>
      </c>
      <c r="G697">
        <f>Skills!G18*IF(Skills!H18&gt;0,Skills!I18/Skills!H18,1)</f>
        <v/>
      </c>
      <c r="H697">
        <f>1-(1-Skills!J18/100)^Skills!K18</f>
        <v/>
      </c>
      <c r="I697" t="inlineStr">
        <is>
          <t>1</t>
        </is>
      </c>
      <c r="J697" t="inlineStr"/>
      <c r="K697" t="inlineStr"/>
      <c r="L697" t="inlineStr"/>
      <c r="M697" t="inlineStr"/>
      <c r="N697" t="inlineStr"/>
      <c r="O697">
        <f>(1-Summary!$B$11)*T697+Summary!$B$11*V697</f>
        <v/>
      </c>
      <c r="P697">
        <f>IF(B714=0,0,O697/B714)</f>
        <v/>
      </c>
      <c r="Q697" t="n">
        <v>0</v>
      </c>
      <c r="R697" t="n">
        <v>0</v>
      </c>
      <c r="S697">
        <f>IFERROR(O697/N697,0)</f>
        <v/>
      </c>
      <c r="T697" t="n">
        <v>0</v>
      </c>
      <c r="V697" t="n">
        <v>0</v>
      </c>
    </row>
    <row r="698">
      <c r="A698">
        <f>Skills!A19</f>
        <v/>
      </c>
      <c r="B698">
        <f>Skills!B19</f>
        <v/>
      </c>
      <c r="C698">
        <f>Inputs!$B$3&gt;=40</f>
        <v/>
      </c>
      <c r="D698">
        <f>IF(Skills!C19=1,60+(Inputs!$B$25+1)+Inputs!$B$29,IF(Skills!C19=2,90+Inputs!$B$26+Inputs!$B$29,IF(Skills!C19=3,120+Inputs!$B$27+Inputs!$B$29,MAX(0,(Inputs!$B$3-100)*3)+Inputs!$B$28+Inputs!$B$29)))</f>
        <v/>
      </c>
      <c r="E698">
        <f>INDEX(FactorTable!$B$2:$Y$301, MATCH(ROUND(MIN(300,MAX(1,D698)),0), FactorTable!$A$2:$A$301,0), Skills!M19+1)</f>
        <v/>
      </c>
      <c r="F698">
        <f>IF(Skills!N19=TRUE,(Skills!L19/10)*(E698/1000),Skills!L19/10)+Skills!O19</f>
        <v/>
      </c>
      <c r="G698">
        <f>Skills!G19*IF(Skills!H19&gt;0,Skills!I19/Skills!H19,1)</f>
        <v/>
      </c>
      <c r="H698">
        <f>1-(1-Skills!J19/100)^Skills!K19</f>
        <v/>
      </c>
      <c r="I698" t="inlineStr">
        <is>
          <t>1</t>
        </is>
      </c>
      <c r="J698" t="inlineStr"/>
      <c r="K698" t="inlineStr"/>
      <c r="L698" t="inlineStr"/>
      <c r="M698" t="inlineStr"/>
      <c r="N698" t="inlineStr"/>
      <c r="O698">
        <f>(1-Summary!$B$11)*T698+Summary!$B$11*V698</f>
        <v/>
      </c>
      <c r="P698">
        <f>IF(B714=0,0,O698/B714)</f>
        <v/>
      </c>
      <c r="Q698" t="n">
        <v>0</v>
      </c>
      <c r="R698" t="n">
        <v>0</v>
      </c>
      <c r="S698">
        <f>IFERROR(O698/N698,0)</f>
        <v/>
      </c>
      <c r="T698" t="n">
        <v>0</v>
      </c>
      <c r="V698" t="n">
        <v>0</v>
      </c>
    </row>
    <row r="699">
      <c r="A699">
        <f>Skills!A20</f>
        <v/>
      </c>
      <c r="B699">
        <f>Skills!B20</f>
        <v/>
      </c>
      <c r="C699">
        <f>Inputs!$B$3&gt;=43</f>
        <v/>
      </c>
      <c r="D699">
        <f>IF(Skills!C20=1,60+(Inputs!$B$25+1)+Inputs!$B$29,IF(Skills!C20=2,90+Inputs!$B$26+Inputs!$B$29,IF(Skills!C20=3,120+Inputs!$B$27+Inputs!$B$29,MAX(0,(Inputs!$B$3-100)*3)+Inputs!$B$28+Inputs!$B$29)))</f>
        <v/>
      </c>
      <c r="E699">
        <f>INDEX(FactorTable!$B$2:$Y$301, MATCH(ROUND(MIN(300,MAX(1,D699)),0), FactorTable!$A$2:$A$301,0), Skills!M20+1)</f>
        <v/>
      </c>
      <c r="F699">
        <f>IF(Skills!N20=TRUE,(Skills!L20/10)*(E699/1000),Skills!L20/10)+Skills!O20</f>
        <v/>
      </c>
      <c r="G699">
        <f>Skills!G20*IF(Skills!H20&gt;0,Skills!I20/Skills!H20,1)</f>
        <v/>
      </c>
      <c r="H699">
        <f>1-(1-Skills!J20/100)^Skills!K20</f>
        <v/>
      </c>
      <c r="I699" t="inlineStr">
        <is>
          <t>1</t>
        </is>
      </c>
      <c r="J699" t="inlineStr"/>
      <c r="K699" t="inlineStr"/>
      <c r="L699" t="inlineStr"/>
      <c r="M699" t="inlineStr"/>
      <c r="N699" t="inlineStr"/>
      <c r="O699">
        <f>(1-Summary!$B$11)*T699+Summary!$B$11*V699</f>
        <v/>
      </c>
      <c r="P699">
        <f>IF(B714=0,0,O699/B714)</f>
        <v/>
      </c>
      <c r="Q699" t="n">
        <v>0</v>
      </c>
      <c r="R699" t="n">
        <v>0</v>
      </c>
      <c r="S699">
        <f>IFERROR(O699/N699,0)</f>
        <v/>
      </c>
      <c r="T699" t="n">
        <v>0</v>
      </c>
      <c r="V699" t="n">
        <v>0</v>
      </c>
    </row>
    <row r="700">
      <c r="A700">
        <f>Skills!A21</f>
        <v/>
      </c>
      <c r="B700">
        <f>Skills!B21</f>
        <v/>
      </c>
      <c r="C700">
        <f>Inputs!$B$3&gt;=38</f>
        <v/>
      </c>
      <c r="D700">
        <f>IF(Skills!C21=1,60+(Inputs!$B$25+1)+Inputs!$B$29,IF(Skills!C21=2,90+Inputs!$B$26+Inputs!$B$29,IF(Skills!C21=3,120+Inputs!$B$27+Inputs!$B$29,MAX(0,(Inputs!$B$3-100)*3)+Inputs!$B$28+Inputs!$B$29)))</f>
        <v/>
      </c>
      <c r="E700">
        <f>INDEX(FactorTable!$B$2:$Y$301, MATCH(ROUND(MIN(300,MAX(1,D700)),0), FactorTable!$A$2:$A$301,0), Skills!M21+1)</f>
        <v/>
      </c>
      <c r="F700">
        <f>IF(Skills!N21=TRUE,(Skills!L21/10)*(E700/1000),Skills!L21/10)+Skills!O21</f>
        <v/>
      </c>
      <c r="G700">
        <f>Skills!G21*IF(Skills!H21&gt;0,Skills!I21/Skills!H21,1)</f>
        <v/>
      </c>
      <c r="H700">
        <f>1-(1-Skills!J21/100)^Skills!K21</f>
        <v/>
      </c>
      <c r="I700" t="inlineStr">
        <is>
          <t>1</t>
        </is>
      </c>
      <c r="J700" t="inlineStr"/>
      <c r="K700" t="inlineStr"/>
      <c r="L700" t="inlineStr"/>
      <c r="M700" t="inlineStr"/>
      <c r="N700" t="inlineStr"/>
      <c r="O700">
        <f>(1-Summary!$B$11)*T700+Summary!$B$11*V700</f>
        <v/>
      </c>
      <c r="P700">
        <f>IF(B714=0,0,O700/B714)</f>
        <v/>
      </c>
      <c r="Q700" t="n">
        <v>0</v>
      </c>
      <c r="R700" t="n">
        <v>0</v>
      </c>
      <c r="S700">
        <f>IFERROR(O700/N700,0)</f>
        <v/>
      </c>
      <c r="T700" t="n">
        <v>0</v>
      </c>
      <c r="V700" t="n">
        <v>0</v>
      </c>
    </row>
    <row r="701">
      <c r="A701">
        <f>Skills!A22</f>
        <v/>
      </c>
      <c r="B701">
        <f>Skills!B22</f>
        <v/>
      </c>
      <c r="C701">
        <f>Inputs!$B$3&gt;=75</f>
        <v/>
      </c>
      <c r="D701">
        <f>IF(Skills!C22=1,60+(Inputs!$B$25+1)+Inputs!$B$29,IF(Skills!C22=2,90+Inputs!$B$26+Inputs!$B$29,IF(Skills!C22=3,120+Inputs!$B$27+Inputs!$B$29,MAX(0,(Inputs!$B$3-100)*3)+Inputs!$B$28+Inputs!$B$29)))</f>
        <v/>
      </c>
      <c r="E701">
        <f>INDEX(FactorTable!$B$2:$Y$301, MATCH(ROUND(MIN(300,MAX(1,D701)),0), FactorTable!$A$2:$A$301,0), Skills!M22+1)</f>
        <v/>
      </c>
      <c r="F701">
        <f>IF(Skills!N22=TRUE,(Skills!L22/10)*(E701/1000),Skills!L22/10)+Skills!O22</f>
        <v/>
      </c>
      <c r="G701">
        <f>Skills!G22*IF(Skills!H22&gt;0,Skills!I22/Skills!H22,1)</f>
        <v/>
      </c>
      <c r="H701">
        <f>1-(1-Skills!J22/100)^Skills!K22</f>
        <v/>
      </c>
      <c r="I701" t="inlineStr">
        <is>
          <t>1</t>
        </is>
      </c>
      <c r="J701" t="inlineStr"/>
      <c r="K701" t="inlineStr"/>
      <c r="L701" t="inlineStr"/>
      <c r="M701" t="inlineStr"/>
      <c r="N701" t="inlineStr"/>
      <c r="O701">
        <f>(1-Summary!$B$11)*T701+Summary!$B$11*V701</f>
        <v/>
      </c>
      <c r="P701">
        <f>IF(B714=0,0,O701/B714)</f>
        <v/>
      </c>
      <c r="Q701" t="n">
        <v>0</v>
      </c>
      <c r="R701" t="n">
        <v>0</v>
      </c>
      <c r="S701">
        <f>IFERROR(O701/N701,0)</f>
        <v/>
      </c>
      <c r="T701" t="n">
        <v>0</v>
      </c>
      <c r="V701" t="n">
        <v>0</v>
      </c>
    </row>
    <row r="703">
      <c r="A703" t="inlineStr">
        <is>
          <t>Attack% Bucket Multiplier</t>
        </is>
      </c>
      <c r="B703">
        <f>(1+(((C692=TRUE)*F692)+((C698=TRUE)*(F698-Calc!F19))+(IF(ArtifactsInput!$M$21,CHOOSE(ArtifactsInput!$N$21+1,25,30,35,40,45,50)*(IF(OR(Inputs!$B$4="Chapter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04">
      <c r="A704" t="inlineStr">
        <is>
          <t>Global Crit Rate Bonus %</t>
        </is>
      </c>
      <c r="B704" t="n">
        <v>0</v>
      </c>
    </row>
    <row r="705">
      <c r="A705" t="inlineStr">
        <is>
          <t>Attack Speed Buff Bonus % (unused)</t>
        </is>
      </c>
      <c r="B705" t="n">
        <v>0</v>
      </c>
    </row>
    <row r="706">
      <c r="A706" t="inlineStr">
        <is>
          <t>Actions Per Second</t>
        </is>
      </c>
      <c r="B706">
        <f>1+MIN(150,150*(1-(1-(Inputs!$B$11+((C696=TRUE)*(F696-Calc!F17))+((C697=TRUE)*(F697-Calc!F18)))/150)*(1-B705/150)))/100</f>
        <v/>
      </c>
    </row>
    <row r="707">
      <c r="A707" t="inlineStr">
        <is>
          <t>Skill + Buff Cast Rate</t>
        </is>
      </c>
      <c r="B707">
        <f>IF(AND(Inputs!$B$38&lt;&gt;"pvp",Inputs!$B$43&gt;0),SUMPRODUCT((Skills!E2:E22=TRUE)*(C681:C701=TRUE)*R681:R701*Skills!F2:F22)/Inputs!$B$43,SUMPRODUCT((Skills!E2:E22=TRUE)*(C681:C701=TRUE)*Q681:Q701*Skills!F2:F22))</f>
        <v/>
      </c>
    </row>
    <row r="708">
      <c r="A708" t="inlineStr">
        <is>
          <t>Hook Bomber Casts Per Second</t>
        </is>
      </c>
      <c r="B708">
        <f>MAX(0,B706-B707)</f>
        <v/>
      </c>
    </row>
    <row r="709">
      <c r="A709" t="inlineStr">
        <is>
          <t>Global Critical Damage Bonus % (unused)</t>
        </is>
      </c>
      <c r="B709" t="n">
        <v>0</v>
      </c>
    </row>
    <row r="710">
      <c r="A710" t="inlineStr">
        <is>
          <t>Global Final Damage Bonus % (Serpent Scale + Crossbones + Time Leap + Speed Infusion)</t>
        </is>
      </c>
      <c r="B710">
        <f>((C684=TRUE)*F684*((10+IF(Inputs!$B$3&gt;=94,5,0))/((10+IF(Inputs!$B$3&gt;=94,5,0))+5/(B708*(1+IF(Inputs!$B$3&gt;=104,1,0))))))+((C693=TRUE)*F693)+((C694=TRUE)*F694)+((Inputs!$B$3&gt;=110)*20*(B706-1))</f>
        <v/>
      </c>
    </row>
    <row r="711">
      <c r="A711" t="inlineStr">
        <is>
          <t>Buff-Casting Startup Delay (s, fixed-duration only)</t>
        </is>
      </c>
      <c r="B711">
        <f>IF(AND(Inputs!$B$38&lt;&gt;"pvp",Inputs!$B$43&gt;0),SUMPRODUCT((Skills!T2:T22&gt;0)*(Skills!E2:E22=TRUE)*(C681:C701=TRUE))/B706,0)</f>
        <v/>
      </c>
    </row>
    <row r="712">
      <c r="A712" t="inlineStr">
        <is>
          <t>Boss-Only Total DPS (this block's swept value)</t>
        </is>
      </c>
      <c r="B712">
        <f>SUM(T681:T701)</f>
        <v/>
      </c>
    </row>
    <row r="713">
      <c r="A713" t="inlineStr">
        <is>
          <t>Normal-Only Total DPS (this block's swept value)</t>
        </is>
      </c>
      <c r="B713">
        <f>SUM(V681:V701)</f>
        <v/>
      </c>
    </row>
    <row r="714">
      <c r="A714" s="6" t="inlineStr">
        <is>
          <t>TOTAL DPS</t>
        </is>
      </c>
      <c r="B714" s="6">
        <f>SUM(O681:O701)</f>
        <v/>
      </c>
    </row>
    <row r="717">
      <c r="A717" s="6" t="inlineStr">
        <is>
          <t>Stat: Skill Level Bonus — 2nd Job</t>
        </is>
      </c>
    </row>
    <row r="718">
      <c r="A718" s="5" t="inlineStr">
        <is>
          <t>Key</t>
        </is>
      </c>
      <c r="B718" s="5" t="inlineStr">
        <is>
          <t>Name</t>
        </is>
      </c>
      <c r="C718" s="5" t="inlineStr">
        <is>
          <t>Unlocked</t>
        </is>
      </c>
      <c r="D718" s="5" t="inlineStr">
        <is>
          <t>InputLevel</t>
        </is>
      </c>
      <c r="E718" s="5" t="inlineStr">
        <is>
          <t>Factor</t>
        </is>
      </c>
      <c r="F718" s="5" t="inlineStr">
        <is>
          <t>CoefficientPercent</t>
        </is>
      </c>
      <c r="G718" s="5" t="inlineStr">
        <is>
          <t>EffectiveHits</t>
        </is>
      </c>
      <c r="H718" s="5" t="inlineStr">
        <is>
          <t>ProcProbability</t>
        </is>
      </c>
      <c r="I718" s="5" t="inlineStr">
        <is>
          <t>MapleHeroMultiplier</t>
        </is>
      </c>
      <c r="J718" s="5" t="inlineStr">
        <is>
          <t>BaseDamage</t>
        </is>
      </c>
      <c r="K718" s="5" t="inlineStr">
        <is>
          <t>BaseHitDamage</t>
        </is>
      </c>
      <c r="L718" s="5" t="inlineStr">
        <is>
          <t>NonCritAvg</t>
        </is>
      </c>
      <c r="M718" s="5" t="inlineStr">
        <is>
          <t>CritAvg</t>
        </is>
      </c>
      <c r="N718" s="5" t="inlineStr">
        <is>
          <t>ExpectedDamage(perHit)</t>
        </is>
      </c>
      <c r="O718" s="5" t="inlineStr">
        <is>
          <t>DPS</t>
        </is>
      </c>
      <c r="P718" s="5" t="inlineStr">
        <is>
          <t>% of Total</t>
        </is>
      </c>
      <c r="Q718" s="5" t="inlineStr">
        <is>
          <t>InvCooldown</t>
        </is>
      </c>
      <c r="R718" s="5" t="inlineStr">
        <is>
          <t>CastsInFight</t>
        </is>
      </c>
      <c r="S718" s="5" t="inlineStr">
        <is>
          <t>HitRate(perSec)</t>
        </is>
      </c>
      <c r="U718" t="inlineStr">
        <is>
          <t>helpers</t>
        </is>
      </c>
    </row>
    <row r="719">
      <c r="A719">
        <f>Skills!A2</f>
        <v/>
      </c>
      <c r="B719">
        <f>Skills!B2</f>
        <v/>
      </c>
      <c r="C719">
        <f>Inputs!$B$3&gt;=100</f>
        <v/>
      </c>
      <c r="D719" t="inlineStr"/>
      <c r="E719" t="inlineStr"/>
      <c r="F719">
        <f>U721+Skills!O2</f>
        <v/>
      </c>
      <c r="G719">
        <f>Skills!G2*IF(Skills!H2&gt;0,Skills!I2/Skills!H2,1)</f>
        <v/>
      </c>
      <c r="H719">
        <f>1-(1-Skills!J2/100)^Skills!K2</f>
        <v/>
      </c>
      <c r="I719" t="inlineStr">
        <is>
          <t>1</t>
        </is>
      </c>
      <c r="J719">
        <f>((Inputs!$B$6*(1+Inputs!$B$7/100))+(((Inputs!$B$12*(1+Inputs!$B$13/100))-(Inputs!$B$12*(1+Inputs!$B$13/100)))+0.25*(Inputs!$B$14-Inputs!$B$14))*(1+Inputs!$B$7/100))*(F719/100)</f>
        <v/>
      </c>
      <c r="K719">
        <f>J719*(1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C737=TRUE)*(F737-Calc!F20)),(Inputs!$B$23+0+(IF(ArtifactsInput!$M$15,CHOOSE(ArtifactsInput!$N$15+1,25,30,35,40,45,50)/100*(Inputs!$B$11-Inputs!$B$11),0))))/100+(Inputs!$B$23+0+(IF(ArtifactsInput!$M$15,CHOOSE(ArtifactsInput!$N$15+1,25,30,35,40,45,50)/100*(Inputs!$B$11-Inputs!$B$11),0)))/100)/2</f>
        <v/>
      </c>
      <c r="M719">
        <f>L719*(1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(1-Summary!$B$11)*T719+Summary!$B$11*V719</f>
        <v/>
      </c>
      <c r="P719">
        <f>IF(B752=0,0,O719/B752)</f>
        <v/>
      </c>
      <c r="Q719" t="n">
        <v>0</v>
      </c>
      <c r="R719" t="n">
        <v>0</v>
      </c>
      <c r="S719">
        <f>IFERROR(O719/N719,0)</f>
        <v/>
      </c>
      <c r="T719">
        <f>IF(C719,(Skills!G2*N719*B746)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719*(1-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9">
        <f>MAX(0,(Inputs!$B$3-100)*3)+Inputs!$B$28+Inputs!$B$29</f>
        <v/>
      </c>
      <c r="V719">
        <f>IF(C719,(Skills!G2*N719*B746)*IF(Inputs!$B$38="pvp",1,(1+(Inputs!$B$21+Skills!Q2+(IF(ArtifactsInput!$M$33,CHOOSE(ArtifactsInput!$N$33+1,30,36,42,48,54,60),0))+(IF(AND(ArtifactsInput!$M$35,Inputs!$B$4&lt;&gt;"Chapter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Skills!A3</f>
        <v/>
      </c>
      <c r="B720">
        <f>Skills!B3</f>
        <v/>
      </c>
      <c r="C720">
        <f>Inputs!$B$3&gt;=35</f>
        <v/>
      </c>
      <c r="D720">
        <f>IF(Skills!C3=1,60+Inputs!$B$25+Inputs!$B$29,IF(Skills!C3=2,90+(Inputs!$B$26+1)+Inputs!$B$29,IF(Skills!C3=3,120+Inputs!$B$27+Inputs!$B$29,MAX(0,(Inputs!$B$3-100)*3)+Inputs!$B$28+Inputs!$B$29)))</f>
        <v/>
      </c>
      <c r="E720">
        <f>INDEX(FactorTable!$B$2:$Y$301, MATCH(ROUND(MIN(300,MAX(1,D720)),0), FactorTable!$A$2:$A$301,0), Skills!M3+1)</f>
        <v/>
      </c>
      <c r="F720">
        <f>IF(Skills!N3=TRUE,(Skills!L3/10)*(E720/1000),Skills!L3/10)+Skills!O3</f>
        <v/>
      </c>
      <c r="G720">
        <f>Skills!G3*IF(Skills!H3&gt;0,Skills!I3/Skills!H3,1)</f>
        <v/>
      </c>
      <c r="H720">
        <f>1-(1-Skills!J3/100)^Skills!K3</f>
        <v/>
      </c>
      <c r="I720" t="inlineStr">
        <is>
          <t>1</t>
        </is>
      </c>
      <c r="J720">
        <f>((Inputs!$B$6*(1+Inputs!$B$7/100))+(((Inputs!$B$12*(1+Inputs!$B$13/100))-(Inputs!$B$12*(1+Inputs!$B$13/100)))+0.25*(Inputs!$B$14-Inputs!$B$14))*(1+Inputs!$B$7/100))*(F720/100)</f>
        <v/>
      </c>
      <c r="K720">
        <f>J720*(1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C737=TRUE)*(F737-Calc!F20)),(Inputs!$B$23+0+(IF(ArtifactsInput!$M$15,CHOOSE(ArtifactsInput!$N$15+1,25,30,35,40,45,50)/100*(Inputs!$B$11-Inputs!$B$11),0))))/100+(Inputs!$B$23+0+(IF(ArtifactsInput!$M$15,CHOOSE(ArtifactsInput!$N$15+1,25,30,35,40,45,50)/100*(Inputs!$B$11-Inputs!$B$11),0)))/100)/2</f>
        <v/>
      </c>
      <c r="M720">
        <f>L720*(1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(1-Summary!$B$11)*T720+Summary!$B$11*V720</f>
        <v/>
      </c>
      <c r="P720">
        <f>IF(B752=0,0,O720/B752)</f>
        <v/>
      </c>
      <c r="Q720" t="n">
        <v>0</v>
      </c>
      <c r="R720" t="n">
        <v>0</v>
      </c>
      <c r="S720">
        <f>IFERROR(O720/N720,0)</f>
        <v/>
      </c>
      <c r="T720">
        <f>IF(C720,(Skills!G3*H720*N720*B746)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720*(1-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0">
        <f>INDEX(FactorTable!$B$2:$Y$301, MATCH(ROUND(MIN(300,MAX(1,U719)),0), FactorTable!$A$2:$A$301,0), 22)</f>
        <v/>
      </c>
      <c r="V720">
        <f>IF(C720,(Skills!G3*H720*N720*B746)*IF(Inputs!$B$38="pvp",1,(1+(Inputs!$B$21+Skills!Q3+(IF(ArtifactsInput!$M$33,CHOOSE(ArtifactsInput!$N$33+1,30,36,42,48,54,60),0))+(IF(AND(ArtifactsInput!$M$35,Inputs!$B$4&lt;&gt;"Chapter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Skills!A4</f>
        <v/>
      </c>
      <c r="B721">
        <f>Skills!B4</f>
        <v/>
      </c>
      <c r="C721">
        <f>Inputs!$B$3&gt;=60</f>
        <v/>
      </c>
      <c r="D721">
        <f>IF(Skills!C4=1,60+Inputs!$B$25+Inputs!$B$29,IF(Skills!C4=2,90+(Inputs!$B$26+1)+Inputs!$B$29,IF(Skills!C4=3,120+Inputs!$B$27+Inputs!$B$29,MAX(0,(Inputs!$B$3-100)*3)+Inputs!$B$28+Inputs!$B$29)))</f>
        <v/>
      </c>
      <c r="E721">
        <f>INDEX(FactorTable!$B$2:$Y$301, MATCH(ROUND(MIN(300,MAX(1,D721)),0), FactorTable!$A$2:$A$301,0), Skills!M4+1)</f>
        <v/>
      </c>
      <c r="F721">
        <f>IF(Skills!N4=TRUE,(Skills!L4/10)*(E721/1000),Skills!L4/10)+Skills!O4</f>
        <v/>
      </c>
      <c r="G721">
        <f>Skills!G4*IF(Skills!H4&gt;0,Skills!I4/Skills!H4,1)</f>
        <v/>
      </c>
      <c r="H721">
        <f>1-(1-Skills!J4/100)^Skills!K4</f>
        <v/>
      </c>
      <c r="I721" t="inlineStr">
        <is>
          <t>1</t>
        </is>
      </c>
      <c r="J721">
        <f>((Inputs!$B$6*(1+Inputs!$B$7/100))+(((Inputs!$B$12*(1+Inputs!$B$13/100))-(Inputs!$B$12*(1+Inputs!$B$13/100)))+0.25*(Inputs!$B$14-Inputs!$B$14))*(1+Inputs!$B$7/100))*(F721/100)</f>
        <v/>
      </c>
      <c r="K721">
        <f>J721*(1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729=TRUE,F729,0)/100)*(1+(IF(Skills!A4="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C737=TRUE)*(F737-Calc!F20)),(Inputs!$B$23+0+(IF(ArtifactsInput!$M$15,CHOOSE(ArtifactsInput!$N$15+1,25,30,35,40,45,50)/100*(Inputs!$B$11-Inputs!$B$11),0))))/100+(Inputs!$B$23+0+(IF(ArtifactsInput!$M$15,CHOOSE(ArtifactsInput!$N$15+1,25,30,35,40,45,50)/100*(Inputs!$B$11-Inputs!$B$11),0)))/100)/2</f>
        <v/>
      </c>
      <c r="M721">
        <f>L721*(1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(1-Summary!$B$11)*T721+Summary!$B$11*V721</f>
        <v/>
      </c>
      <c r="P721">
        <f>IF(B752=0,0,O721/B752)</f>
        <v/>
      </c>
      <c r="Q721" t="n">
        <v>0</v>
      </c>
      <c r="R721" t="n">
        <v>0</v>
      </c>
      <c r="S721">
        <f>IFERROR(O721/N721,0)</f>
        <v/>
      </c>
      <c r="T721">
        <f>IF(C721,(Skills!G4*H721*N721*B746)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721*(1-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1">
        <f>290*U720/1000</f>
        <v/>
      </c>
      <c r="V721">
        <f>IF(C721,(Skills!G4*H721*N721*B746)*IF(Inputs!$B$38="pvp",1,(1+(Inputs!$B$21+Skills!Q4+(IF(ArtifactsInput!$M$33,CHOOSE(ArtifactsInput!$N$33+1,30,36,42,48,54,60),0))+(IF(AND(ArtifactsInput!$M$35,Inputs!$B$4&lt;&gt;"Chapter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Skills!A5</f>
        <v/>
      </c>
      <c r="B722">
        <f>Skills!B5</f>
        <v/>
      </c>
      <c r="C722">
        <f>Inputs!$B$3&gt;=60</f>
        <v/>
      </c>
      <c r="D722">
        <f>IF(Skills!C5=1,60+Inputs!$B$25+Inputs!$B$29,IF(Skills!C5=2,90+(Inputs!$B$26+1)+Inputs!$B$29,IF(Skills!C5=3,120+Inputs!$B$27+Inputs!$B$29,MAX(0,(Inputs!$B$3-100)*3)+Inputs!$B$28+Inputs!$B$29)))</f>
        <v/>
      </c>
      <c r="E722">
        <f>INDEX(FactorTable!$B$2:$Y$301, MATCH(ROUND(MIN(300,MAX(1,D722)),0), FactorTable!$A$2:$A$301,0), Skills!M5+1)</f>
        <v/>
      </c>
      <c r="F722">
        <f>IF(Skills!N5=TRUE,(Skills!L5/10)*(E722/1000),Skills!L5/10)+Skills!O5</f>
        <v/>
      </c>
      <c r="G722">
        <f>Skills!G5*IF(Skills!H5&gt;0,Skills!I5/Skills!H5,1)</f>
        <v/>
      </c>
      <c r="H722">
        <f>1-(1-Skills!J5/100)^Skills!K5</f>
        <v/>
      </c>
      <c r="I722" t="inlineStr">
        <is>
          <t>1</t>
        </is>
      </c>
      <c r="J722" t="inlineStr"/>
      <c r="K722" t="inlineStr"/>
      <c r="L722" t="inlineStr"/>
      <c r="M722" t="inlineStr"/>
      <c r="N722" t="inlineStr"/>
      <c r="O722">
        <f>(1-Summary!$B$11)*T722+Summary!$B$11*V722</f>
        <v/>
      </c>
      <c r="P722">
        <f>IF(B752=0,0,O722/B752)</f>
        <v/>
      </c>
      <c r="Q722" t="n">
        <v>0</v>
      </c>
      <c r="R722" t="n">
        <v>0</v>
      </c>
      <c r="S722">
        <f>IFERROR(O722/N722,0)</f>
        <v/>
      </c>
      <c r="T722" t="n">
        <v>0</v>
      </c>
      <c r="V722" t="n">
        <v>0</v>
      </c>
    </row>
    <row r="723">
      <c r="A723">
        <f>Skills!A6</f>
        <v/>
      </c>
      <c r="B723">
        <f>Skills!B6</f>
        <v/>
      </c>
      <c r="C723">
        <f>Inputs!$B$3&gt;=63</f>
        <v/>
      </c>
      <c r="D723">
        <f>IF(Skills!C6=1,60+Inputs!$B$25+Inputs!$B$29,IF(Skills!C6=2,90+(Inputs!$B$26+1)+Inputs!$B$29,IF(Skills!C6=3,120+Inputs!$B$27+Inputs!$B$29,MAX(0,(Inputs!$B$3-100)*3)+Inputs!$B$28+Inputs!$B$29)))</f>
        <v/>
      </c>
      <c r="E723">
        <f>INDEX(FactorTable!$B$2:$Y$301, MATCH(ROUND(MIN(300,MAX(1,D723)),0), FactorTable!$A$2:$A$301,0), Skills!M6+1)</f>
        <v/>
      </c>
      <c r="F723">
        <f>IF(Skills!N6=TRUE,(Skills!L6/10)*(E723/1000),Skills!L6/10)+Skills!O6</f>
        <v/>
      </c>
      <c r="G723">
        <f>Skills!G6*IF(Skills!H6&gt;0,Skills!I6/Skills!H6,1)</f>
        <v/>
      </c>
      <c r="H723">
        <f>1-(1-Skills!J6/100)^Skills!K6</f>
        <v/>
      </c>
      <c r="I723" t="inlineStr">
        <is>
          <t>1</t>
        </is>
      </c>
      <c r="J723">
        <f>((Inputs!$B$6*(1+Inputs!$B$7/100))+(((Inputs!$B$12*(1+Inputs!$B$13/100))-(Inputs!$B$12*(1+Inputs!$B$13/100)))+0.25*(Inputs!$B$14-Inputs!$B$14))*(1+Inputs!$B$7/100))*(F723/100)</f>
        <v/>
      </c>
      <c r="K723">
        <f>J723*(1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723)</f>
        <v/>
      </c>
      <c r="L723">
        <f>K723*(MIN(Inputs!$B$22+((C737=TRUE)*(F737-Calc!F20)),(Inputs!$B$23+0+(IF(ArtifactsInput!$M$15,CHOOSE(ArtifactsInput!$N$15+1,25,30,35,40,45,50)/100*(Inputs!$B$11-Inputs!$B$11),0))))/100+(Inputs!$B$23+0+(IF(ArtifactsInput!$M$15,CHOOSE(ArtifactsInput!$N$15+1,25,30,35,40,45,50)/100*(Inputs!$B$11-Inputs!$B$11),0)))/100)/2</f>
        <v/>
      </c>
      <c r="M723">
        <f>L723*(1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3">
        <f>L723*(1-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723*(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3">
        <f>(1-Summary!$B$11)*T723+Summary!$B$11*V723</f>
        <v/>
      </c>
      <c r="P723">
        <f>IF(B752=0,0,O723/B752)</f>
        <v/>
      </c>
      <c r="Q723">
        <f>IFERROR(1/(IF(Inputs!$B$38="pvp",15,MAX(0.1,Skills!D6-IF(Skills!E6=TRUE,Inputs!$B$32,0)))*(1-IF(AND(ArtifactsInput!$M$27,Inputs!$B$4="Chapter Hunt"),CHOOSE(ArtifactsInput!$N$27+1,20,24,28,32,36,40),0)/100)),0)</f>
        <v/>
      </c>
      <c r="R723">
        <f>IF(AND(Inputs!$B$38&lt;&gt;"pvp",Inputs!$B$43&gt;0),IF(MAX(0,Inputs!$B$43-B749)&lt;=0,0,(INT(MAX(0,Inputs!$B$43-B749)/(IF(Inputs!$B$38="pvp",15,MAX(0.1,Skills!D6-IF(Skills!E6=TRUE,Inputs!$B$32,0)))*(1-IF(AND(ArtifactsInput!$M$27,Inputs!$B$4="Chapter Hunt"),CHOOSE(ArtifactsInput!$N$27+1,20,24,28,32,36,40),0)/100)))+1)),0)</f>
        <v/>
      </c>
      <c r="S723">
        <f>IFERROR(O723/N723,0)</f>
        <v/>
      </c>
      <c r="T723">
        <f>IF(C723,(H723*N723*IF(AND(Inputs!$B$38&lt;&gt;"pvp",Inputs!$B$43&gt;0),((Skills!G6*((R723-1)*IF(Skills!H6&gt;0,Skills!I6/Skills!H6,1)+IF(Skills!H6&gt;0,MIN(Skills!I6,MAX(0,MAX(0,Inputs!$B$43-B749)-((R723-1)*(IF(Inputs!$B$38="pvp",15,MAX(0.1,Skills!D6-IF(Skills!E6=TRUE,Inputs!$B$32,0)))*(1-IF(AND(ArtifactsInput!$M$27,Inputs!$B$4="Chapter Hunt"),CHOOSE(ArtifactsInput!$N$27+1,20,24,28,32,36,40),0)/100)))))/Skills!H6,1)))/Inputs!$B$43),G723*Q723)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723*(1-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723*(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723*(1-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723*(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3">
        <f>IF(C723,(H723*N723*IF(AND(Inputs!$B$38&lt;&gt;"pvp",Inputs!$B$43&gt;0),((Skills!G6*((R723-1)*IF(Skills!H6&gt;0,Skills!I6/Skills!H6,1)+IF(Skills!H6&gt;0,MIN(Skills!I6,MAX(0,MAX(0,Inputs!$B$43-B749)-((R723-1)*(IF(Inputs!$B$38="pvp",15,MAX(0.1,Skills!D6-IF(Skills!E6=TRUE,Inputs!$B$32,0)))*(1-IF(AND(ArtifactsInput!$M$27,Inputs!$B$4="Chapter Hunt"),CHOOSE(ArtifactsInput!$N$27+1,20,24,28,32,36,40),0)/100)))))/Skills!H6,1)))/Inputs!$B$43),G723*Q723))*IF(Inputs!$B$38="pvp",1,(1+(Inputs!$B$21+Skills!Q6+(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4">
      <c r="A724">
        <f>Skills!A7</f>
        <v/>
      </c>
      <c r="B724">
        <f>Skills!B7</f>
        <v/>
      </c>
      <c r="C724">
        <f>Inputs!$B$3&gt;=100</f>
        <v/>
      </c>
      <c r="D724">
        <f>IF(Skills!C7=1,60+Inputs!$B$25+Inputs!$B$29,IF(Skills!C7=2,90+(Inputs!$B$26+1)+Inputs!$B$29,IF(Skills!C7=3,120+Inputs!$B$27+Inputs!$B$29,MAX(0,(Inputs!$B$3-100)*3)+Inputs!$B$28+Inputs!$B$29)))</f>
        <v/>
      </c>
      <c r="E724">
        <f>INDEX(FactorTable!$B$2:$Y$301, MATCH(ROUND(MIN(300,MAX(1,D724)),0), FactorTable!$A$2:$A$301,0), Skills!M7+1)</f>
        <v/>
      </c>
      <c r="F724">
        <f>IF(Skills!N7=TRUE,(Skills!L7/10)*(E724/1000),Skills!L7/10)+Skills!O7</f>
        <v/>
      </c>
      <c r="G724">
        <f>Skills!G7*IF(Skills!H7&gt;0,Skills!I7/Skills!H7,1)</f>
        <v/>
      </c>
      <c r="H724">
        <f>1-(1-Skills!J7/100)^Skills!K7</f>
        <v/>
      </c>
      <c r="I724" t="inlineStr">
        <is>
          <t>1</t>
        </is>
      </c>
      <c r="J724">
        <f>((Inputs!$B$6*(1+Inputs!$B$7/100))+(((Inputs!$B$12*(1+Inputs!$B$13/100))-(Inputs!$B$12*(1+Inputs!$B$13/100)))+0.25*(Inputs!$B$14-Inputs!$B$14))*(1+Inputs!$B$7/100))*(F724/100)</f>
        <v/>
      </c>
      <c r="K724">
        <f>J724*(1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724)</f>
        <v/>
      </c>
      <c r="L724">
        <f>K724*(MIN(Inputs!$B$22+((C737=TRUE)*(F737-Calc!F20)),(Inputs!$B$23+0+(IF(ArtifactsInput!$M$15,CHOOSE(ArtifactsInput!$N$15+1,25,30,35,40,45,50)/100*(Inputs!$B$11-Inputs!$B$11),0))))/100+(Inputs!$B$23+0+(IF(ArtifactsInput!$M$15,CHOOSE(ArtifactsInput!$N$15+1,25,30,35,40,45,50)/100*(Inputs!$B$11-Inputs!$B$11),0)))/100)/2</f>
        <v/>
      </c>
      <c r="M724">
        <f>L724*(1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4">
        <f>L724*(1-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724*(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4">
        <f>(1-Summary!$B$11)*T724+Summary!$B$11*V724</f>
        <v/>
      </c>
      <c r="P724">
        <f>IF(B752=0,0,O724/B752)</f>
        <v/>
      </c>
      <c r="Q724">
        <f>IFERROR(1/(IF(Inputs!$B$38="pvp",15,MAX(0.1,Skills!D7-IF(Skills!E7=TRUE,Inputs!$B$32,0)))*(1-IF(AND(ArtifactsInput!$M$27,Inputs!$B$4="Chapter Hunt"),CHOOSE(ArtifactsInput!$N$27+1,20,24,28,32,36,40),0)/100)),0)</f>
        <v/>
      </c>
      <c r="R724">
        <f>IF(AND(Inputs!$B$38&lt;&gt;"pvp",Inputs!$B$43&gt;0),IF(MAX(0,Inputs!$B$43-B749)&lt;=0,0,(INT(MAX(0,Inputs!$B$43-B749)/(IF(Inputs!$B$38="pvp",15,MAX(0.1,Skills!D7-IF(Skills!E7=TRUE,Inputs!$B$32,0)))*(1-IF(AND(ArtifactsInput!$M$27,Inputs!$B$4="Chapter Hunt"),CHOOSE(ArtifactsInput!$N$27+1,20,24,28,32,36,40),0)/100)))+1)),0)</f>
        <v/>
      </c>
      <c r="S724">
        <f>IFERROR(O724/N724,0)</f>
        <v/>
      </c>
      <c r="T724">
        <f>IF(C724,(H724*N724*IF(AND(Inputs!$B$38&lt;&gt;"pvp",Inputs!$B$43&gt;0),((Skills!G7*((R724-1)*IF(Skills!H7&gt;0,Skills!I7/Skills!H7,1)+IF(Skills!H7&gt;0,MIN(Skills!I7,MAX(0,MAX(0,Inputs!$B$43-B749)-((R724-1)*(IF(Inputs!$B$38="pvp",15,MAX(0.1,Skills!D7-IF(Skills!E7=TRUE,Inputs!$B$32,0)))*(1-IF(AND(ArtifactsInput!$M$27,Inputs!$B$4="Chapter Hunt"),CHOOSE(ArtifactsInput!$N$27+1,20,24,28,32,36,40),0)/100)))))/Skills!H7,1)))/Inputs!$B$43),G724*Q724)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724*(1-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724*(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724*(1-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724*(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4">
        <f>IF(C724,(H724*N724*IF(AND(Inputs!$B$38&lt;&gt;"pvp",Inputs!$B$43&gt;0),((Skills!G7*((R724-1)*IF(Skills!H7&gt;0,Skills!I7/Skills!H7,1)+IF(Skills!H7&gt;0,MIN(Skills!I7,MAX(0,MAX(0,Inputs!$B$43-B749)-((R724-1)*(IF(Inputs!$B$38="pvp",15,MAX(0.1,Skills!D7-IF(Skills!E7=TRUE,Inputs!$B$32,0)))*(1-IF(AND(ArtifactsInput!$M$27,Inputs!$B$4="Chapter Hunt"),CHOOSE(ArtifactsInput!$N$27+1,20,24,28,32,36,40),0)/100)))))/Skills!H7,1)))/Inputs!$B$43),G724*Q724))*IF(Inputs!$B$38="pvp",1,(1+(Inputs!$B$21+Skills!Q7+(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5">
      <c r="A725">
        <f>Skills!A8</f>
        <v/>
      </c>
      <c r="B725">
        <f>Skills!B8</f>
        <v/>
      </c>
      <c r="C725">
        <f>Inputs!$B$3&gt;=110</f>
        <v/>
      </c>
      <c r="D725">
        <f>IF(Skills!C8=1,60+Inputs!$B$25+Inputs!$B$29,IF(Skills!C8=2,90+(Inputs!$B$26+1)+Inputs!$B$29,IF(Skills!C8=3,120+Inputs!$B$27+Inputs!$B$29,MAX(0,(Inputs!$B$3-100)*3)+Inputs!$B$28+Inputs!$B$29)))</f>
        <v/>
      </c>
      <c r="E725">
        <f>INDEX(FactorTable!$B$2:$Y$301, MATCH(ROUND(MIN(300,MAX(1,D725)),0), FactorTable!$A$2:$A$301,0), Skills!M8+1)</f>
        <v/>
      </c>
      <c r="F725">
        <f>IF(Skills!N8=TRUE,(Skills!L8/10)*(E725/1000),Skills!L8/10)+Skills!O8</f>
        <v/>
      </c>
      <c r="G725">
        <f>Skills!G8*IF(Skills!H8&gt;0,Skills!I8/Skills!H8,1)</f>
        <v/>
      </c>
      <c r="H725">
        <f>1-(1-Skills!J8/100)^Skills!K8</f>
        <v/>
      </c>
      <c r="I725" t="inlineStr">
        <is>
          <t>1</t>
        </is>
      </c>
      <c r="J725">
        <f>((Inputs!$B$6*(1+Inputs!$B$7/100))+(((Inputs!$B$12*(1+Inputs!$B$13/100))-(Inputs!$B$12*(1+Inputs!$B$13/100)))+0.25*(Inputs!$B$14-Inputs!$B$14))*(1+Inputs!$B$7/100))*(F725/100)</f>
        <v/>
      </c>
      <c r="K725">
        <f>J725*(1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725)</f>
        <v/>
      </c>
      <c r="L725">
        <f>K725*(MIN(Inputs!$B$22+((C737=TRUE)*(F737-Calc!F20)),(Inputs!$B$23+0+(IF(ArtifactsInput!$M$15,CHOOSE(ArtifactsInput!$N$15+1,25,30,35,40,45,50)/100*(Inputs!$B$11-Inputs!$B$11),0))))/100+(Inputs!$B$23+0+(IF(ArtifactsInput!$M$15,CHOOSE(ArtifactsInput!$N$15+1,25,30,35,40,45,50)/100*(Inputs!$B$11-Inputs!$B$11),0)))/100)/2</f>
        <v/>
      </c>
      <c r="M725">
        <f>L725*(1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5">
        <f>L725*(1-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725*(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5">
        <f>(1-Summary!$B$11)*T725+Summary!$B$11*V725</f>
        <v/>
      </c>
      <c r="P725">
        <f>IF(B752=0,0,O725/B752)</f>
        <v/>
      </c>
      <c r="Q725">
        <f>IFERROR(1/(IF(Inputs!$B$38="pvp",15,MAX(0.1,Skills!D8-IF(Skills!E8=TRUE,Inputs!$B$32,0)))*(1-IF(AND(ArtifactsInput!$M$27,Inputs!$B$4="Chapter Hunt"),CHOOSE(ArtifactsInput!$N$27+1,20,24,28,32,36,40),0)/100)),0)</f>
        <v/>
      </c>
      <c r="R725">
        <f>IF(AND(Inputs!$B$38&lt;&gt;"pvp",Inputs!$B$43&gt;0),IF(MAX(0,Inputs!$B$43-B749)&lt;=0,0,(INT(MAX(0,Inputs!$B$43-B749)/(IF(Inputs!$B$38="pvp",15,MAX(0.1,Skills!D8-IF(Skills!E8=TRUE,Inputs!$B$32,0)))*(1-IF(AND(ArtifactsInput!$M$27,Inputs!$B$4="Chapter Hunt"),CHOOSE(ArtifactsInput!$N$27+1,20,24,28,32,36,40),0)/100)))+1)),0)</f>
        <v/>
      </c>
      <c r="S725">
        <f>IFERROR(O725/N725,0)</f>
        <v/>
      </c>
      <c r="T725">
        <f>IF(C725,(H725*N725*IF(AND(Inputs!$B$38&lt;&gt;"pvp",Inputs!$B$43&gt;0),((Skills!G8*((R725-1)*IF(Skills!H8&gt;0,Skills!I8/Skills!H8,1)+IF(Skills!H8&gt;0,MIN(Skills!I8,MAX(0,MAX(0,Inputs!$B$43-B749)-((R725-1)*(IF(Inputs!$B$38="pvp",15,MAX(0.1,Skills!D8-IF(Skills!E8=TRUE,Inputs!$B$32,0)))*(1-IF(AND(ArtifactsInput!$M$27,Inputs!$B$4="Chapter Hunt"),CHOOSE(ArtifactsInput!$N$27+1,20,24,28,32,36,40),0)/100)))))/Skills!H8,1)))/Inputs!$B$43),G725*Q725)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725*(1-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725*(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725*(1-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725*(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5">
        <f>IF(C725,(H725*N725*IF(AND(Inputs!$B$38&lt;&gt;"pvp",Inputs!$B$43&gt;0),((Skills!G8*((R725-1)*IF(Skills!H8&gt;0,Skills!I8/Skills!H8,1)+IF(Skills!H8&gt;0,MIN(Skills!I8,MAX(0,MAX(0,Inputs!$B$43-B749)-((R725-1)*(IF(Inputs!$B$38="pvp",15,MAX(0.1,Skills!D8-IF(Skills!E8=TRUE,Inputs!$B$32,0)))*(1-IF(AND(ArtifactsInput!$M$27,Inputs!$B$4="Chapter Hunt"),CHOOSE(ArtifactsInput!$N$27+1,20,24,28,32,36,40),0)/100)))))/Skills!H8,1)))/Inputs!$B$43),G725*Q725))*IF(Inputs!$B$38="pvp",1,(1+(Inputs!$B$21+Skills!Q8+(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6">
      <c r="A726">
        <f>Skills!A9</f>
        <v/>
      </c>
      <c r="B726">
        <f>Skills!B9</f>
        <v/>
      </c>
      <c r="C726">
        <f>Inputs!$B$3&gt;=110</f>
        <v/>
      </c>
      <c r="D726">
        <f>IF(Skills!C9=1,60+Inputs!$B$25+Inputs!$B$29,IF(Skills!C9=2,90+(Inputs!$B$26+1)+Inputs!$B$29,IF(Skills!C9=3,120+Inputs!$B$27+Inputs!$B$29,MAX(0,(Inputs!$B$3-100)*3)+Inputs!$B$28+Inputs!$B$29)))</f>
        <v/>
      </c>
      <c r="E726">
        <f>INDEX(FactorTable!$B$2:$Y$301, MATCH(ROUND(MIN(300,MAX(1,D726)),0), FactorTable!$A$2:$A$301,0), Skills!M9+1)</f>
        <v/>
      </c>
      <c r="F726">
        <f>IF(Skills!N9=TRUE,(Skills!L9/10)*(E726/1000),Skills!L9/10)+Skills!O9</f>
        <v/>
      </c>
      <c r="G726">
        <f>Skills!G9*IF(Skills!H9&gt;0,Skills!I9/Skills!H9,1)</f>
        <v/>
      </c>
      <c r="H726">
        <f>1-(1-Skills!J9/100)^Skills!K9</f>
        <v/>
      </c>
      <c r="I726" t="inlineStr">
        <is>
          <t>1</t>
        </is>
      </c>
      <c r="J726">
        <f>((Inputs!$B$6*(1+Inputs!$B$7/100))+(((Inputs!$B$12*(1+Inputs!$B$13/100))-(Inputs!$B$12*(1+Inputs!$B$13/100)))+0.25*(Inputs!$B$14-Inputs!$B$14))*(1+Inputs!$B$7/100))*(F726/100)</f>
        <v/>
      </c>
      <c r="K726">
        <f>J726*(1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726)</f>
        <v/>
      </c>
      <c r="L726">
        <f>K726*(MIN(Inputs!$B$22+((C737=TRUE)*(F737-Calc!F20)),(Inputs!$B$23+0+(IF(ArtifactsInput!$M$15,CHOOSE(ArtifactsInput!$N$15+1,25,30,35,40,45,50)/100*(Inputs!$B$11-Inputs!$B$11),0))))/100+(Inputs!$B$23+0+(IF(ArtifactsInput!$M$15,CHOOSE(ArtifactsInput!$N$15+1,25,30,35,40,45,50)/100*(Inputs!$B$11-Inputs!$B$11),0)))/100)/2</f>
        <v/>
      </c>
      <c r="M726">
        <f>L726*(1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6">
        <f>L726*(1-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726*(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6">
        <f>(1-Summary!$B$11)*T726+Summary!$B$11*V726</f>
        <v/>
      </c>
      <c r="P726">
        <f>IF(B752=0,0,O726/B752)</f>
        <v/>
      </c>
      <c r="Q726">
        <f>IFERROR(1/(IF(Inputs!$B$38="pvp",15,MAX(0.1,Skills!D9-IF(Skills!E9=TRUE,Inputs!$B$32,0)))*(1-IF(AND(ArtifactsInput!$M$27,Inputs!$B$4="Chapter Hunt"),CHOOSE(ArtifactsInput!$N$27+1,20,24,28,32,36,40),0)/100)),0)</f>
        <v/>
      </c>
      <c r="R726">
        <f>IF(AND(Inputs!$B$38&lt;&gt;"pvp",Inputs!$B$43&gt;0),IF(MAX(0,Inputs!$B$43-B749)&lt;=0,0,(INT(MAX(0,Inputs!$B$43-B749)/(IF(Inputs!$B$38="pvp",15,MAX(0.1,Skills!D9-IF(Skills!E9=TRUE,Inputs!$B$32,0)))*(1-IF(AND(ArtifactsInput!$M$27,Inputs!$B$4="Chapter Hunt"),CHOOSE(ArtifactsInput!$N$27+1,20,24,28,32,36,40),0)/100)))+1)),0)</f>
        <v/>
      </c>
      <c r="S726">
        <f>IFERROR(O726/N726,0)</f>
        <v/>
      </c>
      <c r="T726">
        <f>IF(C726,(H726*N726*IF(AND(Inputs!$B$38&lt;&gt;"pvp",Inputs!$B$43&gt;0),((Skills!G9*((R726-1)*IF(Skills!H9&gt;0,Skills!I9/Skills!H9,1)+IF(Skills!H9&gt;0,MIN(Skills!I9,MAX(0,MAX(0,Inputs!$B$43-B749)-((R726-1)*(IF(Inputs!$B$38="pvp",15,MAX(0.1,Skills!D9-IF(Skills!E9=TRUE,Inputs!$B$32,0)))*(1-IF(AND(ArtifactsInput!$M$27,Inputs!$B$4="Chapter Hunt"),CHOOSE(ArtifactsInput!$N$27+1,20,24,28,32,36,40),0)/100)))))/Skills!H9,1)))/Inputs!$B$43),G726*Q726)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726*(1-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726*(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726*(1-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726*(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6">
        <f>IF(C726,(H726*N726*IF(AND(Inputs!$B$38&lt;&gt;"pvp",Inputs!$B$43&gt;0),((Skills!G9*((R726-1)*IF(Skills!H9&gt;0,Skills!I9/Skills!H9,1)+IF(Skills!H9&gt;0,MIN(Skills!I9,MAX(0,MAX(0,Inputs!$B$43-B749)-((R726-1)*(IF(Inputs!$B$38="pvp",15,MAX(0.1,Skills!D9-IF(Skills!E9=TRUE,Inputs!$B$32,0)))*(1-IF(AND(ArtifactsInput!$M$27,Inputs!$B$4="Chapter Hunt"),CHOOSE(ArtifactsInput!$N$27+1,20,24,28,32,36,40),0)/100)))))/Skills!H9,1)))/Inputs!$B$43),G726*Q726))*IF(Inputs!$B$38="pvp",1,(1+(Inputs!$B$21+Skills!Q9+(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7">
      <c r="A727">
        <f>Skills!A10</f>
        <v/>
      </c>
      <c r="B727">
        <f>Skills!B10</f>
        <v/>
      </c>
      <c r="C727">
        <f>Inputs!$B$3&gt;=103</f>
        <v/>
      </c>
      <c r="D727">
        <f>IF(Skills!C10=1,60+Inputs!$B$25+Inputs!$B$29,IF(Skills!C10=2,90+(Inputs!$B$26+1)+Inputs!$B$29,IF(Skills!C10=3,120+Inputs!$B$27+Inputs!$B$29,MAX(0,(Inputs!$B$3-100)*3)+Inputs!$B$28+Inputs!$B$29)))</f>
        <v/>
      </c>
      <c r="E727">
        <f>INDEX(FactorTable!$B$2:$Y$301, MATCH(ROUND(MIN(300,MAX(1,D727)),0), FactorTable!$A$2:$A$301,0), Skills!M10+1)</f>
        <v/>
      </c>
      <c r="F727">
        <f>IF(Skills!N10=TRUE,(Skills!L10/10)*(E727/1000),Skills!L10/10)+Skills!O10</f>
        <v/>
      </c>
      <c r="G727">
        <f>Skills!G10*IF(Skills!H10&gt;0,Skills!I10/Skills!H10,1)</f>
        <v/>
      </c>
      <c r="H727">
        <f>1-(1-Skills!J10/100)^Skills!K10</f>
        <v/>
      </c>
      <c r="I727" t="inlineStr">
        <is>
          <t>1</t>
        </is>
      </c>
      <c r="J727">
        <f>((Inputs!$B$6*(1+Inputs!$B$7/100))+(((Inputs!$B$12*(1+Inputs!$B$13/100))-(Inputs!$B$12*(1+Inputs!$B$13/100)))+0.25*(Inputs!$B$14-Inputs!$B$14))*(1+Inputs!$B$7/100))*(F727/100)</f>
        <v/>
      </c>
      <c r="K727">
        <f>J727*(1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727)</f>
        <v/>
      </c>
      <c r="L727">
        <f>K727*(MIN(Inputs!$B$22+((C737=TRUE)*(F737-Calc!F20)),(Inputs!$B$23+0+(IF(ArtifactsInput!$M$15,CHOOSE(ArtifactsInput!$N$15+1,25,30,35,40,45,50)/100*(Inputs!$B$11-Inputs!$B$11),0))))/100+(Inputs!$B$23+0+(IF(ArtifactsInput!$M$15,CHOOSE(ArtifactsInput!$N$15+1,25,30,35,40,45,50)/100*(Inputs!$B$11-Inputs!$B$11),0)))/100)/2</f>
        <v/>
      </c>
      <c r="M727">
        <f>L727*(1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7">
        <f>L727*(1-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727*(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7">
        <f>(1-Summary!$B$11)*T727+Summary!$B$11*V727</f>
        <v/>
      </c>
      <c r="P727">
        <f>IF(B752=0,0,O727/B752)</f>
        <v/>
      </c>
      <c r="Q727">
        <f>IFERROR(1/(IF(Inputs!$B$38="pvp",15,MAX(0.1,Skills!D10-IF(Skills!E10=TRUE,Inputs!$B$32,0)))*(1-IF(AND(ArtifactsInput!$M$27,Inputs!$B$4="Chapter Hunt"),CHOOSE(ArtifactsInput!$N$27+1,20,24,28,32,36,40),0)/100)),0)</f>
        <v/>
      </c>
      <c r="R727">
        <f>IF(AND(Inputs!$B$38&lt;&gt;"pvp",Inputs!$B$43&gt;0),IF(MAX(0,Inputs!$B$43-B749)&lt;=0,0,(INT(MAX(0,Inputs!$B$43-B749)/(IF(Inputs!$B$38="pvp",15,MAX(0.1,Skills!D10-IF(Skills!E10=TRUE,Inputs!$B$32,0)))*(1-IF(AND(ArtifactsInput!$M$27,Inputs!$B$4="Chapter Hunt"),CHOOSE(ArtifactsInput!$N$27+1,20,24,28,32,36,40),0)/100)))+1)),0)</f>
        <v/>
      </c>
      <c r="S727">
        <f>IFERROR(O727/N727,0)</f>
        <v/>
      </c>
      <c r="T727">
        <f>IF(C727,(H727*N727*IF(AND(Inputs!$B$38&lt;&gt;"pvp",Inputs!$B$43&gt;0),((Skills!G10*((R727-1)*IF(Skills!H10&gt;0,Skills!I10/Skills!H10,1)+IF(Skills!H10&gt;0,MIN(Skills!I10,MAX(0,MAX(0,Inputs!$B$43-B749)-((R727-1)*(IF(Inputs!$B$38="pvp",15,MAX(0.1,Skills!D10-IF(Skills!E10=TRUE,Inputs!$B$32,0)))*(1-IF(AND(ArtifactsInput!$M$27,Inputs!$B$4="Chapter Hunt"),CHOOSE(ArtifactsInput!$N$27+1,20,24,28,32,36,40),0)/100)))))/Skills!H10,1)))/Inputs!$B$43),G727*Q727)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727*(1-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727*(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727*(1-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727*(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7">
        <f>IF(C727,(H727*N727*IF(AND(Inputs!$B$38&lt;&gt;"pvp",Inputs!$B$43&gt;0),((Skills!G10*((R727-1)*IF(Skills!H10&gt;0,Skills!I10/Skills!H10,1)+IF(Skills!H10&gt;0,MIN(Skills!I10,MAX(0,MAX(0,Inputs!$B$43-B749)-((R727-1)*(IF(Inputs!$B$38="pvp",15,MAX(0.1,Skills!D10-IF(Skills!E10=TRUE,Inputs!$B$32,0)))*(1-IF(AND(ArtifactsInput!$M$27,Inputs!$B$4="Chapter Hunt"),CHOOSE(ArtifactsInput!$N$27+1,20,24,28,32,36,40),0)/100)))))/Skills!H10,1)))/Inputs!$B$43),G727*Q727))*IF(Inputs!$B$38="pvp",1,(1+(Inputs!$B$21+Skills!Q10+(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8">
      <c r="A728">
        <f>Skills!A11</f>
        <v/>
      </c>
      <c r="B728">
        <f>Skills!B11</f>
        <v/>
      </c>
      <c r="C728">
        <f>Inputs!$B$3&gt;=113</f>
        <v/>
      </c>
      <c r="D728">
        <f>IF(Skills!C11=1,60+Inputs!$B$25+Inputs!$B$29,IF(Skills!C11=2,90+(Inputs!$B$26+1)+Inputs!$B$29,IF(Skills!C11=3,120+Inputs!$B$27+Inputs!$B$29,MAX(0,(Inputs!$B$3-100)*3)+Inputs!$B$28+Inputs!$B$29)))</f>
        <v/>
      </c>
      <c r="E728">
        <f>INDEX(FactorTable!$B$2:$Y$301, MATCH(ROUND(MIN(300,MAX(1,D728)),0), FactorTable!$A$2:$A$301,0), Skills!M11+1)</f>
        <v/>
      </c>
      <c r="F728">
        <f>IF(Skills!N11=TRUE,(Skills!L11/10)*(E728/1000),Skills!L11/10)+Skills!O11</f>
        <v/>
      </c>
      <c r="G728">
        <f>Skills!G11*IF(Skills!H11&gt;0,Skills!I11/Skills!H11,1)</f>
        <v/>
      </c>
      <c r="H728">
        <f>1-(1-Skills!J11/100)^Skills!K11</f>
        <v/>
      </c>
      <c r="I728" t="inlineStr">
        <is>
          <t>1</t>
        </is>
      </c>
      <c r="J728">
        <f>((Inputs!$B$6*(1+Inputs!$B$7/100))+(((Inputs!$B$12*(1+Inputs!$B$13/100))-(Inputs!$B$12*(1+Inputs!$B$13/100)))+0.25*(Inputs!$B$14-Inputs!$B$14))*(1+Inputs!$B$7/100))*(F728/100)</f>
        <v/>
      </c>
      <c r="K728">
        <f>J728*(1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728)</f>
        <v/>
      </c>
      <c r="L728">
        <f>K728*(MIN(Inputs!$B$22+((C737=TRUE)*(F737-Calc!F20)),(Inputs!$B$23+0+(IF(ArtifactsInput!$M$15,CHOOSE(ArtifactsInput!$N$15+1,25,30,35,40,45,50)/100*(Inputs!$B$11-Inputs!$B$11),0))))/100+(Inputs!$B$23+0+(IF(ArtifactsInput!$M$15,CHOOSE(ArtifactsInput!$N$15+1,25,30,35,40,45,50)/100*(Inputs!$B$11-Inputs!$B$11),0)))/100)/2</f>
        <v/>
      </c>
      <c r="M728">
        <f>L728*(1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8">
        <f>L728*(1-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728*(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8">
        <f>(1-Summary!$B$11)*T728+Summary!$B$11*V728</f>
        <v/>
      </c>
      <c r="P728">
        <f>IF(B752=0,0,O728/B752)</f>
        <v/>
      </c>
      <c r="Q728">
        <f>IFERROR(1/(IF(Inputs!$B$38="pvp",15,MAX(0.1,Skills!D11-IF(Skills!E11=TRUE,Inputs!$B$32,0)))*(1-IF(AND(ArtifactsInput!$M$27,Inputs!$B$4="Chapter Hunt"),CHOOSE(ArtifactsInput!$N$27+1,20,24,28,32,36,40),0)/100)),0)</f>
        <v/>
      </c>
      <c r="R728">
        <f>IF(AND(Inputs!$B$38&lt;&gt;"pvp",Inputs!$B$43&gt;0),IF(MAX(0,Inputs!$B$43-B749)&lt;=0,0,(INT(MAX(0,Inputs!$B$43-B749)/(IF(Inputs!$B$38="pvp",15,MAX(0.1,Skills!D11-IF(Skills!E11=TRUE,Inputs!$B$32,0)))*(1-IF(AND(ArtifactsInput!$M$27,Inputs!$B$4="Chapter Hunt"),CHOOSE(ArtifactsInput!$N$27+1,20,24,28,32,36,40),0)/100)))+1)),0)</f>
        <v/>
      </c>
      <c r="S728">
        <f>IFERROR(O728/N728,0)</f>
        <v/>
      </c>
      <c r="T728">
        <f>IF(C728,(H728*N728*IF(AND(Inputs!$B$38&lt;&gt;"pvp",Inputs!$B$43&gt;0),((Skills!G11*((R728-1)*IF(Skills!H11&gt;0,Skills!I11/Skills!H11,1)+IF(Skills!H11&gt;0,MIN(Skills!I11,MAX(0,MAX(0,Inputs!$B$43-B749)-((R728-1)*(IF(Inputs!$B$38="pvp",15,MAX(0.1,Skills!D11-IF(Skills!E11=TRUE,Inputs!$B$32,0)))*(1-IF(AND(ArtifactsInput!$M$27,Inputs!$B$4="Chapter Hunt"),CHOOSE(ArtifactsInput!$N$27+1,20,24,28,32,36,40),0)/100)))))/Skills!H11,1)))/Inputs!$B$43),G728*Q728)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728*(1-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728*(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728*(1-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728*(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8">
        <f>IF(C728,(H728*N728*IF(AND(Inputs!$B$38&lt;&gt;"pvp",Inputs!$B$43&gt;0),((Skills!G11*((R728-1)*IF(Skills!H11&gt;0,Skills!I11/Skills!H11,1)+IF(Skills!H11&gt;0,MIN(Skills!I11,MAX(0,MAX(0,Inputs!$B$43-B749)-((R728-1)*(IF(Inputs!$B$38="pvp",15,MAX(0.1,Skills!D11-IF(Skills!E11=TRUE,Inputs!$B$32,0)))*(1-IF(AND(ArtifactsInput!$M$27,Inputs!$B$4="Chapter Hunt"),CHOOSE(ArtifactsInput!$N$27+1,20,24,28,32,36,40),0)/100)))))/Skills!H11,1)))/Inputs!$B$43),G728*Q728))*IF(Inputs!$B$38="pvp",1,(1+(Inputs!$B$21+Skills!Q11+(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9">
      <c r="A729">
        <f>Skills!A12</f>
        <v/>
      </c>
      <c r="B729">
        <f>Skills!B12</f>
        <v/>
      </c>
      <c r="C729">
        <f>Inputs!$B$3&gt;=100</f>
        <v/>
      </c>
      <c r="D729">
        <f>IF(Skills!C12=1,60+Inputs!$B$25+Inputs!$B$29,IF(Skills!C12=2,90+(Inputs!$B$26+1)+Inputs!$B$29,IF(Skills!C12=3,120+Inputs!$B$27+Inputs!$B$29,MAX(0,(Inputs!$B$3-100)*3)+Inputs!$B$28+Inputs!$B$29)))</f>
        <v/>
      </c>
      <c r="E729">
        <f>INDEX(FactorTable!$B$2:$Y$301, MATCH(ROUND(MIN(300,MAX(1,D729)),0), FactorTable!$A$2:$A$301,0), Skills!M12+1)</f>
        <v/>
      </c>
      <c r="F729">
        <f>IF(Skills!N12=TRUE,(Skills!L12/10)*(E729/1000),Skills!L12/10)+Skills!O12</f>
        <v/>
      </c>
      <c r="G729" t="inlineStr"/>
      <c r="H729" t="inlineStr"/>
      <c r="I729" t="inlineStr">
        <is>
          <t>1</t>
        </is>
      </c>
      <c r="J729" t="inlineStr"/>
      <c r="K729" t="inlineStr"/>
      <c r="L729" t="inlineStr"/>
      <c r="M729" t="inlineStr"/>
      <c r="N729" t="inlineStr"/>
      <c r="O729" t="inlineStr"/>
      <c r="P729" t="inlineStr"/>
      <c r="Q729" t="inlineStr"/>
      <c r="R729" t="inlineStr"/>
      <c r="S729" t="inlineStr"/>
      <c r="T729" t="inlineStr"/>
      <c r="V729" t="inlineStr"/>
    </row>
    <row r="730">
      <c r="A730">
        <f>Skills!A13</f>
        <v/>
      </c>
      <c r="B730">
        <f>Skills!B13</f>
        <v/>
      </c>
      <c r="C730">
        <f>Inputs!$B$3&gt;=66</f>
        <v/>
      </c>
      <c r="D730">
        <f>IF(Skills!C13=1,60+Inputs!$B$25+Inputs!$B$29,IF(Skills!C13=2,90+(Inputs!$B$26+1)+Inputs!$B$29,IF(Skills!C13=3,120+Inputs!$B$27+Inputs!$B$29,MAX(0,(Inputs!$B$3-100)*3)+Inputs!$B$28+Inputs!$B$29)))</f>
        <v/>
      </c>
      <c r="E730">
        <f>INDEX(FactorTable!$B$2:$Y$301, MATCH(ROUND(MIN(300,MAX(1,D730)),0), FactorTable!$A$2:$A$301,0), Skills!M13+1)</f>
        <v/>
      </c>
      <c r="F730">
        <f>IF(Skills!N13=TRUE,(Skills!L13/10)*(E730/1000),Skills!L13/10)+Skills!O13</f>
        <v/>
      </c>
      <c r="G730">
        <f>Skills!G13*IF(Skills!H13&gt;0,Skills!I13/Skills!H13,1)</f>
        <v/>
      </c>
      <c r="H730">
        <f>1-(1-Skills!J13/100)^Skills!K13</f>
        <v/>
      </c>
      <c r="I730" t="inlineStr">
        <is>
          <t>1</t>
        </is>
      </c>
      <c r="J730" t="inlineStr"/>
      <c r="K730" t="inlineStr"/>
      <c r="L730" t="inlineStr"/>
      <c r="M730" t="inlineStr"/>
      <c r="N730" t="inlineStr"/>
      <c r="O730">
        <f>(1-Summary!$B$11)*T730+Summary!$B$11*V730</f>
        <v/>
      </c>
      <c r="P730">
        <f>IF(B752=0,0,O730/B752)</f>
        <v/>
      </c>
      <c r="Q730" t="n">
        <v>0</v>
      </c>
      <c r="R730" t="n">
        <v>0</v>
      </c>
      <c r="S730">
        <f>IFERROR(O730/N730,0)</f>
        <v/>
      </c>
      <c r="T730" t="n">
        <v>0</v>
      </c>
      <c r="V730" t="n">
        <v>0</v>
      </c>
    </row>
    <row r="731">
      <c r="A731">
        <f>Skills!A14</f>
        <v/>
      </c>
      <c r="B731">
        <f>Skills!B14</f>
        <v/>
      </c>
      <c r="C731">
        <f>Inputs!$B$3&gt;=107</f>
        <v/>
      </c>
      <c r="D731">
        <f>IF(Skills!C14=1,60+Inputs!$B$25+Inputs!$B$29,IF(Skills!C14=2,90+(Inputs!$B$26+1)+Inputs!$B$29,IF(Skills!C14=3,120+Inputs!$B$27+Inputs!$B$29,MAX(0,(Inputs!$B$3-100)*3)+Inputs!$B$28+Inputs!$B$29)))</f>
        <v/>
      </c>
      <c r="E731">
        <f>INDEX(FactorTable!$B$2:$Y$301, MATCH(ROUND(MIN(300,MAX(1,D731)),0), FactorTable!$A$2:$A$301,0), Skills!M14+1)</f>
        <v/>
      </c>
      <c r="F731">
        <f>IF(Skills!N14=TRUE,(Skills!L14/10)*(E731/1000),Skills!L14/10)+Skills!O14</f>
        <v/>
      </c>
      <c r="G731">
        <f>Skills!G14*IF(Skills!H14&gt;0,Skills!I14/Skills!H14,1)</f>
        <v/>
      </c>
      <c r="H731">
        <f>1-(1-Skills!J14/100)^Skills!K14</f>
        <v/>
      </c>
      <c r="I731" t="inlineStr">
        <is>
          <t>1</t>
        </is>
      </c>
      <c r="J731" t="inlineStr"/>
      <c r="K731" t="inlineStr"/>
      <c r="L731" t="inlineStr"/>
      <c r="M731" t="inlineStr"/>
      <c r="N731" t="inlineStr"/>
      <c r="O731">
        <f>(1-Summary!$B$11)*T731+Summary!$B$11*V731</f>
        <v/>
      </c>
      <c r="P731">
        <f>IF(B752=0,0,O731/B752)</f>
        <v/>
      </c>
      <c r="Q731" t="n">
        <v>0</v>
      </c>
      <c r="R731" t="n">
        <v>0</v>
      </c>
      <c r="S731">
        <f>IFERROR(O731/N731,0)</f>
        <v/>
      </c>
      <c r="T731" t="n">
        <v>0</v>
      </c>
      <c r="V731" t="n">
        <v>0</v>
      </c>
    </row>
    <row r="732">
      <c r="A732">
        <f>Skills!A15</f>
        <v/>
      </c>
      <c r="B732">
        <f>Skills!B15</f>
        <v/>
      </c>
      <c r="C732">
        <f>Inputs!$B$3&gt;=115</f>
        <v/>
      </c>
      <c r="D732">
        <f>IF(Skills!C15=1,60+Inputs!$B$25+Inputs!$B$29,IF(Skills!C15=2,90+(Inputs!$B$26+1)+Inputs!$B$29,IF(Skills!C15=3,120+Inputs!$B$27+Inputs!$B$29,MAX(0,(Inputs!$B$3-100)*3)+Inputs!$B$28+Inputs!$B$29)))</f>
        <v/>
      </c>
      <c r="E732">
        <f>INDEX(FactorTable!$B$2:$Y$301, MATCH(ROUND(MIN(300,MAX(1,D732)),0), FactorTable!$A$2:$A$301,0), Skills!M15+1)</f>
        <v/>
      </c>
      <c r="F732">
        <f>IF(Skills!N15=TRUE,(Skills!L15/10)*(E732/1000),Skills!L15/10)+Skills!O15</f>
        <v/>
      </c>
      <c r="G732">
        <f>Skills!G15*IF(Skills!H15&gt;0,Skills!I15/Skills!H15,1)</f>
        <v/>
      </c>
      <c r="H732">
        <f>1-(1-Skills!J15/100)^Skills!K15</f>
        <v/>
      </c>
      <c r="I732" t="inlineStr">
        <is>
          <t>1</t>
        </is>
      </c>
      <c r="J732" t="inlineStr"/>
      <c r="K732" t="inlineStr"/>
      <c r="L732" t="inlineStr"/>
      <c r="M732" t="inlineStr"/>
      <c r="N732" t="inlineStr"/>
      <c r="O732">
        <f>(1-Summary!$B$11)*T732+Summary!$B$11*V732</f>
        <v/>
      </c>
      <c r="P732">
        <f>IF(B752=0,0,O732/B752)</f>
        <v/>
      </c>
      <c r="Q732" t="n">
        <v>0</v>
      </c>
      <c r="R732" t="n">
        <v>0</v>
      </c>
      <c r="S732">
        <f>IFERROR(O732/N732,0)</f>
        <v/>
      </c>
      <c r="T732" t="n">
        <v>0</v>
      </c>
      <c r="V732" t="n">
        <v>0</v>
      </c>
    </row>
    <row r="733">
      <c r="A733">
        <f>Skills!A16</f>
        <v/>
      </c>
      <c r="B733">
        <f>Skills!B16</f>
        <v/>
      </c>
      <c r="C733">
        <f>Inputs!$B$3&gt;=15</f>
        <v/>
      </c>
      <c r="D733">
        <f>IF(Skills!C16=1,60+Inputs!$B$25+Inputs!$B$29,IF(Skills!C16=2,90+(Inputs!$B$26+1)+Inputs!$B$29,IF(Skills!C16=3,120+Inputs!$B$27+Inputs!$B$29,MAX(0,(Inputs!$B$3-100)*3)+Inputs!$B$28+Inputs!$B$29)))</f>
        <v/>
      </c>
      <c r="E733">
        <f>INDEX(FactorTable!$B$2:$Y$301, MATCH(ROUND(MIN(300,MAX(1,D733)),0), FactorTable!$A$2:$A$301,0), Skills!M16+1)</f>
        <v/>
      </c>
      <c r="F733">
        <f>IF(Skills!N16=TRUE,(Skills!L16/10)*(E733/1000),Skills!L16/10)+Skills!O16</f>
        <v/>
      </c>
      <c r="G733">
        <f>Skills!G16*IF(Skills!H16&gt;0,Skills!I16/Skills!H16,1)</f>
        <v/>
      </c>
      <c r="H733">
        <f>1-(1-Skills!J16/100)^Skills!K16</f>
        <v/>
      </c>
      <c r="I733" t="inlineStr">
        <is>
          <t>1</t>
        </is>
      </c>
      <c r="J733" t="inlineStr"/>
      <c r="K733" t="inlineStr"/>
      <c r="L733" t="inlineStr"/>
      <c r="M733" t="inlineStr"/>
      <c r="N733" t="inlineStr"/>
      <c r="O733">
        <f>(1-Summary!$B$11)*T733+Summary!$B$11*V733</f>
        <v/>
      </c>
      <c r="P733">
        <f>IF(B752=0,0,O733/B752)</f>
        <v/>
      </c>
      <c r="Q733" t="n">
        <v>0</v>
      </c>
      <c r="R733" t="n">
        <v>0</v>
      </c>
      <c r="S733">
        <f>IFERROR(O733/N733,0)</f>
        <v/>
      </c>
      <c r="T733" t="n">
        <v>0</v>
      </c>
      <c r="V733" t="n">
        <v>0</v>
      </c>
    </row>
    <row r="734">
      <c r="A734">
        <f>Skills!A17</f>
        <v/>
      </c>
      <c r="B734">
        <f>Skills!B17</f>
        <v/>
      </c>
      <c r="C734">
        <f>Inputs!$B$3&gt;=10</f>
        <v/>
      </c>
      <c r="D734">
        <f>IF(Skills!C17=1,60+Inputs!$B$25+Inputs!$B$29,IF(Skills!C17=2,90+(Inputs!$B$26+1)+Inputs!$B$29,IF(Skills!C17=3,120+Inputs!$B$27+Inputs!$B$29,MAX(0,(Inputs!$B$3-100)*3)+Inputs!$B$28+Inputs!$B$29)))</f>
        <v/>
      </c>
      <c r="E734">
        <f>INDEX(FactorTable!$B$2:$Y$301, MATCH(ROUND(MIN(300,MAX(1,D734)),0), FactorTable!$A$2:$A$301,0), Skills!M17+1)</f>
        <v/>
      </c>
      <c r="F734">
        <f>IF(Skills!N17=TRUE,(Skills!L17/10)*(E734/1000),Skills!L17/10)+Skills!O17</f>
        <v/>
      </c>
      <c r="G734">
        <f>Skills!G17*IF(Skills!H17&gt;0,Skills!I17/Skills!H17,1)</f>
        <v/>
      </c>
      <c r="H734">
        <f>1-(1-Skills!J17/100)^Skills!K17</f>
        <v/>
      </c>
      <c r="I734" t="inlineStr">
        <is>
          <t>1</t>
        </is>
      </c>
      <c r="J734" t="inlineStr"/>
      <c r="K734" t="inlineStr"/>
      <c r="L734" t="inlineStr"/>
      <c r="M734" t="inlineStr"/>
      <c r="N734" t="inlineStr"/>
      <c r="O734">
        <f>(1-Summary!$B$11)*T734+Summary!$B$11*V734</f>
        <v/>
      </c>
      <c r="P734">
        <f>IF(B752=0,0,O734/B752)</f>
        <v/>
      </c>
      <c r="Q734" t="n">
        <v>0</v>
      </c>
      <c r="R734" t="n">
        <v>0</v>
      </c>
      <c r="S734">
        <f>IFERROR(O734/N734,0)</f>
        <v/>
      </c>
      <c r="T734" t="n">
        <v>0</v>
      </c>
      <c r="V734" t="n">
        <v>0</v>
      </c>
    </row>
    <row r="735">
      <c r="A735">
        <f>Skills!A18</f>
        <v/>
      </c>
      <c r="B735">
        <f>Skills!B18</f>
        <v/>
      </c>
      <c r="C735">
        <f>Inputs!$B$3&gt;=33</f>
        <v/>
      </c>
      <c r="D735">
        <f>IF(Skills!C18=1,60+Inputs!$B$25+Inputs!$B$29,IF(Skills!C18=2,90+(Inputs!$B$26+1)+Inputs!$B$29,IF(Skills!C18=3,120+Inputs!$B$27+Inputs!$B$29,MAX(0,(Inputs!$B$3-100)*3)+Inputs!$B$28+Inputs!$B$29)))</f>
        <v/>
      </c>
      <c r="E735">
        <f>INDEX(FactorTable!$B$2:$Y$301, MATCH(ROUND(MIN(300,MAX(1,D735)),0), FactorTable!$A$2:$A$301,0), Skills!M18+1)</f>
        <v/>
      </c>
      <c r="F735">
        <f>IF(Skills!N18=TRUE,(Skills!L18/10)*(E735/1000),Skills!L18/10)+Skills!O18</f>
        <v/>
      </c>
      <c r="G735">
        <f>Skills!G18*IF(Skills!H18&gt;0,Skills!I18/Skills!H18,1)</f>
        <v/>
      </c>
      <c r="H735">
        <f>1-(1-Skills!J18/100)^Skills!K18</f>
        <v/>
      </c>
      <c r="I735" t="inlineStr">
        <is>
          <t>1</t>
        </is>
      </c>
      <c r="J735" t="inlineStr"/>
      <c r="K735" t="inlineStr"/>
      <c r="L735" t="inlineStr"/>
      <c r="M735" t="inlineStr"/>
      <c r="N735" t="inlineStr"/>
      <c r="O735">
        <f>(1-Summary!$B$11)*T735+Summary!$B$11*V735</f>
        <v/>
      </c>
      <c r="P735">
        <f>IF(B752=0,0,O735/B752)</f>
        <v/>
      </c>
      <c r="Q735" t="n">
        <v>0</v>
      </c>
      <c r="R735" t="n">
        <v>0</v>
      </c>
      <c r="S735">
        <f>IFERROR(O735/N735,0)</f>
        <v/>
      </c>
      <c r="T735" t="n">
        <v>0</v>
      </c>
      <c r="V735" t="n">
        <v>0</v>
      </c>
    </row>
    <row r="736">
      <c r="A736">
        <f>Skills!A19</f>
        <v/>
      </c>
      <c r="B736">
        <f>Skills!B19</f>
        <v/>
      </c>
      <c r="C736">
        <f>Inputs!$B$3&gt;=40</f>
        <v/>
      </c>
      <c r="D736">
        <f>IF(Skills!C19=1,60+Inputs!$B$25+Inputs!$B$29,IF(Skills!C19=2,90+(Inputs!$B$26+1)+Inputs!$B$29,IF(Skills!C19=3,120+Inputs!$B$27+Inputs!$B$29,MAX(0,(Inputs!$B$3-100)*3)+Inputs!$B$28+Inputs!$B$29)))</f>
        <v/>
      </c>
      <c r="E736">
        <f>INDEX(FactorTable!$B$2:$Y$301, MATCH(ROUND(MIN(300,MAX(1,D736)),0), FactorTable!$A$2:$A$301,0), Skills!M19+1)</f>
        <v/>
      </c>
      <c r="F736">
        <f>IF(Skills!N19=TRUE,(Skills!L19/10)*(E736/1000),Skills!L19/10)+Skills!O19</f>
        <v/>
      </c>
      <c r="G736">
        <f>Skills!G19*IF(Skills!H19&gt;0,Skills!I19/Skills!H19,1)</f>
        <v/>
      </c>
      <c r="H736">
        <f>1-(1-Skills!J19/100)^Skills!K19</f>
        <v/>
      </c>
      <c r="I736" t="inlineStr">
        <is>
          <t>1</t>
        </is>
      </c>
      <c r="J736" t="inlineStr"/>
      <c r="K736" t="inlineStr"/>
      <c r="L736" t="inlineStr"/>
      <c r="M736" t="inlineStr"/>
      <c r="N736" t="inlineStr"/>
      <c r="O736">
        <f>(1-Summary!$B$11)*T736+Summary!$B$11*V736</f>
        <v/>
      </c>
      <c r="P736">
        <f>IF(B752=0,0,O736/B752)</f>
        <v/>
      </c>
      <c r="Q736" t="n">
        <v>0</v>
      </c>
      <c r="R736" t="n">
        <v>0</v>
      </c>
      <c r="S736">
        <f>IFERROR(O736/N736,0)</f>
        <v/>
      </c>
      <c r="T736" t="n">
        <v>0</v>
      </c>
      <c r="V736" t="n">
        <v>0</v>
      </c>
    </row>
    <row r="737">
      <c r="A737">
        <f>Skills!A20</f>
        <v/>
      </c>
      <c r="B737">
        <f>Skills!B20</f>
        <v/>
      </c>
      <c r="C737">
        <f>Inputs!$B$3&gt;=43</f>
        <v/>
      </c>
      <c r="D737">
        <f>IF(Skills!C20=1,60+Inputs!$B$25+Inputs!$B$29,IF(Skills!C20=2,90+(Inputs!$B$26+1)+Inputs!$B$29,IF(Skills!C20=3,120+Inputs!$B$27+Inputs!$B$29,MAX(0,(Inputs!$B$3-100)*3)+Inputs!$B$28+Inputs!$B$29)))</f>
        <v/>
      </c>
      <c r="E737">
        <f>INDEX(FactorTable!$B$2:$Y$301, MATCH(ROUND(MIN(300,MAX(1,D737)),0), FactorTable!$A$2:$A$301,0), Skills!M20+1)</f>
        <v/>
      </c>
      <c r="F737">
        <f>IF(Skills!N20=TRUE,(Skills!L20/10)*(E737/1000),Skills!L20/10)+Skills!O20</f>
        <v/>
      </c>
      <c r="G737">
        <f>Skills!G20*IF(Skills!H20&gt;0,Skills!I20/Skills!H20,1)</f>
        <v/>
      </c>
      <c r="H737">
        <f>1-(1-Skills!J20/100)^Skills!K20</f>
        <v/>
      </c>
      <c r="I737" t="inlineStr">
        <is>
          <t>1</t>
        </is>
      </c>
      <c r="J737" t="inlineStr"/>
      <c r="K737" t="inlineStr"/>
      <c r="L737" t="inlineStr"/>
      <c r="M737" t="inlineStr"/>
      <c r="N737" t="inlineStr"/>
      <c r="O737">
        <f>(1-Summary!$B$11)*T737+Summary!$B$11*V737</f>
        <v/>
      </c>
      <c r="P737">
        <f>IF(B752=0,0,O737/B752)</f>
        <v/>
      </c>
      <c r="Q737" t="n">
        <v>0</v>
      </c>
      <c r="R737" t="n">
        <v>0</v>
      </c>
      <c r="S737">
        <f>IFERROR(O737/N737,0)</f>
        <v/>
      </c>
      <c r="T737" t="n">
        <v>0</v>
      </c>
      <c r="V737" t="n">
        <v>0</v>
      </c>
    </row>
    <row r="738">
      <c r="A738">
        <f>Skills!A21</f>
        <v/>
      </c>
      <c r="B738">
        <f>Skills!B21</f>
        <v/>
      </c>
      <c r="C738">
        <f>Inputs!$B$3&gt;=38</f>
        <v/>
      </c>
      <c r="D738">
        <f>IF(Skills!C21=1,60+Inputs!$B$25+Inputs!$B$29,IF(Skills!C21=2,90+(Inputs!$B$26+1)+Inputs!$B$29,IF(Skills!C21=3,120+Inputs!$B$27+Inputs!$B$29,MAX(0,(Inputs!$B$3-100)*3)+Inputs!$B$28+Inputs!$B$29)))</f>
        <v/>
      </c>
      <c r="E738">
        <f>INDEX(FactorTable!$B$2:$Y$301, MATCH(ROUND(MIN(300,MAX(1,D738)),0), FactorTable!$A$2:$A$301,0), Skills!M21+1)</f>
        <v/>
      </c>
      <c r="F738">
        <f>IF(Skills!N21=TRUE,(Skills!L21/10)*(E738/1000),Skills!L21/10)+Skills!O21</f>
        <v/>
      </c>
      <c r="G738">
        <f>Skills!G21*IF(Skills!H21&gt;0,Skills!I21/Skills!H21,1)</f>
        <v/>
      </c>
      <c r="H738">
        <f>1-(1-Skills!J21/100)^Skills!K21</f>
        <v/>
      </c>
      <c r="I738" t="inlineStr">
        <is>
          <t>1</t>
        </is>
      </c>
      <c r="J738" t="inlineStr"/>
      <c r="K738" t="inlineStr"/>
      <c r="L738" t="inlineStr"/>
      <c r="M738" t="inlineStr"/>
      <c r="N738" t="inlineStr"/>
      <c r="O738">
        <f>(1-Summary!$B$11)*T738+Summary!$B$11*V738</f>
        <v/>
      </c>
      <c r="P738">
        <f>IF(B752=0,0,O738/B752)</f>
        <v/>
      </c>
      <c r="Q738" t="n">
        <v>0</v>
      </c>
      <c r="R738" t="n">
        <v>0</v>
      </c>
      <c r="S738">
        <f>IFERROR(O738/N738,0)</f>
        <v/>
      </c>
      <c r="T738" t="n">
        <v>0</v>
      </c>
      <c r="V738" t="n">
        <v>0</v>
      </c>
    </row>
    <row r="739">
      <c r="A739">
        <f>Skills!A22</f>
        <v/>
      </c>
      <c r="B739">
        <f>Skills!B22</f>
        <v/>
      </c>
      <c r="C739">
        <f>Inputs!$B$3&gt;=75</f>
        <v/>
      </c>
      <c r="D739">
        <f>IF(Skills!C22=1,60+Inputs!$B$25+Inputs!$B$29,IF(Skills!C22=2,90+(Inputs!$B$26+1)+Inputs!$B$29,IF(Skills!C22=3,120+Inputs!$B$27+Inputs!$B$29,MAX(0,(Inputs!$B$3-100)*3)+Inputs!$B$28+Inputs!$B$29)))</f>
        <v/>
      </c>
      <c r="E739">
        <f>INDEX(FactorTable!$B$2:$Y$301, MATCH(ROUND(MIN(300,MAX(1,D739)),0), FactorTable!$A$2:$A$301,0), Skills!M22+1)</f>
        <v/>
      </c>
      <c r="F739">
        <f>IF(Skills!N22=TRUE,(Skills!L22/10)*(E739/1000),Skills!L22/10)+Skills!O22</f>
        <v/>
      </c>
      <c r="G739">
        <f>Skills!G22*IF(Skills!H22&gt;0,Skills!I22/Skills!H22,1)</f>
        <v/>
      </c>
      <c r="H739">
        <f>1-(1-Skills!J22/100)^Skills!K22</f>
        <v/>
      </c>
      <c r="I739" t="inlineStr">
        <is>
          <t>1</t>
        </is>
      </c>
      <c r="J739" t="inlineStr"/>
      <c r="K739" t="inlineStr"/>
      <c r="L739" t="inlineStr"/>
      <c r="M739" t="inlineStr"/>
      <c r="N739" t="inlineStr"/>
      <c r="O739">
        <f>(1-Summary!$B$11)*T739+Summary!$B$11*V739</f>
        <v/>
      </c>
      <c r="P739">
        <f>IF(B752=0,0,O739/B752)</f>
        <v/>
      </c>
      <c r="Q739" t="n">
        <v>0</v>
      </c>
      <c r="R739" t="n">
        <v>0</v>
      </c>
      <c r="S739">
        <f>IFERROR(O739/N739,0)</f>
        <v/>
      </c>
      <c r="T739" t="n">
        <v>0</v>
      </c>
      <c r="V739" t="n">
        <v>0</v>
      </c>
    </row>
    <row r="741">
      <c r="A741" t="inlineStr">
        <is>
          <t>Attack% Bucket Multiplier</t>
        </is>
      </c>
      <c r="B741">
        <f>(1+(((C730=TRUE)*F730)+((C736=TRUE)*(F736-Calc!F19))+(IF(ArtifactsInput!$M$21,CHOOSE(ArtifactsInput!$N$21+1,25,30,35,40,45,50)*(IF(OR(Inputs!$B$4="Chapter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42">
      <c r="A742" t="inlineStr">
        <is>
          <t>Global Crit Rate Bonus %</t>
        </is>
      </c>
      <c r="B742" t="n">
        <v>0</v>
      </c>
    </row>
    <row r="743">
      <c r="A743" t="inlineStr">
        <is>
          <t>Attack Speed Buff Bonus % (unused)</t>
        </is>
      </c>
      <c r="B743" t="n">
        <v>0</v>
      </c>
    </row>
    <row r="744">
      <c r="A744" t="inlineStr">
        <is>
          <t>Actions Per Second</t>
        </is>
      </c>
      <c r="B744">
        <f>1+MIN(150,150*(1-(1-(Inputs!$B$11+((C734=TRUE)*(F734-Calc!F17))+((C735=TRUE)*(F735-Calc!F18)))/150)*(1-B743/150)))/100</f>
        <v/>
      </c>
    </row>
    <row r="745">
      <c r="A745" t="inlineStr">
        <is>
          <t>Skill + Buff Cast Rate</t>
        </is>
      </c>
      <c r="B745">
        <f>IF(AND(Inputs!$B$38&lt;&gt;"pvp",Inputs!$B$43&gt;0),SUMPRODUCT((Skills!E2:E22=TRUE)*(C719:C739=TRUE)*R719:R739*Skills!F2:F22)/Inputs!$B$43,SUMPRODUCT((Skills!E2:E22=TRUE)*(C719:C739=TRUE)*Q719:Q739*Skills!F2:F22))</f>
        <v/>
      </c>
    </row>
    <row r="746">
      <c r="A746" t="inlineStr">
        <is>
          <t>Hook Bomber Casts Per Second</t>
        </is>
      </c>
      <c r="B746">
        <f>MAX(0,B744-B745)</f>
        <v/>
      </c>
    </row>
    <row r="747">
      <c r="A747" t="inlineStr">
        <is>
          <t>Global Critical Damage Bonus % (unused)</t>
        </is>
      </c>
      <c r="B747" t="n">
        <v>0</v>
      </c>
    </row>
    <row r="748">
      <c r="A748" t="inlineStr">
        <is>
          <t>Global Final Damage Bonus % (Serpent Scale + Crossbones + Time Leap + Speed Infusion)</t>
        </is>
      </c>
      <c r="B748">
        <f>((C722=TRUE)*F722*((10+IF(Inputs!$B$3&gt;=94,5,0))/((10+IF(Inputs!$B$3&gt;=94,5,0))+5/(B746*(1+IF(Inputs!$B$3&gt;=104,1,0))))))+((C731=TRUE)*F731)+((C732=TRUE)*F732)+((Inputs!$B$3&gt;=110)*20*(B744-1))</f>
        <v/>
      </c>
    </row>
    <row r="749">
      <c r="A749" t="inlineStr">
        <is>
          <t>Buff-Casting Startup Delay (s, fixed-duration only)</t>
        </is>
      </c>
      <c r="B749">
        <f>IF(AND(Inputs!$B$38&lt;&gt;"pvp",Inputs!$B$43&gt;0),SUMPRODUCT((Skills!T2:T22&gt;0)*(Skills!E2:E22=TRUE)*(C719:C739=TRUE))/B744,0)</f>
        <v/>
      </c>
    </row>
    <row r="750">
      <c r="A750" t="inlineStr">
        <is>
          <t>Boss-Only Total DPS (this block's swept value)</t>
        </is>
      </c>
      <c r="B750">
        <f>SUM(T719:T739)</f>
        <v/>
      </c>
    </row>
    <row r="751">
      <c r="A751" t="inlineStr">
        <is>
          <t>Normal-Only Total DPS (this block's swept value)</t>
        </is>
      </c>
      <c r="B751">
        <f>SUM(V719:V739)</f>
        <v/>
      </c>
    </row>
    <row r="752">
      <c r="A752" s="6" t="inlineStr">
        <is>
          <t>TOTAL DPS</t>
        </is>
      </c>
      <c r="B752" s="6">
        <f>SUM(O719:O739)</f>
        <v/>
      </c>
    </row>
    <row r="755">
      <c r="A755" s="6" t="inlineStr">
        <is>
          <t>Stat: Skill Level Bonus — 3rd Job</t>
        </is>
      </c>
    </row>
    <row r="756">
      <c r="A756" s="5" t="inlineStr">
        <is>
          <t>Key</t>
        </is>
      </c>
      <c r="B756" s="5" t="inlineStr">
        <is>
          <t>Name</t>
        </is>
      </c>
      <c r="C756" s="5" t="inlineStr">
        <is>
          <t>Unlocked</t>
        </is>
      </c>
      <c r="D756" s="5" t="inlineStr">
        <is>
          <t>InputLevel</t>
        </is>
      </c>
      <c r="E756" s="5" t="inlineStr">
        <is>
          <t>Factor</t>
        </is>
      </c>
      <c r="F756" s="5" t="inlineStr">
        <is>
          <t>CoefficientPercent</t>
        </is>
      </c>
      <c r="G756" s="5" t="inlineStr">
        <is>
          <t>EffectiveHits</t>
        </is>
      </c>
      <c r="H756" s="5" t="inlineStr">
        <is>
          <t>ProcProbability</t>
        </is>
      </c>
      <c r="I756" s="5" t="inlineStr">
        <is>
          <t>MapleHeroMultiplier</t>
        </is>
      </c>
      <c r="J756" s="5" t="inlineStr">
        <is>
          <t>BaseDamage</t>
        </is>
      </c>
      <c r="K756" s="5" t="inlineStr">
        <is>
          <t>BaseHitDamage</t>
        </is>
      </c>
      <c r="L756" s="5" t="inlineStr">
        <is>
          <t>NonCritAvg</t>
        </is>
      </c>
      <c r="M756" s="5" t="inlineStr">
        <is>
          <t>CritAvg</t>
        </is>
      </c>
      <c r="N756" s="5" t="inlineStr">
        <is>
          <t>ExpectedDamage(perHit)</t>
        </is>
      </c>
      <c r="O756" s="5" t="inlineStr">
        <is>
          <t>DPS</t>
        </is>
      </c>
      <c r="P756" s="5" t="inlineStr">
        <is>
          <t>% of Total</t>
        </is>
      </c>
      <c r="Q756" s="5" t="inlineStr">
        <is>
          <t>InvCooldown</t>
        </is>
      </c>
      <c r="R756" s="5" t="inlineStr">
        <is>
          <t>CastsInFight</t>
        </is>
      </c>
      <c r="S756" s="5" t="inlineStr">
        <is>
          <t>HitRate(perSec)</t>
        </is>
      </c>
      <c r="U756" t="inlineStr">
        <is>
          <t>helpers</t>
        </is>
      </c>
    </row>
    <row r="757">
      <c r="A757">
        <f>Skills!A2</f>
        <v/>
      </c>
      <c r="B757">
        <f>Skills!B2</f>
        <v/>
      </c>
      <c r="C757">
        <f>Inputs!$B$3&gt;=100</f>
        <v/>
      </c>
      <c r="D757" t="inlineStr"/>
      <c r="E757" t="inlineStr"/>
      <c r="F757">
        <f>U759+Skills!O2</f>
        <v/>
      </c>
      <c r="G757">
        <f>Skills!G2*IF(Skills!H2&gt;0,Skills!I2/Skills!H2,1)</f>
        <v/>
      </c>
      <c r="H757">
        <f>1-(1-Skills!J2/100)^Skills!K2</f>
        <v/>
      </c>
      <c r="I757" t="inlineStr">
        <is>
          <t>1</t>
        </is>
      </c>
      <c r="J757">
        <f>((Inputs!$B$6*(1+Inputs!$B$7/100))+(((Inputs!$B$12*(1+Inputs!$B$13/100))-(Inputs!$B$12*(1+Inputs!$B$13/100)))+0.25*(Inputs!$B$14-Inputs!$B$14))*(1+Inputs!$B$7/100))*(F757/100)</f>
        <v/>
      </c>
      <c r="K757">
        <f>J757*(1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775=TRUE)*(F775-Calc!F20)),(Inputs!$B$23+0+(IF(ArtifactsInput!$M$15,CHOOSE(ArtifactsInput!$N$15+1,25,30,35,40,45,50)/100*(Inputs!$B$11-Inputs!$B$11),0))))/100+(Inputs!$B$23+0+(IF(ArtifactsInput!$M$15,CHOOSE(ArtifactsInput!$N$15+1,25,30,35,40,45,50)/100*(Inputs!$B$11-Inputs!$B$11),0)))/100)/2</f>
        <v/>
      </c>
      <c r="M757">
        <f>L757*(1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IF(B790=0,0,O757/B790)</f>
        <v/>
      </c>
      <c r="Q757" t="n">
        <v>0</v>
      </c>
      <c r="R757" t="n">
        <v>0</v>
      </c>
      <c r="S757">
        <f>IFERROR(O757/N757,0)</f>
        <v/>
      </c>
      <c r="T757">
        <f>IF(C757,(Skills!G2*N757*B784)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7">
        <f>MAX(0,(Inputs!$B$3-100)*3)+Inputs!$B$28+Inputs!$B$29</f>
        <v/>
      </c>
      <c r="V757">
        <f>IF(C757,(Skills!G2*N757*B784)*IF(Inputs!$B$38="pvp",1,(1+(Inputs!$B$21+Skills!Q2+(IF(ArtifactsInput!$M$33,CHOOSE(ArtifactsInput!$N$33+1,30,36,42,48,54,60),0))+(IF(AND(ArtifactsInput!$M$35,Inputs!$B$4&lt;&gt;"Chapter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Skills!A3</f>
        <v/>
      </c>
      <c r="B758">
        <f>Skills!B3</f>
        <v/>
      </c>
      <c r="C758">
        <f>Inputs!$B$3&gt;=35</f>
        <v/>
      </c>
      <c r="D758">
        <f>IF(Skills!C3=1,60+Inputs!$B$25+Inputs!$B$29,IF(Skills!C3=2,90+Inputs!$B$26+Inputs!$B$29,IF(Skills!C3=3,120+(Inputs!$B$27+1)+Inputs!$B$29,MAX(0,(Inputs!$B$3-100)*3)+Inputs!$B$28+Inputs!$B$29)))</f>
        <v/>
      </c>
      <c r="E758">
        <f>INDEX(FactorTable!$B$2:$Y$301, MATCH(ROUND(MIN(300,MAX(1,D758)),0), FactorTable!$A$2:$A$301,0), Skills!M3+1)</f>
        <v/>
      </c>
      <c r="F758">
        <f>IF(Skills!N3=TRUE,(Skills!L3/10)*(E758/1000),Skills!L3/10)+Skills!O3</f>
        <v/>
      </c>
      <c r="G758">
        <f>Skills!G3*IF(Skills!H3&gt;0,Skills!I3/Skills!H3,1)</f>
        <v/>
      </c>
      <c r="H758">
        <f>1-(1-Skills!J3/100)^Skills!K3</f>
        <v/>
      </c>
      <c r="I758" t="inlineStr">
        <is>
          <t>1</t>
        </is>
      </c>
      <c r="J758">
        <f>((Inputs!$B$6*(1+Inputs!$B$7/100))+(((Inputs!$B$12*(1+Inputs!$B$13/100))-(Inputs!$B$12*(1+Inputs!$B$13/100)))+0.25*(Inputs!$B$14-Inputs!$B$14))*(1+Inputs!$B$7/100))*(F758/100)</f>
        <v/>
      </c>
      <c r="K758">
        <f>J758*(1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C775=TRUE)*(F775-Calc!F20)),(Inputs!$B$23+0+(IF(ArtifactsInput!$M$15,CHOOSE(ArtifactsInput!$N$15+1,25,30,35,40,45,50)/100*(Inputs!$B$11-Inputs!$B$11),0))))/100+(Inputs!$B$23+0+(IF(ArtifactsInput!$M$15,CHOOSE(ArtifactsInput!$N$15+1,25,30,35,40,45,50)/100*(Inputs!$B$11-Inputs!$B$11),0)))/100)/2</f>
        <v/>
      </c>
      <c r="M758">
        <f>L758*(1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(1-Summary!$B$11)*T758+Summary!$B$11*V758</f>
        <v/>
      </c>
      <c r="P758">
        <f>IF(B790=0,0,O758/B790)</f>
        <v/>
      </c>
      <c r="Q758" t="n">
        <v>0</v>
      </c>
      <c r="R758" t="n">
        <v>0</v>
      </c>
      <c r="S758">
        <f>IFERROR(O758/N758,0)</f>
        <v/>
      </c>
      <c r="T758">
        <f>IF(C758,(Skills!G3*H758*N758*B784)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758*(1-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8">
        <f>INDEX(FactorTable!$B$2:$Y$301, MATCH(ROUND(MIN(300,MAX(1,U757)),0), FactorTable!$A$2:$A$301,0), 22)</f>
        <v/>
      </c>
      <c r="V758">
        <f>IF(C758,(Skills!G3*H758*N758*B784)*IF(Inputs!$B$38="pvp",1,(1+(Inputs!$B$21+Skills!Q3+(IF(ArtifactsInput!$M$33,CHOOSE(ArtifactsInput!$N$33+1,30,36,42,48,54,60),0))+(IF(AND(ArtifactsInput!$M$35,Inputs!$B$4&lt;&gt;"Chapter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9">
      <c r="A759">
        <f>Skills!A4</f>
        <v/>
      </c>
      <c r="B759">
        <f>Skills!B4</f>
        <v/>
      </c>
      <c r="C759">
        <f>Inputs!$B$3&gt;=60</f>
        <v/>
      </c>
      <c r="D759">
        <f>IF(Skills!C4=1,60+Inputs!$B$25+Inputs!$B$29,IF(Skills!C4=2,90+Inputs!$B$26+Inputs!$B$29,IF(Skills!C4=3,120+(Inputs!$B$27+1)+Inputs!$B$29,MAX(0,(Inputs!$B$3-100)*3)+Inputs!$B$28+Inputs!$B$29)))</f>
        <v/>
      </c>
      <c r="E759">
        <f>INDEX(FactorTable!$B$2:$Y$301, MATCH(ROUND(MIN(300,MAX(1,D759)),0), FactorTable!$A$2:$A$301,0), Skills!M4+1)</f>
        <v/>
      </c>
      <c r="F759">
        <f>IF(Skills!N4=TRUE,(Skills!L4/10)*(E759/1000),Skills!L4/10)+Skills!O4</f>
        <v/>
      </c>
      <c r="G759">
        <f>Skills!G4*IF(Skills!H4&gt;0,Skills!I4/Skills!H4,1)</f>
        <v/>
      </c>
      <c r="H759">
        <f>1-(1-Skills!J4/100)^Skills!K4</f>
        <v/>
      </c>
      <c r="I759" t="inlineStr">
        <is>
          <t>1</t>
        </is>
      </c>
      <c r="J759">
        <f>((Inputs!$B$6*(1+Inputs!$B$7/100))+(((Inputs!$B$12*(1+Inputs!$B$13/100))-(Inputs!$B$12*(1+Inputs!$B$13/100)))+0.25*(Inputs!$B$14-Inputs!$B$14))*(1+Inputs!$B$7/100))*(F759/100)</f>
        <v/>
      </c>
      <c r="K759">
        <f>J759*(1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767=TRUE,F767,0)/100)*(1+(IF(Skills!A4="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759)</f>
        <v/>
      </c>
      <c r="L759">
        <f>K759*(MIN(Inputs!$B$22+((C775=TRUE)*(F775-Calc!F20)),(Inputs!$B$23+0+(IF(ArtifactsInput!$M$15,CHOOSE(ArtifactsInput!$N$15+1,25,30,35,40,45,50)/100*(Inputs!$B$11-Inputs!$B$11),0))))/100+(Inputs!$B$23+0+(IF(ArtifactsInput!$M$15,CHOOSE(ArtifactsInput!$N$15+1,25,30,35,40,45,50)/100*(Inputs!$B$11-Inputs!$B$11),0)))/100)/2</f>
        <v/>
      </c>
      <c r="M759">
        <f>L759*(1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9">
        <f>L759*(1-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759*(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9">
        <f>(1-Summary!$B$11)*T759+Summary!$B$11*V759</f>
        <v/>
      </c>
      <c r="P759">
        <f>IF(B790=0,0,O759/B790)</f>
        <v/>
      </c>
      <c r="Q759" t="n">
        <v>0</v>
      </c>
      <c r="R759" t="n">
        <v>0</v>
      </c>
      <c r="S759">
        <f>IFERROR(O759/N759,0)</f>
        <v/>
      </c>
      <c r="T759">
        <f>IF(C759,(Skills!G4*H759*N759*B784)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759*(1-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759*(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759*(1-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759*(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9">
        <f>290*U758/1000</f>
        <v/>
      </c>
      <c r="V759">
        <f>IF(C759,(Skills!G4*H759*N759*B784)*IF(Inputs!$B$38="pvp",1,(1+(Inputs!$B$21+Skills!Q4+(IF(ArtifactsInput!$M$33,CHOOSE(ArtifactsInput!$N$33+1,30,36,42,48,54,60),0))+(IF(AND(ArtifactsInput!$M$35,Inputs!$B$4&lt;&gt;"Chapter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f>Skills!A5</f>
        <v/>
      </c>
      <c r="B760">
        <f>Skills!B5</f>
        <v/>
      </c>
      <c r="C760">
        <f>Inputs!$B$3&gt;=60</f>
        <v/>
      </c>
      <c r="D760">
        <f>IF(Skills!C5=1,60+Inputs!$B$25+Inputs!$B$29,IF(Skills!C5=2,90+Inputs!$B$26+Inputs!$B$29,IF(Skills!C5=3,120+(Inputs!$B$27+1)+Inputs!$B$29,MAX(0,(Inputs!$B$3-100)*3)+Inputs!$B$28+Inputs!$B$29)))</f>
        <v/>
      </c>
      <c r="E760">
        <f>INDEX(FactorTable!$B$2:$Y$301, MATCH(ROUND(MIN(300,MAX(1,D760)),0), FactorTable!$A$2:$A$301,0), Skills!M5+1)</f>
        <v/>
      </c>
      <c r="F760">
        <f>IF(Skills!N5=TRUE,(Skills!L5/10)*(E760/1000),Skills!L5/10)+Skills!O5</f>
        <v/>
      </c>
      <c r="G760">
        <f>Skills!G5*IF(Skills!H5&gt;0,Skills!I5/Skills!H5,1)</f>
        <v/>
      </c>
      <c r="H760">
        <f>1-(1-Skills!J5/100)^Skills!K5</f>
        <v/>
      </c>
      <c r="I760" t="inlineStr">
        <is>
          <t>1</t>
        </is>
      </c>
      <c r="J760" t="inlineStr"/>
      <c r="K760" t="inlineStr"/>
      <c r="L760" t="inlineStr"/>
      <c r="M760" t="inlineStr"/>
      <c r="N760" t="inlineStr"/>
      <c r="O760">
        <f>(1-Summary!$B$11)*T760+Summary!$B$11*V760</f>
        <v/>
      </c>
      <c r="P760">
        <f>IF(B790=0,0,O760/B790)</f>
        <v/>
      </c>
      <c r="Q760" t="n">
        <v>0</v>
      </c>
      <c r="R760" t="n">
        <v>0</v>
      </c>
      <c r="S760">
        <f>IFERROR(O760/N760,0)</f>
        <v/>
      </c>
      <c r="T760" t="n">
        <v>0</v>
      </c>
      <c r="V760" t="n">
        <v>0</v>
      </c>
    </row>
    <row r="761">
      <c r="A761">
        <f>Skills!A6</f>
        <v/>
      </c>
      <c r="B761">
        <f>Skills!B6</f>
        <v/>
      </c>
      <c r="C761">
        <f>Inputs!$B$3&gt;=63</f>
        <v/>
      </c>
      <c r="D761">
        <f>IF(Skills!C6=1,60+Inputs!$B$25+Inputs!$B$29,IF(Skills!C6=2,90+Inputs!$B$26+Inputs!$B$29,IF(Skills!C6=3,120+(Inputs!$B$27+1)+Inputs!$B$29,MAX(0,(Inputs!$B$3-100)*3)+Inputs!$B$28+Inputs!$B$29)))</f>
        <v/>
      </c>
      <c r="E761">
        <f>INDEX(FactorTable!$B$2:$Y$301, MATCH(ROUND(MIN(300,MAX(1,D761)),0), FactorTable!$A$2:$A$301,0), Skills!M6+1)</f>
        <v/>
      </c>
      <c r="F761">
        <f>IF(Skills!N6=TRUE,(Skills!L6/10)*(E761/1000),Skills!L6/10)+Skills!O6</f>
        <v/>
      </c>
      <c r="G761">
        <f>Skills!G6*IF(Skills!H6&gt;0,Skills!I6/Skills!H6,1)</f>
        <v/>
      </c>
      <c r="H761">
        <f>1-(1-Skills!J6/100)^Skills!K6</f>
        <v/>
      </c>
      <c r="I761" t="inlineStr">
        <is>
          <t>1</t>
        </is>
      </c>
      <c r="J761">
        <f>((Inputs!$B$6*(1+Inputs!$B$7/100))+(((Inputs!$B$12*(1+Inputs!$B$13/100))-(Inputs!$B$12*(1+Inputs!$B$13/100)))+0.25*(Inputs!$B$14-Inputs!$B$14))*(1+Inputs!$B$7/100))*(F761/100)</f>
        <v/>
      </c>
      <c r="K761">
        <f>J761*(1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761)</f>
        <v/>
      </c>
      <c r="L761">
        <f>K761*(MIN(Inputs!$B$22+((C775=TRUE)*(F775-Calc!F20)),(Inputs!$B$23+0+(IF(ArtifactsInput!$M$15,CHOOSE(ArtifactsInput!$N$15+1,25,30,35,40,45,50)/100*(Inputs!$B$11-Inputs!$B$11),0))))/100+(Inputs!$B$23+0+(IF(ArtifactsInput!$M$15,CHOOSE(ArtifactsInput!$N$15+1,25,30,35,40,45,50)/100*(Inputs!$B$11-Inputs!$B$11),0)))/100)/2</f>
        <v/>
      </c>
      <c r="M761">
        <f>L761*(1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1">
        <f>L761*(1-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1">
        <f>(1-Summary!$B$11)*T761+Summary!$B$11*V761</f>
        <v/>
      </c>
      <c r="P761">
        <f>IF(B790=0,0,O761/B790)</f>
        <v/>
      </c>
      <c r="Q761">
        <f>IFERROR(1/(IF(Inputs!$B$38="pvp",15,MAX(0.1,Skills!D6-IF(Skills!E6=TRUE,Inputs!$B$32,0)))*(1-IF(AND(ArtifactsInput!$M$27,Inputs!$B$4="Chapter Hunt"),CHOOSE(ArtifactsInput!$N$27+1,20,24,28,32,36,40),0)/100)),0)</f>
        <v/>
      </c>
      <c r="R761">
        <f>IF(AND(Inputs!$B$38&lt;&gt;"pvp",Inputs!$B$43&gt;0),IF(MAX(0,Inputs!$B$43-B787)&lt;=0,0,(INT(MAX(0,Inputs!$B$43-B787)/(IF(Inputs!$B$38="pvp",15,MAX(0.1,Skills!D6-IF(Skills!E6=TRUE,Inputs!$B$32,0)))*(1-IF(AND(ArtifactsInput!$M$27,Inputs!$B$4="Chapter Hunt"),CHOOSE(ArtifactsInput!$N$27+1,20,24,28,32,36,40),0)/100)))+1)),0)</f>
        <v/>
      </c>
      <c r="S761">
        <f>IFERROR(O761/N761,0)</f>
        <v/>
      </c>
      <c r="T761">
        <f>IF(C761,(H761*N761*IF(AND(Inputs!$B$38&lt;&gt;"pvp",Inputs!$B$43&gt;0),((Skills!G6*((R761-1)*IF(Skills!H6&gt;0,Skills!I6/Skills!H6,1)+IF(Skills!H6&gt;0,MIN(Skills!I6,MAX(0,MAX(0,Inputs!$B$43-B787)-((R761-1)*(IF(Inputs!$B$38="pvp",15,MAX(0.1,Skills!D6-IF(Skills!E6=TRUE,Inputs!$B$32,0)))*(1-IF(AND(ArtifactsInput!$M$27,Inputs!$B$4="Chapter Hunt"),CHOOSE(ArtifactsInput!$N$27+1,20,24,28,32,36,40),0)/100)))))/Skills!H6,1)))/Inputs!$B$43),G761*Q761)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1">
        <f>IF(C761,(H761*N761*IF(AND(Inputs!$B$38&lt;&gt;"pvp",Inputs!$B$43&gt;0),((Skills!G6*((R761-1)*IF(Skills!H6&gt;0,Skills!I6/Skills!H6,1)+IF(Skills!H6&gt;0,MIN(Skills!I6,MAX(0,MAX(0,Inputs!$B$43-B787)-((R761-1)*(IF(Inputs!$B$38="pvp",15,MAX(0.1,Skills!D6-IF(Skills!E6=TRUE,Inputs!$B$32,0)))*(1-IF(AND(ArtifactsInput!$M$27,Inputs!$B$4="Chapter Hunt"),CHOOSE(ArtifactsInput!$N$27+1,20,24,28,32,36,40),0)/100)))))/Skills!H6,1)))/Inputs!$B$43),G761*Q761))*IF(Inputs!$B$38="pvp",1,(1+(Inputs!$B$21+Skills!Q6+(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2">
      <c r="A762">
        <f>Skills!A7</f>
        <v/>
      </c>
      <c r="B762">
        <f>Skills!B7</f>
        <v/>
      </c>
      <c r="C762">
        <f>Inputs!$B$3&gt;=100</f>
        <v/>
      </c>
      <c r="D762">
        <f>IF(Skills!C7=1,60+Inputs!$B$25+Inputs!$B$29,IF(Skills!C7=2,90+Inputs!$B$26+Inputs!$B$29,IF(Skills!C7=3,120+(Inputs!$B$27+1)+Inputs!$B$29,MAX(0,(Inputs!$B$3-100)*3)+Inputs!$B$28+Inputs!$B$29)))</f>
        <v/>
      </c>
      <c r="E762">
        <f>INDEX(FactorTable!$B$2:$Y$301, MATCH(ROUND(MIN(300,MAX(1,D762)),0), FactorTable!$A$2:$A$301,0), Skills!M7+1)</f>
        <v/>
      </c>
      <c r="F762">
        <f>IF(Skills!N7=TRUE,(Skills!L7/10)*(E762/1000),Skills!L7/10)+Skills!O7</f>
        <v/>
      </c>
      <c r="G762">
        <f>Skills!G7*IF(Skills!H7&gt;0,Skills!I7/Skills!H7,1)</f>
        <v/>
      </c>
      <c r="H762">
        <f>1-(1-Skills!J7/100)^Skills!K7</f>
        <v/>
      </c>
      <c r="I762" t="inlineStr">
        <is>
          <t>1</t>
        </is>
      </c>
      <c r="J762">
        <f>((Inputs!$B$6*(1+Inputs!$B$7/100))+(((Inputs!$B$12*(1+Inputs!$B$13/100))-(Inputs!$B$12*(1+Inputs!$B$13/100)))+0.25*(Inputs!$B$14-Inputs!$B$14))*(1+Inputs!$B$7/100))*(F762/100)</f>
        <v/>
      </c>
      <c r="K762">
        <f>J762*(1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762)</f>
        <v/>
      </c>
      <c r="L762">
        <f>K762*(MIN(Inputs!$B$22+((C775=TRUE)*(F775-Calc!F20)),(Inputs!$B$23+0+(IF(ArtifactsInput!$M$15,CHOOSE(ArtifactsInput!$N$15+1,25,30,35,40,45,50)/100*(Inputs!$B$11-Inputs!$B$11),0))))/100+(Inputs!$B$23+0+(IF(ArtifactsInput!$M$15,CHOOSE(ArtifactsInput!$N$15+1,25,30,35,40,45,50)/100*(Inputs!$B$11-Inputs!$B$11),0)))/100)/2</f>
        <v/>
      </c>
      <c r="M762">
        <f>L762*(1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2">
        <f>L762*(1-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762*(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2">
        <f>(1-Summary!$B$11)*T762+Summary!$B$11*V762</f>
        <v/>
      </c>
      <c r="P762">
        <f>IF(B790=0,0,O762/B790)</f>
        <v/>
      </c>
      <c r="Q762">
        <f>IFERROR(1/(IF(Inputs!$B$38="pvp",15,MAX(0.1,Skills!D7-IF(Skills!E7=TRUE,Inputs!$B$32,0)))*(1-IF(AND(ArtifactsInput!$M$27,Inputs!$B$4="Chapter Hunt"),CHOOSE(ArtifactsInput!$N$27+1,20,24,28,32,36,40),0)/100)),0)</f>
        <v/>
      </c>
      <c r="R762">
        <f>IF(AND(Inputs!$B$38&lt;&gt;"pvp",Inputs!$B$43&gt;0),IF(MAX(0,Inputs!$B$43-B787)&lt;=0,0,(INT(MAX(0,Inputs!$B$43-B787)/(IF(Inputs!$B$38="pvp",15,MAX(0.1,Skills!D7-IF(Skills!E7=TRUE,Inputs!$B$32,0)))*(1-IF(AND(ArtifactsInput!$M$27,Inputs!$B$4="Chapter Hunt"),CHOOSE(ArtifactsInput!$N$27+1,20,24,28,32,36,40),0)/100)))+1)),0)</f>
        <v/>
      </c>
      <c r="S762">
        <f>IFERROR(O762/N762,0)</f>
        <v/>
      </c>
      <c r="T762">
        <f>IF(C762,(H762*N762*IF(AND(Inputs!$B$38&lt;&gt;"pvp",Inputs!$B$43&gt;0),((Skills!G7*((R762-1)*IF(Skills!H7&gt;0,Skills!I7/Skills!H7,1)+IF(Skills!H7&gt;0,MIN(Skills!I7,MAX(0,MAX(0,Inputs!$B$43-B787)-((R762-1)*(IF(Inputs!$B$38="pvp",15,MAX(0.1,Skills!D7-IF(Skills!E7=TRUE,Inputs!$B$32,0)))*(1-IF(AND(ArtifactsInput!$M$27,Inputs!$B$4="Chapter Hunt"),CHOOSE(ArtifactsInput!$N$27+1,20,24,28,32,36,40),0)/100)))))/Skills!H7,1)))/Inputs!$B$43),G762*Q762)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762*(1-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762*(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762*(1-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762*(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2">
        <f>IF(C762,(H762*N762*IF(AND(Inputs!$B$38&lt;&gt;"pvp",Inputs!$B$43&gt;0),((Skills!G7*((R762-1)*IF(Skills!H7&gt;0,Skills!I7/Skills!H7,1)+IF(Skills!H7&gt;0,MIN(Skills!I7,MAX(0,MAX(0,Inputs!$B$43-B787)-((R762-1)*(IF(Inputs!$B$38="pvp",15,MAX(0.1,Skills!D7-IF(Skills!E7=TRUE,Inputs!$B$32,0)))*(1-IF(AND(ArtifactsInput!$M$27,Inputs!$B$4="Chapter Hunt"),CHOOSE(ArtifactsInput!$N$27+1,20,24,28,32,36,40),0)/100)))))/Skills!H7,1)))/Inputs!$B$43),G762*Q762))*IF(Inputs!$B$38="pvp",1,(1+(Inputs!$B$21+Skills!Q7+(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3">
      <c r="A763">
        <f>Skills!A8</f>
        <v/>
      </c>
      <c r="B763">
        <f>Skills!B8</f>
        <v/>
      </c>
      <c r="C763">
        <f>Inputs!$B$3&gt;=110</f>
        <v/>
      </c>
      <c r="D763">
        <f>IF(Skills!C8=1,60+Inputs!$B$25+Inputs!$B$29,IF(Skills!C8=2,90+Inputs!$B$26+Inputs!$B$29,IF(Skills!C8=3,120+(Inputs!$B$27+1)+Inputs!$B$29,MAX(0,(Inputs!$B$3-100)*3)+Inputs!$B$28+Inputs!$B$29)))</f>
        <v/>
      </c>
      <c r="E763">
        <f>INDEX(FactorTable!$B$2:$Y$301, MATCH(ROUND(MIN(300,MAX(1,D763)),0), FactorTable!$A$2:$A$301,0), Skills!M8+1)</f>
        <v/>
      </c>
      <c r="F763">
        <f>IF(Skills!N8=TRUE,(Skills!L8/10)*(E763/1000),Skills!L8/10)+Skills!O8</f>
        <v/>
      </c>
      <c r="G763">
        <f>Skills!G8*IF(Skills!H8&gt;0,Skills!I8/Skills!H8,1)</f>
        <v/>
      </c>
      <c r="H763">
        <f>1-(1-Skills!J8/100)^Skills!K8</f>
        <v/>
      </c>
      <c r="I763" t="inlineStr">
        <is>
          <t>1</t>
        </is>
      </c>
      <c r="J763">
        <f>((Inputs!$B$6*(1+Inputs!$B$7/100))+(((Inputs!$B$12*(1+Inputs!$B$13/100))-(Inputs!$B$12*(1+Inputs!$B$13/100)))+0.25*(Inputs!$B$14-Inputs!$B$14))*(1+Inputs!$B$7/100))*(F763/100)</f>
        <v/>
      </c>
      <c r="K763">
        <f>J763*(1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763)</f>
        <v/>
      </c>
      <c r="L763">
        <f>K763*(MIN(Inputs!$B$22+((C775=TRUE)*(F775-Calc!F20)),(Inputs!$B$23+0+(IF(ArtifactsInput!$M$15,CHOOSE(ArtifactsInput!$N$15+1,25,30,35,40,45,50)/100*(Inputs!$B$11-Inputs!$B$11),0))))/100+(Inputs!$B$23+0+(IF(ArtifactsInput!$M$15,CHOOSE(ArtifactsInput!$N$15+1,25,30,35,40,45,50)/100*(Inputs!$B$11-Inputs!$B$11),0)))/100)/2</f>
        <v/>
      </c>
      <c r="M763">
        <f>L763*(1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3">
        <f>L763*(1-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763*(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3">
        <f>(1-Summary!$B$11)*T763+Summary!$B$11*V763</f>
        <v/>
      </c>
      <c r="P763">
        <f>IF(B790=0,0,O763/B790)</f>
        <v/>
      </c>
      <c r="Q763">
        <f>IFERROR(1/(IF(Inputs!$B$38="pvp",15,MAX(0.1,Skills!D8-IF(Skills!E8=TRUE,Inputs!$B$32,0)))*(1-IF(AND(ArtifactsInput!$M$27,Inputs!$B$4="Chapter Hunt"),CHOOSE(ArtifactsInput!$N$27+1,20,24,28,32,36,40),0)/100)),0)</f>
        <v/>
      </c>
      <c r="R763">
        <f>IF(AND(Inputs!$B$38&lt;&gt;"pvp",Inputs!$B$43&gt;0),IF(MAX(0,Inputs!$B$43-B787)&lt;=0,0,(INT(MAX(0,Inputs!$B$43-B787)/(IF(Inputs!$B$38="pvp",15,MAX(0.1,Skills!D8-IF(Skills!E8=TRUE,Inputs!$B$32,0)))*(1-IF(AND(ArtifactsInput!$M$27,Inputs!$B$4="Chapter Hunt"),CHOOSE(ArtifactsInput!$N$27+1,20,24,28,32,36,40),0)/100)))+1)),0)</f>
        <v/>
      </c>
      <c r="S763">
        <f>IFERROR(O763/N763,0)</f>
        <v/>
      </c>
      <c r="T763">
        <f>IF(C763,(H763*N763*IF(AND(Inputs!$B$38&lt;&gt;"pvp",Inputs!$B$43&gt;0),((Skills!G8*((R763-1)*IF(Skills!H8&gt;0,Skills!I8/Skills!H8,1)+IF(Skills!H8&gt;0,MIN(Skills!I8,MAX(0,MAX(0,Inputs!$B$43-B787)-((R763-1)*(IF(Inputs!$B$38="pvp",15,MAX(0.1,Skills!D8-IF(Skills!E8=TRUE,Inputs!$B$32,0)))*(1-IF(AND(ArtifactsInput!$M$27,Inputs!$B$4="Chapter Hunt"),CHOOSE(ArtifactsInput!$N$27+1,20,24,28,32,36,40),0)/100)))))/Skills!H8,1)))/Inputs!$B$43),G763*Q763)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763*(1-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763*(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763*(1-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763*(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3">
        <f>IF(C763,(H763*N763*IF(AND(Inputs!$B$38&lt;&gt;"pvp",Inputs!$B$43&gt;0),((Skills!G8*((R763-1)*IF(Skills!H8&gt;0,Skills!I8/Skills!H8,1)+IF(Skills!H8&gt;0,MIN(Skills!I8,MAX(0,MAX(0,Inputs!$B$43-B787)-((R763-1)*(IF(Inputs!$B$38="pvp",15,MAX(0.1,Skills!D8-IF(Skills!E8=TRUE,Inputs!$B$32,0)))*(1-IF(AND(ArtifactsInput!$M$27,Inputs!$B$4="Chapter Hunt"),CHOOSE(ArtifactsInput!$N$27+1,20,24,28,32,36,40),0)/100)))))/Skills!H8,1)))/Inputs!$B$43),G763*Q763))*IF(Inputs!$B$38="pvp",1,(1+(Inputs!$B$21+Skills!Q8+(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4">
      <c r="A764">
        <f>Skills!A9</f>
        <v/>
      </c>
      <c r="B764">
        <f>Skills!B9</f>
        <v/>
      </c>
      <c r="C764">
        <f>Inputs!$B$3&gt;=110</f>
        <v/>
      </c>
      <c r="D764">
        <f>IF(Skills!C9=1,60+Inputs!$B$25+Inputs!$B$29,IF(Skills!C9=2,90+Inputs!$B$26+Inputs!$B$29,IF(Skills!C9=3,120+(Inputs!$B$27+1)+Inputs!$B$29,MAX(0,(Inputs!$B$3-100)*3)+Inputs!$B$28+Inputs!$B$29)))</f>
        <v/>
      </c>
      <c r="E764">
        <f>INDEX(FactorTable!$B$2:$Y$301, MATCH(ROUND(MIN(300,MAX(1,D764)),0), FactorTable!$A$2:$A$301,0), Skills!M9+1)</f>
        <v/>
      </c>
      <c r="F764">
        <f>IF(Skills!N9=TRUE,(Skills!L9/10)*(E764/1000),Skills!L9/10)+Skills!O9</f>
        <v/>
      </c>
      <c r="G764">
        <f>Skills!G9*IF(Skills!H9&gt;0,Skills!I9/Skills!H9,1)</f>
        <v/>
      </c>
      <c r="H764">
        <f>1-(1-Skills!J9/100)^Skills!K9</f>
        <v/>
      </c>
      <c r="I764" t="inlineStr">
        <is>
          <t>1</t>
        </is>
      </c>
      <c r="J764">
        <f>((Inputs!$B$6*(1+Inputs!$B$7/100))+(((Inputs!$B$12*(1+Inputs!$B$13/100))-(Inputs!$B$12*(1+Inputs!$B$13/100)))+0.25*(Inputs!$B$14-Inputs!$B$14))*(1+Inputs!$B$7/100))*(F764/100)</f>
        <v/>
      </c>
      <c r="K764">
        <f>J764*(1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764)</f>
        <v/>
      </c>
      <c r="L764">
        <f>K764*(MIN(Inputs!$B$22+((C775=TRUE)*(F775-Calc!F20)),(Inputs!$B$23+0+(IF(ArtifactsInput!$M$15,CHOOSE(ArtifactsInput!$N$15+1,25,30,35,40,45,50)/100*(Inputs!$B$11-Inputs!$B$11),0))))/100+(Inputs!$B$23+0+(IF(ArtifactsInput!$M$15,CHOOSE(ArtifactsInput!$N$15+1,25,30,35,40,45,50)/100*(Inputs!$B$11-Inputs!$B$11),0)))/100)/2</f>
        <v/>
      </c>
      <c r="M764">
        <f>L764*(1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4">
        <f>L764*(1-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764*(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4">
        <f>(1-Summary!$B$11)*T764+Summary!$B$11*V764</f>
        <v/>
      </c>
      <c r="P764">
        <f>IF(B790=0,0,O764/B790)</f>
        <v/>
      </c>
      <c r="Q764">
        <f>IFERROR(1/(IF(Inputs!$B$38="pvp",15,MAX(0.1,Skills!D9-IF(Skills!E9=TRUE,Inputs!$B$32,0)))*(1-IF(AND(ArtifactsInput!$M$27,Inputs!$B$4="Chapter Hunt"),CHOOSE(ArtifactsInput!$N$27+1,20,24,28,32,36,40),0)/100)),0)</f>
        <v/>
      </c>
      <c r="R764">
        <f>IF(AND(Inputs!$B$38&lt;&gt;"pvp",Inputs!$B$43&gt;0),IF(MAX(0,Inputs!$B$43-B787)&lt;=0,0,(INT(MAX(0,Inputs!$B$43-B787)/(IF(Inputs!$B$38="pvp",15,MAX(0.1,Skills!D9-IF(Skills!E9=TRUE,Inputs!$B$32,0)))*(1-IF(AND(ArtifactsInput!$M$27,Inputs!$B$4="Chapter Hunt"),CHOOSE(ArtifactsInput!$N$27+1,20,24,28,32,36,40),0)/100)))+1)),0)</f>
        <v/>
      </c>
      <c r="S764">
        <f>IFERROR(O764/N764,0)</f>
        <v/>
      </c>
      <c r="T764">
        <f>IF(C764,(H764*N764*IF(AND(Inputs!$B$38&lt;&gt;"pvp",Inputs!$B$43&gt;0),((Skills!G9*((R764-1)*IF(Skills!H9&gt;0,Skills!I9/Skills!H9,1)+IF(Skills!H9&gt;0,MIN(Skills!I9,MAX(0,MAX(0,Inputs!$B$43-B787)-((R764-1)*(IF(Inputs!$B$38="pvp",15,MAX(0.1,Skills!D9-IF(Skills!E9=TRUE,Inputs!$B$32,0)))*(1-IF(AND(ArtifactsInput!$M$27,Inputs!$B$4="Chapter Hunt"),CHOOSE(ArtifactsInput!$N$27+1,20,24,28,32,36,40),0)/100)))))/Skills!H9,1)))/Inputs!$B$43),G764*Q764)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764*(1-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764*(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764*(1-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764*(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4">
        <f>IF(C764,(H764*N764*IF(AND(Inputs!$B$38&lt;&gt;"pvp",Inputs!$B$43&gt;0),((Skills!G9*((R764-1)*IF(Skills!H9&gt;0,Skills!I9/Skills!H9,1)+IF(Skills!H9&gt;0,MIN(Skills!I9,MAX(0,MAX(0,Inputs!$B$43-B787)-((R764-1)*(IF(Inputs!$B$38="pvp",15,MAX(0.1,Skills!D9-IF(Skills!E9=TRUE,Inputs!$B$32,0)))*(1-IF(AND(ArtifactsInput!$M$27,Inputs!$B$4="Chapter Hunt"),CHOOSE(ArtifactsInput!$N$27+1,20,24,28,32,36,40),0)/100)))))/Skills!H9,1)))/Inputs!$B$43),G764*Q764))*IF(Inputs!$B$38="pvp",1,(1+(Inputs!$B$21+Skills!Q9+(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5">
      <c r="A765">
        <f>Skills!A10</f>
        <v/>
      </c>
      <c r="B765">
        <f>Skills!B10</f>
        <v/>
      </c>
      <c r="C765">
        <f>Inputs!$B$3&gt;=103</f>
        <v/>
      </c>
      <c r="D765">
        <f>IF(Skills!C10=1,60+Inputs!$B$25+Inputs!$B$29,IF(Skills!C10=2,90+Inputs!$B$26+Inputs!$B$29,IF(Skills!C10=3,120+(Inputs!$B$27+1)+Inputs!$B$29,MAX(0,(Inputs!$B$3-100)*3)+Inputs!$B$28+Inputs!$B$29)))</f>
        <v/>
      </c>
      <c r="E765">
        <f>INDEX(FactorTable!$B$2:$Y$301, MATCH(ROUND(MIN(300,MAX(1,D765)),0), FactorTable!$A$2:$A$301,0), Skills!M10+1)</f>
        <v/>
      </c>
      <c r="F765">
        <f>IF(Skills!N10=TRUE,(Skills!L10/10)*(E765/1000),Skills!L10/10)+Skills!O10</f>
        <v/>
      </c>
      <c r="G765">
        <f>Skills!G10*IF(Skills!H10&gt;0,Skills!I10/Skills!H10,1)</f>
        <v/>
      </c>
      <c r="H765">
        <f>1-(1-Skills!J10/100)^Skills!K10</f>
        <v/>
      </c>
      <c r="I765" t="inlineStr">
        <is>
          <t>1</t>
        </is>
      </c>
      <c r="J765">
        <f>((Inputs!$B$6*(1+Inputs!$B$7/100))+(((Inputs!$B$12*(1+Inputs!$B$13/100))-(Inputs!$B$12*(1+Inputs!$B$13/100)))+0.25*(Inputs!$B$14-Inputs!$B$14))*(1+Inputs!$B$7/100))*(F765/100)</f>
        <v/>
      </c>
      <c r="K765">
        <f>J765*(1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765)</f>
        <v/>
      </c>
      <c r="L765">
        <f>K765*(MIN(Inputs!$B$22+((C775=TRUE)*(F775-Calc!F20)),(Inputs!$B$23+0+(IF(ArtifactsInput!$M$15,CHOOSE(ArtifactsInput!$N$15+1,25,30,35,40,45,50)/100*(Inputs!$B$11-Inputs!$B$11),0))))/100+(Inputs!$B$23+0+(IF(ArtifactsInput!$M$15,CHOOSE(ArtifactsInput!$N$15+1,25,30,35,40,45,50)/100*(Inputs!$B$11-Inputs!$B$11),0)))/100)/2</f>
        <v/>
      </c>
      <c r="M765">
        <f>L765*(1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5">
        <f>L765*(1-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765*(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5">
        <f>(1-Summary!$B$11)*T765+Summary!$B$11*V765</f>
        <v/>
      </c>
      <c r="P765">
        <f>IF(B790=0,0,O765/B790)</f>
        <v/>
      </c>
      <c r="Q765">
        <f>IFERROR(1/(IF(Inputs!$B$38="pvp",15,MAX(0.1,Skills!D10-IF(Skills!E10=TRUE,Inputs!$B$32,0)))*(1-IF(AND(ArtifactsInput!$M$27,Inputs!$B$4="Chapter Hunt"),CHOOSE(ArtifactsInput!$N$27+1,20,24,28,32,36,40),0)/100)),0)</f>
        <v/>
      </c>
      <c r="R765">
        <f>IF(AND(Inputs!$B$38&lt;&gt;"pvp",Inputs!$B$43&gt;0),IF(MAX(0,Inputs!$B$43-B787)&lt;=0,0,(INT(MAX(0,Inputs!$B$43-B787)/(IF(Inputs!$B$38="pvp",15,MAX(0.1,Skills!D10-IF(Skills!E10=TRUE,Inputs!$B$32,0)))*(1-IF(AND(ArtifactsInput!$M$27,Inputs!$B$4="Chapter Hunt"),CHOOSE(ArtifactsInput!$N$27+1,20,24,28,32,36,40),0)/100)))+1)),0)</f>
        <v/>
      </c>
      <c r="S765">
        <f>IFERROR(O765/N765,0)</f>
        <v/>
      </c>
      <c r="T765">
        <f>IF(C765,(H765*N765*IF(AND(Inputs!$B$38&lt;&gt;"pvp",Inputs!$B$43&gt;0),((Skills!G10*((R765-1)*IF(Skills!H10&gt;0,Skills!I10/Skills!H10,1)+IF(Skills!H10&gt;0,MIN(Skills!I10,MAX(0,MAX(0,Inputs!$B$43-B787)-((R765-1)*(IF(Inputs!$B$38="pvp",15,MAX(0.1,Skills!D10-IF(Skills!E10=TRUE,Inputs!$B$32,0)))*(1-IF(AND(ArtifactsInput!$M$27,Inputs!$B$4="Chapter Hunt"),CHOOSE(ArtifactsInput!$N$27+1,20,24,28,32,36,40),0)/100)))))/Skills!H10,1)))/Inputs!$B$43),G765*Q765)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765*(1-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765*(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765*(1-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765*(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5">
        <f>IF(C765,(H765*N765*IF(AND(Inputs!$B$38&lt;&gt;"pvp",Inputs!$B$43&gt;0),((Skills!G10*((R765-1)*IF(Skills!H10&gt;0,Skills!I10/Skills!H10,1)+IF(Skills!H10&gt;0,MIN(Skills!I10,MAX(0,MAX(0,Inputs!$B$43-B787)-((R765-1)*(IF(Inputs!$B$38="pvp",15,MAX(0.1,Skills!D10-IF(Skills!E10=TRUE,Inputs!$B$32,0)))*(1-IF(AND(ArtifactsInput!$M$27,Inputs!$B$4="Chapter Hunt"),CHOOSE(ArtifactsInput!$N$27+1,20,24,28,32,36,40),0)/100)))))/Skills!H10,1)))/Inputs!$B$43),G765*Q765))*IF(Inputs!$B$38="pvp",1,(1+(Inputs!$B$21+Skills!Q10+(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6">
      <c r="A766">
        <f>Skills!A11</f>
        <v/>
      </c>
      <c r="B766">
        <f>Skills!B11</f>
        <v/>
      </c>
      <c r="C766">
        <f>Inputs!$B$3&gt;=113</f>
        <v/>
      </c>
      <c r="D766">
        <f>IF(Skills!C11=1,60+Inputs!$B$25+Inputs!$B$29,IF(Skills!C11=2,90+Inputs!$B$26+Inputs!$B$29,IF(Skills!C11=3,120+(Inputs!$B$27+1)+Inputs!$B$29,MAX(0,(Inputs!$B$3-100)*3)+Inputs!$B$28+Inputs!$B$29)))</f>
        <v/>
      </c>
      <c r="E766">
        <f>INDEX(FactorTable!$B$2:$Y$301, MATCH(ROUND(MIN(300,MAX(1,D766)),0), FactorTable!$A$2:$A$301,0), Skills!M11+1)</f>
        <v/>
      </c>
      <c r="F766">
        <f>IF(Skills!N11=TRUE,(Skills!L11/10)*(E766/1000),Skills!L11/10)+Skills!O11</f>
        <v/>
      </c>
      <c r="G766">
        <f>Skills!G11*IF(Skills!H11&gt;0,Skills!I11/Skills!H11,1)</f>
        <v/>
      </c>
      <c r="H766">
        <f>1-(1-Skills!J11/100)^Skills!K11</f>
        <v/>
      </c>
      <c r="I766" t="inlineStr">
        <is>
          <t>1</t>
        </is>
      </c>
      <c r="J766">
        <f>((Inputs!$B$6*(1+Inputs!$B$7/100))+(((Inputs!$B$12*(1+Inputs!$B$13/100))-(Inputs!$B$12*(1+Inputs!$B$13/100)))+0.25*(Inputs!$B$14-Inputs!$B$14))*(1+Inputs!$B$7/100))*(F766/100)</f>
        <v/>
      </c>
      <c r="K766">
        <f>J766*(1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766)</f>
        <v/>
      </c>
      <c r="L766">
        <f>K766*(MIN(Inputs!$B$22+((C775=TRUE)*(F775-Calc!F20)),(Inputs!$B$23+0+(IF(ArtifactsInput!$M$15,CHOOSE(ArtifactsInput!$N$15+1,25,30,35,40,45,50)/100*(Inputs!$B$11-Inputs!$B$11),0))))/100+(Inputs!$B$23+0+(IF(ArtifactsInput!$M$15,CHOOSE(ArtifactsInput!$N$15+1,25,30,35,40,45,50)/100*(Inputs!$B$11-Inputs!$B$11),0)))/100)/2</f>
        <v/>
      </c>
      <c r="M766">
        <f>L766*(1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6">
        <f>L766*(1-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766*(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6">
        <f>(1-Summary!$B$11)*T766+Summary!$B$11*V766</f>
        <v/>
      </c>
      <c r="P766">
        <f>IF(B790=0,0,O766/B790)</f>
        <v/>
      </c>
      <c r="Q766">
        <f>IFERROR(1/(IF(Inputs!$B$38="pvp",15,MAX(0.1,Skills!D11-IF(Skills!E11=TRUE,Inputs!$B$32,0)))*(1-IF(AND(ArtifactsInput!$M$27,Inputs!$B$4="Chapter Hunt"),CHOOSE(ArtifactsInput!$N$27+1,20,24,28,32,36,40),0)/100)),0)</f>
        <v/>
      </c>
      <c r="R766">
        <f>IF(AND(Inputs!$B$38&lt;&gt;"pvp",Inputs!$B$43&gt;0),IF(MAX(0,Inputs!$B$43-B787)&lt;=0,0,(INT(MAX(0,Inputs!$B$43-B787)/(IF(Inputs!$B$38="pvp",15,MAX(0.1,Skills!D11-IF(Skills!E11=TRUE,Inputs!$B$32,0)))*(1-IF(AND(ArtifactsInput!$M$27,Inputs!$B$4="Chapter Hunt"),CHOOSE(ArtifactsInput!$N$27+1,20,24,28,32,36,40),0)/100)))+1)),0)</f>
        <v/>
      </c>
      <c r="S766">
        <f>IFERROR(O766/N766,0)</f>
        <v/>
      </c>
      <c r="T766">
        <f>IF(C766,(H766*N766*IF(AND(Inputs!$B$38&lt;&gt;"pvp",Inputs!$B$43&gt;0),((Skills!G11*((R766-1)*IF(Skills!H11&gt;0,Skills!I11/Skills!H11,1)+IF(Skills!H11&gt;0,MIN(Skills!I11,MAX(0,MAX(0,Inputs!$B$43-B787)-((R766-1)*(IF(Inputs!$B$38="pvp",15,MAX(0.1,Skills!D11-IF(Skills!E11=TRUE,Inputs!$B$32,0)))*(1-IF(AND(ArtifactsInput!$M$27,Inputs!$B$4="Chapter Hunt"),CHOOSE(ArtifactsInput!$N$27+1,20,24,28,32,36,40),0)/100)))))/Skills!H11,1)))/Inputs!$B$43),G766*Q766)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766*(1-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766*(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766*(1-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766*(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6">
        <f>IF(C766,(H766*N766*IF(AND(Inputs!$B$38&lt;&gt;"pvp",Inputs!$B$43&gt;0),((Skills!G11*((R766-1)*IF(Skills!H11&gt;0,Skills!I11/Skills!H11,1)+IF(Skills!H11&gt;0,MIN(Skills!I11,MAX(0,MAX(0,Inputs!$B$43-B787)-((R766-1)*(IF(Inputs!$B$38="pvp",15,MAX(0.1,Skills!D11-IF(Skills!E11=TRUE,Inputs!$B$32,0)))*(1-IF(AND(ArtifactsInput!$M$27,Inputs!$B$4="Chapter Hunt"),CHOOSE(ArtifactsInput!$N$27+1,20,24,28,32,36,40),0)/100)))))/Skills!H11,1)))/Inputs!$B$43),G766*Q766))*IF(Inputs!$B$38="pvp",1,(1+(Inputs!$B$21+Skills!Q11+(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7">
      <c r="A767">
        <f>Skills!A12</f>
        <v/>
      </c>
      <c r="B767">
        <f>Skills!B12</f>
        <v/>
      </c>
      <c r="C767">
        <f>Inputs!$B$3&gt;=100</f>
        <v/>
      </c>
      <c r="D767">
        <f>IF(Skills!C12=1,60+Inputs!$B$25+Inputs!$B$29,IF(Skills!C12=2,90+Inputs!$B$26+Inputs!$B$29,IF(Skills!C12=3,120+(Inputs!$B$27+1)+Inputs!$B$29,MAX(0,(Inputs!$B$3-100)*3)+Inputs!$B$28+Inputs!$B$29)))</f>
        <v/>
      </c>
      <c r="E767">
        <f>INDEX(FactorTable!$B$2:$Y$301, MATCH(ROUND(MIN(300,MAX(1,D767)),0), FactorTable!$A$2:$A$301,0), Skills!M12+1)</f>
        <v/>
      </c>
      <c r="F767">
        <f>IF(Skills!N12=TRUE,(Skills!L12/10)*(E767/1000),Skills!L12/10)+Skills!O12</f>
        <v/>
      </c>
      <c r="G767" t="inlineStr"/>
      <c r="H767" t="inlineStr"/>
      <c r="I767" t="inlineStr">
        <is>
          <t>1</t>
        </is>
      </c>
      <c r="J767" t="inlineStr"/>
      <c r="K767" t="inlineStr"/>
      <c r="L767" t="inlineStr"/>
      <c r="M767" t="inlineStr"/>
      <c r="N767" t="inlineStr"/>
      <c r="O767" t="inlineStr"/>
      <c r="P767" t="inlineStr"/>
      <c r="Q767" t="inlineStr"/>
      <c r="R767" t="inlineStr"/>
      <c r="S767" t="inlineStr"/>
      <c r="T767" t="inlineStr"/>
      <c r="V767" t="inlineStr"/>
    </row>
    <row r="768">
      <c r="A768">
        <f>Skills!A13</f>
        <v/>
      </c>
      <c r="B768">
        <f>Skills!B13</f>
        <v/>
      </c>
      <c r="C768">
        <f>Inputs!$B$3&gt;=66</f>
        <v/>
      </c>
      <c r="D768">
        <f>IF(Skills!C13=1,60+Inputs!$B$25+Inputs!$B$29,IF(Skills!C13=2,90+Inputs!$B$26+Inputs!$B$29,IF(Skills!C13=3,120+(Inputs!$B$27+1)+Inputs!$B$29,MAX(0,(Inputs!$B$3-100)*3)+Inputs!$B$28+Inputs!$B$29)))</f>
        <v/>
      </c>
      <c r="E768">
        <f>INDEX(FactorTable!$B$2:$Y$301, MATCH(ROUND(MIN(300,MAX(1,D768)),0), FactorTable!$A$2:$A$301,0), Skills!M13+1)</f>
        <v/>
      </c>
      <c r="F768">
        <f>IF(Skills!N13=TRUE,(Skills!L13/10)*(E768/1000),Skills!L13/10)+Skills!O13</f>
        <v/>
      </c>
      <c r="G768">
        <f>Skills!G13*IF(Skills!H13&gt;0,Skills!I13/Skills!H13,1)</f>
        <v/>
      </c>
      <c r="H768">
        <f>1-(1-Skills!J13/100)^Skills!K13</f>
        <v/>
      </c>
      <c r="I768" t="inlineStr">
        <is>
          <t>1</t>
        </is>
      </c>
      <c r="J768" t="inlineStr"/>
      <c r="K768" t="inlineStr"/>
      <c r="L768" t="inlineStr"/>
      <c r="M768" t="inlineStr"/>
      <c r="N768" t="inlineStr"/>
      <c r="O768">
        <f>(1-Summary!$B$11)*T768+Summary!$B$11*V768</f>
        <v/>
      </c>
      <c r="P768">
        <f>IF(B790=0,0,O768/B790)</f>
        <v/>
      </c>
      <c r="Q768" t="n">
        <v>0</v>
      </c>
      <c r="R768" t="n">
        <v>0</v>
      </c>
      <c r="S768">
        <f>IFERROR(O768/N768,0)</f>
        <v/>
      </c>
      <c r="T768" t="n">
        <v>0</v>
      </c>
      <c r="V768" t="n">
        <v>0</v>
      </c>
    </row>
    <row r="769">
      <c r="A769">
        <f>Skills!A14</f>
        <v/>
      </c>
      <c r="B769">
        <f>Skills!B14</f>
        <v/>
      </c>
      <c r="C769">
        <f>Inputs!$B$3&gt;=107</f>
        <v/>
      </c>
      <c r="D769">
        <f>IF(Skills!C14=1,60+Inputs!$B$25+Inputs!$B$29,IF(Skills!C14=2,90+Inputs!$B$26+Inputs!$B$29,IF(Skills!C14=3,120+(Inputs!$B$27+1)+Inputs!$B$29,MAX(0,(Inputs!$B$3-100)*3)+Inputs!$B$28+Inputs!$B$29)))</f>
        <v/>
      </c>
      <c r="E769">
        <f>INDEX(FactorTable!$B$2:$Y$301, MATCH(ROUND(MIN(300,MAX(1,D769)),0), FactorTable!$A$2:$A$301,0), Skills!M14+1)</f>
        <v/>
      </c>
      <c r="F769">
        <f>IF(Skills!N14=TRUE,(Skills!L14/10)*(E769/1000),Skills!L14/10)+Skills!O14</f>
        <v/>
      </c>
      <c r="G769">
        <f>Skills!G14*IF(Skills!H14&gt;0,Skills!I14/Skills!H14,1)</f>
        <v/>
      </c>
      <c r="H769">
        <f>1-(1-Skills!J14/100)^Skills!K14</f>
        <v/>
      </c>
      <c r="I769" t="inlineStr">
        <is>
          <t>1</t>
        </is>
      </c>
      <c r="J769" t="inlineStr"/>
      <c r="K769" t="inlineStr"/>
      <c r="L769" t="inlineStr"/>
      <c r="M769" t="inlineStr"/>
      <c r="N769" t="inlineStr"/>
      <c r="O769">
        <f>(1-Summary!$B$11)*T769+Summary!$B$11*V769</f>
        <v/>
      </c>
      <c r="P769">
        <f>IF(B790=0,0,O769/B790)</f>
        <v/>
      </c>
      <c r="Q769" t="n">
        <v>0</v>
      </c>
      <c r="R769" t="n">
        <v>0</v>
      </c>
      <c r="S769">
        <f>IFERROR(O769/N769,0)</f>
        <v/>
      </c>
      <c r="T769" t="n">
        <v>0</v>
      </c>
      <c r="V769" t="n">
        <v>0</v>
      </c>
    </row>
    <row r="770">
      <c r="A770">
        <f>Skills!A15</f>
        <v/>
      </c>
      <c r="B770">
        <f>Skills!B15</f>
        <v/>
      </c>
      <c r="C770">
        <f>Inputs!$B$3&gt;=115</f>
        <v/>
      </c>
      <c r="D770">
        <f>IF(Skills!C15=1,60+Inputs!$B$25+Inputs!$B$29,IF(Skills!C15=2,90+Inputs!$B$26+Inputs!$B$29,IF(Skills!C15=3,120+(Inputs!$B$27+1)+Inputs!$B$29,MAX(0,(Inputs!$B$3-100)*3)+Inputs!$B$28+Inputs!$B$29)))</f>
        <v/>
      </c>
      <c r="E770">
        <f>INDEX(FactorTable!$B$2:$Y$301, MATCH(ROUND(MIN(300,MAX(1,D770)),0), FactorTable!$A$2:$A$301,0), Skills!M15+1)</f>
        <v/>
      </c>
      <c r="F770">
        <f>IF(Skills!N15=TRUE,(Skills!L15/10)*(E770/1000),Skills!L15/10)+Skills!O15</f>
        <v/>
      </c>
      <c r="G770">
        <f>Skills!G15*IF(Skills!H15&gt;0,Skills!I15/Skills!H15,1)</f>
        <v/>
      </c>
      <c r="H770">
        <f>1-(1-Skills!J15/100)^Skills!K15</f>
        <v/>
      </c>
      <c r="I770" t="inlineStr">
        <is>
          <t>1</t>
        </is>
      </c>
      <c r="J770" t="inlineStr"/>
      <c r="K770" t="inlineStr"/>
      <c r="L770" t="inlineStr"/>
      <c r="M770" t="inlineStr"/>
      <c r="N770" t="inlineStr"/>
      <c r="O770">
        <f>(1-Summary!$B$11)*T770+Summary!$B$11*V770</f>
        <v/>
      </c>
      <c r="P770">
        <f>IF(B790=0,0,O770/B790)</f>
        <v/>
      </c>
      <c r="Q770" t="n">
        <v>0</v>
      </c>
      <c r="R770" t="n">
        <v>0</v>
      </c>
      <c r="S770">
        <f>IFERROR(O770/N770,0)</f>
        <v/>
      </c>
      <c r="T770" t="n">
        <v>0</v>
      </c>
      <c r="V770" t="n">
        <v>0</v>
      </c>
    </row>
    <row r="771">
      <c r="A771">
        <f>Skills!A16</f>
        <v/>
      </c>
      <c r="B771">
        <f>Skills!B16</f>
        <v/>
      </c>
      <c r="C771">
        <f>Inputs!$B$3&gt;=15</f>
        <v/>
      </c>
      <c r="D771">
        <f>IF(Skills!C16=1,60+Inputs!$B$25+Inputs!$B$29,IF(Skills!C16=2,90+Inputs!$B$26+Inputs!$B$29,IF(Skills!C16=3,120+(Inputs!$B$27+1)+Inputs!$B$29,MAX(0,(Inputs!$B$3-100)*3)+Inputs!$B$28+Inputs!$B$29)))</f>
        <v/>
      </c>
      <c r="E771">
        <f>INDEX(FactorTable!$B$2:$Y$301, MATCH(ROUND(MIN(300,MAX(1,D771)),0), FactorTable!$A$2:$A$301,0), Skills!M16+1)</f>
        <v/>
      </c>
      <c r="F771">
        <f>IF(Skills!N16=TRUE,(Skills!L16/10)*(E771/1000),Skills!L16/10)+Skills!O16</f>
        <v/>
      </c>
      <c r="G771">
        <f>Skills!G16*IF(Skills!H16&gt;0,Skills!I16/Skills!H16,1)</f>
        <v/>
      </c>
      <c r="H771">
        <f>1-(1-Skills!J16/100)^Skills!K16</f>
        <v/>
      </c>
      <c r="I771" t="inlineStr">
        <is>
          <t>1</t>
        </is>
      </c>
      <c r="J771" t="inlineStr"/>
      <c r="K771" t="inlineStr"/>
      <c r="L771" t="inlineStr"/>
      <c r="M771" t="inlineStr"/>
      <c r="N771" t="inlineStr"/>
      <c r="O771">
        <f>(1-Summary!$B$11)*T771+Summary!$B$11*V771</f>
        <v/>
      </c>
      <c r="P771">
        <f>IF(B790=0,0,O771/B790)</f>
        <v/>
      </c>
      <c r="Q771" t="n">
        <v>0</v>
      </c>
      <c r="R771" t="n">
        <v>0</v>
      </c>
      <c r="S771">
        <f>IFERROR(O771/N771,0)</f>
        <v/>
      </c>
      <c r="T771" t="n">
        <v>0</v>
      </c>
      <c r="V771" t="n">
        <v>0</v>
      </c>
    </row>
    <row r="772">
      <c r="A772">
        <f>Skills!A17</f>
        <v/>
      </c>
      <c r="B772">
        <f>Skills!B17</f>
        <v/>
      </c>
      <c r="C772">
        <f>Inputs!$B$3&gt;=10</f>
        <v/>
      </c>
      <c r="D772">
        <f>IF(Skills!C17=1,60+Inputs!$B$25+Inputs!$B$29,IF(Skills!C17=2,90+Inputs!$B$26+Inputs!$B$29,IF(Skills!C17=3,120+(Inputs!$B$27+1)+Inputs!$B$29,MAX(0,(Inputs!$B$3-100)*3)+Inputs!$B$28+Inputs!$B$29)))</f>
        <v/>
      </c>
      <c r="E772">
        <f>INDEX(FactorTable!$B$2:$Y$301, MATCH(ROUND(MIN(300,MAX(1,D772)),0), FactorTable!$A$2:$A$301,0), Skills!M17+1)</f>
        <v/>
      </c>
      <c r="F772">
        <f>IF(Skills!N17=TRUE,(Skills!L17/10)*(E772/1000),Skills!L17/10)+Skills!O17</f>
        <v/>
      </c>
      <c r="G772">
        <f>Skills!G17*IF(Skills!H17&gt;0,Skills!I17/Skills!H17,1)</f>
        <v/>
      </c>
      <c r="H772">
        <f>1-(1-Skills!J17/100)^Skills!K17</f>
        <v/>
      </c>
      <c r="I772" t="inlineStr">
        <is>
          <t>1</t>
        </is>
      </c>
      <c r="J772" t="inlineStr"/>
      <c r="K772" t="inlineStr"/>
      <c r="L772" t="inlineStr"/>
      <c r="M772" t="inlineStr"/>
      <c r="N772" t="inlineStr"/>
      <c r="O772">
        <f>(1-Summary!$B$11)*T772+Summary!$B$11*V772</f>
        <v/>
      </c>
      <c r="P772">
        <f>IF(B790=0,0,O772/B790)</f>
        <v/>
      </c>
      <c r="Q772" t="n">
        <v>0</v>
      </c>
      <c r="R772" t="n">
        <v>0</v>
      </c>
      <c r="S772">
        <f>IFERROR(O772/N772,0)</f>
        <v/>
      </c>
      <c r="T772" t="n">
        <v>0</v>
      </c>
      <c r="V772" t="n">
        <v>0</v>
      </c>
    </row>
    <row r="773">
      <c r="A773">
        <f>Skills!A18</f>
        <v/>
      </c>
      <c r="B773">
        <f>Skills!B18</f>
        <v/>
      </c>
      <c r="C773">
        <f>Inputs!$B$3&gt;=33</f>
        <v/>
      </c>
      <c r="D773">
        <f>IF(Skills!C18=1,60+Inputs!$B$25+Inputs!$B$29,IF(Skills!C18=2,90+Inputs!$B$26+Inputs!$B$29,IF(Skills!C18=3,120+(Inputs!$B$27+1)+Inputs!$B$29,MAX(0,(Inputs!$B$3-100)*3)+Inputs!$B$28+Inputs!$B$29)))</f>
        <v/>
      </c>
      <c r="E773">
        <f>INDEX(FactorTable!$B$2:$Y$301, MATCH(ROUND(MIN(300,MAX(1,D773)),0), FactorTable!$A$2:$A$301,0), Skills!M18+1)</f>
        <v/>
      </c>
      <c r="F773">
        <f>IF(Skills!N18=TRUE,(Skills!L18/10)*(E773/1000),Skills!L18/10)+Skills!O18</f>
        <v/>
      </c>
      <c r="G773">
        <f>Skills!G18*IF(Skills!H18&gt;0,Skills!I18/Skills!H18,1)</f>
        <v/>
      </c>
      <c r="H773">
        <f>1-(1-Skills!J18/100)^Skills!K18</f>
        <v/>
      </c>
      <c r="I773" t="inlineStr">
        <is>
          <t>1</t>
        </is>
      </c>
      <c r="J773" t="inlineStr"/>
      <c r="K773" t="inlineStr"/>
      <c r="L773" t="inlineStr"/>
      <c r="M773" t="inlineStr"/>
      <c r="N773" t="inlineStr"/>
      <c r="O773">
        <f>(1-Summary!$B$11)*T773+Summary!$B$11*V773</f>
        <v/>
      </c>
      <c r="P773">
        <f>IF(B790=0,0,O773/B790)</f>
        <v/>
      </c>
      <c r="Q773" t="n">
        <v>0</v>
      </c>
      <c r="R773" t="n">
        <v>0</v>
      </c>
      <c r="S773">
        <f>IFERROR(O773/N773,0)</f>
        <v/>
      </c>
      <c r="T773" t="n">
        <v>0</v>
      </c>
      <c r="V773" t="n">
        <v>0</v>
      </c>
    </row>
    <row r="774">
      <c r="A774">
        <f>Skills!A19</f>
        <v/>
      </c>
      <c r="B774">
        <f>Skills!B19</f>
        <v/>
      </c>
      <c r="C774">
        <f>Inputs!$B$3&gt;=40</f>
        <v/>
      </c>
      <c r="D774">
        <f>IF(Skills!C19=1,60+Inputs!$B$25+Inputs!$B$29,IF(Skills!C19=2,90+Inputs!$B$26+Inputs!$B$29,IF(Skills!C19=3,120+(Inputs!$B$27+1)+Inputs!$B$29,MAX(0,(Inputs!$B$3-100)*3)+Inputs!$B$28+Inputs!$B$29)))</f>
        <v/>
      </c>
      <c r="E774">
        <f>INDEX(FactorTable!$B$2:$Y$301, MATCH(ROUND(MIN(300,MAX(1,D774)),0), FactorTable!$A$2:$A$301,0), Skills!M19+1)</f>
        <v/>
      </c>
      <c r="F774">
        <f>IF(Skills!N19=TRUE,(Skills!L19/10)*(E774/1000),Skills!L19/10)+Skills!O19</f>
        <v/>
      </c>
      <c r="G774">
        <f>Skills!G19*IF(Skills!H19&gt;0,Skills!I19/Skills!H19,1)</f>
        <v/>
      </c>
      <c r="H774">
        <f>1-(1-Skills!J19/100)^Skills!K19</f>
        <v/>
      </c>
      <c r="I774" t="inlineStr">
        <is>
          <t>1</t>
        </is>
      </c>
      <c r="J774" t="inlineStr"/>
      <c r="K774" t="inlineStr"/>
      <c r="L774" t="inlineStr"/>
      <c r="M774" t="inlineStr"/>
      <c r="N774" t="inlineStr"/>
      <c r="O774">
        <f>(1-Summary!$B$11)*T774+Summary!$B$11*V774</f>
        <v/>
      </c>
      <c r="P774">
        <f>IF(B790=0,0,O774/B790)</f>
        <v/>
      </c>
      <c r="Q774" t="n">
        <v>0</v>
      </c>
      <c r="R774" t="n">
        <v>0</v>
      </c>
      <c r="S774">
        <f>IFERROR(O774/N774,0)</f>
        <v/>
      </c>
      <c r="T774" t="n">
        <v>0</v>
      </c>
      <c r="V774" t="n">
        <v>0</v>
      </c>
    </row>
    <row r="775">
      <c r="A775">
        <f>Skills!A20</f>
        <v/>
      </c>
      <c r="B775">
        <f>Skills!B20</f>
        <v/>
      </c>
      <c r="C775">
        <f>Inputs!$B$3&gt;=43</f>
        <v/>
      </c>
      <c r="D775">
        <f>IF(Skills!C20=1,60+Inputs!$B$25+Inputs!$B$29,IF(Skills!C20=2,90+Inputs!$B$26+Inputs!$B$29,IF(Skills!C20=3,120+(Inputs!$B$27+1)+Inputs!$B$29,MAX(0,(Inputs!$B$3-100)*3)+Inputs!$B$28+Inputs!$B$29)))</f>
        <v/>
      </c>
      <c r="E775">
        <f>INDEX(FactorTable!$B$2:$Y$301, MATCH(ROUND(MIN(300,MAX(1,D775)),0), FactorTable!$A$2:$A$301,0), Skills!M20+1)</f>
        <v/>
      </c>
      <c r="F775">
        <f>IF(Skills!N20=TRUE,(Skills!L20/10)*(E775/1000),Skills!L20/10)+Skills!O20</f>
        <v/>
      </c>
      <c r="G775">
        <f>Skills!G20*IF(Skills!H20&gt;0,Skills!I20/Skills!H20,1)</f>
        <v/>
      </c>
      <c r="H775">
        <f>1-(1-Skills!J20/100)^Skills!K20</f>
        <v/>
      </c>
      <c r="I775" t="inlineStr">
        <is>
          <t>1</t>
        </is>
      </c>
      <c r="J775" t="inlineStr"/>
      <c r="K775" t="inlineStr"/>
      <c r="L775" t="inlineStr"/>
      <c r="M775" t="inlineStr"/>
      <c r="N775" t="inlineStr"/>
      <c r="O775">
        <f>(1-Summary!$B$11)*T775+Summary!$B$11*V775</f>
        <v/>
      </c>
      <c r="P775">
        <f>IF(B790=0,0,O775/B790)</f>
        <v/>
      </c>
      <c r="Q775" t="n">
        <v>0</v>
      </c>
      <c r="R775" t="n">
        <v>0</v>
      </c>
      <c r="S775">
        <f>IFERROR(O775/N775,0)</f>
        <v/>
      </c>
      <c r="T775" t="n">
        <v>0</v>
      </c>
      <c r="V775" t="n">
        <v>0</v>
      </c>
    </row>
    <row r="776">
      <c r="A776">
        <f>Skills!A21</f>
        <v/>
      </c>
      <c r="B776">
        <f>Skills!B21</f>
        <v/>
      </c>
      <c r="C776">
        <f>Inputs!$B$3&gt;=38</f>
        <v/>
      </c>
      <c r="D776">
        <f>IF(Skills!C21=1,60+Inputs!$B$25+Inputs!$B$29,IF(Skills!C21=2,90+Inputs!$B$26+Inputs!$B$29,IF(Skills!C21=3,120+(Inputs!$B$27+1)+Inputs!$B$29,MAX(0,(Inputs!$B$3-100)*3)+Inputs!$B$28+Inputs!$B$29)))</f>
        <v/>
      </c>
      <c r="E776">
        <f>INDEX(FactorTable!$B$2:$Y$301, MATCH(ROUND(MIN(300,MAX(1,D776)),0), FactorTable!$A$2:$A$301,0), Skills!M21+1)</f>
        <v/>
      </c>
      <c r="F776">
        <f>IF(Skills!N21=TRUE,(Skills!L21/10)*(E776/1000),Skills!L21/10)+Skills!O21</f>
        <v/>
      </c>
      <c r="G776">
        <f>Skills!G21*IF(Skills!H21&gt;0,Skills!I21/Skills!H21,1)</f>
        <v/>
      </c>
      <c r="H776">
        <f>1-(1-Skills!J21/100)^Skills!K21</f>
        <v/>
      </c>
      <c r="I776" t="inlineStr">
        <is>
          <t>1</t>
        </is>
      </c>
      <c r="J776" t="inlineStr"/>
      <c r="K776" t="inlineStr"/>
      <c r="L776" t="inlineStr"/>
      <c r="M776" t="inlineStr"/>
      <c r="N776" t="inlineStr"/>
      <c r="O776">
        <f>(1-Summary!$B$11)*T776+Summary!$B$11*V776</f>
        <v/>
      </c>
      <c r="P776">
        <f>IF(B790=0,0,O776/B790)</f>
        <v/>
      </c>
      <c r="Q776" t="n">
        <v>0</v>
      </c>
      <c r="R776" t="n">
        <v>0</v>
      </c>
      <c r="S776">
        <f>IFERROR(O776/N776,0)</f>
        <v/>
      </c>
      <c r="T776" t="n">
        <v>0</v>
      </c>
      <c r="V776" t="n">
        <v>0</v>
      </c>
    </row>
    <row r="777">
      <c r="A777">
        <f>Skills!A22</f>
        <v/>
      </c>
      <c r="B777">
        <f>Skills!B22</f>
        <v/>
      </c>
      <c r="C777">
        <f>Inputs!$B$3&gt;=75</f>
        <v/>
      </c>
      <c r="D777">
        <f>IF(Skills!C22=1,60+Inputs!$B$25+Inputs!$B$29,IF(Skills!C22=2,90+Inputs!$B$26+Inputs!$B$29,IF(Skills!C22=3,120+(Inputs!$B$27+1)+Inputs!$B$29,MAX(0,(Inputs!$B$3-100)*3)+Inputs!$B$28+Inputs!$B$29)))</f>
        <v/>
      </c>
      <c r="E777">
        <f>INDEX(FactorTable!$B$2:$Y$301, MATCH(ROUND(MIN(300,MAX(1,D777)),0), FactorTable!$A$2:$A$301,0), Skills!M22+1)</f>
        <v/>
      </c>
      <c r="F777">
        <f>IF(Skills!N22=TRUE,(Skills!L22/10)*(E777/1000),Skills!L22/10)+Skills!O22</f>
        <v/>
      </c>
      <c r="G777">
        <f>Skills!G22*IF(Skills!H22&gt;0,Skills!I22/Skills!H22,1)</f>
        <v/>
      </c>
      <c r="H777">
        <f>1-(1-Skills!J22/100)^Skills!K22</f>
        <v/>
      </c>
      <c r="I777" t="inlineStr">
        <is>
          <t>1</t>
        </is>
      </c>
      <c r="J777" t="inlineStr"/>
      <c r="K777" t="inlineStr"/>
      <c r="L777" t="inlineStr"/>
      <c r="M777" t="inlineStr"/>
      <c r="N777" t="inlineStr"/>
      <c r="O777">
        <f>(1-Summary!$B$11)*T777+Summary!$B$11*V777</f>
        <v/>
      </c>
      <c r="P777">
        <f>IF(B790=0,0,O777/B790)</f>
        <v/>
      </c>
      <c r="Q777" t="n">
        <v>0</v>
      </c>
      <c r="R777" t="n">
        <v>0</v>
      </c>
      <c r="S777">
        <f>IFERROR(O777/N777,0)</f>
        <v/>
      </c>
      <c r="T777" t="n">
        <v>0</v>
      </c>
      <c r="V777" t="n">
        <v>0</v>
      </c>
    </row>
    <row r="779">
      <c r="A779" t="inlineStr">
        <is>
          <t>Attack% Bucket Multiplier</t>
        </is>
      </c>
      <c r="B779">
        <f>(1+(((C768=TRUE)*F768)+((C774=TRUE)*(F774-Calc!F19))+(IF(ArtifactsInput!$M$21,CHOOSE(ArtifactsInput!$N$21+1,25,30,35,40,45,50)*(IF(OR(Inputs!$B$4="Chapter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80">
      <c r="A780" t="inlineStr">
        <is>
          <t>Global Crit Rate Bonus %</t>
        </is>
      </c>
      <c r="B780" t="n">
        <v>0</v>
      </c>
    </row>
    <row r="781">
      <c r="A781" t="inlineStr">
        <is>
          <t>Attack Speed Buff Bonus % (unused)</t>
        </is>
      </c>
      <c r="B781" t="n">
        <v>0</v>
      </c>
    </row>
    <row r="782">
      <c r="A782" t="inlineStr">
        <is>
          <t>Actions Per Second</t>
        </is>
      </c>
      <c r="B782">
        <f>1+MIN(150,150*(1-(1-(Inputs!$B$11+((C772=TRUE)*(F772-Calc!F17))+((C773=TRUE)*(F773-Calc!F18)))/150)*(1-B781/150)))/100</f>
        <v/>
      </c>
    </row>
    <row r="783">
      <c r="A783" t="inlineStr">
        <is>
          <t>Skill + Buff Cast Rate</t>
        </is>
      </c>
      <c r="B783">
        <f>IF(AND(Inputs!$B$38&lt;&gt;"pvp",Inputs!$B$43&gt;0),SUMPRODUCT((Skills!E2:E22=TRUE)*(C757:C777=TRUE)*R757:R777*Skills!F2:F22)/Inputs!$B$43,SUMPRODUCT((Skills!E2:E22=TRUE)*(C757:C777=TRUE)*Q757:Q777*Skills!F2:F22))</f>
        <v/>
      </c>
    </row>
    <row r="784">
      <c r="A784" t="inlineStr">
        <is>
          <t>Hook Bomber Casts Per Second</t>
        </is>
      </c>
      <c r="B784">
        <f>MAX(0,B782-B783)</f>
        <v/>
      </c>
    </row>
    <row r="785">
      <c r="A785" t="inlineStr">
        <is>
          <t>Global Critical Damage Bonus % (unused)</t>
        </is>
      </c>
      <c r="B785" t="n">
        <v>0</v>
      </c>
    </row>
    <row r="786">
      <c r="A786" t="inlineStr">
        <is>
          <t>Global Final Damage Bonus % (Serpent Scale + Crossbones + Time Leap + Speed Infusion)</t>
        </is>
      </c>
      <c r="B786">
        <f>((C760=TRUE)*F760*((10+IF(Inputs!$B$3&gt;=94,5,0))/((10+IF(Inputs!$B$3&gt;=94,5,0))+5/(B784*(1+IF(Inputs!$B$3&gt;=104,1,0))))))+((C769=TRUE)*F769)+((C770=TRUE)*F770)+((Inputs!$B$3&gt;=110)*20*(B782-1))</f>
        <v/>
      </c>
    </row>
    <row r="787">
      <c r="A787" t="inlineStr">
        <is>
          <t>Buff-Casting Startup Delay (s, fixed-duration only)</t>
        </is>
      </c>
      <c r="B787">
        <f>IF(AND(Inputs!$B$38&lt;&gt;"pvp",Inputs!$B$43&gt;0),SUMPRODUCT((Skills!T2:T22&gt;0)*(Skills!E2:E22=TRUE)*(C757:C777=TRUE))/B782,0)</f>
        <v/>
      </c>
    </row>
    <row r="788">
      <c r="A788" t="inlineStr">
        <is>
          <t>Boss-Only Total DPS (this block's swept value)</t>
        </is>
      </c>
      <c r="B788">
        <f>SUM(T757:T777)</f>
        <v/>
      </c>
    </row>
    <row r="789">
      <c r="A789" t="inlineStr">
        <is>
          <t>Normal-Only Total DPS (this block's swept value)</t>
        </is>
      </c>
      <c r="B789">
        <f>SUM(V757:V777)</f>
        <v/>
      </c>
    </row>
    <row r="790">
      <c r="A790" s="6" t="inlineStr">
        <is>
          <t>TOTAL DPS</t>
        </is>
      </c>
      <c r="B790" s="6">
        <f>SUM(O757:O777)</f>
        <v/>
      </c>
    </row>
    <row r="793">
      <c r="A793" s="6" t="inlineStr">
        <is>
          <t>Stat: Skill Level Bonus — 4th Job</t>
        </is>
      </c>
    </row>
    <row r="794">
      <c r="A794" s="5" t="inlineStr">
        <is>
          <t>Key</t>
        </is>
      </c>
      <c r="B794" s="5" t="inlineStr">
        <is>
          <t>Name</t>
        </is>
      </c>
      <c r="C794" s="5" t="inlineStr">
        <is>
          <t>Unlocked</t>
        </is>
      </c>
      <c r="D794" s="5" t="inlineStr">
        <is>
          <t>InputLevel</t>
        </is>
      </c>
      <c r="E794" s="5" t="inlineStr">
        <is>
          <t>Factor</t>
        </is>
      </c>
      <c r="F794" s="5" t="inlineStr">
        <is>
          <t>CoefficientPercent</t>
        </is>
      </c>
      <c r="G794" s="5" t="inlineStr">
        <is>
          <t>EffectiveHits</t>
        </is>
      </c>
      <c r="H794" s="5" t="inlineStr">
        <is>
          <t>ProcProbability</t>
        </is>
      </c>
      <c r="I794" s="5" t="inlineStr">
        <is>
          <t>MapleHeroMultiplier</t>
        </is>
      </c>
      <c r="J794" s="5" t="inlineStr">
        <is>
          <t>BaseDamage</t>
        </is>
      </c>
      <c r="K794" s="5" t="inlineStr">
        <is>
          <t>BaseHitDamage</t>
        </is>
      </c>
      <c r="L794" s="5" t="inlineStr">
        <is>
          <t>NonCritAvg</t>
        </is>
      </c>
      <c r="M794" s="5" t="inlineStr">
        <is>
          <t>CritAvg</t>
        </is>
      </c>
      <c r="N794" s="5" t="inlineStr">
        <is>
          <t>ExpectedDamage(perHit)</t>
        </is>
      </c>
      <c r="O794" s="5" t="inlineStr">
        <is>
          <t>DPS</t>
        </is>
      </c>
      <c r="P794" s="5" t="inlineStr">
        <is>
          <t>% of Total</t>
        </is>
      </c>
      <c r="Q794" s="5" t="inlineStr">
        <is>
          <t>InvCooldown</t>
        </is>
      </c>
      <c r="R794" s="5" t="inlineStr">
        <is>
          <t>CastsInFight</t>
        </is>
      </c>
      <c r="S794" s="5" t="inlineStr">
        <is>
          <t>HitRate(perSec)</t>
        </is>
      </c>
      <c r="U794" t="inlineStr">
        <is>
          <t>helpers</t>
        </is>
      </c>
    </row>
    <row r="795">
      <c r="A795">
        <f>Skills!A2</f>
        <v/>
      </c>
      <c r="B795">
        <f>Skills!B2</f>
        <v/>
      </c>
      <c r="C795">
        <f>Inputs!$B$3&gt;=100</f>
        <v/>
      </c>
      <c r="D795" t="inlineStr"/>
      <c r="E795" t="inlineStr"/>
      <c r="F795">
        <f>U797+Skills!O2</f>
        <v/>
      </c>
      <c r="G795">
        <f>Skills!G2*IF(Skills!H2&gt;0,Skills!I2/Skills!H2,1)</f>
        <v/>
      </c>
      <c r="H795">
        <f>1-(1-Skills!J2/100)^Skills!K2</f>
        <v/>
      </c>
      <c r="I795" t="inlineStr">
        <is>
          <t>1</t>
        </is>
      </c>
      <c r="J795">
        <f>((Inputs!$B$6*(1+Inputs!$B$7/100))+(((Inputs!$B$12*(1+Inputs!$B$13/100))-(Inputs!$B$12*(1+Inputs!$B$13/100)))+0.25*(Inputs!$B$14-Inputs!$B$14))*(1+Inputs!$B$7/100))*(F795/100)</f>
        <v/>
      </c>
      <c r="K795">
        <f>J795*(1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C813=TRUE)*(F813-Calc!F20)),(Inputs!$B$23+0+(IF(ArtifactsInput!$M$15,CHOOSE(ArtifactsInput!$N$15+1,25,30,35,40,45,50)/100*(Inputs!$B$11-Inputs!$B$11),0))))/100+(Inputs!$B$23+0+(IF(ArtifactsInput!$M$15,CHOOSE(ArtifactsInput!$N$15+1,25,30,35,40,45,50)/100*(Inputs!$B$11-Inputs!$B$11),0)))/100)/2</f>
        <v/>
      </c>
      <c r="M795">
        <f>L795*(1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IF(B828=0,0,O795/B828)</f>
        <v/>
      </c>
      <c r="Q795" t="n">
        <v>0</v>
      </c>
      <c r="R795" t="n">
        <v>0</v>
      </c>
      <c r="S795">
        <f>IFERROR(O795/N795,0)</f>
        <v/>
      </c>
      <c r="T795">
        <f>IF(C795,(Skills!G2*N795*B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5">
        <f>MAX(0,(Inputs!$B$3-100)*3)+(Inputs!$B$28+1)+Inputs!$B$29</f>
        <v/>
      </c>
      <c r="V795">
        <f>IF(C795,(Skills!G2*N795*B822)*IF(Inputs!$B$38="pvp",1,(1+(Inputs!$B$21+Skills!Q2+(IF(ArtifactsInput!$M$33,CHOOSE(ArtifactsInput!$N$33+1,30,36,42,48,54,60),0))+(IF(AND(ArtifactsInput!$M$35,Inputs!$B$4&lt;&gt;"Chapter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Skills!A3</f>
        <v/>
      </c>
      <c r="B796">
        <f>Skills!B3</f>
        <v/>
      </c>
      <c r="C796">
        <f>Inputs!$B$3&gt;=35</f>
        <v/>
      </c>
      <c r="D796">
        <f>IF(Skills!C3=1,60+Inputs!$B$25+Inputs!$B$29,IF(Skills!C3=2,90+Inputs!$B$26+Inputs!$B$29,IF(Skills!C3=3,120+Inputs!$B$27+Inputs!$B$29,MAX(0,(Inputs!$B$3-100)*3)+(Inputs!$B$28+1)+Inputs!$B$29)))</f>
        <v/>
      </c>
      <c r="E796">
        <f>INDEX(FactorTable!$B$2:$Y$301, MATCH(ROUND(MIN(300,MAX(1,D796)),0), FactorTable!$A$2:$A$301,0), Skills!M3+1)</f>
        <v/>
      </c>
      <c r="F796">
        <f>IF(Skills!N3=TRUE,(Skills!L3/10)*(E796/1000),Skills!L3/10)+Skills!O3</f>
        <v/>
      </c>
      <c r="G796">
        <f>Skills!G3*IF(Skills!H3&gt;0,Skills!I3/Skills!H3,1)</f>
        <v/>
      </c>
      <c r="H796">
        <f>1-(1-Skills!J3/100)^Skills!K3</f>
        <v/>
      </c>
      <c r="I796" t="inlineStr">
        <is>
          <t>1</t>
        </is>
      </c>
      <c r="J796">
        <f>((Inputs!$B$6*(1+Inputs!$B$7/100))+(((Inputs!$B$12*(1+Inputs!$B$13/100))-(Inputs!$B$12*(1+Inputs!$B$13/100)))+0.25*(Inputs!$B$14-Inputs!$B$14))*(1+Inputs!$B$7/100))*(F796/100)</f>
        <v/>
      </c>
      <c r="K796">
        <f>J796*(1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813=TRUE)*(F813-Calc!F20)),(Inputs!$B$23+0+(IF(ArtifactsInput!$M$15,CHOOSE(ArtifactsInput!$N$15+1,25,30,35,40,45,50)/100*(Inputs!$B$11-Inputs!$B$11),0))))/100+(Inputs!$B$23+0+(IF(ArtifactsInput!$M$15,CHOOSE(ArtifactsInput!$N$15+1,25,30,35,40,45,50)/100*(Inputs!$B$11-Inputs!$B$11),0)))/100)/2</f>
        <v/>
      </c>
      <c r="M796">
        <f>L796*(1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IF(B828=0,0,O796/B828)</f>
        <v/>
      </c>
      <c r="Q796" t="n">
        <v>0</v>
      </c>
      <c r="R796" t="n">
        <v>0</v>
      </c>
      <c r="S796">
        <f>IFERROR(O796/N796,0)</f>
        <v/>
      </c>
      <c r="T796">
        <f>IF(C796,(Skills!G3*H796*N796*B822)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6">
        <f>INDEX(FactorTable!$B$2:$Y$301, MATCH(ROUND(MIN(300,MAX(1,U795)),0), FactorTable!$A$2:$A$301,0), 22)</f>
        <v/>
      </c>
      <c r="V796">
        <f>IF(C796,(Skills!G3*H796*N796*B822)*IF(Inputs!$B$38="pvp",1,(1+(Inputs!$B$21+Skills!Q3+(IF(ArtifactsInput!$M$33,CHOOSE(ArtifactsInput!$N$33+1,30,36,42,48,54,60),0))+(IF(AND(ArtifactsInput!$M$35,Inputs!$B$4&lt;&gt;"Chapter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Skills!A4</f>
        <v/>
      </c>
      <c r="B797">
        <f>Skills!B4</f>
        <v/>
      </c>
      <c r="C797">
        <f>Inputs!$B$3&gt;=60</f>
        <v/>
      </c>
      <c r="D797">
        <f>IF(Skills!C4=1,60+Inputs!$B$25+Inputs!$B$29,IF(Skills!C4=2,90+Inputs!$B$26+Inputs!$B$29,IF(Skills!C4=3,120+Inputs!$B$27+Inputs!$B$29,MAX(0,(Inputs!$B$3-100)*3)+(Inputs!$B$28+1)+Inputs!$B$29)))</f>
        <v/>
      </c>
      <c r="E797">
        <f>INDEX(FactorTable!$B$2:$Y$301, MATCH(ROUND(MIN(300,MAX(1,D797)),0), FactorTable!$A$2:$A$301,0), Skills!M4+1)</f>
        <v/>
      </c>
      <c r="F797">
        <f>IF(Skills!N4=TRUE,(Skills!L4/10)*(E797/1000),Skills!L4/10)+Skills!O4</f>
        <v/>
      </c>
      <c r="G797">
        <f>Skills!G4*IF(Skills!H4&gt;0,Skills!I4/Skills!H4,1)</f>
        <v/>
      </c>
      <c r="H797">
        <f>1-(1-Skills!J4/100)^Skills!K4</f>
        <v/>
      </c>
      <c r="I797" t="inlineStr">
        <is>
          <t>1</t>
        </is>
      </c>
      <c r="J797">
        <f>((Inputs!$B$6*(1+Inputs!$B$7/100))+(((Inputs!$B$12*(1+Inputs!$B$13/100))-(Inputs!$B$12*(1+Inputs!$B$13/100)))+0.25*(Inputs!$B$14-Inputs!$B$14))*(1+Inputs!$B$7/100))*(F797/100)</f>
        <v/>
      </c>
      <c r="K797">
        <f>J797*(1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805=TRUE,F805,0)/100)*(1+(IF(Skills!A4="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813=TRUE)*(F813-Calc!F20)),(Inputs!$B$23+0+(IF(ArtifactsInput!$M$15,CHOOSE(ArtifactsInput!$N$15+1,25,30,35,40,45,50)/100*(Inputs!$B$11-Inputs!$B$11),0))))/100+(Inputs!$B$23+0+(IF(ArtifactsInput!$M$15,CHOOSE(ArtifactsInput!$N$15+1,25,30,35,40,45,50)/100*(Inputs!$B$11-Inputs!$B$11),0)))/100)/2</f>
        <v/>
      </c>
      <c r="M797">
        <f>L797*(1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IF(B828=0,0,O797/B828)</f>
        <v/>
      </c>
      <c r="Q797" t="n">
        <v>0</v>
      </c>
      <c r="R797" t="n">
        <v>0</v>
      </c>
      <c r="S797">
        <f>IFERROR(O797/N797,0)</f>
        <v/>
      </c>
      <c r="T797">
        <f>IF(C797,(Skills!G4*H797*N797*B822)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7">
        <f>290*U796/1000</f>
        <v/>
      </c>
      <c r="V797">
        <f>IF(C797,(Skills!G4*H797*N797*B822)*IF(Inputs!$B$38="pvp",1,(1+(Inputs!$B$21+Skills!Q4+(IF(ArtifactsInput!$M$33,CHOOSE(ArtifactsInput!$N$33+1,30,36,42,48,54,60),0))+(IF(AND(ArtifactsInput!$M$35,Inputs!$B$4&lt;&gt;"Chapter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Skills!A5</f>
        <v/>
      </c>
      <c r="B798">
        <f>Skills!B5</f>
        <v/>
      </c>
      <c r="C798">
        <f>Inputs!$B$3&gt;=60</f>
        <v/>
      </c>
      <c r="D798">
        <f>IF(Skills!C5=1,60+Inputs!$B$25+Inputs!$B$29,IF(Skills!C5=2,90+Inputs!$B$26+Inputs!$B$29,IF(Skills!C5=3,120+Inputs!$B$27+Inputs!$B$29,MAX(0,(Inputs!$B$3-100)*3)+(Inputs!$B$28+1)+Inputs!$B$29)))</f>
        <v/>
      </c>
      <c r="E798">
        <f>INDEX(FactorTable!$B$2:$Y$301, MATCH(ROUND(MIN(300,MAX(1,D798)),0), FactorTable!$A$2:$A$301,0), Skills!M5+1)</f>
        <v/>
      </c>
      <c r="F798">
        <f>IF(Skills!N5=TRUE,(Skills!L5/10)*(E798/1000),Skills!L5/10)+Skills!O5</f>
        <v/>
      </c>
      <c r="G798">
        <f>Skills!G5*IF(Skills!H5&gt;0,Skills!I5/Skills!H5,1)</f>
        <v/>
      </c>
      <c r="H798">
        <f>1-(1-Skills!J5/100)^Skills!K5</f>
        <v/>
      </c>
      <c r="I798" t="inlineStr">
        <is>
          <t>1</t>
        </is>
      </c>
      <c r="J798" t="inlineStr"/>
      <c r="K798" t="inlineStr"/>
      <c r="L798" t="inlineStr"/>
      <c r="M798" t="inlineStr"/>
      <c r="N798" t="inlineStr"/>
      <c r="O798">
        <f>(1-Summary!$B$11)*T798+Summary!$B$11*V798</f>
        <v/>
      </c>
      <c r="P798">
        <f>IF(B828=0,0,O798/B828)</f>
        <v/>
      </c>
      <c r="Q798" t="n">
        <v>0</v>
      </c>
      <c r="R798" t="n">
        <v>0</v>
      </c>
      <c r="S798">
        <f>IFERROR(O798/N798,0)</f>
        <v/>
      </c>
      <c r="T798" t="n">
        <v>0</v>
      </c>
      <c r="V798" t="n">
        <v>0</v>
      </c>
    </row>
    <row r="799">
      <c r="A799">
        <f>Skills!A6</f>
        <v/>
      </c>
      <c r="B799">
        <f>Skills!B6</f>
        <v/>
      </c>
      <c r="C799">
        <f>Inputs!$B$3&gt;=63</f>
        <v/>
      </c>
      <c r="D799">
        <f>IF(Skills!C6=1,60+Inputs!$B$25+Inputs!$B$29,IF(Skills!C6=2,90+Inputs!$B$26+Inputs!$B$29,IF(Skills!C6=3,120+Inputs!$B$27+Inputs!$B$29,MAX(0,(Inputs!$B$3-100)*3)+(Inputs!$B$28+1)+Inputs!$B$29)))</f>
        <v/>
      </c>
      <c r="E799">
        <f>INDEX(FactorTable!$B$2:$Y$301, MATCH(ROUND(MIN(300,MAX(1,D799)),0), FactorTable!$A$2:$A$301,0), Skills!M6+1)</f>
        <v/>
      </c>
      <c r="F799">
        <f>IF(Skills!N6=TRUE,(Skills!L6/10)*(E799/1000),Skills!L6/10)+Skills!O6</f>
        <v/>
      </c>
      <c r="G799">
        <f>Skills!G6*IF(Skills!H6&gt;0,Skills!I6/Skills!H6,1)</f>
        <v/>
      </c>
      <c r="H799">
        <f>1-(1-Skills!J6/100)^Skills!K6</f>
        <v/>
      </c>
      <c r="I799" t="inlineStr">
        <is>
          <t>1</t>
        </is>
      </c>
      <c r="J799">
        <f>((Inputs!$B$6*(1+Inputs!$B$7/100))+(((Inputs!$B$12*(1+Inputs!$B$13/100))-(Inputs!$B$12*(1+Inputs!$B$13/100)))+0.25*(Inputs!$B$14-Inputs!$B$14))*(1+Inputs!$B$7/100))*(F799/100)</f>
        <v/>
      </c>
      <c r="K799">
        <f>J799*(1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C813=TRUE)*(F813-Calc!F20)),(Inputs!$B$23+0+(IF(ArtifactsInput!$M$15,CHOOSE(ArtifactsInput!$N$15+1,25,30,35,40,45,50)/100*(Inputs!$B$11-Inputs!$B$11),0))))/100+(Inputs!$B$23+0+(IF(ArtifactsInput!$M$15,CHOOSE(ArtifactsInput!$N$15+1,25,30,35,40,45,50)/100*(Inputs!$B$11-Inputs!$B$11),0)))/100)/2</f>
        <v/>
      </c>
      <c r="M799">
        <f>L799*(1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(1-Summary!$B$11)*T799+Summary!$B$11*V799</f>
        <v/>
      </c>
      <c r="P799">
        <f>IF(B828=0,0,O799/B828)</f>
        <v/>
      </c>
      <c r="Q799">
        <f>IFERROR(1/(IF(Inputs!$B$38="pvp",15,MAX(0.1,Skills!D6-IF(Skills!E6=TRUE,Inputs!$B$32,0)))*(1-IF(AND(ArtifactsInput!$M$27,Inputs!$B$4="Chapter Hunt"),CHOOSE(ArtifactsInput!$N$27+1,20,24,28,32,36,40),0)/100)),0)</f>
        <v/>
      </c>
      <c r="R799">
        <f>IF(AND(Inputs!$B$38&lt;&gt;"pvp",Inputs!$B$43&gt;0),IF(MAX(0,Inputs!$B$43-B825)&lt;=0,0,(INT(MAX(0,Inputs!$B$43-B825)/(IF(Inputs!$B$38="pvp",15,MAX(0.1,Skills!D6-IF(Skills!E6=TRUE,Inputs!$B$32,0)))*(1-IF(AND(ArtifactsInput!$M$27,Inputs!$B$4="Chapter Hunt"),CHOOSE(ArtifactsInput!$N$27+1,20,24,28,32,36,40),0)/100)))+1)),0)</f>
        <v/>
      </c>
      <c r="S799">
        <f>IFERROR(O799/N799,0)</f>
        <v/>
      </c>
      <c r="T799">
        <f>IF(C799,(H799*N799*IF(AND(Inputs!$B$38&lt;&gt;"pvp",Inputs!$B$43&gt;0),((Skills!G6*((R799-1)*IF(Skills!H6&gt;0,Skills!I6/Skills!H6,1)+IF(Skills!H6&gt;0,MIN(Skills!I6,MAX(0,MAX(0,Inputs!$B$43-B825)-((R799-1)*(IF(Inputs!$B$38="pvp",15,MAX(0.1,Skills!D6-IF(Skills!E6=TRUE,Inputs!$B$32,0)))*(1-IF(AND(ArtifactsInput!$M$27,Inputs!$B$4="Chapter Hunt"),CHOOSE(ArtifactsInput!$N$27+1,20,24,28,32,36,40),0)/100)))))/Skills!H6,1)))/Inputs!$B$43),G799*Q799)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799*(1-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9">
        <f>IF(C799,(H799*N799*IF(AND(Inputs!$B$38&lt;&gt;"pvp",Inputs!$B$43&gt;0),((Skills!G6*((R799-1)*IF(Skills!H6&gt;0,Skills!I6/Skills!H6,1)+IF(Skills!H6&gt;0,MIN(Skills!I6,MAX(0,MAX(0,Inputs!$B$43-B825)-((R799-1)*(IF(Inputs!$B$38="pvp",15,MAX(0.1,Skills!D6-IF(Skills!E6=TRUE,Inputs!$B$32,0)))*(1-IF(AND(ArtifactsInput!$M$27,Inputs!$B$4="Chapter Hunt"),CHOOSE(ArtifactsInput!$N$27+1,20,24,28,32,36,40),0)/100)))))/Skills!H6,1)))/Inputs!$B$43),G799*Q799))*IF(Inputs!$B$38="pvp",1,(1+(Inputs!$B$21+Skills!Q6+(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Skills!A7</f>
        <v/>
      </c>
      <c r="B800">
        <f>Skills!B7</f>
        <v/>
      </c>
      <c r="C800">
        <f>Inputs!$B$3&gt;=100</f>
        <v/>
      </c>
      <c r="D800">
        <f>IF(Skills!C7=1,60+Inputs!$B$25+Inputs!$B$29,IF(Skills!C7=2,90+Inputs!$B$26+Inputs!$B$29,IF(Skills!C7=3,120+Inputs!$B$27+Inputs!$B$29,MAX(0,(Inputs!$B$3-100)*3)+(Inputs!$B$28+1)+Inputs!$B$29)))</f>
        <v/>
      </c>
      <c r="E800">
        <f>INDEX(FactorTable!$B$2:$Y$301, MATCH(ROUND(MIN(300,MAX(1,D800)),0), FactorTable!$A$2:$A$301,0), Skills!M7+1)</f>
        <v/>
      </c>
      <c r="F800">
        <f>IF(Skills!N7=TRUE,(Skills!L7/10)*(E800/1000),Skills!L7/10)+Skills!O7</f>
        <v/>
      </c>
      <c r="G800">
        <f>Skills!G7*IF(Skills!H7&gt;0,Skills!I7/Skills!H7,1)</f>
        <v/>
      </c>
      <c r="H800">
        <f>1-(1-Skills!J7/100)^Skills!K7</f>
        <v/>
      </c>
      <c r="I800" t="inlineStr">
        <is>
          <t>1</t>
        </is>
      </c>
      <c r="J800">
        <f>((Inputs!$B$6*(1+Inputs!$B$7/100))+(((Inputs!$B$12*(1+Inputs!$B$13/100))-(Inputs!$B$12*(1+Inputs!$B$13/100)))+0.25*(Inputs!$B$14-Inputs!$B$14))*(1+Inputs!$B$7/100))*(F800/100)</f>
        <v/>
      </c>
      <c r="K800">
        <f>J800*(1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813=TRUE)*(F813-Calc!F20)),(Inputs!$B$23+0+(IF(ArtifactsInput!$M$15,CHOOSE(ArtifactsInput!$N$15+1,25,30,35,40,45,50)/100*(Inputs!$B$11-Inputs!$B$11),0))))/100+(Inputs!$B$23+0+(IF(ArtifactsInput!$M$15,CHOOSE(ArtifactsInput!$N$15+1,25,30,35,40,45,50)/100*(Inputs!$B$11-Inputs!$B$11),0)))/100)/2</f>
        <v/>
      </c>
      <c r="M800">
        <f>L800*(1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IF(B828=0,0,O800/B828)</f>
        <v/>
      </c>
      <c r="Q800">
        <f>IFERROR(1/(IF(Inputs!$B$38="pvp",15,MAX(0.1,Skills!D7-IF(Skills!E7=TRUE,Inputs!$B$32,0)))*(1-IF(AND(ArtifactsInput!$M$27,Inputs!$B$4="Chapter Hunt"),CHOOSE(ArtifactsInput!$N$27+1,20,24,28,32,36,40),0)/100)),0)</f>
        <v/>
      </c>
      <c r="R800">
        <f>IF(AND(Inputs!$B$38&lt;&gt;"pvp",Inputs!$B$43&gt;0),IF(MAX(0,Inputs!$B$43-B825)&lt;=0,0,(INT(MAX(0,Inputs!$B$43-B825)/(IF(Inputs!$B$38="pvp",15,MAX(0.1,Skills!D7-IF(Skills!E7=TRUE,Inputs!$B$32,0)))*(1-IF(AND(ArtifactsInput!$M$27,Inputs!$B$4="Chapter Hunt"),CHOOSE(ArtifactsInput!$N$27+1,20,24,28,32,36,40),0)/100)))+1)),0)</f>
        <v/>
      </c>
      <c r="S800">
        <f>IFERROR(O800/N800,0)</f>
        <v/>
      </c>
      <c r="T800">
        <f>IF(C800,(H800*N800*IF(AND(Inputs!$B$38&lt;&gt;"pvp",Inputs!$B$43&gt;0),((Skills!G7*((R800-1)*IF(Skills!H7&gt;0,Skills!I7/Skills!H7,1)+IF(Skills!H7&gt;0,MIN(Skills!I7,MAX(0,MAX(0,Inputs!$B$43-B825)-((R800-1)*(IF(Inputs!$B$38="pvp",15,MAX(0.1,Skills!D7-IF(Skills!E7=TRUE,Inputs!$B$32,0)))*(1-IF(AND(ArtifactsInput!$M$27,Inputs!$B$4="Chapter Hunt"),CHOOSE(ArtifactsInput!$N$27+1,20,24,28,32,36,40),0)/100)))))/Skills!H7,1)))/Inputs!$B$43),G800*Q800)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7*((R800-1)*IF(Skills!H7&gt;0,Skills!I7/Skills!H7,1)+IF(Skills!H7&gt;0,MIN(Skills!I7,MAX(0,MAX(0,Inputs!$B$43-B825)-((R800-1)*(IF(Inputs!$B$38="pvp",15,MAX(0.1,Skills!D7-IF(Skills!E7=TRUE,Inputs!$B$32,0)))*(1-IF(AND(ArtifactsInput!$M$27,Inputs!$B$4="Chapter Hunt"),CHOOSE(ArtifactsInput!$N$27+1,20,24,28,32,36,40),0)/100)))))/Skills!H7,1)))/Inputs!$B$43),G800*Q800))*IF(Inputs!$B$38="pvp",1,(1+(Inputs!$B$21+Skills!Q7+(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Skills!A8</f>
        <v/>
      </c>
      <c r="B801">
        <f>Skills!B8</f>
        <v/>
      </c>
      <c r="C801">
        <f>Inputs!$B$3&gt;=110</f>
        <v/>
      </c>
      <c r="D801">
        <f>IF(Skills!C8=1,60+Inputs!$B$25+Inputs!$B$29,IF(Skills!C8=2,90+Inputs!$B$26+Inputs!$B$29,IF(Skills!C8=3,120+Inputs!$B$27+Inputs!$B$29,MAX(0,(Inputs!$B$3-100)*3)+(Inputs!$B$28+1)+Inputs!$B$29)))</f>
        <v/>
      </c>
      <c r="E801">
        <f>INDEX(FactorTable!$B$2:$Y$301, MATCH(ROUND(MIN(300,MAX(1,D801)),0), FactorTable!$A$2:$A$301,0), Skills!M8+1)</f>
        <v/>
      </c>
      <c r="F801">
        <f>IF(Skills!N8=TRUE,(Skills!L8/10)*(E801/1000),Skills!L8/10)+Skills!O8</f>
        <v/>
      </c>
      <c r="G801">
        <f>Skills!G8*IF(Skills!H8&gt;0,Skills!I8/Skills!H8,1)</f>
        <v/>
      </c>
      <c r="H801">
        <f>1-(1-Skills!J8/100)^Skills!K8</f>
        <v/>
      </c>
      <c r="I801" t="inlineStr">
        <is>
          <t>1</t>
        </is>
      </c>
      <c r="J801">
        <f>((Inputs!$B$6*(1+Inputs!$B$7/100))+(((Inputs!$B$12*(1+Inputs!$B$13/100))-(Inputs!$B$12*(1+Inputs!$B$13/100)))+0.25*(Inputs!$B$14-Inputs!$B$14))*(1+Inputs!$B$7/100))*(F801/100)</f>
        <v/>
      </c>
      <c r="K801">
        <f>J801*(1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813=TRUE)*(F813-Calc!F20)),(Inputs!$B$23+0+(IF(ArtifactsInput!$M$15,CHOOSE(ArtifactsInput!$N$15+1,25,30,35,40,45,50)/100*(Inputs!$B$11-Inputs!$B$11),0))))/100+(Inputs!$B$23+0+(IF(ArtifactsInput!$M$15,CHOOSE(ArtifactsInput!$N$15+1,25,30,35,40,45,50)/100*(Inputs!$B$11-Inputs!$B$11),0)))/100)/2</f>
        <v/>
      </c>
      <c r="M801">
        <f>L801*(1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IF(B828=0,0,O801/B828)</f>
        <v/>
      </c>
      <c r="Q801">
        <f>IFERROR(1/(IF(Inputs!$B$38="pvp",15,MAX(0.1,Skills!D8-IF(Skills!E8=TRUE,Inputs!$B$32,0)))*(1-IF(AND(ArtifactsInput!$M$27,Inputs!$B$4="Chapter Hunt"),CHOOSE(ArtifactsInput!$N$27+1,20,24,28,32,36,40),0)/100)),0)</f>
        <v/>
      </c>
      <c r="R801">
        <f>IF(AND(Inputs!$B$38&lt;&gt;"pvp",Inputs!$B$43&gt;0),IF(MAX(0,Inputs!$B$43-B825)&lt;=0,0,(INT(MAX(0,Inputs!$B$43-B825)/(IF(Inputs!$B$38="pvp",15,MAX(0.1,Skills!D8-IF(Skills!E8=TRUE,Inputs!$B$32,0)))*(1-IF(AND(ArtifactsInput!$M$27,Inputs!$B$4="Chapter Hunt"),CHOOSE(ArtifactsInput!$N$27+1,20,24,28,32,36,40),0)/100)))+1)),0)</f>
        <v/>
      </c>
      <c r="S801">
        <f>IFERROR(O801/N801,0)</f>
        <v/>
      </c>
      <c r="T801">
        <f>IF(C801,(H801*N801*IF(AND(Inputs!$B$38&lt;&gt;"pvp",Inputs!$B$43&gt;0),((Skills!G8*((R801-1)*IF(Skills!H8&gt;0,Skills!I8/Skills!H8,1)+IF(Skills!H8&gt;0,MIN(Skills!I8,MAX(0,MAX(0,Inputs!$B$43-B825)-((R801-1)*(IF(Inputs!$B$38="pvp",15,MAX(0.1,Skills!D8-IF(Skills!E8=TRUE,Inputs!$B$32,0)))*(1-IF(AND(ArtifactsInput!$M$27,Inputs!$B$4="Chapter Hunt"),CHOOSE(ArtifactsInput!$N$27+1,20,24,28,32,36,40),0)/100)))))/Skills!H8,1)))/Inputs!$B$43),G801*Q801)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H801*N801*IF(AND(Inputs!$B$38&lt;&gt;"pvp",Inputs!$B$43&gt;0),((Skills!G8*((R801-1)*IF(Skills!H8&gt;0,Skills!I8/Skills!H8,1)+IF(Skills!H8&gt;0,MIN(Skills!I8,MAX(0,MAX(0,Inputs!$B$43-B825)-((R801-1)*(IF(Inputs!$B$38="pvp",15,MAX(0.1,Skills!D8-IF(Skills!E8=TRUE,Inputs!$B$32,0)))*(1-IF(AND(ArtifactsInput!$M$27,Inputs!$B$4="Chapter Hunt"),CHOOSE(ArtifactsInput!$N$27+1,20,24,28,32,36,40),0)/100)))))/Skills!H8,1)))/Inputs!$B$43),G801*Q801))*IF(Inputs!$B$38="pvp",1,(1+(Inputs!$B$21+Skills!Q8+(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Skills!A9</f>
        <v/>
      </c>
      <c r="B802">
        <f>Skills!B9</f>
        <v/>
      </c>
      <c r="C802">
        <f>Inputs!$B$3&gt;=110</f>
        <v/>
      </c>
      <c r="D802">
        <f>IF(Skills!C9=1,60+Inputs!$B$25+Inputs!$B$29,IF(Skills!C9=2,90+Inputs!$B$26+Inputs!$B$29,IF(Skills!C9=3,120+Inputs!$B$27+Inputs!$B$29,MAX(0,(Inputs!$B$3-100)*3)+(Inputs!$B$28+1)+Inputs!$B$29)))</f>
        <v/>
      </c>
      <c r="E802">
        <f>INDEX(FactorTable!$B$2:$Y$301, MATCH(ROUND(MIN(300,MAX(1,D802)),0), FactorTable!$A$2:$A$301,0), Skills!M9+1)</f>
        <v/>
      </c>
      <c r="F802">
        <f>IF(Skills!N9=TRUE,(Skills!L9/10)*(E802/1000),Skills!L9/10)+Skills!O9</f>
        <v/>
      </c>
      <c r="G802">
        <f>Skills!G9*IF(Skills!H9&gt;0,Skills!I9/Skills!H9,1)</f>
        <v/>
      </c>
      <c r="H802">
        <f>1-(1-Skills!J9/100)^Skills!K9</f>
        <v/>
      </c>
      <c r="I802" t="inlineStr">
        <is>
          <t>1</t>
        </is>
      </c>
      <c r="J802">
        <f>((Inputs!$B$6*(1+Inputs!$B$7/100))+(((Inputs!$B$12*(1+Inputs!$B$13/100))-(Inputs!$B$12*(1+Inputs!$B$13/100)))+0.25*(Inputs!$B$14-Inputs!$B$14))*(1+Inputs!$B$7/100))*(F802/100)</f>
        <v/>
      </c>
      <c r="K802">
        <f>J802*(1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813=TRUE)*(F813-Calc!F20)),(Inputs!$B$23+0+(IF(ArtifactsInput!$M$15,CHOOSE(ArtifactsInput!$N$15+1,25,30,35,40,45,50)/100*(Inputs!$B$11-Inputs!$B$11),0))))/100+(Inputs!$B$23+0+(IF(ArtifactsInput!$M$15,CHOOSE(ArtifactsInput!$N$15+1,25,30,35,40,45,50)/100*(Inputs!$B$11-Inputs!$B$11),0)))/100)/2</f>
        <v/>
      </c>
      <c r="M802">
        <f>L802*(1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IF(B828=0,0,O802/B828)</f>
        <v/>
      </c>
      <c r="Q802">
        <f>IFERROR(1/(IF(Inputs!$B$38="pvp",15,MAX(0.1,Skills!D9-IF(Skills!E9=TRUE,Inputs!$B$32,0)))*(1-IF(AND(ArtifactsInput!$M$27,Inputs!$B$4="Chapter Hunt"),CHOOSE(ArtifactsInput!$N$27+1,20,24,28,32,36,40),0)/100)),0)</f>
        <v/>
      </c>
      <c r="R802">
        <f>IF(AND(Inputs!$B$38&lt;&gt;"pvp",Inputs!$B$43&gt;0),IF(MAX(0,Inputs!$B$43-B825)&lt;=0,0,(INT(MAX(0,Inputs!$B$43-B825)/(IF(Inputs!$B$38="pvp",15,MAX(0.1,Skills!D9-IF(Skills!E9=TRUE,Inputs!$B$32,0)))*(1-IF(AND(ArtifactsInput!$M$27,Inputs!$B$4="Chapter Hunt"),CHOOSE(ArtifactsInput!$N$27+1,20,24,28,32,36,40),0)/100)))+1)),0)</f>
        <v/>
      </c>
      <c r="S802">
        <f>IFERROR(O802/N802,0)</f>
        <v/>
      </c>
      <c r="T802">
        <f>IF(C802,(H802*N802*IF(AND(Inputs!$B$38&lt;&gt;"pvp",Inputs!$B$43&gt;0),((Skills!G9*((R802-1)*IF(Skills!H9&gt;0,Skills!I9/Skills!H9,1)+IF(Skills!H9&gt;0,MIN(Skills!I9,MAX(0,MAX(0,Inputs!$B$43-B825)-((R802-1)*(IF(Inputs!$B$38="pvp",15,MAX(0.1,Skills!D9-IF(Skills!E9=TRUE,Inputs!$B$32,0)))*(1-IF(AND(ArtifactsInput!$M$27,Inputs!$B$4="Chapter Hunt"),CHOOSE(ArtifactsInput!$N$27+1,20,24,28,32,36,40),0)/100)))))/Skills!H9,1)))/Inputs!$B$43),G802*Q802)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9*((R802-1)*IF(Skills!H9&gt;0,Skills!I9/Skills!H9,1)+IF(Skills!H9&gt;0,MIN(Skills!I9,MAX(0,MAX(0,Inputs!$B$43-B825)-((R802-1)*(IF(Inputs!$B$38="pvp",15,MAX(0.1,Skills!D9-IF(Skills!E9=TRUE,Inputs!$B$32,0)))*(1-IF(AND(ArtifactsInput!$M$27,Inputs!$B$4="Chapter Hunt"),CHOOSE(ArtifactsInput!$N$27+1,20,24,28,32,36,40),0)/100)))))/Skills!H9,1)))/Inputs!$B$43),G802*Q802))*IF(Inputs!$B$38="pvp",1,(1+(Inputs!$B$21+Skills!Q9+(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Skills!A10</f>
        <v/>
      </c>
      <c r="B803">
        <f>Skills!B10</f>
        <v/>
      </c>
      <c r="C803">
        <f>Inputs!$B$3&gt;=103</f>
        <v/>
      </c>
      <c r="D803">
        <f>IF(Skills!C10=1,60+Inputs!$B$25+Inputs!$B$29,IF(Skills!C10=2,90+Inputs!$B$26+Inputs!$B$29,IF(Skills!C10=3,120+Inputs!$B$27+Inputs!$B$29,MAX(0,(Inputs!$B$3-100)*3)+(Inputs!$B$28+1)+Inputs!$B$29)))</f>
        <v/>
      </c>
      <c r="E803">
        <f>INDEX(FactorTable!$B$2:$Y$301, MATCH(ROUND(MIN(300,MAX(1,D803)),0), FactorTable!$A$2:$A$301,0), Skills!M10+1)</f>
        <v/>
      </c>
      <c r="F803">
        <f>IF(Skills!N10=TRUE,(Skills!L10/10)*(E803/1000),Skills!L10/10)+Skills!O10</f>
        <v/>
      </c>
      <c r="G803">
        <f>Skills!G10*IF(Skills!H10&gt;0,Skills!I10/Skills!H10,1)</f>
        <v/>
      </c>
      <c r="H803">
        <f>1-(1-Skills!J10/100)^Skills!K10</f>
        <v/>
      </c>
      <c r="I803" t="inlineStr">
        <is>
          <t>1</t>
        </is>
      </c>
      <c r="J803">
        <f>((Inputs!$B$6*(1+Inputs!$B$7/100))+(((Inputs!$B$12*(1+Inputs!$B$13/100))-(Inputs!$B$12*(1+Inputs!$B$13/100)))+0.25*(Inputs!$B$14-Inputs!$B$14))*(1+Inputs!$B$7/100))*(F803/100)</f>
        <v/>
      </c>
      <c r="K803">
        <f>J803*(1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803)</f>
        <v/>
      </c>
      <c r="L803">
        <f>K803*(MIN(Inputs!$B$22+((C813=TRUE)*(F813-Calc!F20)),(Inputs!$B$23+0+(IF(ArtifactsInput!$M$15,CHOOSE(ArtifactsInput!$N$15+1,25,30,35,40,45,50)/100*(Inputs!$B$11-Inputs!$B$11),0))))/100+(Inputs!$B$23+0+(IF(ArtifactsInput!$M$15,CHOOSE(ArtifactsInput!$N$15+1,25,30,35,40,45,50)/100*(Inputs!$B$11-Inputs!$B$11),0)))/100)/2</f>
        <v/>
      </c>
      <c r="M803">
        <f>L803*(1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3">
        <f>L803*(1-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803*(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3">
        <f>(1-Summary!$B$11)*T803+Summary!$B$11*V803</f>
        <v/>
      </c>
      <c r="P803">
        <f>IF(B828=0,0,O803/B828)</f>
        <v/>
      </c>
      <c r="Q803">
        <f>IFERROR(1/(IF(Inputs!$B$38="pvp",15,MAX(0.1,Skills!D10-IF(Skills!E10=TRUE,Inputs!$B$32,0)))*(1-IF(AND(ArtifactsInput!$M$27,Inputs!$B$4="Chapter Hunt"),CHOOSE(ArtifactsInput!$N$27+1,20,24,28,32,36,40),0)/100)),0)</f>
        <v/>
      </c>
      <c r="R803">
        <f>IF(AND(Inputs!$B$38&lt;&gt;"pvp",Inputs!$B$43&gt;0),IF(MAX(0,Inputs!$B$43-B825)&lt;=0,0,(INT(MAX(0,Inputs!$B$43-B825)/(IF(Inputs!$B$38="pvp",15,MAX(0.1,Skills!D10-IF(Skills!E10=TRUE,Inputs!$B$32,0)))*(1-IF(AND(ArtifactsInput!$M$27,Inputs!$B$4="Chapter Hunt"),CHOOSE(ArtifactsInput!$N$27+1,20,24,28,32,36,40),0)/100)))+1)),0)</f>
        <v/>
      </c>
      <c r="S803">
        <f>IFERROR(O803/N803,0)</f>
        <v/>
      </c>
      <c r="T803">
        <f>IF(C803,(H803*N803*IF(AND(Inputs!$B$38&lt;&gt;"pvp",Inputs!$B$43&gt;0),((Skills!G10*((R803-1)*IF(Skills!H10&gt;0,Skills!I10/Skills!H10,1)+IF(Skills!H10&gt;0,MIN(Skills!I10,MAX(0,MAX(0,Inputs!$B$43-B825)-((R803-1)*(IF(Inputs!$B$38="pvp",15,MAX(0.1,Skills!D10-IF(Skills!E10=TRUE,Inputs!$B$32,0)))*(1-IF(AND(ArtifactsInput!$M$27,Inputs!$B$4="Chapter Hunt"),CHOOSE(ArtifactsInput!$N$27+1,20,24,28,32,36,40),0)/100)))))/Skills!H10,1)))/Inputs!$B$43),G803*Q803)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803*(1-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803*(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803*(1-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803*(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3">
        <f>IF(C803,(H803*N803*IF(AND(Inputs!$B$38&lt;&gt;"pvp",Inputs!$B$43&gt;0),((Skills!G10*((R803-1)*IF(Skills!H10&gt;0,Skills!I10/Skills!H10,1)+IF(Skills!H10&gt;0,MIN(Skills!I10,MAX(0,MAX(0,Inputs!$B$43-B825)-((R803-1)*(IF(Inputs!$B$38="pvp",15,MAX(0.1,Skills!D10-IF(Skills!E10=TRUE,Inputs!$B$32,0)))*(1-IF(AND(ArtifactsInput!$M$27,Inputs!$B$4="Chapter Hunt"),CHOOSE(ArtifactsInput!$N$27+1,20,24,28,32,36,40),0)/100)))))/Skills!H10,1)))/Inputs!$B$43),G803*Q803))*IF(Inputs!$B$38="pvp",1,(1+(Inputs!$B$21+Skills!Q10+(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4">
      <c r="A804">
        <f>Skills!A11</f>
        <v/>
      </c>
      <c r="B804">
        <f>Skills!B11</f>
        <v/>
      </c>
      <c r="C804">
        <f>Inputs!$B$3&gt;=113</f>
        <v/>
      </c>
      <c r="D804">
        <f>IF(Skills!C11=1,60+Inputs!$B$25+Inputs!$B$29,IF(Skills!C11=2,90+Inputs!$B$26+Inputs!$B$29,IF(Skills!C11=3,120+Inputs!$B$27+Inputs!$B$29,MAX(0,(Inputs!$B$3-100)*3)+(Inputs!$B$28+1)+Inputs!$B$29)))</f>
        <v/>
      </c>
      <c r="E804">
        <f>INDEX(FactorTable!$B$2:$Y$301, MATCH(ROUND(MIN(300,MAX(1,D804)),0), FactorTable!$A$2:$A$301,0), Skills!M11+1)</f>
        <v/>
      </c>
      <c r="F804">
        <f>IF(Skills!N11=TRUE,(Skills!L11/10)*(E804/1000),Skills!L11/10)+Skills!O11</f>
        <v/>
      </c>
      <c r="G804">
        <f>Skills!G11*IF(Skills!H11&gt;0,Skills!I11/Skills!H11,1)</f>
        <v/>
      </c>
      <c r="H804">
        <f>1-(1-Skills!J11/100)^Skills!K11</f>
        <v/>
      </c>
      <c r="I804" t="inlineStr">
        <is>
          <t>1</t>
        </is>
      </c>
      <c r="J804">
        <f>((Inputs!$B$6*(1+Inputs!$B$7/100))+(((Inputs!$B$12*(1+Inputs!$B$13/100))-(Inputs!$B$12*(1+Inputs!$B$13/100)))+0.25*(Inputs!$B$14-Inputs!$B$14))*(1+Inputs!$B$7/100))*(F804/100)</f>
        <v/>
      </c>
      <c r="K804">
        <f>J804*(1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804)</f>
        <v/>
      </c>
      <c r="L804">
        <f>K804*(MIN(Inputs!$B$22+((C813=TRUE)*(F813-Calc!F20)),(Inputs!$B$23+0+(IF(ArtifactsInput!$M$15,CHOOSE(ArtifactsInput!$N$15+1,25,30,35,40,45,50)/100*(Inputs!$B$11-Inputs!$B$11),0))))/100+(Inputs!$B$23+0+(IF(ArtifactsInput!$M$15,CHOOSE(ArtifactsInput!$N$15+1,25,30,35,40,45,50)/100*(Inputs!$B$11-Inputs!$B$11),0)))/100)/2</f>
        <v/>
      </c>
      <c r="M804">
        <f>L804*(1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4">
        <f>L804*(1-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804*(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4">
        <f>(1-Summary!$B$11)*T804+Summary!$B$11*V804</f>
        <v/>
      </c>
      <c r="P804">
        <f>IF(B828=0,0,O804/B828)</f>
        <v/>
      </c>
      <c r="Q804">
        <f>IFERROR(1/(IF(Inputs!$B$38="pvp",15,MAX(0.1,Skills!D11-IF(Skills!E11=TRUE,Inputs!$B$32,0)))*(1-IF(AND(ArtifactsInput!$M$27,Inputs!$B$4="Chapter Hunt"),CHOOSE(ArtifactsInput!$N$27+1,20,24,28,32,36,40),0)/100)),0)</f>
        <v/>
      </c>
      <c r="R804">
        <f>IF(AND(Inputs!$B$38&lt;&gt;"pvp",Inputs!$B$43&gt;0),IF(MAX(0,Inputs!$B$43-B825)&lt;=0,0,(INT(MAX(0,Inputs!$B$43-B825)/(IF(Inputs!$B$38="pvp",15,MAX(0.1,Skills!D11-IF(Skills!E11=TRUE,Inputs!$B$32,0)))*(1-IF(AND(ArtifactsInput!$M$27,Inputs!$B$4="Chapter Hunt"),CHOOSE(ArtifactsInput!$N$27+1,20,24,28,32,36,40),0)/100)))+1)),0)</f>
        <v/>
      </c>
      <c r="S804">
        <f>IFERROR(O804/N804,0)</f>
        <v/>
      </c>
      <c r="T804">
        <f>IF(C804,(H804*N804*IF(AND(Inputs!$B$38&lt;&gt;"pvp",Inputs!$B$43&gt;0),((Skills!G11*((R804-1)*IF(Skills!H11&gt;0,Skills!I11/Skills!H11,1)+IF(Skills!H11&gt;0,MIN(Skills!I11,MAX(0,MAX(0,Inputs!$B$43-B825)-((R804-1)*(IF(Inputs!$B$38="pvp",15,MAX(0.1,Skills!D11-IF(Skills!E11=TRUE,Inputs!$B$32,0)))*(1-IF(AND(ArtifactsInput!$M$27,Inputs!$B$4="Chapter Hunt"),CHOOSE(ArtifactsInput!$N$27+1,20,24,28,32,36,40),0)/100)))))/Skills!H11,1)))/Inputs!$B$43),G804*Q804)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804*(1-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804*(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804*(1-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804*(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4">
        <f>IF(C804,(H804*N804*IF(AND(Inputs!$B$38&lt;&gt;"pvp",Inputs!$B$43&gt;0),((Skills!G11*((R804-1)*IF(Skills!H11&gt;0,Skills!I11/Skills!H11,1)+IF(Skills!H11&gt;0,MIN(Skills!I11,MAX(0,MAX(0,Inputs!$B$43-B825)-((R804-1)*(IF(Inputs!$B$38="pvp",15,MAX(0.1,Skills!D11-IF(Skills!E11=TRUE,Inputs!$B$32,0)))*(1-IF(AND(ArtifactsInput!$M$27,Inputs!$B$4="Chapter Hunt"),CHOOSE(ArtifactsInput!$N$27+1,20,24,28,32,36,40),0)/100)))))/Skills!H11,1)))/Inputs!$B$43),G804*Q804))*IF(Inputs!$B$38="pvp",1,(1+(Inputs!$B$21+Skills!Q11+(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5">
      <c r="A805">
        <f>Skills!A12</f>
        <v/>
      </c>
      <c r="B805">
        <f>Skills!B12</f>
        <v/>
      </c>
      <c r="C805">
        <f>Inputs!$B$3&gt;=100</f>
        <v/>
      </c>
      <c r="D805">
        <f>IF(Skills!C12=1,60+Inputs!$B$25+Inputs!$B$29,IF(Skills!C12=2,90+Inputs!$B$26+Inputs!$B$29,IF(Skills!C12=3,120+Inputs!$B$27+Inputs!$B$29,MAX(0,(Inputs!$B$3-100)*3)+(Inputs!$B$28+1)+Inputs!$B$29)))</f>
        <v/>
      </c>
      <c r="E805">
        <f>INDEX(FactorTable!$B$2:$Y$301, MATCH(ROUND(MIN(300,MAX(1,D805)),0), FactorTable!$A$2:$A$301,0), Skills!M12+1)</f>
        <v/>
      </c>
      <c r="F805">
        <f>IF(Skills!N12=TRUE,(Skills!L12/10)*(E805/1000),Skills!L12/10)+Skills!O12</f>
        <v/>
      </c>
      <c r="G805" t="inlineStr"/>
      <c r="H805" t="inlineStr"/>
      <c r="I805" t="inlineStr">
        <is>
          <t>1</t>
        </is>
      </c>
      <c r="J805" t="inlineStr"/>
      <c r="K805" t="inlineStr"/>
      <c r="L805" t="inlineStr"/>
      <c r="M805" t="inlineStr"/>
      <c r="N805" t="inlineStr"/>
      <c r="O805" t="inlineStr"/>
      <c r="P805" t="inlineStr"/>
      <c r="Q805" t="inlineStr"/>
      <c r="R805" t="inlineStr"/>
      <c r="S805" t="inlineStr"/>
      <c r="T805" t="inlineStr"/>
      <c r="V805" t="inlineStr"/>
    </row>
    <row r="806">
      <c r="A806">
        <f>Skills!A13</f>
        <v/>
      </c>
      <c r="B806">
        <f>Skills!B13</f>
        <v/>
      </c>
      <c r="C806">
        <f>Inputs!$B$3&gt;=66</f>
        <v/>
      </c>
      <c r="D806">
        <f>IF(Skills!C13=1,60+Inputs!$B$25+Inputs!$B$29,IF(Skills!C13=2,90+Inputs!$B$26+Inputs!$B$29,IF(Skills!C13=3,120+Inputs!$B$27+Inputs!$B$29,MAX(0,(Inputs!$B$3-100)*3)+(Inputs!$B$28+1)+Inputs!$B$29)))</f>
        <v/>
      </c>
      <c r="E806">
        <f>INDEX(FactorTable!$B$2:$Y$301, MATCH(ROUND(MIN(300,MAX(1,D806)),0), FactorTable!$A$2:$A$301,0), Skills!M13+1)</f>
        <v/>
      </c>
      <c r="F806">
        <f>IF(Skills!N13=TRUE,(Skills!L13/10)*(E806/1000),Skills!L13/10)+Skills!O13</f>
        <v/>
      </c>
      <c r="G806">
        <f>Skills!G13*IF(Skills!H13&gt;0,Skills!I13/Skills!H13,1)</f>
        <v/>
      </c>
      <c r="H806">
        <f>1-(1-Skills!J13/100)^Skills!K13</f>
        <v/>
      </c>
      <c r="I806" t="inlineStr">
        <is>
          <t>1</t>
        </is>
      </c>
      <c r="J806" t="inlineStr"/>
      <c r="K806" t="inlineStr"/>
      <c r="L806" t="inlineStr"/>
      <c r="M806" t="inlineStr"/>
      <c r="N806" t="inlineStr"/>
      <c r="O806">
        <f>(1-Summary!$B$11)*T806+Summary!$B$11*V806</f>
        <v/>
      </c>
      <c r="P806">
        <f>IF(B828=0,0,O806/B828)</f>
        <v/>
      </c>
      <c r="Q806" t="n">
        <v>0</v>
      </c>
      <c r="R806" t="n">
        <v>0</v>
      </c>
      <c r="S806">
        <f>IFERROR(O806/N806,0)</f>
        <v/>
      </c>
      <c r="T806" t="n">
        <v>0</v>
      </c>
      <c r="V806" t="n">
        <v>0</v>
      </c>
    </row>
    <row r="807">
      <c r="A807">
        <f>Skills!A14</f>
        <v/>
      </c>
      <c r="B807">
        <f>Skills!B14</f>
        <v/>
      </c>
      <c r="C807">
        <f>Inputs!$B$3&gt;=107</f>
        <v/>
      </c>
      <c r="D807">
        <f>IF(Skills!C14=1,60+Inputs!$B$25+Inputs!$B$29,IF(Skills!C14=2,90+Inputs!$B$26+Inputs!$B$29,IF(Skills!C14=3,120+Inputs!$B$27+Inputs!$B$29,MAX(0,(Inputs!$B$3-100)*3)+(Inputs!$B$28+1)+Inputs!$B$29)))</f>
        <v/>
      </c>
      <c r="E807">
        <f>INDEX(FactorTable!$B$2:$Y$301, MATCH(ROUND(MIN(300,MAX(1,D807)),0), FactorTable!$A$2:$A$301,0), Skills!M14+1)</f>
        <v/>
      </c>
      <c r="F807">
        <f>IF(Skills!N14=TRUE,(Skills!L14/10)*(E807/1000),Skills!L14/10)+Skills!O14</f>
        <v/>
      </c>
      <c r="G807">
        <f>Skills!G14*IF(Skills!H14&gt;0,Skills!I14/Skills!H14,1)</f>
        <v/>
      </c>
      <c r="H807">
        <f>1-(1-Skills!J14/100)^Skills!K14</f>
        <v/>
      </c>
      <c r="I807" t="inlineStr">
        <is>
          <t>1</t>
        </is>
      </c>
      <c r="J807" t="inlineStr"/>
      <c r="K807" t="inlineStr"/>
      <c r="L807" t="inlineStr"/>
      <c r="M807" t="inlineStr"/>
      <c r="N807" t="inlineStr"/>
      <c r="O807">
        <f>(1-Summary!$B$11)*T807+Summary!$B$11*V807</f>
        <v/>
      </c>
      <c r="P807">
        <f>IF(B828=0,0,O807/B828)</f>
        <v/>
      </c>
      <c r="Q807" t="n">
        <v>0</v>
      </c>
      <c r="R807" t="n">
        <v>0</v>
      </c>
      <c r="S807">
        <f>IFERROR(O807/N807,0)</f>
        <v/>
      </c>
      <c r="T807" t="n">
        <v>0</v>
      </c>
      <c r="V807" t="n">
        <v>0</v>
      </c>
    </row>
    <row r="808">
      <c r="A808">
        <f>Skills!A15</f>
        <v/>
      </c>
      <c r="B808">
        <f>Skills!B15</f>
        <v/>
      </c>
      <c r="C808">
        <f>Inputs!$B$3&gt;=115</f>
        <v/>
      </c>
      <c r="D808">
        <f>IF(Skills!C15=1,60+Inputs!$B$25+Inputs!$B$29,IF(Skills!C15=2,90+Inputs!$B$26+Inputs!$B$29,IF(Skills!C15=3,120+Inputs!$B$27+Inputs!$B$29,MAX(0,(Inputs!$B$3-100)*3)+(Inputs!$B$28+1)+Inputs!$B$29)))</f>
        <v/>
      </c>
      <c r="E808">
        <f>INDEX(FactorTable!$B$2:$Y$301, MATCH(ROUND(MIN(300,MAX(1,D808)),0), FactorTable!$A$2:$A$301,0), Skills!M15+1)</f>
        <v/>
      </c>
      <c r="F808">
        <f>IF(Skills!N15=TRUE,(Skills!L15/10)*(E808/1000),Skills!L15/10)+Skills!O15</f>
        <v/>
      </c>
      <c r="G808">
        <f>Skills!G15*IF(Skills!H15&gt;0,Skills!I15/Skills!H15,1)</f>
        <v/>
      </c>
      <c r="H808">
        <f>1-(1-Skills!J15/100)^Skills!K15</f>
        <v/>
      </c>
      <c r="I808" t="inlineStr">
        <is>
          <t>1</t>
        </is>
      </c>
      <c r="J808" t="inlineStr"/>
      <c r="K808" t="inlineStr"/>
      <c r="L808" t="inlineStr"/>
      <c r="M808" t="inlineStr"/>
      <c r="N808" t="inlineStr"/>
      <c r="O808">
        <f>(1-Summary!$B$11)*T808+Summary!$B$11*V808</f>
        <v/>
      </c>
      <c r="P808">
        <f>IF(B828=0,0,O808/B828)</f>
        <v/>
      </c>
      <c r="Q808" t="n">
        <v>0</v>
      </c>
      <c r="R808" t="n">
        <v>0</v>
      </c>
      <c r="S808">
        <f>IFERROR(O808/N808,0)</f>
        <v/>
      </c>
      <c r="T808" t="n">
        <v>0</v>
      </c>
      <c r="V808" t="n">
        <v>0</v>
      </c>
    </row>
    <row r="809">
      <c r="A809">
        <f>Skills!A16</f>
        <v/>
      </c>
      <c r="B809">
        <f>Skills!B16</f>
        <v/>
      </c>
      <c r="C809">
        <f>Inputs!$B$3&gt;=15</f>
        <v/>
      </c>
      <c r="D809">
        <f>IF(Skills!C16=1,60+Inputs!$B$25+Inputs!$B$29,IF(Skills!C16=2,90+Inputs!$B$26+Inputs!$B$29,IF(Skills!C16=3,120+Inputs!$B$27+Inputs!$B$29,MAX(0,(Inputs!$B$3-100)*3)+(Inputs!$B$28+1)+Inputs!$B$29)))</f>
        <v/>
      </c>
      <c r="E809">
        <f>INDEX(FactorTable!$B$2:$Y$301, MATCH(ROUND(MIN(300,MAX(1,D809)),0), FactorTable!$A$2:$A$301,0), Skills!M16+1)</f>
        <v/>
      </c>
      <c r="F809">
        <f>IF(Skills!N16=TRUE,(Skills!L16/10)*(E809/1000),Skills!L16/10)+Skills!O16</f>
        <v/>
      </c>
      <c r="G809">
        <f>Skills!G16*IF(Skills!H16&gt;0,Skills!I16/Skills!H16,1)</f>
        <v/>
      </c>
      <c r="H809">
        <f>1-(1-Skills!J16/100)^Skills!K16</f>
        <v/>
      </c>
      <c r="I809" t="inlineStr">
        <is>
          <t>1</t>
        </is>
      </c>
      <c r="J809" t="inlineStr"/>
      <c r="K809" t="inlineStr"/>
      <c r="L809" t="inlineStr"/>
      <c r="M809" t="inlineStr"/>
      <c r="N809" t="inlineStr"/>
      <c r="O809">
        <f>(1-Summary!$B$11)*T809+Summary!$B$11*V809</f>
        <v/>
      </c>
      <c r="P809">
        <f>IF(B828=0,0,O809/B828)</f>
        <v/>
      </c>
      <c r="Q809" t="n">
        <v>0</v>
      </c>
      <c r="R809" t="n">
        <v>0</v>
      </c>
      <c r="S809">
        <f>IFERROR(O809/N809,0)</f>
        <v/>
      </c>
      <c r="T809" t="n">
        <v>0</v>
      </c>
      <c r="V809" t="n">
        <v>0</v>
      </c>
    </row>
    <row r="810">
      <c r="A810">
        <f>Skills!A17</f>
        <v/>
      </c>
      <c r="B810">
        <f>Skills!B17</f>
        <v/>
      </c>
      <c r="C810">
        <f>Inputs!$B$3&gt;=10</f>
        <v/>
      </c>
      <c r="D810">
        <f>IF(Skills!C17=1,60+Inputs!$B$25+Inputs!$B$29,IF(Skills!C17=2,90+Inputs!$B$26+Inputs!$B$29,IF(Skills!C17=3,120+Inputs!$B$27+Inputs!$B$29,MAX(0,(Inputs!$B$3-100)*3)+(Inputs!$B$28+1)+Inputs!$B$29)))</f>
        <v/>
      </c>
      <c r="E810">
        <f>INDEX(FactorTable!$B$2:$Y$301, MATCH(ROUND(MIN(300,MAX(1,D810)),0), FactorTable!$A$2:$A$301,0), Skills!M17+1)</f>
        <v/>
      </c>
      <c r="F810">
        <f>IF(Skills!N17=TRUE,(Skills!L17/10)*(E810/1000),Skills!L17/10)+Skills!O17</f>
        <v/>
      </c>
      <c r="G810">
        <f>Skills!G17*IF(Skills!H17&gt;0,Skills!I17/Skills!H17,1)</f>
        <v/>
      </c>
      <c r="H810">
        <f>1-(1-Skills!J17/100)^Skills!K17</f>
        <v/>
      </c>
      <c r="I810" t="inlineStr">
        <is>
          <t>1</t>
        </is>
      </c>
      <c r="J810" t="inlineStr"/>
      <c r="K810" t="inlineStr"/>
      <c r="L810" t="inlineStr"/>
      <c r="M810" t="inlineStr"/>
      <c r="N810" t="inlineStr"/>
      <c r="O810">
        <f>(1-Summary!$B$11)*T810+Summary!$B$11*V810</f>
        <v/>
      </c>
      <c r="P810">
        <f>IF(B828=0,0,O810/B828)</f>
        <v/>
      </c>
      <c r="Q810" t="n">
        <v>0</v>
      </c>
      <c r="R810" t="n">
        <v>0</v>
      </c>
      <c r="S810">
        <f>IFERROR(O810/N810,0)</f>
        <v/>
      </c>
      <c r="T810" t="n">
        <v>0</v>
      </c>
      <c r="V810" t="n">
        <v>0</v>
      </c>
    </row>
    <row r="811">
      <c r="A811">
        <f>Skills!A18</f>
        <v/>
      </c>
      <c r="B811">
        <f>Skills!B18</f>
        <v/>
      </c>
      <c r="C811">
        <f>Inputs!$B$3&gt;=33</f>
        <v/>
      </c>
      <c r="D811">
        <f>IF(Skills!C18=1,60+Inputs!$B$25+Inputs!$B$29,IF(Skills!C18=2,90+Inputs!$B$26+Inputs!$B$29,IF(Skills!C18=3,120+Inputs!$B$27+Inputs!$B$29,MAX(0,(Inputs!$B$3-100)*3)+(Inputs!$B$28+1)+Inputs!$B$29)))</f>
        <v/>
      </c>
      <c r="E811">
        <f>INDEX(FactorTable!$B$2:$Y$301, MATCH(ROUND(MIN(300,MAX(1,D811)),0), FactorTable!$A$2:$A$301,0), Skills!M18+1)</f>
        <v/>
      </c>
      <c r="F811">
        <f>IF(Skills!N18=TRUE,(Skills!L18/10)*(E811/1000),Skills!L18/10)+Skills!O18</f>
        <v/>
      </c>
      <c r="G811">
        <f>Skills!G18*IF(Skills!H18&gt;0,Skills!I18/Skills!H18,1)</f>
        <v/>
      </c>
      <c r="H811">
        <f>1-(1-Skills!J18/100)^Skills!K18</f>
        <v/>
      </c>
      <c r="I811" t="inlineStr">
        <is>
          <t>1</t>
        </is>
      </c>
      <c r="J811" t="inlineStr"/>
      <c r="K811" t="inlineStr"/>
      <c r="L811" t="inlineStr"/>
      <c r="M811" t="inlineStr"/>
      <c r="N811" t="inlineStr"/>
      <c r="O811">
        <f>(1-Summary!$B$11)*T811+Summary!$B$11*V811</f>
        <v/>
      </c>
      <c r="P811">
        <f>IF(B828=0,0,O811/B828)</f>
        <v/>
      </c>
      <c r="Q811" t="n">
        <v>0</v>
      </c>
      <c r="R811" t="n">
        <v>0</v>
      </c>
      <c r="S811">
        <f>IFERROR(O811/N811,0)</f>
        <v/>
      </c>
      <c r="T811" t="n">
        <v>0</v>
      </c>
      <c r="V811" t="n">
        <v>0</v>
      </c>
    </row>
    <row r="812">
      <c r="A812">
        <f>Skills!A19</f>
        <v/>
      </c>
      <c r="B812">
        <f>Skills!B19</f>
        <v/>
      </c>
      <c r="C812">
        <f>Inputs!$B$3&gt;=40</f>
        <v/>
      </c>
      <c r="D812">
        <f>IF(Skills!C19=1,60+Inputs!$B$25+Inputs!$B$29,IF(Skills!C19=2,90+Inputs!$B$26+Inputs!$B$29,IF(Skills!C19=3,120+Inputs!$B$27+Inputs!$B$29,MAX(0,(Inputs!$B$3-100)*3)+(Inputs!$B$28+1)+Inputs!$B$29)))</f>
        <v/>
      </c>
      <c r="E812">
        <f>INDEX(FactorTable!$B$2:$Y$301, MATCH(ROUND(MIN(300,MAX(1,D812)),0), FactorTable!$A$2:$A$301,0), Skills!M19+1)</f>
        <v/>
      </c>
      <c r="F812">
        <f>IF(Skills!N19=TRUE,(Skills!L19/10)*(E812/1000),Skills!L19/10)+Skills!O19</f>
        <v/>
      </c>
      <c r="G812">
        <f>Skills!G19*IF(Skills!H19&gt;0,Skills!I19/Skills!H19,1)</f>
        <v/>
      </c>
      <c r="H812">
        <f>1-(1-Skills!J19/100)^Skills!K19</f>
        <v/>
      </c>
      <c r="I812" t="inlineStr">
        <is>
          <t>1</t>
        </is>
      </c>
      <c r="J812" t="inlineStr"/>
      <c r="K812" t="inlineStr"/>
      <c r="L812" t="inlineStr"/>
      <c r="M812" t="inlineStr"/>
      <c r="N812" t="inlineStr"/>
      <c r="O812">
        <f>(1-Summary!$B$11)*T812+Summary!$B$11*V812</f>
        <v/>
      </c>
      <c r="P812">
        <f>IF(B828=0,0,O812/B828)</f>
        <v/>
      </c>
      <c r="Q812" t="n">
        <v>0</v>
      </c>
      <c r="R812" t="n">
        <v>0</v>
      </c>
      <c r="S812">
        <f>IFERROR(O812/N812,0)</f>
        <v/>
      </c>
      <c r="T812" t="n">
        <v>0</v>
      </c>
      <c r="V812" t="n">
        <v>0</v>
      </c>
    </row>
    <row r="813">
      <c r="A813">
        <f>Skills!A20</f>
        <v/>
      </c>
      <c r="B813">
        <f>Skills!B20</f>
        <v/>
      </c>
      <c r="C813">
        <f>Inputs!$B$3&gt;=43</f>
        <v/>
      </c>
      <c r="D813">
        <f>IF(Skills!C20=1,60+Inputs!$B$25+Inputs!$B$29,IF(Skills!C20=2,90+Inputs!$B$26+Inputs!$B$29,IF(Skills!C20=3,120+Inputs!$B$27+Inputs!$B$29,MAX(0,(Inputs!$B$3-100)*3)+(Inputs!$B$28+1)+Inputs!$B$29)))</f>
        <v/>
      </c>
      <c r="E813">
        <f>INDEX(FactorTable!$B$2:$Y$301, MATCH(ROUND(MIN(300,MAX(1,D813)),0), FactorTable!$A$2:$A$301,0), Skills!M20+1)</f>
        <v/>
      </c>
      <c r="F813">
        <f>IF(Skills!N20=TRUE,(Skills!L20/10)*(E813/1000),Skills!L20/10)+Skills!O20</f>
        <v/>
      </c>
      <c r="G813">
        <f>Skills!G20*IF(Skills!H20&gt;0,Skills!I20/Skills!H20,1)</f>
        <v/>
      </c>
      <c r="H813">
        <f>1-(1-Skills!J20/100)^Skills!K20</f>
        <v/>
      </c>
      <c r="I813" t="inlineStr">
        <is>
          <t>1</t>
        </is>
      </c>
      <c r="J813" t="inlineStr"/>
      <c r="K813" t="inlineStr"/>
      <c r="L813" t="inlineStr"/>
      <c r="M813" t="inlineStr"/>
      <c r="N813" t="inlineStr"/>
      <c r="O813">
        <f>(1-Summary!$B$11)*T813+Summary!$B$11*V813</f>
        <v/>
      </c>
      <c r="P813">
        <f>IF(B828=0,0,O813/B828)</f>
        <v/>
      </c>
      <c r="Q813" t="n">
        <v>0</v>
      </c>
      <c r="R813" t="n">
        <v>0</v>
      </c>
      <c r="S813">
        <f>IFERROR(O813/N813,0)</f>
        <v/>
      </c>
      <c r="T813" t="n">
        <v>0</v>
      </c>
      <c r="V813" t="n">
        <v>0</v>
      </c>
    </row>
    <row r="814">
      <c r="A814">
        <f>Skills!A21</f>
        <v/>
      </c>
      <c r="B814">
        <f>Skills!B21</f>
        <v/>
      </c>
      <c r="C814">
        <f>Inputs!$B$3&gt;=38</f>
        <v/>
      </c>
      <c r="D814">
        <f>IF(Skills!C21=1,60+Inputs!$B$25+Inputs!$B$29,IF(Skills!C21=2,90+Inputs!$B$26+Inputs!$B$29,IF(Skills!C21=3,120+Inputs!$B$27+Inputs!$B$29,MAX(0,(Inputs!$B$3-100)*3)+(Inputs!$B$28+1)+Inputs!$B$29)))</f>
        <v/>
      </c>
      <c r="E814">
        <f>INDEX(FactorTable!$B$2:$Y$301, MATCH(ROUND(MIN(300,MAX(1,D814)),0), FactorTable!$A$2:$A$301,0), Skills!M21+1)</f>
        <v/>
      </c>
      <c r="F814">
        <f>IF(Skills!N21=TRUE,(Skills!L21/10)*(E814/1000),Skills!L21/10)+Skills!O21</f>
        <v/>
      </c>
      <c r="G814">
        <f>Skills!G21*IF(Skills!H21&gt;0,Skills!I21/Skills!H21,1)</f>
        <v/>
      </c>
      <c r="H814">
        <f>1-(1-Skills!J21/100)^Skills!K21</f>
        <v/>
      </c>
      <c r="I814" t="inlineStr">
        <is>
          <t>1</t>
        </is>
      </c>
      <c r="J814" t="inlineStr"/>
      <c r="K814" t="inlineStr"/>
      <c r="L814" t="inlineStr"/>
      <c r="M814" t="inlineStr"/>
      <c r="N814" t="inlineStr"/>
      <c r="O814">
        <f>(1-Summary!$B$11)*T814+Summary!$B$11*V814</f>
        <v/>
      </c>
      <c r="P814">
        <f>IF(B828=0,0,O814/B828)</f>
        <v/>
      </c>
      <c r="Q814" t="n">
        <v>0</v>
      </c>
      <c r="R814" t="n">
        <v>0</v>
      </c>
      <c r="S814">
        <f>IFERROR(O814/N814,0)</f>
        <v/>
      </c>
      <c r="T814" t="n">
        <v>0</v>
      </c>
      <c r="V814" t="n">
        <v>0</v>
      </c>
    </row>
    <row r="815">
      <c r="A815">
        <f>Skills!A22</f>
        <v/>
      </c>
      <c r="B815">
        <f>Skills!B22</f>
        <v/>
      </c>
      <c r="C815">
        <f>Inputs!$B$3&gt;=75</f>
        <v/>
      </c>
      <c r="D815">
        <f>IF(Skills!C22=1,60+Inputs!$B$25+Inputs!$B$29,IF(Skills!C22=2,90+Inputs!$B$26+Inputs!$B$29,IF(Skills!C22=3,120+Inputs!$B$27+Inputs!$B$29,MAX(0,(Inputs!$B$3-100)*3)+(Inputs!$B$28+1)+Inputs!$B$29)))</f>
        <v/>
      </c>
      <c r="E815">
        <f>INDEX(FactorTable!$B$2:$Y$301, MATCH(ROUND(MIN(300,MAX(1,D815)),0), FactorTable!$A$2:$A$301,0), Skills!M22+1)</f>
        <v/>
      </c>
      <c r="F815">
        <f>IF(Skills!N22=TRUE,(Skills!L22/10)*(E815/1000),Skills!L22/10)+Skills!O22</f>
        <v/>
      </c>
      <c r="G815">
        <f>Skills!G22*IF(Skills!H22&gt;0,Skills!I22/Skills!H22,1)</f>
        <v/>
      </c>
      <c r="H815">
        <f>1-(1-Skills!J22/100)^Skills!K22</f>
        <v/>
      </c>
      <c r="I815" t="inlineStr">
        <is>
          <t>1</t>
        </is>
      </c>
      <c r="J815" t="inlineStr"/>
      <c r="K815" t="inlineStr"/>
      <c r="L815" t="inlineStr"/>
      <c r="M815" t="inlineStr"/>
      <c r="N815" t="inlineStr"/>
      <c r="O815">
        <f>(1-Summary!$B$11)*T815+Summary!$B$11*V815</f>
        <v/>
      </c>
      <c r="P815">
        <f>IF(B828=0,0,O815/B828)</f>
        <v/>
      </c>
      <c r="Q815" t="n">
        <v>0</v>
      </c>
      <c r="R815" t="n">
        <v>0</v>
      </c>
      <c r="S815">
        <f>IFERROR(O815/N815,0)</f>
        <v/>
      </c>
      <c r="T815" t="n">
        <v>0</v>
      </c>
      <c r="V815" t="n">
        <v>0</v>
      </c>
    </row>
    <row r="817">
      <c r="A817" t="inlineStr">
        <is>
          <t>Attack% Bucket Multiplier</t>
        </is>
      </c>
      <c r="B817">
        <f>(1+(((C806=TRUE)*F806)+((C812=TRUE)*(F812-Calc!F19))+(IF(ArtifactsInput!$M$21,CHOOSE(ArtifactsInput!$N$21+1,25,30,35,40,45,50)*(IF(OR(Inputs!$B$4="Chapter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8">
      <c r="A818" t="inlineStr">
        <is>
          <t>Global Crit Rate Bonus %</t>
        </is>
      </c>
      <c r="B818" t="n">
        <v>0</v>
      </c>
    </row>
    <row r="819">
      <c r="A819" t="inlineStr">
        <is>
          <t>Attack Speed Buff Bonus % (unused)</t>
        </is>
      </c>
      <c r="B819" t="n">
        <v>0</v>
      </c>
    </row>
    <row r="820">
      <c r="A820" t="inlineStr">
        <is>
          <t>Actions Per Second</t>
        </is>
      </c>
      <c r="B820">
        <f>1+MIN(150,150*(1-(1-(Inputs!$B$11+((C810=TRUE)*(F810-Calc!F17))+((C811=TRUE)*(F811-Calc!F18)))/150)*(1-B819/150)))/100</f>
        <v/>
      </c>
    </row>
    <row r="821">
      <c r="A821" t="inlineStr">
        <is>
          <t>Skill + Buff Cast Rate</t>
        </is>
      </c>
      <c r="B821">
        <f>IF(AND(Inputs!$B$38&lt;&gt;"pvp",Inputs!$B$43&gt;0),SUMPRODUCT((Skills!E2:E22=TRUE)*(C795:C815=TRUE)*R795:R815*Skills!F2:F22)/Inputs!$B$43,SUMPRODUCT((Skills!E2:E22=TRUE)*(C795:C815=TRUE)*Q795:Q815*Skills!F2:F22))</f>
        <v/>
      </c>
    </row>
    <row r="822">
      <c r="A822" t="inlineStr">
        <is>
          <t>Hook Bomber Casts Per Second</t>
        </is>
      </c>
      <c r="B822">
        <f>MAX(0,B820-B821)</f>
        <v/>
      </c>
    </row>
    <row r="823">
      <c r="A823" t="inlineStr">
        <is>
          <t>Global Critical Damage Bonus % (unused)</t>
        </is>
      </c>
      <c r="B823" t="n">
        <v>0</v>
      </c>
    </row>
    <row r="824">
      <c r="A824" t="inlineStr">
        <is>
          <t>Global Final Damage Bonus % (Serpent Scale + Crossbones + Time Leap + Speed Infusion)</t>
        </is>
      </c>
      <c r="B824">
        <f>((C798=TRUE)*F798*((10+IF(Inputs!$B$3&gt;=94,5,0))/((10+IF(Inputs!$B$3&gt;=94,5,0))+5/(B822*(1+IF(Inputs!$B$3&gt;=104,1,0))))))+((C807=TRUE)*F807)+((C808=TRUE)*F808)+((Inputs!$B$3&gt;=110)*20*(B820-1))</f>
        <v/>
      </c>
    </row>
    <row r="825">
      <c r="A825" t="inlineStr">
        <is>
          <t>Buff-Casting Startup Delay (s, fixed-duration only)</t>
        </is>
      </c>
      <c r="B825">
        <f>IF(AND(Inputs!$B$38&lt;&gt;"pvp",Inputs!$B$43&gt;0),SUMPRODUCT((Skills!T2:T22&gt;0)*(Skills!E2:E22=TRUE)*(C795:C815=TRUE))/B820,0)</f>
        <v/>
      </c>
    </row>
    <row r="826">
      <c r="A826" t="inlineStr">
        <is>
          <t>Boss-Only Total DPS (this block's swept value)</t>
        </is>
      </c>
      <c r="B826">
        <f>SUM(T795:T815)</f>
        <v/>
      </c>
    </row>
    <row r="827">
      <c r="A827" t="inlineStr">
        <is>
          <t>Normal-Only Total DPS (this block's swept value)</t>
        </is>
      </c>
      <c r="B827">
        <f>SUM(V795:V815)</f>
        <v/>
      </c>
    </row>
    <row r="828">
      <c r="A828" s="6" t="inlineStr">
        <is>
          <t>TOTAL DPS</t>
        </is>
      </c>
      <c r="B828" s="6">
        <f>SUM(O795:O815)</f>
        <v/>
      </c>
    </row>
    <row r="831">
      <c r="A831" s="6" t="inlineStr">
        <is>
          <t>Stat: Skill Level Bonus — All Skills</t>
        </is>
      </c>
    </row>
    <row r="832">
      <c r="A832" s="5" t="inlineStr">
        <is>
          <t>Key</t>
        </is>
      </c>
      <c r="B832" s="5" t="inlineStr">
        <is>
          <t>Name</t>
        </is>
      </c>
      <c r="C832" s="5" t="inlineStr">
        <is>
          <t>Unlocked</t>
        </is>
      </c>
      <c r="D832" s="5" t="inlineStr">
        <is>
          <t>InputLevel</t>
        </is>
      </c>
      <c r="E832" s="5" t="inlineStr">
        <is>
          <t>Factor</t>
        </is>
      </c>
      <c r="F832" s="5" t="inlineStr">
        <is>
          <t>CoefficientPercent</t>
        </is>
      </c>
      <c r="G832" s="5" t="inlineStr">
        <is>
          <t>EffectiveHits</t>
        </is>
      </c>
      <c r="H832" s="5" t="inlineStr">
        <is>
          <t>ProcProbability</t>
        </is>
      </c>
      <c r="I832" s="5" t="inlineStr">
        <is>
          <t>MapleHeroMultiplier</t>
        </is>
      </c>
      <c r="J832" s="5" t="inlineStr">
        <is>
          <t>BaseDamage</t>
        </is>
      </c>
      <c r="K832" s="5" t="inlineStr">
        <is>
          <t>BaseHitDamage</t>
        </is>
      </c>
      <c r="L832" s="5" t="inlineStr">
        <is>
          <t>NonCritAvg</t>
        </is>
      </c>
      <c r="M832" s="5" t="inlineStr">
        <is>
          <t>CritAvg</t>
        </is>
      </c>
      <c r="N832" s="5" t="inlineStr">
        <is>
          <t>ExpectedDamage(perHit)</t>
        </is>
      </c>
      <c r="O832" s="5" t="inlineStr">
        <is>
          <t>DPS</t>
        </is>
      </c>
      <c r="P832" s="5" t="inlineStr">
        <is>
          <t>% of Total</t>
        </is>
      </c>
      <c r="Q832" s="5" t="inlineStr">
        <is>
          <t>InvCooldown</t>
        </is>
      </c>
      <c r="R832" s="5" t="inlineStr">
        <is>
          <t>CastsInFight</t>
        </is>
      </c>
      <c r="S832" s="5" t="inlineStr">
        <is>
          <t>HitRate(perSec)</t>
        </is>
      </c>
      <c r="U832" t="inlineStr">
        <is>
          <t>helpers</t>
        </is>
      </c>
    </row>
    <row r="833">
      <c r="A833">
        <f>Skills!A2</f>
        <v/>
      </c>
      <c r="B833">
        <f>Skills!B2</f>
        <v/>
      </c>
      <c r="C833">
        <f>Inputs!$B$3&gt;=100</f>
        <v/>
      </c>
      <c r="D833" t="inlineStr"/>
      <c r="E833" t="inlineStr"/>
      <c r="F833">
        <f>U835+Skills!O2</f>
        <v/>
      </c>
      <c r="G833">
        <f>Skills!G2*IF(Skills!H2&gt;0,Skills!I2/Skills!H2,1)</f>
        <v/>
      </c>
      <c r="H833">
        <f>1-(1-Skills!J2/100)^Skills!K2</f>
        <v/>
      </c>
      <c r="I833" t="inlineStr">
        <is>
          <t>1</t>
        </is>
      </c>
      <c r="J833">
        <f>((Inputs!$B$6*(1+Inputs!$B$7/100))+(((Inputs!$B$12*(1+Inputs!$B$13/100))-(Inputs!$B$12*(1+Inputs!$B$13/100)))+0.25*(Inputs!$B$14-Inputs!$B$14))*(1+Inputs!$B$7/100))*(F833/100)</f>
        <v/>
      </c>
      <c r="K833">
        <f>J833*(1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851=TRUE)*(F851-Calc!F20)),(Inputs!$B$23+0+(IF(ArtifactsInput!$M$15,CHOOSE(ArtifactsInput!$N$15+1,25,30,35,40,45,50)/100*(Inputs!$B$11-Inputs!$B$11),0))))/100+(Inputs!$B$23+0+(IF(ArtifactsInput!$M$15,CHOOSE(ArtifactsInput!$N$15+1,25,30,35,40,45,50)/100*(Inputs!$B$11-Inputs!$B$11),0)))/100)/2</f>
        <v/>
      </c>
      <c r="M833">
        <f>L833*(1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IF(B866=0,0,O833/B866)</f>
        <v/>
      </c>
      <c r="Q833" t="n">
        <v>0</v>
      </c>
      <c r="R833" t="n">
        <v>0</v>
      </c>
      <c r="S833">
        <f>IFERROR(O833/N833,0)</f>
        <v/>
      </c>
      <c r="T833">
        <f>IF(C833,(Skills!G2*N833*B860)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3">
        <f>MAX(0,(Inputs!$B$3-100)*3)+Inputs!$B$28+(Inputs!$B$29+1)</f>
        <v/>
      </c>
      <c r="V833">
        <f>IF(C833,(Skills!G2*N833*B860)*IF(Inputs!$B$38="pvp",1,(1+(Inputs!$B$21+Skills!Q2+(IF(ArtifactsInput!$M$33,CHOOSE(ArtifactsInput!$N$33+1,30,36,42,48,54,60),0))+(IF(AND(ArtifactsInput!$M$35,Inputs!$B$4&lt;&gt;"Chapter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Skills!A3</f>
        <v/>
      </c>
      <c r="B834">
        <f>Skills!B3</f>
        <v/>
      </c>
      <c r="C834">
        <f>Inputs!$B$3&gt;=35</f>
        <v/>
      </c>
      <c r="D834">
        <f>IF(Skills!C3=1,60+Inputs!$B$25+(Inputs!$B$29+1),IF(Skills!C3=2,90+Inputs!$B$26+(Inputs!$B$29+1),IF(Skills!C3=3,120+Inputs!$B$27+(Inputs!$B$29+1),MAX(0,(Inputs!$B$3-100)*3)+Inputs!$B$28+(Inputs!$B$29+1))))</f>
        <v/>
      </c>
      <c r="E834">
        <f>INDEX(FactorTable!$B$2:$Y$301, MATCH(ROUND(MIN(300,MAX(1,D834)),0), FactorTable!$A$2:$A$301,0), Skills!M3+1)</f>
        <v/>
      </c>
      <c r="F834">
        <f>IF(Skills!N3=TRUE,(Skills!L3/10)*(E834/1000),Skills!L3/10)+Skills!O3</f>
        <v/>
      </c>
      <c r="G834">
        <f>Skills!G3*IF(Skills!H3&gt;0,Skills!I3/Skills!H3,1)</f>
        <v/>
      </c>
      <c r="H834">
        <f>1-(1-Skills!J3/100)^Skills!K3</f>
        <v/>
      </c>
      <c r="I834" t="inlineStr">
        <is>
          <t>1</t>
        </is>
      </c>
      <c r="J834">
        <f>((Inputs!$B$6*(1+Inputs!$B$7/100))+(((Inputs!$B$12*(1+Inputs!$B$13/100))-(Inputs!$B$12*(1+Inputs!$B$13/100)))+0.25*(Inputs!$B$14-Inputs!$B$14))*(1+Inputs!$B$7/100))*(F834/100)</f>
        <v/>
      </c>
      <c r="K834">
        <f>J834*(1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834)</f>
        <v/>
      </c>
      <c r="L834">
        <f>K834*(MIN(Inputs!$B$22+((C851=TRUE)*(F851-Calc!F20)),(Inputs!$B$23+0+(IF(ArtifactsInput!$M$15,CHOOSE(ArtifactsInput!$N$15+1,25,30,35,40,45,50)/100*(Inputs!$B$11-Inputs!$B$11),0))))/100+(Inputs!$B$23+0+(IF(ArtifactsInput!$M$15,CHOOSE(ArtifactsInput!$N$15+1,25,30,35,40,45,50)/100*(Inputs!$B$11-Inputs!$B$11),0)))/100)/2</f>
        <v/>
      </c>
      <c r="M834">
        <f>L834*(1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(1-Summary!$B$11)*T834+Summary!$B$11*V834</f>
        <v/>
      </c>
      <c r="P834">
        <f>IF(B866=0,0,O834/B866)</f>
        <v/>
      </c>
      <c r="Q834" t="n">
        <v>0</v>
      </c>
      <c r="R834" t="n">
        <v>0</v>
      </c>
      <c r="S834">
        <f>IFERROR(O834/N834,0)</f>
        <v/>
      </c>
      <c r="T834">
        <f>IF(C834,(Skills!G3*H834*N834*B860)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834*(1-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4">
        <f>INDEX(FactorTable!$B$2:$Y$301, MATCH(ROUND(MIN(300,MAX(1,U833)),0), FactorTable!$A$2:$A$301,0), 22)</f>
        <v/>
      </c>
      <c r="V834">
        <f>IF(C834,(Skills!G3*H834*N834*B860)*IF(Inputs!$B$38="pvp",1,(1+(Inputs!$B$21+Skills!Q3+(IF(ArtifactsInput!$M$33,CHOOSE(ArtifactsInput!$N$33+1,30,36,42,48,54,60),0))+(IF(AND(ArtifactsInput!$M$35,Inputs!$B$4&lt;&gt;"Chapter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Skills!A4</f>
        <v/>
      </c>
      <c r="B835">
        <f>Skills!B4</f>
        <v/>
      </c>
      <c r="C835">
        <f>Inputs!$B$3&gt;=60</f>
        <v/>
      </c>
      <c r="D835">
        <f>IF(Skills!C4=1,60+Inputs!$B$25+(Inputs!$B$29+1),IF(Skills!C4=2,90+Inputs!$B$26+(Inputs!$B$29+1),IF(Skills!C4=3,120+Inputs!$B$27+(Inputs!$B$29+1),MAX(0,(Inputs!$B$3-100)*3)+Inputs!$B$28+(Inputs!$B$29+1))))</f>
        <v/>
      </c>
      <c r="E835">
        <f>INDEX(FactorTable!$B$2:$Y$301, MATCH(ROUND(MIN(300,MAX(1,D835)),0), FactorTable!$A$2:$A$301,0), Skills!M4+1)</f>
        <v/>
      </c>
      <c r="F835">
        <f>IF(Skills!N4=TRUE,(Skills!L4/10)*(E835/1000),Skills!L4/10)+Skills!O4</f>
        <v/>
      </c>
      <c r="G835">
        <f>Skills!G4*IF(Skills!H4&gt;0,Skills!I4/Skills!H4,1)</f>
        <v/>
      </c>
      <c r="H835">
        <f>1-(1-Skills!J4/100)^Skills!K4</f>
        <v/>
      </c>
      <c r="I835" t="inlineStr">
        <is>
          <t>1</t>
        </is>
      </c>
      <c r="J835">
        <f>((Inputs!$B$6*(1+Inputs!$B$7/100))+(((Inputs!$B$12*(1+Inputs!$B$13/100))-(Inputs!$B$12*(1+Inputs!$B$13/100)))+0.25*(Inputs!$B$14-Inputs!$B$14))*(1+Inputs!$B$7/100))*(F835/100)</f>
        <v/>
      </c>
      <c r="K835">
        <f>J835*(1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843=TRUE,F843,0)/100)*(1+(IF(Skills!A4="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C851=TRUE)*(F851-Calc!F20)),(Inputs!$B$23+0+(IF(ArtifactsInput!$M$15,CHOOSE(ArtifactsInput!$N$15+1,25,30,35,40,45,50)/100*(Inputs!$B$11-Inputs!$B$11),0))))/100+(Inputs!$B$23+0+(IF(ArtifactsInput!$M$15,CHOOSE(ArtifactsInput!$N$15+1,25,30,35,40,45,50)/100*(Inputs!$B$11-Inputs!$B$11),0)))/100)/2</f>
        <v/>
      </c>
      <c r="M835">
        <f>L835*(1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IF(B866=0,0,O835/B866)</f>
        <v/>
      </c>
      <c r="Q835" t="n">
        <v>0</v>
      </c>
      <c r="R835" t="n">
        <v>0</v>
      </c>
      <c r="S835">
        <f>IFERROR(O835/N835,0)</f>
        <v/>
      </c>
      <c r="T835">
        <f>IF(C835,(Skills!G4*H835*N835*B860)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835*(1-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5">
        <f>290*U834/1000</f>
        <v/>
      </c>
      <c r="V835">
        <f>IF(C835,(Skills!G4*H835*N835*B860)*IF(Inputs!$B$38="pvp",1,(1+(Inputs!$B$21+Skills!Q4+(IF(ArtifactsInput!$M$33,CHOOSE(ArtifactsInput!$N$33+1,30,36,42,48,54,60),0))+(IF(AND(ArtifactsInput!$M$35,Inputs!$B$4&lt;&gt;"Chapter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Skills!A5</f>
        <v/>
      </c>
      <c r="B836">
        <f>Skills!B5</f>
        <v/>
      </c>
      <c r="C836">
        <f>Inputs!$B$3&gt;=60</f>
        <v/>
      </c>
      <c r="D836">
        <f>IF(Skills!C5=1,60+Inputs!$B$25+(Inputs!$B$29+1),IF(Skills!C5=2,90+Inputs!$B$26+(Inputs!$B$29+1),IF(Skills!C5=3,120+Inputs!$B$27+(Inputs!$B$29+1),MAX(0,(Inputs!$B$3-100)*3)+Inputs!$B$28+(Inputs!$B$29+1))))</f>
        <v/>
      </c>
      <c r="E836">
        <f>INDEX(FactorTable!$B$2:$Y$301, MATCH(ROUND(MIN(300,MAX(1,D836)),0), FactorTable!$A$2:$A$301,0), Skills!M5+1)</f>
        <v/>
      </c>
      <c r="F836">
        <f>IF(Skills!N5=TRUE,(Skills!L5/10)*(E836/1000),Skills!L5/10)+Skills!O5</f>
        <v/>
      </c>
      <c r="G836">
        <f>Skills!G5*IF(Skills!H5&gt;0,Skills!I5/Skills!H5,1)</f>
        <v/>
      </c>
      <c r="H836">
        <f>1-(1-Skills!J5/100)^Skills!K5</f>
        <v/>
      </c>
      <c r="I836" t="inlineStr">
        <is>
          <t>1</t>
        </is>
      </c>
      <c r="J836" t="inlineStr"/>
      <c r="K836" t="inlineStr"/>
      <c r="L836" t="inlineStr"/>
      <c r="M836" t="inlineStr"/>
      <c r="N836" t="inlineStr"/>
      <c r="O836">
        <f>(1-Summary!$B$11)*T836+Summary!$B$11*V836</f>
        <v/>
      </c>
      <c r="P836">
        <f>IF(B866=0,0,O836/B866)</f>
        <v/>
      </c>
      <c r="Q836" t="n">
        <v>0</v>
      </c>
      <c r="R836" t="n">
        <v>0</v>
      </c>
      <c r="S836">
        <f>IFERROR(O836/N836,0)</f>
        <v/>
      </c>
      <c r="T836" t="n">
        <v>0</v>
      </c>
      <c r="V836" t="n">
        <v>0</v>
      </c>
    </row>
    <row r="837">
      <c r="A837">
        <f>Skills!A6</f>
        <v/>
      </c>
      <c r="B837">
        <f>Skills!B6</f>
        <v/>
      </c>
      <c r="C837">
        <f>Inputs!$B$3&gt;=63</f>
        <v/>
      </c>
      <c r="D837">
        <f>IF(Skills!C6=1,60+Inputs!$B$25+(Inputs!$B$29+1),IF(Skills!C6=2,90+Inputs!$B$26+(Inputs!$B$29+1),IF(Skills!C6=3,120+Inputs!$B$27+(Inputs!$B$29+1),MAX(0,(Inputs!$B$3-100)*3)+Inputs!$B$28+(Inputs!$B$29+1))))</f>
        <v/>
      </c>
      <c r="E837">
        <f>INDEX(FactorTable!$B$2:$Y$301, MATCH(ROUND(MIN(300,MAX(1,D837)),0), FactorTable!$A$2:$A$301,0), Skills!M6+1)</f>
        <v/>
      </c>
      <c r="F837">
        <f>IF(Skills!N6=TRUE,(Skills!L6/10)*(E837/1000),Skills!L6/10)+Skills!O6</f>
        <v/>
      </c>
      <c r="G837">
        <f>Skills!G6*IF(Skills!H6&gt;0,Skills!I6/Skills!H6,1)</f>
        <v/>
      </c>
      <c r="H837">
        <f>1-(1-Skills!J6/100)^Skills!K6</f>
        <v/>
      </c>
      <c r="I837" t="inlineStr">
        <is>
          <t>1</t>
        </is>
      </c>
      <c r="J837">
        <f>((Inputs!$B$6*(1+Inputs!$B$7/100))+(((Inputs!$B$12*(1+Inputs!$B$13/100))-(Inputs!$B$12*(1+Inputs!$B$13/100)))+0.25*(Inputs!$B$14-Inputs!$B$14))*(1+Inputs!$B$7/100))*(F837/100)</f>
        <v/>
      </c>
      <c r="K837">
        <f>J837*(1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837)</f>
        <v/>
      </c>
      <c r="L837">
        <f>K837*(MIN(Inputs!$B$22+((C851=TRUE)*(F851-Calc!F20)),(Inputs!$B$23+0+(IF(ArtifactsInput!$M$15,CHOOSE(ArtifactsInput!$N$15+1,25,30,35,40,45,50)/100*(Inputs!$B$11-Inputs!$B$11),0))))/100+(Inputs!$B$23+0+(IF(ArtifactsInput!$M$15,CHOOSE(ArtifactsInput!$N$15+1,25,30,35,40,45,50)/100*(Inputs!$B$11-Inputs!$B$11),0)))/100)/2</f>
        <v/>
      </c>
      <c r="M837">
        <f>L837*(1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IF(B866=0,0,O837/B866)</f>
        <v/>
      </c>
      <c r="Q837">
        <f>IFERROR(1/(IF(Inputs!$B$38="pvp",15,MAX(0.1,Skills!D6-IF(Skills!E6=TRUE,Inputs!$B$32,0)))*(1-IF(AND(ArtifactsInput!$M$27,Inputs!$B$4="Chapter Hunt"),CHOOSE(ArtifactsInput!$N$27+1,20,24,28,32,36,40),0)/100)),0)</f>
        <v/>
      </c>
      <c r="R837">
        <f>IF(AND(Inputs!$B$38&lt;&gt;"pvp",Inputs!$B$43&gt;0),IF(MAX(0,Inputs!$B$43-B863)&lt;=0,0,(INT(MAX(0,Inputs!$B$43-B863)/(IF(Inputs!$B$38="pvp",15,MAX(0.1,Skills!D6-IF(Skills!E6=TRUE,Inputs!$B$32,0)))*(1-IF(AND(ArtifactsInput!$M$27,Inputs!$B$4="Chapter Hunt"),CHOOSE(ArtifactsInput!$N$27+1,20,24,28,32,36,40),0)/100)))+1)),0)</f>
        <v/>
      </c>
      <c r="S837">
        <f>IFERROR(O837/N837,0)</f>
        <v/>
      </c>
      <c r="T837">
        <f>IF(C837,(H837*N837*IF(AND(Inputs!$B$38&lt;&gt;"pvp",Inputs!$B$43&gt;0),((Skills!G6*((R837-1)*IF(Skills!H6&gt;0,Skills!I6/Skills!H6,1)+IF(Skills!H6&gt;0,MIN(Skills!I6,MAX(0,MAX(0,Inputs!$B$43-B863)-((R837-1)*(IF(Inputs!$B$38="pvp",15,MAX(0.1,Skills!D6-IF(Skills!E6=TRUE,Inputs!$B$32,0)))*(1-IF(AND(ArtifactsInput!$M$27,Inputs!$B$4="Chapter Hunt"),CHOOSE(ArtifactsInput!$N$27+1,20,24,28,32,36,40),0)/100)))))/Skills!H6,1)))/Inputs!$B$43),G837*Q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837*(1-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6*((R837-1)*IF(Skills!H6&gt;0,Skills!I6/Skills!H6,1)+IF(Skills!H6&gt;0,MIN(Skills!I6,MAX(0,MAX(0,Inputs!$B$43-B863)-((R837-1)*(IF(Inputs!$B$38="pvp",15,MAX(0.1,Skills!D6-IF(Skills!E6=TRUE,Inputs!$B$32,0)))*(1-IF(AND(ArtifactsInput!$M$27,Inputs!$B$4="Chapter Hunt"),CHOOSE(ArtifactsInput!$N$27+1,20,24,28,32,36,40),0)/100)))))/Skills!H6,1)))/Inputs!$B$43),G837*Q837))*IF(Inputs!$B$38="pvp",1,(1+(Inputs!$B$21+Skills!Q6+(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Skills!A7</f>
        <v/>
      </c>
      <c r="B838">
        <f>Skills!B7</f>
        <v/>
      </c>
      <c r="C838">
        <f>Inputs!$B$3&gt;=100</f>
        <v/>
      </c>
      <c r="D838">
        <f>IF(Skills!C7=1,60+Inputs!$B$25+(Inputs!$B$29+1),IF(Skills!C7=2,90+Inputs!$B$26+(Inputs!$B$29+1),IF(Skills!C7=3,120+Inputs!$B$27+(Inputs!$B$29+1),MAX(0,(Inputs!$B$3-100)*3)+Inputs!$B$28+(Inputs!$B$29+1))))</f>
        <v/>
      </c>
      <c r="E838">
        <f>INDEX(FactorTable!$B$2:$Y$301, MATCH(ROUND(MIN(300,MAX(1,D838)),0), FactorTable!$A$2:$A$301,0), Skills!M7+1)</f>
        <v/>
      </c>
      <c r="F838">
        <f>IF(Skills!N7=TRUE,(Skills!L7/10)*(E838/1000),Skills!L7/10)+Skills!O7</f>
        <v/>
      </c>
      <c r="G838">
        <f>Skills!G7*IF(Skills!H7&gt;0,Skills!I7/Skills!H7,1)</f>
        <v/>
      </c>
      <c r="H838">
        <f>1-(1-Skills!J7/100)^Skills!K7</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851=TRUE)*(F851-Calc!F20)),(Inputs!$B$23+0+(IF(ArtifactsInput!$M$15,CHOOSE(ArtifactsInput!$N$15+1,25,30,35,40,45,50)/100*(Inputs!$B$11-Inputs!$B$11),0))))/100+(Inputs!$B$23+0+(IF(ArtifactsInput!$M$15,CHOOSE(ArtifactsInput!$N$15+1,25,30,35,40,45,50)/100*(Inputs!$B$11-Inputs!$B$11),0)))/100)/2</f>
        <v/>
      </c>
      <c r="M838">
        <f>L838*(1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IF(B866=0,0,O838/B866)</f>
        <v/>
      </c>
      <c r="Q838">
        <f>IFERROR(1/(IF(Inputs!$B$38="pvp",15,MAX(0.1,Skills!D7-IF(Skills!E7=TRUE,Inputs!$B$32,0)))*(1-IF(AND(ArtifactsInput!$M$27,Inputs!$B$4="Chapter Hunt"),CHOOSE(ArtifactsInput!$N$27+1,20,24,28,32,36,40),0)/100)),0)</f>
        <v/>
      </c>
      <c r="R838">
        <f>IF(AND(Inputs!$B$38&lt;&gt;"pvp",Inputs!$B$43&gt;0),IF(MAX(0,Inputs!$B$43-B863)&lt;=0,0,(INT(MAX(0,Inputs!$B$43-B863)/(IF(Inputs!$B$38="pvp",15,MAX(0.1,Skills!D7-IF(Skills!E7=TRUE,Inputs!$B$32,0)))*(1-IF(AND(ArtifactsInput!$M$27,Inputs!$B$4="Chapter Hunt"),CHOOSE(ArtifactsInput!$N$27+1,20,24,28,32,36,40),0)/100)))+1)),0)</f>
        <v/>
      </c>
      <c r="S838">
        <f>IFERROR(O838/N838,0)</f>
        <v/>
      </c>
      <c r="T838">
        <f>IF(C838,(H838*N838*IF(AND(Inputs!$B$38&lt;&gt;"pvp",Inputs!$B$43&gt;0),((Skills!G7*((R838-1)*IF(Skills!H7&gt;0,Skills!I7/Skills!H7,1)+IF(Skills!H7&gt;0,MIN(Skills!I7,MAX(0,MAX(0,Inputs!$B$43-B863)-((R838-1)*(IF(Inputs!$B$38="pvp",15,MAX(0.1,Skills!D7-IF(Skills!E7=TRUE,Inputs!$B$32,0)))*(1-IF(AND(ArtifactsInput!$M$27,Inputs!$B$4="Chapter Hunt"),CHOOSE(ArtifactsInput!$N$27+1,20,24,28,32,36,40),0)/100)))))/Skills!H7,1)))/Inputs!$B$43),G838*Q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7*((R838-1)*IF(Skills!H7&gt;0,Skills!I7/Skills!H7,1)+IF(Skills!H7&gt;0,MIN(Skills!I7,MAX(0,MAX(0,Inputs!$B$43-B863)-((R838-1)*(IF(Inputs!$B$38="pvp",15,MAX(0.1,Skills!D7-IF(Skills!E7=TRUE,Inputs!$B$32,0)))*(1-IF(AND(ArtifactsInput!$M$27,Inputs!$B$4="Chapter Hunt"),CHOOSE(ArtifactsInput!$N$27+1,20,24,28,32,36,40),0)/100)))))/Skills!H7,1)))/Inputs!$B$43),G838*Q838))*IF(Inputs!$B$38="pvp",1,(1+(Inputs!$B$21+Skills!Q7+(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Skills!A8</f>
        <v/>
      </c>
      <c r="B839">
        <f>Skills!B8</f>
        <v/>
      </c>
      <c r="C839">
        <f>Inputs!$B$3&gt;=110</f>
        <v/>
      </c>
      <c r="D839">
        <f>IF(Skills!C8=1,60+Inputs!$B$25+(Inputs!$B$29+1),IF(Skills!C8=2,90+Inputs!$B$26+(Inputs!$B$29+1),IF(Skills!C8=3,120+Inputs!$B$27+(Inputs!$B$29+1),MAX(0,(Inputs!$B$3-100)*3)+Inputs!$B$28+(Inputs!$B$29+1))))</f>
        <v/>
      </c>
      <c r="E839">
        <f>INDEX(FactorTable!$B$2:$Y$301, MATCH(ROUND(MIN(300,MAX(1,D839)),0), FactorTable!$A$2:$A$301,0), Skills!M8+1)</f>
        <v/>
      </c>
      <c r="F839">
        <f>IF(Skills!N8=TRUE,(Skills!L8/10)*(E839/1000),Skills!L8/10)+Skills!O8</f>
        <v/>
      </c>
      <c r="G839">
        <f>Skills!G8*IF(Skills!H8&gt;0,Skills!I8/Skills!H8,1)</f>
        <v/>
      </c>
      <c r="H839">
        <f>1-(1-Skills!J8/100)^Skills!K8</f>
        <v/>
      </c>
      <c r="I839" t="inlineStr">
        <is>
          <t>1</t>
        </is>
      </c>
      <c r="J839">
        <f>((Inputs!$B$6*(1+Inputs!$B$7/100))+(((Inputs!$B$12*(1+Inputs!$B$13/100))-(Inputs!$B$12*(1+Inputs!$B$13/100)))+0.25*(Inputs!$B$14-Inputs!$B$14))*(1+Inputs!$B$7/100))*(F839/100)</f>
        <v/>
      </c>
      <c r="K839">
        <f>J839*(1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839)</f>
        <v/>
      </c>
      <c r="L839">
        <f>K839*(MIN(Inputs!$B$22+((C851=TRUE)*(F851-Calc!F20)),(Inputs!$B$23+0+(IF(ArtifactsInput!$M$15,CHOOSE(ArtifactsInput!$N$15+1,25,30,35,40,45,50)/100*(Inputs!$B$11-Inputs!$B$11),0))))/100+(Inputs!$B$23+0+(IF(ArtifactsInput!$M$15,CHOOSE(ArtifactsInput!$N$15+1,25,30,35,40,45,50)/100*(Inputs!$B$11-Inputs!$B$11),0)))/100)/2</f>
        <v/>
      </c>
      <c r="M839">
        <f>L839*(1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9">
        <f>L839*(1-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839*(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9">
        <f>(1-Summary!$B$11)*T839+Summary!$B$11*V839</f>
        <v/>
      </c>
      <c r="P839">
        <f>IF(B866=0,0,O839/B866)</f>
        <v/>
      </c>
      <c r="Q839">
        <f>IFERROR(1/(IF(Inputs!$B$38="pvp",15,MAX(0.1,Skills!D8-IF(Skills!E8=TRUE,Inputs!$B$32,0)))*(1-IF(AND(ArtifactsInput!$M$27,Inputs!$B$4="Chapter Hunt"),CHOOSE(ArtifactsInput!$N$27+1,20,24,28,32,36,40),0)/100)),0)</f>
        <v/>
      </c>
      <c r="R839">
        <f>IF(AND(Inputs!$B$38&lt;&gt;"pvp",Inputs!$B$43&gt;0),IF(MAX(0,Inputs!$B$43-B863)&lt;=0,0,(INT(MAX(0,Inputs!$B$43-B863)/(IF(Inputs!$B$38="pvp",15,MAX(0.1,Skills!D8-IF(Skills!E8=TRUE,Inputs!$B$32,0)))*(1-IF(AND(ArtifactsInput!$M$27,Inputs!$B$4="Chapter Hunt"),CHOOSE(ArtifactsInput!$N$27+1,20,24,28,32,36,40),0)/100)))+1)),0)</f>
        <v/>
      </c>
      <c r="S839">
        <f>IFERROR(O839/N839,0)</f>
        <v/>
      </c>
      <c r="T839">
        <f>IF(C839,(H839*N839*IF(AND(Inputs!$B$38&lt;&gt;"pvp",Inputs!$B$43&gt;0),((Skills!G8*((R839-1)*IF(Skills!H8&gt;0,Skills!I8/Skills!H8,1)+IF(Skills!H8&gt;0,MIN(Skills!I8,MAX(0,MAX(0,Inputs!$B$43-B863)-((R839-1)*(IF(Inputs!$B$38="pvp",15,MAX(0.1,Skills!D8-IF(Skills!E8=TRUE,Inputs!$B$32,0)))*(1-IF(AND(ArtifactsInput!$M$27,Inputs!$B$4="Chapter Hunt"),CHOOSE(ArtifactsInput!$N$27+1,20,24,28,32,36,40),0)/100)))))/Skills!H8,1)))/Inputs!$B$43),G839*Q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839*(1-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839*(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839*(1-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839*(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9">
        <f>IF(C839,(H839*N839*IF(AND(Inputs!$B$38&lt;&gt;"pvp",Inputs!$B$43&gt;0),((Skills!G8*((R839-1)*IF(Skills!H8&gt;0,Skills!I8/Skills!H8,1)+IF(Skills!H8&gt;0,MIN(Skills!I8,MAX(0,MAX(0,Inputs!$B$43-B863)-((R839-1)*(IF(Inputs!$B$38="pvp",15,MAX(0.1,Skills!D8-IF(Skills!E8=TRUE,Inputs!$B$32,0)))*(1-IF(AND(ArtifactsInput!$M$27,Inputs!$B$4="Chapter Hunt"),CHOOSE(ArtifactsInput!$N$27+1,20,24,28,32,36,40),0)/100)))))/Skills!H8,1)))/Inputs!$B$43),G839*Q839))*IF(Inputs!$B$38="pvp",1,(1+(Inputs!$B$21+Skills!Q8+(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0">
      <c r="A840">
        <f>Skills!A9</f>
        <v/>
      </c>
      <c r="B840">
        <f>Skills!B9</f>
        <v/>
      </c>
      <c r="C840">
        <f>Inputs!$B$3&gt;=110</f>
        <v/>
      </c>
      <c r="D840">
        <f>IF(Skills!C9=1,60+Inputs!$B$25+(Inputs!$B$29+1),IF(Skills!C9=2,90+Inputs!$B$26+(Inputs!$B$29+1),IF(Skills!C9=3,120+Inputs!$B$27+(Inputs!$B$29+1),MAX(0,(Inputs!$B$3-100)*3)+Inputs!$B$28+(Inputs!$B$29+1))))</f>
        <v/>
      </c>
      <c r="E840">
        <f>INDEX(FactorTable!$B$2:$Y$301, MATCH(ROUND(MIN(300,MAX(1,D840)),0), FactorTable!$A$2:$A$301,0), Skills!M9+1)</f>
        <v/>
      </c>
      <c r="F840">
        <f>IF(Skills!N9=TRUE,(Skills!L9/10)*(E840/1000),Skills!L9/10)+Skills!O9</f>
        <v/>
      </c>
      <c r="G840">
        <f>Skills!G9*IF(Skills!H9&gt;0,Skills!I9/Skills!H9,1)</f>
        <v/>
      </c>
      <c r="H840">
        <f>1-(1-Skills!J9/100)^Skills!K9</f>
        <v/>
      </c>
      <c r="I840" t="inlineStr">
        <is>
          <t>1</t>
        </is>
      </c>
      <c r="J840">
        <f>((Inputs!$B$6*(1+Inputs!$B$7/100))+(((Inputs!$B$12*(1+Inputs!$B$13/100))-(Inputs!$B$12*(1+Inputs!$B$13/100)))+0.25*(Inputs!$B$14-Inputs!$B$14))*(1+Inputs!$B$7/100))*(F840/100)</f>
        <v/>
      </c>
      <c r="K840">
        <f>J840*(1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840)</f>
        <v/>
      </c>
      <c r="L840">
        <f>K840*(MIN(Inputs!$B$22+((C851=TRUE)*(F851-Calc!F20)),(Inputs!$B$23+0+(IF(ArtifactsInput!$M$15,CHOOSE(ArtifactsInput!$N$15+1,25,30,35,40,45,50)/100*(Inputs!$B$11-Inputs!$B$11),0))))/100+(Inputs!$B$23+0+(IF(ArtifactsInput!$M$15,CHOOSE(ArtifactsInput!$N$15+1,25,30,35,40,45,50)/100*(Inputs!$B$11-Inputs!$B$11),0)))/100)/2</f>
        <v/>
      </c>
      <c r="M840">
        <f>L840*(1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0">
        <f>L840*(1-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840*(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0">
        <f>(1-Summary!$B$11)*T840+Summary!$B$11*V840</f>
        <v/>
      </c>
      <c r="P840">
        <f>IF(B866=0,0,O840/B866)</f>
        <v/>
      </c>
      <c r="Q840">
        <f>IFERROR(1/(IF(Inputs!$B$38="pvp",15,MAX(0.1,Skills!D9-IF(Skills!E9=TRUE,Inputs!$B$32,0)))*(1-IF(AND(ArtifactsInput!$M$27,Inputs!$B$4="Chapter Hunt"),CHOOSE(ArtifactsInput!$N$27+1,20,24,28,32,36,40),0)/100)),0)</f>
        <v/>
      </c>
      <c r="R840">
        <f>IF(AND(Inputs!$B$38&lt;&gt;"pvp",Inputs!$B$43&gt;0),IF(MAX(0,Inputs!$B$43-B863)&lt;=0,0,(INT(MAX(0,Inputs!$B$43-B863)/(IF(Inputs!$B$38="pvp",15,MAX(0.1,Skills!D9-IF(Skills!E9=TRUE,Inputs!$B$32,0)))*(1-IF(AND(ArtifactsInput!$M$27,Inputs!$B$4="Chapter Hunt"),CHOOSE(ArtifactsInput!$N$27+1,20,24,28,32,36,40),0)/100)))+1)),0)</f>
        <v/>
      </c>
      <c r="S840">
        <f>IFERROR(O840/N840,0)</f>
        <v/>
      </c>
      <c r="T840">
        <f>IF(C840,(H840*N840*IF(AND(Inputs!$B$38&lt;&gt;"pvp",Inputs!$B$43&gt;0),((Skills!G9*((R840-1)*IF(Skills!H9&gt;0,Skills!I9/Skills!H9,1)+IF(Skills!H9&gt;0,MIN(Skills!I9,MAX(0,MAX(0,Inputs!$B$43-B863)-((R840-1)*(IF(Inputs!$B$38="pvp",15,MAX(0.1,Skills!D9-IF(Skills!E9=TRUE,Inputs!$B$32,0)))*(1-IF(AND(ArtifactsInput!$M$27,Inputs!$B$4="Chapter Hunt"),CHOOSE(ArtifactsInput!$N$27+1,20,24,28,32,36,40),0)/100)))))/Skills!H9,1)))/Inputs!$B$43),G840*Q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840*(1-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840*(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840*(1-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840*(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0">
        <f>IF(C840,(H840*N840*IF(AND(Inputs!$B$38&lt;&gt;"pvp",Inputs!$B$43&gt;0),((Skills!G9*((R840-1)*IF(Skills!H9&gt;0,Skills!I9/Skills!H9,1)+IF(Skills!H9&gt;0,MIN(Skills!I9,MAX(0,MAX(0,Inputs!$B$43-B863)-((R840-1)*(IF(Inputs!$B$38="pvp",15,MAX(0.1,Skills!D9-IF(Skills!E9=TRUE,Inputs!$B$32,0)))*(1-IF(AND(ArtifactsInput!$M$27,Inputs!$B$4="Chapter Hunt"),CHOOSE(ArtifactsInput!$N$27+1,20,24,28,32,36,40),0)/100)))))/Skills!H9,1)))/Inputs!$B$43),G840*Q840))*IF(Inputs!$B$38="pvp",1,(1+(Inputs!$B$21+Skills!Q9+(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1">
      <c r="A841">
        <f>Skills!A10</f>
        <v/>
      </c>
      <c r="B841">
        <f>Skills!B10</f>
        <v/>
      </c>
      <c r="C841">
        <f>Inputs!$B$3&gt;=103</f>
        <v/>
      </c>
      <c r="D841">
        <f>IF(Skills!C10=1,60+Inputs!$B$25+(Inputs!$B$29+1),IF(Skills!C10=2,90+Inputs!$B$26+(Inputs!$B$29+1),IF(Skills!C10=3,120+Inputs!$B$27+(Inputs!$B$29+1),MAX(0,(Inputs!$B$3-100)*3)+Inputs!$B$28+(Inputs!$B$29+1))))</f>
        <v/>
      </c>
      <c r="E841">
        <f>INDEX(FactorTable!$B$2:$Y$301, MATCH(ROUND(MIN(300,MAX(1,D841)),0), FactorTable!$A$2:$A$301,0), Skills!M10+1)</f>
        <v/>
      </c>
      <c r="F841">
        <f>IF(Skills!N10=TRUE,(Skills!L10/10)*(E841/1000),Skills!L10/10)+Skills!O10</f>
        <v/>
      </c>
      <c r="G841">
        <f>Skills!G10*IF(Skills!H10&gt;0,Skills!I10/Skills!H10,1)</f>
        <v/>
      </c>
      <c r="H841">
        <f>1-(1-Skills!J10/100)^Skills!K10</f>
        <v/>
      </c>
      <c r="I841" t="inlineStr">
        <is>
          <t>1</t>
        </is>
      </c>
      <c r="J841">
        <f>((Inputs!$B$6*(1+Inputs!$B$7/100))+(((Inputs!$B$12*(1+Inputs!$B$13/100))-(Inputs!$B$12*(1+Inputs!$B$13/100)))+0.25*(Inputs!$B$14-Inputs!$B$14))*(1+Inputs!$B$7/100))*(F841/100)</f>
        <v/>
      </c>
      <c r="K841">
        <f>J841*(1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851=TRUE)*(F851-Calc!F20)),(Inputs!$B$23+0+(IF(ArtifactsInput!$M$15,CHOOSE(ArtifactsInput!$N$15+1,25,30,35,40,45,50)/100*(Inputs!$B$11-Inputs!$B$11),0))))/100+(Inputs!$B$23+0+(IF(ArtifactsInput!$M$15,CHOOSE(ArtifactsInput!$N$15+1,25,30,35,40,45,50)/100*(Inputs!$B$11-Inputs!$B$11),0)))/100)/2</f>
        <v/>
      </c>
      <c r="M841">
        <f>L841*(1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IF(B866=0,0,O841/B866)</f>
        <v/>
      </c>
      <c r="Q841">
        <f>IFERROR(1/(IF(Inputs!$B$38="pvp",15,MAX(0.1,Skills!D10-IF(Skills!E10=TRUE,Inputs!$B$32,0)))*(1-IF(AND(ArtifactsInput!$M$27,Inputs!$B$4="Chapter Hunt"),CHOOSE(ArtifactsInput!$N$27+1,20,24,28,32,36,40),0)/100)),0)</f>
        <v/>
      </c>
      <c r="R841">
        <f>IF(AND(Inputs!$B$38&lt;&gt;"pvp",Inputs!$B$43&gt;0),IF(MAX(0,Inputs!$B$43-B863)&lt;=0,0,(INT(MAX(0,Inputs!$B$43-B863)/(IF(Inputs!$B$38="pvp",15,MAX(0.1,Skills!D10-IF(Skills!E10=TRUE,Inputs!$B$32,0)))*(1-IF(AND(ArtifactsInput!$M$27,Inputs!$B$4="Chapter Hunt"),CHOOSE(ArtifactsInput!$N$27+1,20,24,28,32,36,40),0)/100)))+1)),0)</f>
        <v/>
      </c>
      <c r="S841">
        <f>IFERROR(O841/N841,0)</f>
        <v/>
      </c>
      <c r="T841">
        <f>IF(C841,(H841*N841*IF(AND(Inputs!$B$38&lt;&gt;"pvp",Inputs!$B$43&gt;0),((Skills!G10*((R841-1)*IF(Skills!H10&gt;0,Skills!I10/Skills!H10,1)+IF(Skills!H10&gt;0,MIN(Skills!I10,MAX(0,MAX(0,Inputs!$B$43-B863)-((R841-1)*(IF(Inputs!$B$38="pvp",15,MAX(0.1,Skills!D10-IF(Skills!E10=TRUE,Inputs!$B$32,0)))*(1-IF(AND(ArtifactsInput!$M$27,Inputs!$B$4="Chapter Hunt"),CHOOSE(ArtifactsInput!$N$27+1,20,24,28,32,36,40),0)/100)))))/Skills!H10,1)))/Inputs!$B$43),G841*Q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1">
        <f>IF(C841,(H841*N841*IF(AND(Inputs!$B$38&lt;&gt;"pvp",Inputs!$B$43&gt;0),((Skills!G10*((R841-1)*IF(Skills!H10&gt;0,Skills!I10/Skills!H10,1)+IF(Skills!H10&gt;0,MIN(Skills!I10,MAX(0,MAX(0,Inputs!$B$43-B863)-((R841-1)*(IF(Inputs!$B$38="pvp",15,MAX(0.1,Skills!D10-IF(Skills!E10=TRUE,Inputs!$B$32,0)))*(1-IF(AND(ArtifactsInput!$M$27,Inputs!$B$4="Chapter Hunt"),CHOOSE(ArtifactsInput!$N$27+1,20,24,28,32,36,40),0)/100)))))/Skills!H10,1)))/Inputs!$B$43),G841*Q841))*IF(Inputs!$B$38="pvp",1,(1+(Inputs!$B$21+Skills!Q10+(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Skills!A11</f>
        <v/>
      </c>
      <c r="B842">
        <f>Skills!B11</f>
        <v/>
      </c>
      <c r="C842">
        <f>Inputs!$B$3&gt;=113</f>
        <v/>
      </c>
      <c r="D842">
        <f>IF(Skills!C11=1,60+Inputs!$B$25+(Inputs!$B$29+1),IF(Skills!C11=2,90+Inputs!$B$26+(Inputs!$B$29+1),IF(Skills!C11=3,120+Inputs!$B$27+(Inputs!$B$29+1),MAX(0,(Inputs!$B$3-100)*3)+Inputs!$B$28+(Inputs!$B$29+1))))</f>
        <v/>
      </c>
      <c r="E842">
        <f>INDEX(FactorTable!$B$2:$Y$301, MATCH(ROUND(MIN(300,MAX(1,D842)),0), FactorTable!$A$2:$A$301,0), Skills!M11+1)</f>
        <v/>
      </c>
      <c r="F842">
        <f>IF(Skills!N11=TRUE,(Skills!L11/10)*(E842/1000),Skills!L11/10)+Skills!O11</f>
        <v/>
      </c>
      <c r="G842">
        <f>Skills!G11*IF(Skills!H11&gt;0,Skills!I11/Skills!H11,1)</f>
        <v/>
      </c>
      <c r="H842">
        <f>1-(1-Skills!J11/100)^Skills!K11</f>
        <v/>
      </c>
      <c r="I842" t="inlineStr">
        <is>
          <t>1</t>
        </is>
      </c>
      <c r="J842">
        <f>((Inputs!$B$6*(1+Inputs!$B$7/100))+(((Inputs!$B$12*(1+Inputs!$B$13/100))-(Inputs!$B$12*(1+Inputs!$B$13/100)))+0.25*(Inputs!$B$14-Inputs!$B$14))*(1+Inputs!$B$7/100))*(F842/100)</f>
        <v/>
      </c>
      <c r="K842">
        <f>J842*(1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851=TRUE)*(F851-Calc!F20)),(Inputs!$B$23+0+(IF(ArtifactsInput!$M$15,CHOOSE(ArtifactsInput!$N$15+1,25,30,35,40,45,50)/100*(Inputs!$B$11-Inputs!$B$11),0))))/100+(Inputs!$B$23+0+(IF(ArtifactsInput!$M$15,CHOOSE(ArtifactsInput!$N$15+1,25,30,35,40,45,50)/100*(Inputs!$B$11-Inputs!$B$11),0)))/100)/2</f>
        <v/>
      </c>
      <c r="M842">
        <f>L842*(1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IF(B866=0,0,O842/B866)</f>
        <v/>
      </c>
      <c r="Q842">
        <f>IFERROR(1/(IF(Inputs!$B$38="pvp",15,MAX(0.1,Skills!D11-IF(Skills!E11=TRUE,Inputs!$B$32,0)))*(1-IF(AND(ArtifactsInput!$M$27,Inputs!$B$4="Chapter Hunt"),CHOOSE(ArtifactsInput!$N$27+1,20,24,28,32,36,40),0)/100)),0)</f>
        <v/>
      </c>
      <c r="R842">
        <f>IF(AND(Inputs!$B$38&lt;&gt;"pvp",Inputs!$B$43&gt;0),IF(MAX(0,Inputs!$B$43-B863)&lt;=0,0,(INT(MAX(0,Inputs!$B$43-B863)/(IF(Inputs!$B$38="pvp",15,MAX(0.1,Skills!D11-IF(Skills!E11=TRUE,Inputs!$B$32,0)))*(1-IF(AND(ArtifactsInput!$M$27,Inputs!$B$4="Chapter Hunt"),CHOOSE(ArtifactsInput!$N$27+1,20,24,28,32,36,40),0)/100)))+1)),0)</f>
        <v/>
      </c>
      <c r="S842">
        <f>IFERROR(O842/N842,0)</f>
        <v/>
      </c>
      <c r="T842">
        <f>IF(C842,(H842*N842*IF(AND(Inputs!$B$38&lt;&gt;"pvp",Inputs!$B$43&gt;0),((Skills!G11*((R842-1)*IF(Skills!H11&gt;0,Skills!I11/Skills!H11,1)+IF(Skills!H11&gt;0,MIN(Skills!I11,MAX(0,MAX(0,Inputs!$B$43-B863)-((R842-1)*(IF(Inputs!$B$38="pvp",15,MAX(0.1,Skills!D11-IF(Skills!E11=TRUE,Inputs!$B$32,0)))*(1-IF(AND(ArtifactsInput!$M$27,Inputs!$B$4="Chapter Hunt"),CHOOSE(ArtifactsInput!$N$27+1,20,24,28,32,36,40),0)/100)))))/Skills!H11,1)))/Inputs!$B$43),G842*Q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11*((R842-1)*IF(Skills!H11&gt;0,Skills!I11/Skills!H11,1)+IF(Skills!H11&gt;0,MIN(Skills!I11,MAX(0,MAX(0,Inputs!$B$43-B863)-((R842-1)*(IF(Inputs!$B$38="pvp",15,MAX(0.1,Skills!D11-IF(Skills!E11=TRUE,Inputs!$B$32,0)))*(1-IF(AND(ArtifactsInput!$M$27,Inputs!$B$4="Chapter Hunt"),CHOOSE(ArtifactsInput!$N$27+1,20,24,28,32,36,40),0)/100)))))/Skills!H11,1)))/Inputs!$B$43),G842*Q842))*IF(Inputs!$B$38="pvp",1,(1+(Inputs!$B$21+Skills!Q11+(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Skills!A12</f>
        <v/>
      </c>
      <c r="B843">
        <f>Skills!B12</f>
        <v/>
      </c>
      <c r="C843">
        <f>Inputs!$B$3&gt;=100</f>
        <v/>
      </c>
      <c r="D843">
        <f>IF(Skills!C12=1,60+Inputs!$B$25+(Inputs!$B$29+1),IF(Skills!C12=2,90+Inputs!$B$26+(Inputs!$B$29+1),IF(Skills!C12=3,120+Inputs!$B$27+(Inputs!$B$29+1),MAX(0,(Inputs!$B$3-100)*3)+Inputs!$B$28+(Inputs!$B$29+1))))</f>
        <v/>
      </c>
      <c r="E843">
        <f>INDEX(FactorTable!$B$2:$Y$301, MATCH(ROUND(MIN(300,MAX(1,D843)),0), FactorTable!$A$2:$A$301,0), Skills!M12+1)</f>
        <v/>
      </c>
      <c r="F843">
        <f>IF(Skills!N12=TRUE,(Skills!L12/10)*(E843/1000),Skills!L12/10)+Skills!O12</f>
        <v/>
      </c>
      <c r="G843" t="inlineStr"/>
      <c r="H843" t="inlineStr"/>
      <c r="I843" t="inlineStr">
        <is>
          <t>1</t>
        </is>
      </c>
      <c r="J843" t="inlineStr"/>
      <c r="K843" t="inlineStr"/>
      <c r="L843" t="inlineStr"/>
      <c r="M843" t="inlineStr"/>
      <c r="N843" t="inlineStr"/>
      <c r="O843" t="inlineStr"/>
      <c r="P843" t="inlineStr"/>
      <c r="Q843" t="inlineStr"/>
      <c r="R843" t="inlineStr"/>
      <c r="S843" t="inlineStr"/>
      <c r="T843" t="inlineStr"/>
      <c r="V843" t="inlineStr"/>
    </row>
    <row r="844">
      <c r="A844">
        <f>Skills!A13</f>
        <v/>
      </c>
      <c r="B844">
        <f>Skills!B13</f>
        <v/>
      </c>
      <c r="C844">
        <f>Inputs!$B$3&gt;=66</f>
        <v/>
      </c>
      <c r="D844">
        <f>IF(Skills!C13=1,60+Inputs!$B$25+(Inputs!$B$29+1),IF(Skills!C13=2,90+Inputs!$B$26+(Inputs!$B$29+1),IF(Skills!C13=3,120+Inputs!$B$27+(Inputs!$B$29+1),MAX(0,(Inputs!$B$3-100)*3)+Inputs!$B$28+(Inputs!$B$29+1))))</f>
        <v/>
      </c>
      <c r="E844">
        <f>INDEX(FactorTable!$B$2:$Y$301, MATCH(ROUND(MIN(300,MAX(1,D844)),0), FactorTable!$A$2:$A$301,0), Skills!M13+1)</f>
        <v/>
      </c>
      <c r="F844">
        <f>IF(Skills!N13=TRUE,(Skills!L13/10)*(E844/1000),Skills!L13/10)+Skills!O13</f>
        <v/>
      </c>
      <c r="G844">
        <f>Skills!G13*IF(Skills!H13&gt;0,Skills!I13/Skills!H13,1)</f>
        <v/>
      </c>
      <c r="H844">
        <f>1-(1-Skills!J13/100)^Skills!K13</f>
        <v/>
      </c>
      <c r="I844" t="inlineStr">
        <is>
          <t>1</t>
        </is>
      </c>
      <c r="J844" t="inlineStr"/>
      <c r="K844" t="inlineStr"/>
      <c r="L844" t="inlineStr"/>
      <c r="M844" t="inlineStr"/>
      <c r="N844" t="inlineStr"/>
      <c r="O844">
        <f>(1-Summary!$B$11)*T844+Summary!$B$11*V844</f>
        <v/>
      </c>
      <c r="P844">
        <f>IF(B866=0,0,O844/B866)</f>
        <v/>
      </c>
      <c r="Q844" t="n">
        <v>0</v>
      </c>
      <c r="R844" t="n">
        <v>0</v>
      </c>
      <c r="S844">
        <f>IFERROR(O844/N844,0)</f>
        <v/>
      </c>
      <c r="T844" t="n">
        <v>0</v>
      </c>
      <c r="V844" t="n">
        <v>0</v>
      </c>
    </row>
    <row r="845">
      <c r="A845">
        <f>Skills!A14</f>
        <v/>
      </c>
      <c r="B845">
        <f>Skills!B14</f>
        <v/>
      </c>
      <c r="C845">
        <f>Inputs!$B$3&gt;=107</f>
        <v/>
      </c>
      <c r="D845">
        <f>IF(Skills!C14=1,60+Inputs!$B$25+(Inputs!$B$29+1),IF(Skills!C14=2,90+Inputs!$B$26+(Inputs!$B$29+1),IF(Skills!C14=3,120+Inputs!$B$27+(Inputs!$B$29+1),MAX(0,(Inputs!$B$3-100)*3)+Inputs!$B$28+(Inputs!$B$29+1))))</f>
        <v/>
      </c>
      <c r="E845">
        <f>INDEX(FactorTable!$B$2:$Y$301, MATCH(ROUND(MIN(300,MAX(1,D845)),0), FactorTable!$A$2:$A$301,0), Skills!M14+1)</f>
        <v/>
      </c>
      <c r="F845">
        <f>IF(Skills!N14=TRUE,(Skills!L14/10)*(E845/1000),Skills!L14/10)+Skills!O14</f>
        <v/>
      </c>
      <c r="G845">
        <f>Skills!G14*IF(Skills!H14&gt;0,Skills!I14/Skills!H14,1)</f>
        <v/>
      </c>
      <c r="H845">
        <f>1-(1-Skills!J14/100)^Skills!K14</f>
        <v/>
      </c>
      <c r="I845" t="inlineStr">
        <is>
          <t>1</t>
        </is>
      </c>
      <c r="J845" t="inlineStr"/>
      <c r="K845" t="inlineStr"/>
      <c r="L845" t="inlineStr"/>
      <c r="M845" t="inlineStr"/>
      <c r="N845" t="inlineStr"/>
      <c r="O845">
        <f>(1-Summary!$B$11)*T845+Summary!$B$11*V845</f>
        <v/>
      </c>
      <c r="P845">
        <f>IF(B866=0,0,O845/B866)</f>
        <v/>
      </c>
      <c r="Q845" t="n">
        <v>0</v>
      </c>
      <c r="R845" t="n">
        <v>0</v>
      </c>
      <c r="S845">
        <f>IFERROR(O845/N845,0)</f>
        <v/>
      </c>
      <c r="T845" t="n">
        <v>0</v>
      </c>
      <c r="V845" t="n">
        <v>0</v>
      </c>
    </row>
    <row r="846">
      <c r="A846">
        <f>Skills!A15</f>
        <v/>
      </c>
      <c r="B846">
        <f>Skills!B15</f>
        <v/>
      </c>
      <c r="C846">
        <f>Inputs!$B$3&gt;=115</f>
        <v/>
      </c>
      <c r="D846">
        <f>IF(Skills!C15=1,60+Inputs!$B$25+(Inputs!$B$29+1),IF(Skills!C15=2,90+Inputs!$B$26+(Inputs!$B$29+1),IF(Skills!C15=3,120+Inputs!$B$27+(Inputs!$B$29+1),MAX(0,(Inputs!$B$3-100)*3)+Inputs!$B$28+(Inputs!$B$29+1))))</f>
        <v/>
      </c>
      <c r="E846">
        <f>INDEX(FactorTable!$B$2:$Y$301, MATCH(ROUND(MIN(300,MAX(1,D846)),0), FactorTable!$A$2:$A$301,0), Skills!M15+1)</f>
        <v/>
      </c>
      <c r="F846">
        <f>IF(Skills!N15=TRUE,(Skills!L15/10)*(E846/1000),Skills!L15/10)+Skills!O15</f>
        <v/>
      </c>
      <c r="G846">
        <f>Skills!G15*IF(Skills!H15&gt;0,Skills!I15/Skills!H15,1)</f>
        <v/>
      </c>
      <c r="H846">
        <f>1-(1-Skills!J15/100)^Skills!K15</f>
        <v/>
      </c>
      <c r="I846" t="inlineStr">
        <is>
          <t>1</t>
        </is>
      </c>
      <c r="J846" t="inlineStr"/>
      <c r="K846" t="inlineStr"/>
      <c r="L846" t="inlineStr"/>
      <c r="M846" t="inlineStr"/>
      <c r="N846" t="inlineStr"/>
      <c r="O846">
        <f>(1-Summary!$B$11)*T846+Summary!$B$11*V846</f>
        <v/>
      </c>
      <c r="P846">
        <f>IF(B866=0,0,O846/B866)</f>
        <v/>
      </c>
      <c r="Q846" t="n">
        <v>0</v>
      </c>
      <c r="R846" t="n">
        <v>0</v>
      </c>
      <c r="S846">
        <f>IFERROR(O846/N846,0)</f>
        <v/>
      </c>
      <c r="T846" t="n">
        <v>0</v>
      </c>
      <c r="V846" t="n">
        <v>0</v>
      </c>
    </row>
    <row r="847">
      <c r="A847">
        <f>Skills!A16</f>
        <v/>
      </c>
      <c r="B847">
        <f>Skills!B16</f>
        <v/>
      </c>
      <c r="C847">
        <f>Inputs!$B$3&gt;=15</f>
        <v/>
      </c>
      <c r="D847">
        <f>IF(Skills!C16=1,60+Inputs!$B$25+(Inputs!$B$29+1),IF(Skills!C16=2,90+Inputs!$B$26+(Inputs!$B$29+1),IF(Skills!C16=3,120+Inputs!$B$27+(Inputs!$B$29+1),MAX(0,(Inputs!$B$3-100)*3)+Inputs!$B$28+(Inputs!$B$29+1))))</f>
        <v/>
      </c>
      <c r="E847">
        <f>INDEX(FactorTable!$B$2:$Y$301, MATCH(ROUND(MIN(300,MAX(1,D847)),0), FactorTable!$A$2:$A$301,0), Skills!M16+1)</f>
        <v/>
      </c>
      <c r="F847">
        <f>IF(Skills!N16=TRUE,(Skills!L16/10)*(E847/1000),Skills!L16/10)+Skills!O16</f>
        <v/>
      </c>
      <c r="G847">
        <f>Skills!G16*IF(Skills!H16&gt;0,Skills!I16/Skills!H16,1)</f>
        <v/>
      </c>
      <c r="H847">
        <f>1-(1-Skills!J16/100)^Skills!K16</f>
        <v/>
      </c>
      <c r="I847" t="inlineStr">
        <is>
          <t>1</t>
        </is>
      </c>
      <c r="J847" t="inlineStr"/>
      <c r="K847" t="inlineStr"/>
      <c r="L847" t="inlineStr"/>
      <c r="M847" t="inlineStr"/>
      <c r="N847" t="inlineStr"/>
      <c r="O847">
        <f>(1-Summary!$B$11)*T847+Summary!$B$11*V847</f>
        <v/>
      </c>
      <c r="P847">
        <f>IF(B866=0,0,O847/B866)</f>
        <v/>
      </c>
      <c r="Q847" t="n">
        <v>0</v>
      </c>
      <c r="R847" t="n">
        <v>0</v>
      </c>
      <c r="S847">
        <f>IFERROR(O847/N847,0)</f>
        <v/>
      </c>
      <c r="T847" t="n">
        <v>0</v>
      </c>
      <c r="V847" t="n">
        <v>0</v>
      </c>
    </row>
    <row r="848">
      <c r="A848">
        <f>Skills!A17</f>
        <v/>
      </c>
      <c r="B848">
        <f>Skills!B17</f>
        <v/>
      </c>
      <c r="C848">
        <f>Inputs!$B$3&gt;=10</f>
        <v/>
      </c>
      <c r="D848">
        <f>IF(Skills!C17=1,60+Inputs!$B$25+(Inputs!$B$29+1),IF(Skills!C17=2,90+Inputs!$B$26+(Inputs!$B$29+1),IF(Skills!C17=3,120+Inputs!$B$27+(Inputs!$B$29+1),MAX(0,(Inputs!$B$3-100)*3)+Inputs!$B$28+(Inputs!$B$29+1))))</f>
        <v/>
      </c>
      <c r="E848">
        <f>INDEX(FactorTable!$B$2:$Y$301, MATCH(ROUND(MIN(300,MAX(1,D848)),0), FactorTable!$A$2:$A$301,0), Skills!M17+1)</f>
        <v/>
      </c>
      <c r="F848">
        <f>IF(Skills!N17=TRUE,(Skills!L17/10)*(E848/1000),Skills!L17/10)+Skills!O17</f>
        <v/>
      </c>
      <c r="G848">
        <f>Skills!G17*IF(Skills!H17&gt;0,Skills!I17/Skills!H17,1)</f>
        <v/>
      </c>
      <c r="H848">
        <f>1-(1-Skills!J17/100)^Skills!K17</f>
        <v/>
      </c>
      <c r="I848" t="inlineStr">
        <is>
          <t>1</t>
        </is>
      </c>
      <c r="J848" t="inlineStr"/>
      <c r="K848" t="inlineStr"/>
      <c r="L848" t="inlineStr"/>
      <c r="M848" t="inlineStr"/>
      <c r="N848" t="inlineStr"/>
      <c r="O848">
        <f>(1-Summary!$B$11)*T848+Summary!$B$11*V848</f>
        <v/>
      </c>
      <c r="P848">
        <f>IF(B866=0,0,O848/B866)</f>
        <v/>
      </c>
      <c r="Q848" t="n">
        <v>0</v>
      </c>
      <c r="R848" t="n">
        <v>0</v>
      </c>
      <c r="S848">
        <f>IFERROR(O848/N848,0)</f>
        <v/>
      </c>
      <c r="T848" t="n">
        <v>0</v>
      </c>
      <c r="V848" t="n">
        <v>0</v>
      </c>
    </row>
    <row r="849">
      <c r="A849">
        <f>Skills!A18</f>
        <v/>
      </c>
      <c r="B849">
        <f>Skills!B18</f>
        <v/>
      </c>
      <c r="C849">
        <f>Inputs!$B$3&gt;=33</f>
        <v/>
      </c>
      <c r="D849">
        <f>IF(Skills!C18=1,60+Inputs!$B$25+(Inputs!$B$29+1),IF(Skills!C18=2,90+Inputs!$B$26+(Inputs!$B$29+1),IF(Skills!C18=3,120+Inputs!$B$27+(Inputs!$B$29+1),MAX(0,(Inputs!$B$3-100)*3)+Inputs!$B$28+(Inputs!$B$29+1))))</f>
        <v/>
      </c>
      <c r="E849">
        <f>INDEX(FactorTable!$B$2:$Y$301, MATCH(ROUND(MIN(300,MAX(1,D849)),0), FactorTable!$A$2:$A$301,0), Skills!M18+1)</f>
        <v/>
      </c>
      <c r="F849">
        <f>IF(Skills!N18=TRUE,(Skills!L18/10)*(E849/1000),Skills!L18/10)+Skills!O18</f>
        <v/>
      </c>
      <c r="G849">
        <f>Skills!G18*IF(Skills!H18&gt;0,Skills!I18/Skills!H18,1)</f>
        <v/>
      </c>
      <c r="H849">
        <f>1-(1-Skills!J18/100)^Skills!K18</f>
        <v/>
      </c>
      <c r="I849" t="inlineStr">
        <is>
          <t>1</t>
        </is>
      </c>
      <c r="J849" t="inlineStr"/>
      <c r="K849" t="inlineStr"/>
      <c r="L849" t="inlineStr"/>
      <c r="M849" t="inlineStr"/>
      <c r="N849" t="inlineStr"/>
      <c r="O849">
        <f>(1-Summary!$B$11)*T849+Summary!$B$11*V849</f>
        <v/>
      </c>
      <c r="P849">
        <f>IF(B866=0,0,O849/B866)</f>
        <v/>
      </c>
      <c r="Q849" t="n">
        <v>0</v>
      </c>
      <c r="R849" t="n">
        <v>0</v>
      </c>
      <c r="S849">
        <f>IFERROR(O849/N849,0)</f>
        <v/>
      </c>
      <c r="T849" t="n">
        <v>0</v>
      </c>
      <c r="V849" t="n">
        <v>0</v>
      </c>
    </row>
    <row r="850">
      <c r="A850">
        <f>Skills!A19</f>
        <v/>
      </c>
      <c r="B850">
        <f>Skills!B19</f>
        <v/>
      </c>
      <c r="C850">
        <f>Inputs!$B$3&gt;=40</f>
        <v/>
      </c>
      <c r="D850">
        <f>IF(Skills!C19=1,60+Inputs!$B$25+(Inputs!$B$29+1),IF(Skills!C19=2,90+Inputs!$B$26+(Inputs!$B$29+1),IF(Skills!C19=3,120+Inputs!$B$27+(Inputs!$B$29+1),MAX(0,(Inputs!$B$3-100)*3)+Inputs!$B$28+(Inputs!$B$29+1))))</f>
        <v/>
      </c>
      <c r="E850">
        <f>INDEX(FactorTable!$B$2:$Y$301, MATCH(ROUND(MIN(300,MAX(1,D850)),0), FactorTable!$A$2:$A$301,0), Skills!M19+1)</f>
        <v/>
      </c>
      <c r="F850">
        <f>IF(Skills!N19=TRUE,(Skills!L19/10)*(E850/1000),Skills!L19/10)+Skills!O19</f>
        <v/>
      </c>
      <c r="G850">
        <f>Skills!G19*IF(Skills!H19&gt;0,Skills!I19/Skills!H19,1)</f>
        <v/>
      </c>
      <c r="H850">
        <f>1-(1-Skills!J19/100)^Skills!K19</f>
        <v/>
      </c>
      <c r="I850" t="inlineStr">
        <is>
          <t>1</t>
        </is>
      </c>
      <c r="J850" t="inlineStr"/>
      <c r="K850" t="inlineStr"/>
      <c r="L850" t="inlineStr"/>
      <c r="M850" t="inlineStr"/>
      <c r="N850" t="inlineStr"/>
      <c r="O850">
        <f>(1-Summary!$B$11)*T850+Summary!$B$11*V850</f>
        <v/>
      </c>
      <c r="P850">
        <f>IF(B866=0,0,O850/B866)</f>
        <v/>
      </c>
      <c r="Q850" t="n">
        <v>0</v>
      </c>
      <c r="R850" t="n">
        <v>0</v>
      </c>
      <c r="S850">
        <f>IFERROR(O850/N850,0)</f>
        <v/>
      </c>
      <c r="T850" t="n">
        <v>0</v>
      </c>
      <c r="V850" t="n">
        <v>0</v>
      </c>
    </row>
    <row r="851">
      <c r="A851">
        <f>Skills!A20</f>
        <v/>
      </c>
      <c r="B851">
        <f>Skills!B20</f>
        <v/>
      </c>
      <c r="C851">
        <f>Inputs!$B$3&gt;=43</f>
        <v/>
      </c>
      <c r="D851">
        <f>IF(Skills!C20=1,60+Inputs!$B$25+(Inputs!$B$29+1),IF(Skills!C20=2,90+Inputs!$B$26+(Inputs!$B$29+1),IF(Skills!C20=3,120+Inputs!$B$27+(Inputs!$B$29+1),MAX(0,(Inputs!$B$3-100)*3)+Inputs!$B$28+(Inputs!$B$29+1))))</f>
        <v/>
      </c>
      <c r="E851">
        <f>INDEX(FactorTable!$B$2:$Y$301, MATCH(ROUND(MIN(300,MAX(1,D851)),0), FactorTable!$A$2:$A$301,0), Skills!M20+1)</f>
        <v/>
      </c>
      <c r="F851">
        <f>IF(Skills!N20=TRUE,(Skills!L20/10)*(E851/1000),Skills!L20/10)+Skills!O20</f>
        <v/>
      </c>
      <c r="G851">
        <f>Skills!G20*IF(Skills!H20&gt;0,Skills!I20/Skills!H20,1)</f>
        <v/>
      </c>
      <c r="H851">
        <f>1-(1-Skills!J20/100)^Skills!K20</f>
        <v/>
      </c>
      <c r="I851" t="inlineStr">
        <is>
          <t>1</t>
        </is>
      </c>
      <c r="J851" t="inlineStr"/>
      <c r="K851" t="inlineStr"/>
      <c r="L851" t="inlineStr"/>
      <c r="M851" t="inlineStr"/>
      <c r="N851" t="inlineStr"/>
      <c r="O851">
        <f>(1-Summary!$B$11)*T851+Summary!$B$11*V851</f>
        <v/>
      </c>
      <c r="P851">
        <f>IF(B866=0,0,O851/B866)</f>
        <v/>
      </c>
      <c r="Q851" t="n">
        <v>0</v>
      </c>
      <c r="R851" t="n">
        <v>0</v>
      </c>
      <c r="S851">
        <f>IFERROR(O851/N851,0)</f>
        <v/>
      </c>
      <c r="T851" t="n">
        <v>0</v>
      </c>
      <c r="V851" t="n">
        <v>0</v>
      </c>
    </row>
    <row r="852">
      <c r="A852">
        <f>Skills!A21</f>
        <v/>
      </c>
      <c r="B852">
        <f>Skills!B21</f>
        <v/>
      </c>
      <c r="C852">
        <f>Inputs!$B$3&gt;=38</f>
        <v/>
      </c>
      <c r="D852">
        <f>IF(Skills!C21=1,60+Inputs!$B$25+(Inputs!$B$29+1),IF(Skills!C21=2,90+Inputs!$B$26+(Inputs!$B$29+1),IF(Skills!C21=3,120+Inputs!$B$27+(Inputs!$B$29+1),MAX(0,(Inputs!$B$3-100)*3)+Inputs!$B$28+(Inputs!$B$29+1))))</f>
        <v/>
      </c>
      <c r="E852">
        <f>INDEX(FactorTable!$B$2:$Y$301, MATCH(ROUND(MIN(300,MAX(1,D852)),0), FactorTable!$A$2:$A$301,0), Skills!M21+1)</f>
        <v/>
      </c>
      <c r="F852">
        <f>IF(Skills!N21=TRUE,(Skills!L21/10)*(E852/1000),Skills!L21/10)+Skills!O21</f>
        <v/>
      </c>
      <c r="G852">
        <f>Skills!G21*IF(Skills!H21&gt;0,Skills!I21/Skills!H21,1)</f>
        <v/>
      </c>
      <c r="H852">
        <f>1-(1-Skills!J21/100)^Skills!K21</f>
        <v/>
      </c>
      <c r="I852" t="inlineStr">
        <is>
          <t>1</t>
        </is>
      </c>
      <c r="J852" t="inlineStr"/>
      <c r="K852" t="inlineStr"/>
      <c r="L852" t="inlineStr"/>
      <c r="M852" t="inlineStr"/>
      <c r="N852" t="inlineStr"/>
      <c r="O852">
        <f>(1-Summary!$B$11)*T852+Summary!$B$11*V852</f>
        <v/>
      </c>
      <c r="P852">
        <f>IF(B866=0,0,O852/B866)</f>
        <v/>
      </c>
      <c r="Q852" t="n">
        <v>0</v>
      </c>
      <c r="R852" t="n">
        <v>0</v>
      </c>
      <c r="S852">
        <f>IFERROR(O852/N852,0)</f>
        <v/>
      </c>
      <c r="T852" t="n">
        <v>0</v>
      </c>
      <c r="V852" t="n">
        <v>0</v>
      </c>
    </row>
    <row r="853">
      <c r="A853">
        <f>Skills!A22</f>
        <v/>
      </c>
      <c r="B853">
        <f>Skills!B22</f>
        <v/>
      </c>
      <c r="C853">
        <f>Inputs!$B$3&gt;=75</f>
        <v/>
      </c>
      <c r="D853">
        <f>IF(Skills!C22=1,60+Inputs!$B$25+(Inputs!$B$29+1),IF(Skills!C22=2,90+Inputs!$B$26+(Inputs!$B$29+1),IF(Skills!C22=3,120+Inputs!$B$27+(Inputs!$B$29+1),MAX(0,(Inputs!$B$3-100)*3)+Inputs!$B$28+(Inputs!$B$29+1))))</f>
        <v/>
      </c>
      <c r="E853">
        <f>INDEX(FactorTable!$B$2:$Y$301, MATCH(ROUND(MIN(300,MAX(1,D853)),0), FactorTable!$A$2:$A$301,0), Skills!M22+1)</f>
        <v/>
      </c>
      <c r="F853">
        <f>IF(Skills!N22=TRUE,(Skills!L22/10)*(E853/1000),Skills!L22/10)+Skills!O22</f>
        <v/>
      </c>
      <c r="G853">
        <f>Skills!G22*IF(Skills!H22&gt;0,Skills!I22/Skills!H22,1)</f>
        <v/>
      </c>
      <c r="H853">
        <f>1-(1-Skills!J22/100)^Skills!K22</f>
        <v/>
      </c>
      <c r="I853" t="inlineStr">
        <is>
          <t>1</t>
        </is>
      </c>
      <c r="J853" t="inlineStr"/>
      <c r="K853" t="inlineStr"/>
      <c r="L853" t="inlineStr"/>
      <c r="M853" t="inlineStr"/>
      <c r="N853" t="inlineStr"/>
      <c r="O853">
        <f>(1-Summary!$B$11)*T853+Summary!$B$11*V853</f>
        <v/>
      </c>
      <c r="P853">
        <f>IF(B866=0,0,O853/B866)</f>
        <v/>
      </c>
      <c r="Q853" t="n">
        <v>0</v>
      </c>
      <c r="R853" t="n">
        <v>0</v>
      </c>
      <c r="S853">
        <f>IFERROR(O853/N853,0)</f>
        <v/>
      </c>
      <c r="T853" t="n">
        <v>0</v>
      </c>
      <c r="V853" t="n">
        <v>0</v>
      </c>
    </row>
    <row r="855">
      <c r="A855" t="inlineStr">
        <is>
          <t>Attack% Bucket Multiplier</t>
        </is>
      </c>
      <c r="B855">
        <f>(1+(((C844=TRUE)*F844)+((C850=TRUE)*(F850-Calc!F19))+(IF(ArtifactsInput!$M$21,CHOOSE(ArtifactsInput!$N$21+1,25,30,35,40,45,50)*(IF(OR(Inputs!$B$4="Chapter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6">
      <c r="A856" t="inlineStr">
        <is>
          <t>Global Crit Rate Bonus %</t>
        </is>
      </c>
      <c r="B856" t="n">
        <v>0</v>
      </c>
    </row>
    <row r="857">
      <c r="A857" t="inlineStr">
        <is>
          <t>Attack Speed Buff Bonus % (unused)</t>
        </is>
      </c>
      <c r="B857" t="n">
        <v>0</v>
      </c>
    </row>
    <row r="858">
      <c r="A858" t="inlineStr">
        <is>
          <t>Actions Per Second</t>
        </is>
      </c>
      <c r="B858">
        <f>1+MIN(150,150*(1-(1-(Inputs!$B$11+((C848=TRUE)*(F848-Calc!F17))+((C849=TRUE)*(F849-Calc!F18)))/150)*(1-B857/150)))/100</f>
        <v/>
      </c>
    </row>
    <row r="859">
      <c r="A859" t="inlineStr">
        <is>
          <t>Skill + Buff Cast Rate</t>
        </is>
      </c>
      <c r="B859">
        <f>IF(AND(Inputs!$B$38&lt;&gt;"pvp",Inputs!$B$43&gt;0),SUMPRODUCT((Skills!E2:E22=TRUE)*(C833:C853=TRUE)*R833:R853*Skills!F2:F22)/Inputs!$B$43,SUMPRODUCT((Skills!E2:E22=TRUE)*(C833:C853=TRUE)*Q833:Q853*Skills!F2:F22))</f>
        <v/>
      </c>
    </row>
    <row r="860">
      <c r="A860" t="inlineStr">
        <is>
          <t>Hook Bomber Casts Per Second</t>
        </is>
      </c>
      <c r="B860">
        <f>MAX(0,B858-B859)</f>
        <v/>
      </c>
    </row>
    <row r="861">
      <c r="A861" t="inlineStr">
        <is>
          <t>Global Critical Damage Bonus % (unused)</t>
        </is>
      </c>
      <c r="B861" t="n">
        <v>0</v>
      </c>
    </row>
    <row r="862">
      <c r="A862" t="inlineStr">
        <is>
          <t>Global Final Damage Bonus % (Serpent Scale + Crossbones + Time Leap + Speed Infusion)</t>
        </is>
      </c>
      <c r="B862">
        <f>((C836=TRUE)*F836*((10+IF(Inputs!$B$3&gt;=94,5,0))/((10+IF(Inputs!$B$3&gt;=94,5,0))+5/(B860*(1+IF(Inputs!$B$3&gt;=104,1,0))))))+((C845=TRUE)*F845)+((C846=TRUE)*F846)+((Inputs!$B$3&gt;=110)*20*(B858-1))</f>
        <v/>
      </c>
    </row>
    <row r="863">
      <c r="A863" t="inlineStr">
        <is>
          <t>Buff-Casting Startup Delay (s, fixed-duration only)</t>
        </is>
      </c>
      <c r="B863">
        <f>IF(AND(Inputs!$B$38&lt;&gt;"pvp",Inputs!$B$43&gt;0),SUMPRODUCT((Skills!T2:T22&gt;0)*(Skills!E2:E22=TRUE)*(C833:C853=TRUE))/B858,0)</f>
        <v/>
      </c>
    </row>
    <row r="864">
      <c r="A864" t="inlineStr">
        <is>
          <t>Boss-Only Total DPS (this block's swept value)</t>
        </is>
      </c>
      <c r="B864">
        <f>SUM(T833:T853)</f>
        <v/>
      </c>
    </row>
    <row r="865">
      <c r="A865" t="inlineStr">
        <is>
          <t>Normal-Only Total DPS (this block's swept value)</t>
        </is>
      </c>
      <c r="B865">
        <f>SUM(V833:V853)</f>
        <v/>
      </c>
    </row>
    <row r="866">
      <c r="A866" s="6" t="inlineStr">
        <is>
          <t>TOTAL DPS</t>
        </is>
      </c>
      <c r="B866" s="6">
        <f>SUM(O833:O853)</f>
        <v/>
      </c>
    </row>
    <row r="869">
      <c r="A869" s="6" t="inlineStr">
        <is>
          <t>Stat: Flat ATTACK</t>
        </is>
      </c>
    </row>
    <row r="870">
      <c r="A870" s="5" t="inlineStr">
        <is>
          <t>Key</t>
        </is>
      </c>
      <c r="B870" s="5" t="inlineStr">
        <is>
          <t>Name</t>
        </is>
      </c>
      <c r="C870" s="5" t="inlineStr">
        <is>
          <t>Unlocked</t>
        </is>
      </c>
      <c r="D870" s="5" t="inlineStr">
        <is>
          <t>InputLevel</t>
        </is>
      </c>
      <c r="E870" s="5" t="inlineStr">
        <is>
          <t>Factor</t>
        </is>
      </c>
      <c r="F870" s="5" t="inlineStr">
        <is>
          <t>CoefficientPercent</t>
        </is>
      </c>
      <c r="G870" s="5" t="inlineStr">
        <is>
          <t>EffectiveHits</t>
        </is>
      </c>
      <c r="H870" s="5" t="inlineStr">
        <is>
          <t>ProcProbability</t>
        </is>
      </c>
      <c r="I870" s="5" t="inlineStr">
        <is>
          <t>MapleHeroMultiplier</t>
        </is>
      </c>
      <c r="J870" s="5" t="inlineStr">
        <is>
          <t>BaseDamage</t>
        </is>
      </c>
      <c r="K870" s="5" t="inlineStr">
        <is>
          <t>BaseHitDamage</t>
        </is>
      </c>
      <c r="L870" s="5" t="inlineStr">
        <is>
          <t>NonCritAvg</t>
        </is>
      </c>
      <c r="M870" s="5" t="inlineStr">
        <is>
          <t>CritAvg</t>
        </is>
      </c>
      <c r="N870" s="5" t="inlineStr">
        <is>
          <t>ExpectedDamage(perHit)</t>
        </is>
      </c>
      <c r="O870" s="5" t="inlineStr">
        <is>
          <t>DPS</t>
        </is>
      </c>
      <c r="P870" s="5" t="inlineStr">
        <is>
          <t>% of Total</t>
        </is>
      </c>
      <c r="Q870" s="5" t="inlineStr">
        <is>
          <t>InvCooldown</t>
        </is>
      </c>
      <c r="R870" s="5" t="inlineStr">
        <is>
          <t>CastsInFight</t>
        </is>
      </c>
      <c r="S870" s="5"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(((Inputs!$B$6+1)*(1+Inputs!$B$7/100))+(((Inputs!$B$12*(1+Inputs!$B$13/100))-(Inputs!$B$12*(1+Inputs!$B$13/100)))+0.25*(Inputs!$B$14-Inputs!$B$14))*(1+Inputs!$B$7/100))*(F871/100)</f>
        <v/>
      </c>
      <c r="K871">
        <f>J871*(1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
      </c>
      <c r="L871">
        <f>K871*(MIN(Inputs!$B$22+((C889=TRUE)*(F889-Calc!F20)),(Inputs!$B$23+0+(IF(ArtifactsInput!$M$15,CHOOSE(ArtifactsInput!$N$15+1,25,30,35,40,45,50)/100*(Inputs!$B$11-Inputs!$B$11),0))))/100+(Inputs!$B$23+0+(IF(ArtifactsInput!$M$15,CHOOSE(ArtifactsInput!$N$15+1,25,30,35,40,45,50)/100*(Inputs!$B$11-Inputs!$B$11),0)))/100)/2</f>
        <v/>
      </c>
      <c r="M871">
        <f>L871*(1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IF(B904=0,0,O871/B904)</f>
        <v/>
      </c>
      <c r="Q871" t="n">
        <v>0</v>
      </c>
      <c r="R871" t="n">
        <v>0</v>
      </c>
      <c r="S871">
        <f>IFERROR(O871/N871,0)</f>
        <v/>
      </c>
      <c r="T871">
        <f>IF(C871,(Skills!G2*N871*B898)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871*(1-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MAX(0,(Inputs!$B$3-100)*3)+Inputs!$B$28+Inputs!$B$29</f>
        <v/>
      </c>
      <c r="V871">
        <f>IF(C871,(Skills!G2*N871*B898)*IF(Inputs!$B$38="pvp",1,(1+(Inputs!$B$21+Skills!Q2+(IF(ArtifactsInput!$M$33,CHOOSE(ArtifactsInput!$N$33+1,30,36,42,48,54,60),0))+(IF(AND(ArtifactsInput!$M$35,Inputs!$B$4&lt;&gt;"Chapter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Skills!A3</f>
        <v/>
      </c>
      <c r="B872">
        <f>Skills!B3</f>
        <v/>
      </c>
      <c r="C872">
        <f>Inputs!$B$3&gt;=35</f>
        <v/>
      </c>
      <c r="D872">
        <f>IF(Skills!C3=1,60+Inputs!$B$25+Inputs!$B$29,IF(Skills!C3=2,90+Inputs!$B$26+Inputs!$B$29,IF(Skills!C3=3,120+Inputs!$B$27+Inputs!$B$29,MAX(0,(Inputs!$B$3-100)*3)+Inputs!$B$28+Inputs!$B$29)))</f>
        <v/>
      </c>
      <c r="E872">
        <f>INDEX(FactorTable!$B$2:$Y$301, MATCH(ROUND(MIN(300,MAX(1,D872)),0), FactorTable!$A$2:$A$301,0), Skills!M3+1)</f>
        <v/>
      </c>
      <c r="F872">
        <f>IF(Skills!N3=TRUE,(Skills!L3/10)*(E872/1000),Skills!L3/10)+Skills!O3</f>
        <v/>
      </c>
      <c r="G872">
        <f>Skills!G3*IF(Skills!H3&gt;0,Skills!I3/Skills!H3,1)</f>
        <v/>
      </c>
      <c r="H872">
        <f>1-(1-Skills!J3/100)^Skills!K3</f>
        <v/>
      </c>
      <c r="I872" t="inlineStr">
        <is>
          <t>1</t>
        </is>
      </c>
      <c r="J872">
        <f>(((Inputs!$B$6+1)*(1+Inputs!$B$7/100))+(((Inputs!$B$12*(1+Inputs!$B$13/100))-(Inputs!$B$12*(1+Inputs!$B$13/100)))+0.25*(Inputs!$B$14-Inputs!$B$14))*(1+Inputs!$B$7/100))*(F872/100)</f>
        <v/>
      </c>
      <c r="K872">
        <f>J872*(1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C889=TRUE)*(F889-Calc!F20)),(Inputs!$B$23+0+(IF(ArtifactsInput!$M$15,CHOOSE(ArtifactsInput!$N$15+1,25,30,35,40,45,50)/100*(Inputs!$B$11-Inputs!$B$11),0))))/100+(Inputs!$B$23+0+(IF(ArtifactsInput!$M$15,CHOOSE(ArtifactsInput!$N$15+1,25,30,35,40,45,50)/100*(Inputs!$B$11-Inputs!$B$11),0)))/100)/2</f>
        <v/>
      </c>
      <c r="M872">
        <f>L872*(1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(1-Summary!$B$11)*T872+Summary!$B$11*V872</f>
        <v/>
      </c>
      <c r="P872">
        <f>IF(B904=0,0,O872/B904)</f>
        <v/>
      </c>
      <c r="Q872" t="n">
        <v>0</v>
      </c>
      <c r="R872" t="n">
        <v>0</v>
      </c>
      <c r="S872">
        <f>IFERROR(O872/N872,0)</f>
        <v/>
      </c>
      <c r="T872">
        <f>IF(C872,(Skills!G3*H872*N872*B898)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872*(1-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2">
        <f>INDEX(FactorTable!$B$2:$Y$301, MATCH(ROUND(MIN(300,MAX(1,U871)),0), FactorTable!$A$2:$A$301,0), 22)</f>
        <v/>
      </c>
      <c r="V872">
        <f>IF(C872,(Skills!G3*H872*N872*B898)*IF(Inputs!$B$38="pvp",1,(1+(Inputs!$B$21+Skills!Q3+(IF(ArtifactsInput!$M$33,CHOOSE(ArtifactsInput!$N$33+1,30,36,42,48,54,60),0))+(IF(AND(ArtifactsInput!$M$35,Inputs!$B$4&lt;&gt;"Chapter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3">
      <c r="A873">
        <f>Skills!A4</f>
        <v/>
      </c>
      <c r="B873">
        <f>Skills!B4</f>
        <v/>
      </c>
      <c r="C873">
        <f>Inputs!$B$3&gt;=60</f>
        <v/>
      </c>
      <c r="D873">
        <f>IF(Skills!C4=1,60+Inputs!$B$25+Inputs!$B$29,IF(Skills!C4=2,90+Inputs!$B$26+Inputs!$B$29,IF(Skills!C4=3,120+Inputs!$B$27+Inputs!$B$29,MAX(0,(Inputs!$B$3-100)*3)+Inputs!$B$28+Inputs!$B$29)))</f>
        <v/>
      </c>
      <c r="E873">
        <f>INDEX(FactorTable!$B$2:$Y$301, MATCH(ROUND(MIN(300,MAX(1,D873)),0), FactorTable!$A$2:$A$301,0), Skills!M4+1)</f>
        <v/>
      </c>
      <c r="F873">
        <f>IF(Skills!N4=TRUE,(Skills!L4/10)*(E873/1000),Skills!L4/10)+Skills!O4</f>
        <v/>
      </c>
      <c r="G873">
        <f>Skills!G4*IF(Skills!H4&gt;0,Skills!I4/Skills!H4,1)</f>
        <v/>
      </c>
      <c r="H873">
        <f>1-(1-Skills!J4/100)^Skills!K4</f>
        <v/>
      </c>
      <c r="I873" t="inlineStr">
        <is>
          <t>1</t>
        </is>
      </c>
      <c r="J873">
        <f>(((Inputs!$B$6+1)*(1+Inputs!$B$7/100))+(((Inputs!$B$12*(1+Inputs!$B$13/100))-(Inputs!$B$12*(1+Inputs!$B$13/100)))+0.25*(Inputs!$B$14-Inputs!$B$14))*(1+Inputs!$B$7/100))*(F873/100)</f>
        <v/>
      </c>
      <c r="K873">
        <f>J873*(1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4="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889=TRUE)*(F889-Calc!F20)),(Inputs!$B$23+0+(IF(ArtifactsInput!$M$15,CHOOSE(ArtifactsInput!$N$15+1,25,30,35,40,45,50)/100*(Inputs!$B$11-Inputs!$B$11),0))))/100+(Inputs!$B$23+0+(IF(ArtifactsInput!$M$15,CHOOSE(ArtifactsInput!$N$15+1,25,30,35,40,45,50)/100*(Inputs!$B$11-Inputs!$B$11),0)))/100)/2</f>
        <v/>
      </c>
      <c r="M873">
        <f>L873*(1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IF(B904=0,0,O873/B904)</f>
        <v/>
      </c>
      <c r="Q873" t="n">
        <v>0</v>
      </c>
      <c r="R873" t="n">
        <v>0</v>
      </c>
      <c r="S873">
        <f>IFERROR(O873/N873,0)</f>
        <v/>
      </c>
      <c r="T873">
        <f>IF(C873,(Skills!G4*H873*N873*B898)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873*(1-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3">
        <f>290*U872/1000</f>
        <v/>
      </c>
      <c r="V873">
        <f>IF(C873,(Skills!G4*H873*N873*B898)*IF(Inputs!$B$38="pvp",1,(1+(Inputs!$B$21+Skills!Q4+(IF(ArtifactsInput!$M$33,CHOOSE(ArtifactsInput!$N$33+1,30,36,42,48,54,60),0))+(IF(AND(ArtifactsInput!$M$35,Inputs!$B$4&lt;&gt;"Chapter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Skills!A5</f>
        <v/>
      </c>
      <c r="B874">
        <f>Skills!B5</f>
        <v/>
      </c>
      <c r="C874">
        <f>Inputs!$B$3&gt;=60</f>
        <v/>
      </c>
      <c r="D874">
        <f>IF(Skills!C5=1,60+Inputs!$B$25+Inputs!$B$29,IF(Skills!C5=2,90+Inputs!$B$26+Inputs!$B$29,IF(Skills!C5=3,120+Inputs!$B$27+Inputs!$B$29,MAX(0,(Inputs!$B$3-100)*3)+Inputs!$B$28+Inputs!$B$29)))</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t="inlineStr"/>
      <c r="K874" t="inlineStr"/>
      <c r="L874" t="inlineStr"/>
      <c r="M874" t="inlineStr"/>
      <c r="N874" t="inlineStr"/>
      <c r="O874">
        <f>(1-Summary!$B$11)*T874+Summary!$B$11*V874</f>
        <v/>
      </c>
      <c r="P874">
        <f>IF(B904=0,0,O874/B904)</f>
        <v/>
      </c>
      <c r="Q874" t="n">
        <v>0</v>
      </c>
      <c r="R874" t="n">
        <v>0</v>
      </c>
      <c r="S874">
        <f>IFERROR(O874/N874,0)</f>
        <v/>
      </c>
      <c r="T874" t="n">
        <v>0</v>
      </c>
      <c r="V874" t="n">
        <v>0</v>
      </c>
    </row>
    <row r="875">
      <c r="A875">
        <f>Skills!A6</f>
        <v/>
      </c>
      <c r="B875">
        <f>Skills!B6</f>
        <v/>
      </c>
      <c r="C875">
        <f>Inputs!$B$3&gt;=63</f>
        <v/>
      </c>
      <c r="D875">
        <f>IF(Skills!C6=1,60+Inputs!$B$25+Inputs!$B$29,IF(Skills!C6=2,90+Inputs!$B$26+Inputs!$B$29,IF(Skills!C6=3,120+Inputs!$B$27+Inputs!$B$29,MAX(0,(Inputs!$B$3-100)*3)+Inputs!$B$28+Inputs!$B$29)))</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(((Inputs!$B$6+1)*(1+Inputs!$B$7/100))+(((Inputs!$B$12*(1+Inputs!$B$13/100))-(Inputs!$B$12*(1+Inputs!$B$13/100)))+0.25*(Inputs!$B$14-Inputs!$B$14))*(1+Inputs!$B$7/100))*(F875/100)</f>
        <v/>
      </c>
      <c r="K875">
        <f>J875*(1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889=TRUE)*(F889-Calc!F20)),(Inputs!$B$23+0+(IF(ArtifactsInput!$M$15,CHOOSE(ArtifactsInput!$N$15+1,25,30,35,40,45,50)/100*(Inputs!$B$11-Inputs!$B$11),0))))/100+(Inputs!$B$23+0+(IF(ArtifactsInput!$M$15,CHOOSE(ArtifactsInput!$N$15+1,25,30,35,40,45,50)/100*(Inputs!$B$11-Inputs!$B$11),0)))/100)/2</f>
        <v/>
      </c>
      <c r="M875">
        <f>L875*(1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IF(B904=0,0,O875/B904)</f>
        <v/>
      </c>
      <c r="Q875">
        <f>IFERROR(1/(IF(Inputs!$B$38="pvp",15,MAX(0.1,Skills!D6-IF(Skills!E6=TRUE,Inputs!$B$32,0)))*(1-IF(AND(ArtifactsInput!$M$27,Inputs!$B$4="Chapter Hunt"),CHOOSE(ArtifactsInput!$N$27+1,20,24,28,32,36,40),0)/100)),0)</f>
        <v/>
      </c>
      <c r="R875">
        <f>IF(AND(Inputs!$B$38&lt;&gt;"pvp",Inputs!$B$43&gt;0),IF(MAX(0,Inputs!$B$43-B901)&lt;=0,0,(INT(MAX(0,Inputs!$B$43-B901)/(IF(Inputs!$B$38="pvp",15,MAX(0.1,Skills!D6-IF(Skills!E6=TRUE,Inputs!$B$32,0)))*(1-IF(AND(ArtifactsInput!$M$27,Inputs!$B$4="Chapter Hunt"),CHOOSE(ArtifactsInput!$N$27+1,20,24,28,32,36,40),0)/100)))+1)),0)</f>
        <v/>
      </c>
      <c r="S875">
        <f>IFERROR(O875/N875,0)</f>
        <v/>
      </c>
      <c r="T875">
        <f>IF(C875,(H875*N875*IF(AND(Inputs!$B$38&lt;&gt;"pvp",Inputs!$B$43&gt;0),((Skills!G6*((R875-1)*IF(Skills!H6&gt;0,Skills!I6/Skills!H6,1)+IF(Skills!H6&gt;0,MIN(Skills!I6,MAX(0,MAX(0,Inputs!$B$43-B901)-((R875-1)*(IF(Inputs!$B$38="pvp",15,MAX(0.1,Skills!D6-IF(Skills!E6=TRUE,Inputs!$B$32,0)))*(1-IF(AND(ArtifactsInput!$M$27,Inputs!$B$4="Chapter Hunt"),CHOOSE(ArtifactsInput!$N$27+1,20,24,28,32,36,40),0)/100)))))/Skills!H6,1)))/Inputs!$B$43),G875*Q875)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6*((R875-1)*IF(Skills!H6&gt;0,Skills!I6/Skills!H6,1)+IF(Skills!H6&gt;0,MIN(Skills!I6,MAX(0,MAX(0,Inputs!$B$43-B901)-((R875-1)*(IF(Inputs!$B$38="pvp",15,MAX(0.1,Skills!D6-IF(Skills!E6=TRUE,Inputs!$B$32,0)))*(1-IF(AND(ArtifactsInput!$M$27,Inputs!$B$4="Chapter Hunt"),CHOOSE(ArtifactsInput!$N$27+1,20,24,28,32,36,40),0)/100)))))/Skills!H6,1)))/Inputs!$B$43),G875*Q875))*IF(Inputs!$B$38="pvp",1,(1+(Inputs!$B$21+Skills!Q6+(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Skills!A7</f>
        <v/>
      </c>
      <c r="B876">
        <f>Skills!B7</f>
        <v/>
      </c>
      <c r="C876">
        <f>Inputs!$B$3&gt;=100</f>
        <v/>
      </c>
      <c r="D876">
        <f>IF(Skills!C7=1,60+Inputs!$B$25+Inputs!$B$29,IF(Skills!C7=2,90+Inputs!$B$26+Inputs!$B$29,IF(Skills!C7=3,120+Inputs!$B$27+Inputs!$B$29,MAX(0,(Inputs!$B$3-100)*3)+Inputs!$B$28+Inputs!$B$29)))</f>
        <v/>
      </c>
      <c r="E876">
        <f>INDEX(FactorTable!$B$2:$Y$301, MATCH(ROUND(MIN(300,MAX(1,D876)),0), FactorTable!$A$2:$A$301,0), Skills!M7+1)</f>
        <v/>
      </c>
      <c r="F876">
        <f>IF(Skills!N7=TRUE,(Skills!L7/10)*(E876/1000),Skills!L7/10)+Skills!O7</f>
        <v/>
      </c>
      <c r="G876">
        <f>Skills!G7*IF(Skills!H7&gt;0,Skills!I7/Skills!H7,1)</f>
        <v/>
      </c>
      <c r="H876">
        <f>1-(1-Skills!J7/100)^Skills!K7</f>
        <v/>
      </c>
      <c r="I876" t="inlineStr">
        <is>
          <t>1</t>
        </is>
      </c>
      <c r="J876">
        <f>(((Inputs!$B$6+1)*(1+Inputs!$B$7/100))+(((Inputs!$B$12*(1+Inputs!$B$13/100))-(Inputs!$B$12*(1+Inputs!$B$13/100)))+0.25*(Inputs!$B$14-Inputs!$B$14))*(1+Inputs!$B$7/100))*(F876/100)</f>
        <v/>
      </c>
      <c r="K876">
        <f>J876*(1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889=TRUE)*(F889-Calc!F20)),(Inputs!$B$23+0+(IF(ArtifactsInput!$M$15,CHOOSE(ArtifactsInput!$N$15+1,25,30,35,40,45,50)/100*(Inputs!$B$11-Inputs!$B$11),0))))/100+(Inputs!$B$23+0+(IF(ArtifactsInput!$M$15,CHOOSE(ArtifactsInput!$N$15+1,25,30,35,40,45,50)/100*(Inputs!$B$11-Inputs!$B$11),0)))/100)/2</f>
        <v/>
      </c>
      <c r="M876">
        <f>L876*(1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IF(B904=0,0,O876/B904)</f>
        <v/>
      </c>
      <c r="Q876">
        <f>IFERROR(1/(IF(Inputs!$B$38="pvp",15,MAX(0.1,Skills!D7-IF(Skills!E7=TRUE,Inputs!$B$32,0)))*(1-IF(AND(ArtifactsInput!$M$27,Inputs!$B$4="Chapter Hunt"),CHOOSE(ArtifactsInput!$N$27+1,20,24,28,32,36,40),0)/100)),0)</f>
        <v/>
      </c>
      <c r="R876">
        <f>IF(AND(Inputs!$B$38&lt;&gt;"pvp",Inputs!$B$43&gt;0),IF(MAX(0,Inputs!$B$43-B901)&lt;=0,0,(INT(MAX(0,Inputs!$B$43-B901)/(IF(Inputs!$B$38="pvp",15,MAX(0.1,Skills!D7-IF(Skills!E7=TRUE,Inputs!$B$32,0)))*(1-IF(AND(ArtifactsInput!$M$27,Inputs!$B$4="Chapter Hunt"),CHOOSE(ArtifactsInput!$N$27+1,20,24,28,32,36,40),0)/100)))+1)),0)</f>
        <v/>
      </c>
      <c r="S876">
        <f>IFERROR(O876/N876,0)</f>
        <v/>
      </c>
      <c r="T876">
        <f>IF(C876,(H876*N876*IF(AND(Inputs!$B$38&lt;&gt;"pvp",Inputs!$B$43&gt;0),((Skills!G7*((R876-1)*IF(Skills!H7&gt;0,Skills!I7/Skills!H7,1)+IF(Skills!H7&gt;0,MIN(Skills!I7,MAX(0,MAX(0,Inputs!$B$43-B901)-((R876-1)*(IF(Inputs!$B$38="pvp",15,MAX(0.1,Skills!D7-IF(Skills!E7=TRUE,Inputs!$B$32,0)))*(1-IF(AND(ArtifactsInput!$M$27,Inputs!$B$4="Chapter Hunt"),CHOOSE(ArtifactsInput!$N$27+1,20,24,28,32,36,40),0)/100)))))/Skills!H7,1)))/Inputs!$B$43),G876*Q876)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7*((R876-1)*IF(Skills!H7&gt;0,Skills!I7/Skills!H7,1)+IF(Skills!H7&gt;0,MIN(Skills!I7,MAX(0,MAX(0,Inputs!$B$43-B901)-((R876-1)*(IF(Inputs!$B$38="pvp",15,MAX(0.1,Skills!D7-IF(Skills!E7=TRUE,Inputs!$B$32,0)))*(1-IF(AND(ArtifactsInput!$M$27,Inputs!$B$4="Chapter Hunt"),CHOOSE(ArtifactsInput!$N$27+1,20,24,28,32,36,40),0)/100)))))/Skills!H7,1)))/Inputs!$B$43),G876*Q876))*IF(Inputs!$B$38="pvp",1,(1+(Inputs!$B$21+Skills!Q7+(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Skills!A8</f>
        <v/>
      </c>
      <c r="B877">
        <f>Skills!B8</f>
        <v/>
      </c>
      <c r="C877">
        <f>Inputs!$B$3&gt;=110</f>
        <v/>
      </c>
      <c r="D877">
        <f>IF(Skills!C8=1,60+Inputs!$B$25+Inputs!$B$29,IF(Skills!C8=2,90+Inputs!$B$26+Inputs!$B$29,IF(Skills!C8=3,120+Inputs!$B$27+Inputs!$B$29,MAX(0,(Inputs!$B$3-100)*3)+Inputs!$B$28+Inputs!$B$29)))</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(((Inputs!$B$6+1)*(1+Inputs!$B$7/100))+(((Inputs!$B$12*(1+Inputs!$B$13/100))-(Inputs!$B$12*(1+Inputs!$B$13/100)))+0.25*(Inputs!$B$14-Inputs!$B$14))*(1+Inputs!$B$7/100))*(F877/100)</f>
        <v/>
      </c>
      <c r="K877">
        <f>J877*(1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C889=TRUE)*(F889-Calc!F20)),(Inputs!$B$23+0+(IF(ArtifactsInput!$M$15,CHOOSE(ArtifactsInput!$N$15+1,25,30,35,40,45,50)/100*(Inputs!$B$11-Inputs!$B$11),0))))/100+(Inputs!$B$23+0+(IF(ArtifactsInput!$M$15,CHOOSE(ArtifactsInput!$N$15+1,25,30,35,40,45,50)/100*(Inputs!$B$11-Inputs!$B$11),0)))/100)/2</f>
        <v/>
      </c>
      <c r="M877">
        <f>L877*(1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IF(B904=0,0,O877/B904)</f>
        <v/>
      </c>
      <c r="Q877">
        <f>IFERROR(1/(IF(Inputs!$B$38="pvp",15,MAX(0.1,Skills!D8-IF(Skills!E8=TRUE,Inputs!$B$32,0)))*(1-IF(AND(ArtifactsInput!$M$27,Inputs!$B$4="Chapter Hunt"),CHOOSE(ArtifactsInput!$N$27+1,20,24,28,32,36,40),0)/100)),0)</f>
        <v/>
      </c>
      <c r="R877">
        <f>IF(AND(Inputs!$B$38&lt;&gt;"pvp",Inputs!$B$43&gt;0),IF(MAX(0,Inputs!$B$43-B901)&lt;=0,0,(INT(MAX(0,Inputs!$B$43-B901)/(IF(Inputs!$B$38="pvp",15,MAX(0.1,Skills!D8-IF(Skills!E8=TRUE,Inputs!$B$32,0)))*(1-IF(AND(ArtifactsInput!$M$27,Inputs!$B$4="Chapter Hunt"),CHOOSE(ArtifactsInput!$N$27+1,20,24,28,32,36,40),0)/100)))+1)),0)</f>
        <v/>
      </c>
      <c r="S877">
        <f>IFERROR(O877/N877,0)</f>
        <v/>
      </c>
      <c r="T877">
        <f>IF(C877,(H877*N877*IF(AND(Inputs!$B$38&lt;&gt;"pvp",Inputs!$B$43&gt;0),((Skills!G8*((R877-1)*IF(Skills!H8&gt;0,Skills!I8/Skills!H8,1)+IF(Skills!H8&gt;0,MIN(Skills!I8,MAX(0,MAX(0,Inputs!$B$43-B901)-((R877-1)*(IF(Inputs!$B$38="pvp",15,MAX(0.1,Skills!D8-IF(Skills!E8=TRUE,Inputs!$B$32,0)))*(1-IF(AND(ArtifactsInput!$M$27,Inputs!$B$4="Chapter Hunt"),CHOOSE(ArtifactsInput!$N$27+1,20,24,28,32,36,40),0)/100)))))/Skills!H8,1)))/Inputs!$B$43),G877*Q877)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8*((R877-1)*IF(Skills!H8&gt;0,Skills!I8/Skills!H8,1)+IF(Skills!H8&gt;0,MIN(Skills!I8,MAX(0,MAX(0,Inputs!$B$43-B901)-((R877-1)*(IF(Inputs!$B$38="pvp",15,MAX(0.1,Skills!D8-IF(Skills!E8=TRUE,Inputs!$B$32,0)))*(1-IF(AND(ArtifactsInput!$M$27,Inputs!$B$4="Chapter Hunt"),CHOOSE(ArtifactsInput!$N$27+1,20,24,28,32,36,40),0)/100)))))/Skills!H8,1)))/Inputs!$B$43),G877*Q877))*IF(Inputs!$B$38="pvp",1,(1+(Inputs!$B$21+Skills!Q8+(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Skills!A9</f>
        <v/>
      </c>
      <c r="B878">
        <f>Skills!B9</f>
        <v/>
      </c>
      <c r="C878">
        <f>Inputs!$B$3&gt;=110</f>
        <v/>
      </c>
      <c r="D878">
        <f>IF(Skills!C9=1,60+Inputs!$B$25+Inputs!$B$29,IF(Skills!C9=2,90+Inputs!$B$26+Inputs!$B$29,IF(Skills!C9=3,120+Inputs!$B$27+Inputs!$B$29,MAX(0,(Inputs!$B$3-100)*3)+Inputs!$B$28+Inputs!$B$29)))</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(((Inputs!$B$6+1)*(1+Inputs!$B$7/100))+(((Inputs!$B$12*(1+Inputs!$B$13/100))-(Inputs!$B$12*(1+Inputs!$B$13/100)))+0.25*(Inputs!$B$14-Inputs!$B$14))*(1+Inputs!$B$7/100))*(F878/100)</f>
        <v/>
      </c>
      <c r="K878">
        <f>J878*(1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C889=TRUE)*(F889-Calc!F20)),(Inputs!$B$23+0+(IF(ArtifactsInput!$M$15,CHOOSE(ArtifactsInput!$N$15+1,25,30,35,40,45,50)/100*(Inputs!$B$11-Inputs!$B$11),0))))/100+(Inputs!$B$23+0+(IF(ArtifactsInput!$M$15,CHOOSE(ArtifactsInput!$N$15+1,25,30,35,40,45,50)/100*(Inputs!$B$11-Inputs!$B$11),0)))/100)/2</f>
        <v/>
      </c>
      <c r="M878">
        <f>L878*(1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IF(B904=0,0,O878/B904)</f>
        <v/>
      </c>
      <c r="Q878">
        <f>IFERROR(1/(IF(Inputs!$B$38="pvp",15,MAX(0.1,Skills!D9-IF(Skills!E9=TRUE,Inputs!$B$32,0)))*(1-IF(AND(ArtifactsInput!$M$27,Inputs!$B$4="Chapter Hunt"),CHOOSE(ArtifactsInput!$N$27+1,20,24,28,32,36,40),0)/100)),0)</f>
        <v/>
      </c>
      <c r="R878">
        <f>IF(AND(Inputs!$B$38&lt;&gt;"pvp",Inputs!$B$43&gt;0),IF(MAX(0,Inputs!$B$43-B901)&lt;=0,0,(INT(MAX(0,Inputs!$B$43-B901)/(IF(Inputs!$B$38="pvp",15,MAX(0.1,Skills!D9-IF(Skills!E9=TRUE,Inputs!$B$32,0)))*(1-IF(AND(ArtifactsInput!$M$27,Inputs!$B$4="Chapter Hunt"),CHOOSE(ArtifactsInput!$N$27+1,20,24,28,32,36,40),0)/100)))+1)),0)</f>
        <v/>
      </c>
      <c r="S878">
        <f>IFERROR(O878/N878,0)</f>
        <v/>
      </c>
      <c r="T878">
        <f>IF(C878,(H878*N878*IF(AND(Inputs!$B$38&lt;&gt;"pvp",Inputs!$B$43&gt;0),((Skills!G9*((R878-1)*IF(Skills!H9&gt;0,Skills!I9/Skills!H9,1)+IF(Skills!H9&gt;0,MIN(Skills!I9,MAX(0,MAX(0,Inputs!$B$43-B901)-((R878-1)*(IF(Inputs!$B$38="pvp",15,MAX(0.1,Skills!D9-IF(Skills!E9=TRUE,Inputs!$B$32,0)))*(1-IF(AND(ArtifactsInput!$M$27,Inputs!$B$4="Chapter Hunt"),CHOOSE(ArtifactsInput!$N$27+1,20,24,28,32,36,40),0)/100)))))/Skills!H9,1)))/Inputs!$B$43),G878*Q878)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878*(1-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9*((R878-1)*IF(Skills!H9&gt;0,Skills!I9/Skills!H9,1)+IF(Skills!H9&gt;0,MIN(Skills!I9,MAX(0,MAX(0,Inputs!$B$43-B901)-((R878-1)*(IF(Inputs!$B$38="pvp",15,MAX(0.1,Skills!D9-IF(Skills!E9=TRUE,Inputs!$B$32,0)))*(1-IF(AND(ArtifactsInput!$M$27,Inputs!$B$4="Chapter Hunt"),CHOOSE(ArtifactsInput!$N$27+1,20,24,28,32,36,40),0)/100)))))/Skills!H9,1)))/Inputs!$B$43),G878*Q878))*IF(Inputs!$B$38="pvp",1,(1+(Inputs!$B$21+Skills!Q9+(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Skills!A10</f>
        <v/>
      </c>
      <c r="B879">
        <f>Skills!B10</f>
        <v/>
      </c>
      <c r="C879">
        <f>Inputs!$B$3&gt;=103</f>
        <v/>
      </c>
      <c r="D879">
        <f>IF(Skills!C10=1,60+Inputs!$B$25+Inputs!$B$29,IF(Skills!C10=2,90+Inputs!$B$26+Inputs!$B$29,IF(Skills!C10=3,120+Inputs!$B$27+Inputs!$B$29,MAX(0,(Inputs!$B$3-100)*3)+Inputs!$B$28+Inputs!$B$29)))</f>
        <v/>
      </c>
      <c r="E879">
        <f>INDEX(FactorTable!$B$2:$Y$301, MATCH(ROUND(MIN(300,MAX(1,D879)),0), FactorTable!$A$2:$A$301,0), Skills!M10+1)</f>
        <v/>
      </c>
      <c r="F879">
        <f>IF(Skills!N10=TRUE,(Skills!L10/10)*(E879/1000),Skills!L10/10)+Skills!O10</f>
        <v/>
      </c>
      <c r="G879">
        <f>Skills!G10*IF(Skills!H10&gt;0,Skills!I10/Skills!H10,1)</f>
        <v/>
      </c>
      <c r="H879">
        <f>1-(1-Skills!J10/100)^Skills!K10</f>
        <v/>
      </c>
      <c r="I879" t="inlineStr">
        <is>
          <t>1</t>
        </is>
      </c>
      <c r="J879">
        <f>(((Inputs!$B$6+1)*(1+Inputs!$B$7/100))+(((Inputs!$B$12*(1+Inputs!$B$13/100))-(Inputs!$B$12*(1+Inputs!$B$13/100)))+0.25*(Inputs!$B$14-Inputs!$B$14))*(1+Inputs!$B$7/100))*(F879/100)</f>
        <v/>
      </c>
      <c r="K879">
        <f>J879*(1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C889=TRUE)*(F889-Calc!F20)),(Inputs!$B$23+0+(IF(ArtifactsInput!$M$15,CHOOSE(ArtifactsInput!$N$15+1,25,30,35,40,45,50)/100*(Inputs!$B$11-Inputs!$B$11),0))))/100+(Inputs!$B$23+0+(IF(ArtifactsInput!$M$15,CHOOSE(ArtifactsInput!$N$15+1,25,30,35,40,45,50)/100*(Inputs!$B$11-Inputs!$B$11),0)))/100)/2</f>
        <v/>
      </c>
      <c r="M879">
        <f>L879*(1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IF(B904=0,0,O879/B904)</f>
        <v/>
      </c>
      <c r="Q879">
        <f>IFERROR(1/(IF(Inputs!$B$38="pvp",15,MAX(0.1,Skills!D10-IF(Skills!E10=TRUE,Inputs!$B$32,0)))*(1-IF(AND(ArtifactsInput!$M$27,Inputs!$B$4="Chapter Hunt"),CHOOSE(ArtifactsInput!$N$27+1,20,24,28,32,36,40),0)/100)),0)</f>
        <v/>
      </c>
      <c r="R879">
        <f>IF(AND(Inputs!$B$38&lt;&gt;"pvp",Inputs!$B$43&gt;0),IF(MAX(0,Inputs!$B$43-B901)&lt;=0,0,(INT(MAX(0,Inputs!$B$43-B901)/(IF(Inputs!$B$38="pvp",15,MAX(0.1,Skills!D10-IF(Skills!E10=TRUE,Inputs!$B$32,0)))*(1-IF(AND(ArtifactsInput!$M$27,Inputs!$B$4="Chapter Hunt"),CHOOSE(ArtifactsInput!$N$27+1,20,24,28,32,36,40),0)/100)))+1)),0)</f>
        <v/>
      </c>
      <c r="S879">
        <f>IFERROR(O879/N879,0)</f>
        <v/>
      </c>
      <c r="T879">
        <f>IF(C879,(H879*N879*IF(AND(Inputs!$B$38&lt;&gt;"pvp",Inputs!$B$43&gt;0),((Skills!G10*((R879-1)*IF(Skills!H10&gt;0,Skills!I10/Skills!H10,1)+IF(Skills!H10&gt;0,MIN(Skills!I10,MAX(0,MAX(0,Inputs!$B$43-B901)-((R879-1)*(IF(Inputs!$B$38="pvp",15,MAX(0.1,Skills!D10-IF(Skills!E10=TRUE,Inputs!$B$32,0)))*(1-IF(AND(ArtifactsInput!$M$27,Inputs!$B$4="Chapter Hunt"),CHOOSE(ArtifactsInput!$N$27+1,20,24,28,32,36,40),0)/100)))))/Skills!H10,1)))/Inputs!$B$43),G879*Q879)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879*(1-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10*((R879-1)*IF(Skills!H10&gt;0,Skills!I10/Skills!H10,1)+IF(Skills!H10&gt;0,MIN(Skills!I10,MAX(0,MAX(0,Inputs!$B$43-B901)-((R879-1)*(IF(Inputs!$B$38="pvp",15,MAX(0.1,Skills!D10-IF(Skills!E10=TRUE,Inputs!$B$32,0)))*(1-IF(AND(ArtifactsInput!$M$27,Inputs!$B$4="Chapter Hunt"),CHOOSE(ArtifactsInput!$N$27+1,20,24,28,32,36,40),0)/100)))))/Skills!H10,1)))/Inputs!$B$43),G879*Q879))*IF(Inputs!$B$38="pvp",1,(1+(Inputs!$B$21+Skills!Q10+(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Skills!A11</f>
        <v/>
      </c>
      <c r="B880">
        <f>Skills!B11</f>
        <v/>
      </c>
      <c r="C880">
        <f>Inputs!$B$3&gt;=113</f>
        <v/>
      </c>
      <c r="D880">
        <f>IF(Skills!C11=1,60+Inputs!$B$25+Inputs!$B$29,IF(Skills!C11=2,90+Inputs!$B$26+Inputs!$B$29,IF(Skills!C11=3,120+Inputs!$B$27+Inputs!$B$29,MAX(0,(Inputs!$B$3-100)*3)+Inputs!$B$28+Inputs!$B$29)))</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(((Inputs!$B$6+1)*(1+Inputs!$B$7/100))+(((Inputs!$B$12*(1+Inputs!$B$13/100))-(Inputs!$B$12*(1+Inputs!$B$13/100)))+0.25*(Inputs!$B$14-Inputs!$B$14))*(1+Inputs!$B$7/100))*(F880/100)</f>
        <v/>
      </c>
      <c r="K880">
        <f>J880*(1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C889=TRUE)*(F889-Calc!F20)),(Inputs!$B$23+0+(IF(ArtifactsInput!$M$15,CHOOSE(ArtifactsInput!$N$15+1,25,30,35,40,45,50)/100*(Inputs!$B$11-Inputs!$B$11),0))))/100+(Inputs!$B$23+0+(IF(ArtifactsInput!$M$15,CHOOSE(ArtifactsInput!$N$15+1,25,30,35,40,45,50)/100*(Inputs!$B$11-Inputs!$B$11),0)))/100)/2</f>
        <v/>
      </c>
      <c r="M880">
        <f>L880*(1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IF(B904=0,0,O880/B904)</f>
        <v/>
      </c>
      <c r="Q880">
        <f>IFERROR(1/(IF(Inputs!$B$38="pvp",15,MAX(0.1,Skills!D11-IF(Skills!E11=TRUE,Inputs!$B$32,0)))*(1-IF(AND(ArtifactsInput!$M$27,Inputs!$B$4="Chapter Hunt"),CHOOSE(ArtifactsInput!$N$27+1,20,24,28,32,36,40),0)/100)),0)</f>
        <v/>
      </c>
      <c r="R880">
        <f>IF(AND(Inputs!$B$38&lt;&gt;"pvp",Inputs!$B$43&gt;0),IF(MAX(0,Inputs!$B$43-B901)&lt;=0,0,(INT(MAX(0,Inputs!$B$43-B901)/(IF(Inputs!$B$38="pvp",15,MAX(0.1,Skills!D11-IF(Skills!E11=TRUE,Inputs!$B$32,0)))*(1-IF(AND(ArtifactsInput!$M$27,Inputs!$B$4="Chapter Hunt"),CHOOSE(ArtifactsInput!$N$27+1,20,24,28,32,36,40),0)/100)))+1)),0)</f>
        <v/>
      </c>
      <c r="S880">
        <f>IFERROR(O880/N880,0)</f>
        <v/>
      </c>
      <c r="T880">
        <f>IF(C880,(H880*N880*IF(AND(Inputs!$B$38&lt;&gt;"pvp",Inputs!$B$43&gt;0),((Skills!G11*((R880-1)*IF(Skills!H11&gt;0,Skills!I11/Skills!H11,1)+IF(Skills!H11&gt;0,MIN(Skills!I11,MAX(0,MAX(0,Inputs!$B$43-B901)-((R880-1)*(IF(Inputs!$B$38="pvp",15,MAX(0.1,Skills!D11-IF(Skills!E11=TRUE,Inputs!$B$32,0)))*(1-IF(AND(ArtifactsInput!$M$27,Inputs!$B$4="Chapter Hunt"),CHOOSE(ArtifactsInput!$N$27+1,20,24,28,32,36,40),0)/100)))))/Skills!H11,1)))/Inputs!$B$43),G880*Q880)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880*(1-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11*((R880-1)*IF(Skills!H11&gt;0,Skills!I11/Skills!H11,1)+IF(Skills!H11&gt;0,MIN(Skills!I11,MAX(0,MAX(0,Inputs!$B$43-B901)-((R880-1)*(IF(Inputs!$B$38="pvp",15,MAX(0.1,Skills!D11-IF(Skills!E11=TRUE,Inputs!$B$32,0)))*(1-IF(AND(ArtifactsInput!$M$27,Inputs!$B$4="Chapter Hunt"),CHOOSE(ArtifactsInput!$N$27+1,20,24,28,32,36,40),0)/100)))))/Skills!H11,1)))/Inputs!$B$43),G880*Q880))*IF(Inputs!$B$38="pvp",1,(1+(Inputs!$B$21+Skills!Q11+(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Skills!A12</f>
        <v/>
      </c>
      <c r="B881">
        <f>Skills!B12</f>
        <v/>
      </c>
      <c r="C881">
        <f>Inputs!$B$3&gt;=100</f>
        <v/>
      </c>
      <c r="D881">
        <f>IF(Skills!C12=1,60+Inputs!$B$25+Inputs!$B$29,IF(Skills!C12=2,90+Inputs!$B$26+Inputs!$B$29,IF(Skills!C12=3,120+Inputs!$B$27+Inputs!$B$29,MAX(0,(Inputs!$B$3-100)*3)+Inputs!$B$28+Inputs!$B$29)))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c r="T881" t="inlineStr"/>
      <c r="V881" t="inlineStr"/>
    </row>
    <row r="882">
      <c r="A882">
        <f>Skills!A13</f>
        <v/>
      </c>
      <c r="B882">
        <f>Skills!B13</f>
        <v/>
      </c>
      <c r="C882">
        <f>Inputs!$B$3&gt;=66</f>
        <v/>
      </c>
      <c r="D882">
        <f>IF(Skills!C13=1,60+Inputs!$B$25+Inputs!$B$29,IF(Skills!C13=2,90+Inputs!$B$26+Inputs!$B$29,IF(Skills!C13=3,120+Inputs!$B$27+Inputs!$B$29,MAX(0,(Inputs!$B$3-100)*3)+Inputs!$B$28+Inputs!$B$29)))</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f>(1-Summary!$B$11)*T882+Summary!$B$11*V882</f>
        <v/>
      </c>
      <c r="P882">
        <f>IF(B904=0,0,O882/B904)</f>
        <v/>
      </c>
      <c r="Q882" t="n">
        <v>0</v>
      </c>
      <c r="R882" t="n">
        <v>0</v>
      </c>
      <c r="S882">
        <f>IFERROR(O882/N882,0)</f>
        <v/>
      </c>
      <c r="T882" t="n">
        <v>0</v>
      </c>
      <c r="V882" t="n">
        <v>0</v>
      </c>
    </row>
    <row r="883">
      <c r="A883">
        <f>Skills!A14</f>
        <v/>
      </c>
      <c r="B883">
        <f>Skills!B14</f>
        <v/>
      </c>
      <c r="C883">
        <f>Inputs!$B$3&gt;=107</f>
        <v/>
      </c>
      <c r="D883">
        <f>IF(Skills!C14=1,60+Inputs!$B$25+Inputs!$B$29,IF(Skills!C14=2,90+Inputs!$B$26+Inputs!$B$29,IF(Skills!C14=3,120+Inputs!$B$27+Inputs!$B$29,MAX(0,(Inputs!$B$3-100)*3)+Inputs!$B$28+Inputs!$B$29)))</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f>(1-Summary!$B$11)*T883+Summary!$B$11*V883</f>
        <v/>
      </c>
      <c r="P883">
        <f>IF(B904=0,0,O883/B904)</f>
        <v/>
      </c>
      <c r="Q883" t="n">
        <v>0</v>
      </c>
      <c r="R883" t="n">
        <v>0</v>
      </c>
      <c r="S883">
        <f>IFERROR(O883/N883,0)</f>
        <v/>
      </c>
      <c r="T883" t="n">
        <v>0</v>
      </c>
      <c r="V883" t="n">
        <v>0</v>
      </c>
    </row>
    <row r="884">
      <c r="A884">
        <f>Skills!A15</f>
        <v/>
      </c>
      <c r="B884">
        <f>Skills!B15</f>
        <v/>
      </c>
      <c r="C884">
        <f>Inputs!$B$3&gt;=115</f>
        <v/>
      </c>
      <c r="D884">
        <f>IF(Skills!C15=1,60+Inputs!$B$25+Inputs!$B$29,IF(Skills!C15=2,90+Inputs!$B$26+Inputs!$B$29,IF(Skills!C15=3,120+Inputs!$B$27+Inputs!$B$29,MAX(0,(Inputs!$B$3-100)*3)+Inputs!$B$28+Inputs!$B$29)))</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f>(1-Summary!$B$11)*T884+Summary!$B$11*V884</f>
        <v/>
      </c>
      <c r="P884">
        <f>IF(B904=0,0,O884/B904)</f>
        <v/>
      </c>
      <c r="Q884" t="n">
        <v>0</v>
      </c>
      <c r="R884" t="n">
        <v>0</v>
      </c>
      <c r="S884">
        <f>IFERROR(O884/N884,0)</f>
        <v/>
      </c>
      <c r="T884" t="n">
        <v>0</v>
      </c>
      <c r="V884" t="n">
        <v>0</v>
      </c>
    </row>
    <row r="885">
      <c r="A885">
        <f>Skills!A16</f>
        <v/>
      </c>
      <c r="B885">
        <f>Skills!B16</f>
        <v/>
      </c>
      <c r="C885">
        <f>Inputs!$B$3&gt;=15</f>
        <v/>
      </c>
      <c r="D885">
        <f>IF(Skills!C16=1,60+Inputs!$B$25+Inputs!$B$29,IF(Skills!C16=2,90+Inputs!$B$26+Inputs!$B$29,IF(Skills!C16=3,120+Inputs!$B$27+Inputs!$B$29,MAX(0,(Inputs!$B$3-100)*3)+Inputs!$B$28+Inputs!$B$29)))</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f>(1-Summary!$B$11)*T885+Summary!$B$11*V885</f>
        <v/>
      </c>
      <c r="P885">
        <f>IF(B904=0,0,O885/B904)</f>
        <v/>
      </c>
      <c r="Q885" t="n">
        <v>0</v>
      </c>
      <c r="R885" t="n">
        <v>0</v>
      </c>
      <c r="S885">
        <f>IFERROR(O885/N885,0)</f>
        <v/>
      </c>
      <c r="T885" t="n">
        <v>0</v>
      </c>
      <c r="V885" t="n">
        <v>0</v>
      </c>
    </row>
    <row r="886">
      <c r="A886">
        <f>Skills!A17</f>
        <v/>
      </c>
      <c r="B886">
        <f>Skills!B17</f>
        <v/>
      </c>
      <c r="C886">
        <f>Inputs!$B$3&gt;=10</f>
        <v/>
      </c>
      <c r="D886">
        <f>IF(Skills!C17=1,60+Inputs!$B$25+Inputs!$B$29,IF(Skills!C17=2,90+Inputs!$B$26+Inputs!$B$29,IF(Skills!C17=3,120+Inputs!$B$27+Inputs!$B$29,MAX(0,(Inputs!$B$3-100)*3)+Inputs!$B$28+Inputs!$B$29)))</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f>(1-Summary!$B$11)*T886+Summary!$B$11*V886</f>
        <v/>
      </c>
      <c r="P886">
        <f>IF(B904=0,0,O886/B904)</f>
        <v/>
      </c>
      <c r="Q886" t="n">
        <v>0</v>
      </c>
      <c r="R886" t="n">
        <v>0</v>
      </c>
      <c r="S886">
        <f>IFERROR(O886/N886,0)</f>
        <v/>
      </c>
      <c r="T886" t="n">
        <v>0</v>
      </c>
      <c r="V886" t="n">
        <v>0</v>
      </c>
    </row>
    <row r="887">
      <c r="A887">
        <f>Skills!A18</f>
        <v/>
      </c>
      <c r="B887">
        <f>Skills!B18</f>
        <v/>
      </c>
      <c r="C887">
        <f>Inputs!$B$3&gt;=33</f>
        <v/>
      </c>
      <c r="D887">
        <f>IF(Skills!C18=1,60+Inputs!$B$25+Inputs!$B$29,IF(Skills!C18=2,90+Inputs!$B$26+Inputs!$B$29,IF(Skills!C18=3,120+Inputs!$B$27+Inputs!$B$29,MAX(0,(Inputs!$B$3-100)*3)+Inputs!$B$28+Inputs!$B$29)))</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f>(1-Summary!$B$11)*T887+Summary!$B$11*V887</f>
        <v/>
      </c>
      <c r="P887">
        <f>IF(B904=0,0,O887/B904)</f>
        <v/>
      </c>
      <c r="Q887" t="n">
        <v>0</v>
      </c>
      <c r="R887" t="n">
        <v>0</v>
      </c>
      <c r="S887">
        <f>IFERROR(O887/N887,0)</f>
        <v/>
      </c>
      <c r="T887" t="n">
        <v>0</v>
      </c>
      <c r="V887" t="n">
        <v>0</v>
      </c>
    </row>
    <row r="888">
      <c r="A888">
        <f>Skills!A19</f>
        <v/>
      </c>
      <c r="B888">
        <f>Skills!B19</f>
        <v/>
      </c>
      <c r="C888">
        <f>Inputs!$B$3&gt;=40</f>
        <v/>
      </c>
      <c r="D888">
        <f>IF(Skills!C19=1,60+Inputs!$B$25+Inputs!$B$29,IF(Skills!C19=2,90+Inputs!$B$26+Inputs!$B$29,IF(Skills!C19=3,120+Inputs!$B$27+Inputs!$B$29,MAX(0,(Inputs!$B$3-100)*3)+Inputs!$B$28+Inputs!$B$29)))</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f>(1-Summary!$B$11)*T888+Summary!$B$11*V888</f>
        <v/>
      </c>
      <c r="P888">
        <f>IF(B904=0,0,O888/B904)</f>
        <v/>
      </c>
      <c r="Q888" t="n">
        <v>0</v>
      </c>
      <c r="R888" t="n">
        <v>0</v>
      </c>
      <c r="S888">
        <f>IFERROR(O888/N888,0)</f>
        <v/>
      </c>
      <c r="T888" t="n">
        <v>0</v>
      </c>
      <c r="V888" t="n">
        <v>0</v>
      </c>
    </row>
    <row r="889">
      <c r="A889">
        <f>Skills!A20</f>
        <v/>
      </c>
      <c r="B889">
        <f>Skills!B20</f>
        <v/>
      </c>
      <c r="C889">
        <f>Inputs!$B$3&gt;=43</f>
        <v/>
      </c>
      <c r="D889">
        <f>IF(Skills!C20=1,60+Inputs!$B$25+Inputs!$B$29,IF(Skills!C20=2,90+Inputs!$B$26+Inputs!$B$29,IF(Skills!C20=3,120+Inputs!$B$27+Inputs!$B$29,MAX(0,(Inputs!$B$3-100)*3)+Inputs!$B$28+Inputs!$B$29)))</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f>(1-Summary!$B$11)*T889+Summary!$B$11*V889</f>
        <v/>
      </c>
      <c r="P889">
        <f>IF(B904=0,0,O889/B904)</f>
        <v/>
      </c>
      <c r="Q889" t="n">
        <v>0</v>
      </c>
      <c r="R889" t="n">
        <v>0</v>
      </c>
      <c r="S889">
        <f>IFERROR(O889/N889,0)</f>
        <v/>
      </c>
      <c r="T889" t="n">
        <v>0</v>
      </c>
      <c r="V889" t="n">
        <v>0</v>
      </c>
    </row>
    <row r="890">
      <c r="A890">
        <f>Skills!A21</f>
        <v/>
      </c>
      <c r="B890">
        <f>Skills!B21</f>
        <v/>
      </c>
      <c r="C890">
        <f>Inputs!$B$3&gt;=38</f>
        <v/>
      </c>
      <c r="D890">
        <f>IF(Skills!C21=1,60+Inputs!$B$25+Inputs!$B$29,IF(Skills!C21=2,90+Inputs!$B$26+Inputs!$B$29,IF(Skills!C21=3,120+Inputs!$B$27+Inputs!$B$29,MAX(0,(Inputs!$B$3-100)*3)+Inputs!$B$28+Inputs!$B$29)))</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f>(1-Summary!$B$11)*T890+Summary!$B$11*V890</f>
        <v/>
      </c>
      <c r="P890">
        <f>IF(B904=0,0,O890/B904)</f>
        <v/>
      </c>
      <c r="Q890" t="n">
        <v>0</v>
      </c>
      <c r="R890" t="n">
        <v>0</v>
      </c>
      <c r="S890">
        <f>IFERROR(O890/N890,0)</f>
        <v/>
      </c>
      <c r="T890" t="n">
        <v>0</v>
      </c>
      <c r="V890" t="n">
        <v>0</v>
      </c>
    </row>
    <row r="891">
      <c r="A891">
        <f>Skills!A22</f>
        <v/>
      </c>
      <c r="B891">
        <f>Skills!B22</f>
        <v/>
      </c>
      <c r="C891">
        <f>Inputs!$B$3&gt;=75</f>
        <v/>
      </c>
      <c r="D891">
        <f>IF(Skills!C22=1,60+Inputs!$B$25+Inputs!$B$29,IF(Skills!C22=2,90+Inputs!$B$26+Inputs!$B$29,IF(Skills!C22=3,120+Inputs!$B$27+Inputs!$B$29,MAX(0,(Inputs!$B$3-100)*3)+Inputs!$B$28+Inputs!$B$29)))</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f>(1-Summary!$B$11)*T891+Summary!$B$11*V891</f>
        <v/>
      </c>
      <c r="P891">
        <f>IF(B904=0,0,O891/B904)</f>
        <v/>
      </c>
      <c r="Q891" t="n">
        <v>0</v>
      </c>
      <c r="R891" t="n">
        <v>0</v>
      </c>
      <c r="S891">
        <f>IFERROR(O891/N891,0)</f>
        <v/>
      </c>
      <c r="T891" t="n">
        <v>0</v>
      </c>
      <c r="V891" t="n">
        <v>0</v>
      </c>
    </row>
    <row r="893">
      <c r="A893" t="inlineStr">
        <is>
          <t>Attack% Bucket Multiplier</t>
        </is>
      </c>
      <c r="B893">
        <f>(1+(((C882=TRUE)*F882)+((C888=TRUE)*(F888-Calc!F19))+(IF(ArtifactsInput!$M$21,CHOOSE(ArtifactsInput!$N$21+1,25,30,35,40,45,50)*(IF(OR(Inputs!$B$4="Chapter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4">
      <c r="A894" t="inlineStr">
        <is>
          <t>Global Crit Rate Bonus %</t>
        </is>
      </c>
      <c r="B894" t="n">
        <v>0</v>
      </c>
    </row>
    <row r="895">
      <c r="A895" t="inlineStr">
        <is>
          <t>Attack Speed Buff Bonus % (unused)</t>
        </is>
      </c>
      <c r="B895" t="n">
        <v>0</v>
      </c>
    </row>
    <row r="896">
      <c r="A896" t="inlineStr">
        <is>
          <t>Actions Per Second</t>
        </is>
      </c>
      <c r="B896">
        <f>1+MIN(150,150*(1-(1-(Inputs!$B$11+((C886=TRUE)*(F886-Calc!F17))+((C887=TRUE)*(F887-Calc!F18)))/150)*(1-B895/150)))/100</f>
        <v/>
      </c>
    </row>
    <row r="897">
      <c r="A897" t="inlineStr">
        <is>
          <t>Skill + Buff Cast Rate</t>
        </is>
      </c>
      <c r="B897">
        <f>IF(AND(Inputs!$B$38&lt;&gt;"pvp",Inputs!$B$43&gt;0),SUMPRODUCT((Skills!E2:E22=TRUE)*(C871:C891=TRUE)*R871:R891*Skills!F2:F22)/Inputs!$B$43,SUMPRODUCT((Skills!E2:E22=TRUE)*(C871:C891=TRUE)*Q871:Q891*Skills!F2:F22))</f>
        <v/>
      </c>
    </row>
    <row r="898">
      <c r="A898" t="inlineStr">
        <is>
          <t>Hook Bomber Casts Per Second</t>
        </is>
      </c>
      <c r="B898">
        <f>MAX(0,B896-B897)</f>
        <v/>
      </c>
    </row>
    <row r="899">
      <c r="A899" t="inlineStr">
        <is>
          <t>Global Critical Damage Bonus % (unused)</t>
        </is>
      </c>
      <c r="B899" t="n">
        <v>0</v>
      </c>
    </row>
    <row r="900">
      <c r="A900" t="inlineStr">
        <is>
          <t>Global Final Damage Bonus % (Serpent Scale + Crossbones + Time Leap + Speed Infusion)</t>
        </is>
      </c>
      <c r="B900">
        <f>((C874=TRUE)*F874*((10+IF(Inputs!$B$3&gt;=94,5,0))/((10+IF(Inputs!$B$3&gt;=94,5,0))+5/(B898*(1+IF(Inputs!$B$3&gt;=104,1,0))))))+((C883=TRUE)*F883)+((C884=TRUE)*F884)+((Inputs!$B$3&gt;=110)*20*(B896-1))</f>
        <v/>
      </c>
    </row>
    <row r="901">
      <c r="A901" t="inlineStr">
        <is>
          <t>Buff-Casting Startup Delay (s, fixed-duration only)</t>
        </is>
      </c>
      <c r="B901">
        <f>IF(AND(Inputs!$B$38&lt;&gt;"pvp",Inputs!$B$43&gt;0),SUMPRODUCT((Skills!T2:T22&gt;0)*(Skills!E2:E22=TRUE)*(C871:C891=TRUE))/B896,0)</f>
        <v/>
      </c>
    </row>
    <row r="902">
      <c r="A902" t="inlineStr">
        <is>
          <t>Boss-Only Total DPS (this block's swept value)</t>
        </is>
      </c>
      <c r="B902">
        <f>SUM(T871:T891)</f>
        <v/>
      </c>
    </row>
    <row r="903">
      <c r="A903" t="inlineStr">
        <is>
          <t>Normal-Only Total DPS (this block's swept value)</t>
        </is>
      </c>
      <c r="B903">
        <f>SUM(V871:V891)</f>
        <v/>
      </c>
    </row>
    <row r="904">
      <c r="A904" s="6" t="inlineStr">
        <is>
          <t>TOTAL DPS</t>
        </is>
      </c>
      <c r="B904" s="6">
        <f>SUM(O871:O891)</f>
        <v/>
      </c>
    </row>
    <row r="907">
      <c r="A907" s="6" t="inlineStr">
        <is>
          <t>Stat: ATTACK %</t>
        </is>
      </c>
    </row>
    <row r="908">
      <c r="A908" s="5" t="inlineStr">
        <is>
          <t>Key</t>
        </is>
      </c>
      <c r="B908" s="5" t="inlineStr">
        <is>
          <t>Name</t>
        </is>
      </c>
      <c r="C908" s="5" t="inlineStr">
        <is>
          <t>Unlocked</t>
        </is>
      </c>
      <c r="D908" s="5" t="inlineStr">
        <is>
          <t>InputLevel</t>
        </is>
      </c>
      <c r="E908" s="5" t="inlineStr">
        <is>
          <t>Factor</t>
        </is>
      </c>
      <c r="F908" s="5" t="inlineStr">
        <is>
          <t>CoefficientPercent</t>
        </is>
      </c>
      <c r="G908" s="5" t="inlineStr">
        <is>
          <t>EffectiveHits</t>
        </is>
      </c>
      <c r="H908" s="5" t="inlineStr">
        <is>
          <t>ProcProbability</t>
        </is>
      </c>
      <c r="I908" s="5" t="inlineStr">
        <is>
          <t>MapleHeroMultiplier</t>
        </is>
      </c>
      <c r="J908" s="5" t="inlineStr">
        <is>
          <t>BaseDamage</t>
        </is>
      </c>
      <c r="K908" s="5" t="inlineStr">
        <is>
          <t>BaseHitDamage</t>
        </is>
      </c>
      <c r="L908" s="5" t="inlineStr">
        <is>
          <t>NonCritAvg</t>
        </is>
      </c>
      <c r="M908" s="5" t="inlineStr">
        <is>
          <t>CritAvg</t>
        </is>
      </c>
      <c r="N908" s="5" t="inlineStr">
        <is>
          <t>ExpectedDamage(perHit)</t>
        </is>
      </c>
      <c r="O908" s="5" t="inlineStr">
        <is>
          <t>DPS</t>
        </is>
      </c>
      <c r="P908" s="5" t="inlineStr">
        <is>
          <t>% of Total</t>
        </is>
      </c>
      <c r="Q908" s="5" t="inlineStr">
        <is>
          <t>InvCooldown</t>
        </is>
      </c>
      <c r="R908" s="5" t="inlineStr">
        <is>
          <t>CastsInFight</t>
        </is>
      </c>
      <c r="S908" s="5" t="inlineStr">
        <is>
          <t>HitRate(perSec)</t>
        </is>
      </c>
      <c r="U908" t="inlineStr">
        <is>
          <t>helpers</t>
        </is>
      </c>
    </row>
    <row r="909">
      <c r="A909">
        <f>Skills!A2</f>
        <v/>
      </c>
      <c r="B909">
        <f>Skills!B2</f>
        <v/>
      </c>
      <c r="C909">
        <f>Inputs!$B$3&gt;=100</f>
        <v/>
      </c>
      <c r="D909" t="inlineStr"/>
      <c r="E909" t="inlineStr"/>
      <c r="F909">
        <f>U911+Skills!O2</f>
        <v/>
      </c>
      <c r="G909">
        <f>Skills!G2*IF(Skills!H2&gt;0,Skills!I2/Skills!H2,1)</f>
        <v/>
      </c>
      <c r="H909">
        <f>1-(1-Skills!J2/100)^Skills!K2</f>
        <v/>
      </c>
      <c r="I909" t="inlineStr">
        <is>
          <t>1</t>
        </is>
      </c>
      <c r="J909">
        <f>((Inputs!$B$6*(1+(Inputs!$B$7+1)/100))+(((Inputs!$B$12*(1+Inputs!$B$13/100))-(Inputs!$B$12*(1+Inputs!$B$13/100)))+0.25*(Inputs!$B$14-Inputs!$B$14))*(1+(Inputs!$B$7+1)/100))*(F909/100)</f>
        <v/>
      </c>
      <c r="K909">
        <f>J909*(1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
      </c>
      <c r="L909">
        <f>K909*(MIN(Inputs!$B$22+((C927=TRUE)*(F927-Calc!F20)),(Inputs!$B$23+0+(IF(ArtifactsInput!$M$15,CHOOSE(ArtifactsInput!$N$15+1,25,30,35,40,45,50)/100*(Inputs!$B$11-Inputs!$B$11),0))))/100+(Inputs!$B$23+0+(IF(ArtifactsInput!$M$15,CHOOSE(ArtifactsInput!$N$15+1,25,30,35,40,45,50)/100*(Inputs!$B$11-Inputs!$B$11),0)))/100)/2</f>
        <v/>
      </c>
      <c r="M909">
        <f>L909*(1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9">
        <f>L909*(1-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9">
        <f>(1-Summary!$B$11)*T909+Summary!$B$11*V909</f>
        <v/>
      </c>
      <c r="P909">
        <f>IF(B942=0,0,O909/B942)</f>
        <v/>
      </c>
      <c r="Q909" t="n">
        <v>0</v>
      </c>
      <c r="R909" t="n">
        <v>0</v>
      </c>
      <c r="S909">
        <f>IFERROR(O909/N909,0)</f>
        <v/>
      </c>
      <c r="T909">
        <f>IF(C909,(Skills!G2*N909*B936)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909*(1-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9">
        <f>MAX(0,(Inputs!$B$3-100)*3)+Inputs!$B$28+Inputs!$B$29</f>
        <v/>
      </c>
      <c r="V909">
        <f>IF(C909,(Skills!G2*N909*B936)*IF(Inputs!$B$38="pvp",1,(1+(Inputs!$B$21+Skills!Q2+(IF(ArtifactsInput!$M$33,CHOOSE(ArtifactsInput!$N$33+1,30,36,42,48,54,60),0))+(IF(AND(ArtifactsInput!$M$35,Inputs!$B$4&lt;&gt;"Chapter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0">
      <c r="A910">
        <f>Skills!A3</f>
        <v/>
      </c>
      <c r="B910">
        <f>Skills!B3</f>
        <v/>
      </c>
      <c r="C910">
        <f>Inputs!$B$3&gt;=35</f>
        <v/>
      </c>
      <c r="D910">
        <f>IF(Skills!C3=1,60+Inputs!$B$25+Inputs!$B$29,IF(Skills!C3=2,90+Inputs!$B$26+Inputs!$B$29,IF(Skills!C3=3,120+Inputs!$B$27+Inputs!$B$29,MAX(0,(Inputs!$B$3-100)*3)+Inputs!$B$28+Inputs!$B$29)))</f>
        <v/>
      </c>
      <c r="E910">
        <f>INDEX(FactorTable!$B$2:$Y$301, MATCH(ROUND(MIN(300,MAX(1,D910)),0), FactorTable!$A$2:$A$301,0), Skills!M3+1)</f>
        <v/>
      </c>
      <c r="F910">
        <f>IF(Skills!N3=TRUE,(Skills!L3/10)*(E910/1000),Skills!L3/10)+Skills!O3</f>
        <v/>
      </c>
      <c r="G910">
        <f>Skills!G3*IF(Skills!H3&gt;0,Skills!I3/Skills!H3,1)</f>
        <v/>
      </c>
      <c r="H910">
        <f>1-(1-Skills!J3/100)^Skills!K3</f>
        <v/>
      </c>
      <c r="I910" t="inlineStr">
        <is>
          <t>1</t>
        </is>
      </c>
      <c r="J910">
        <f>((Inputs!$B$6*(1+(Inputs!$B$7+1)/100))+(((Inputs!$B$12*(1+Inputs!$B$13/100))-(Inputs!$B$12*(1+Inputs!$B$13/100)))+0.25*(Inputs!$B$14-Inputs!$B$14))*(1+(Inputs!$B$7+1)/100))*(F910/100)</f>
        <v/>
      </c>
      <c r="K910">
        <f>J910*(1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
      </c>
      <c r="L910">
        <f>K910*(MIN(Inputs!$B$22+((C927=TRUE)*(F927-Calc!F20)),(Inputs!$B$23+0+(IF(ArtifactsInput!$M$15,CHOOSE(ArtifactsInput!$N$15+1,25,30,35,40,45,50)/100*(Inputs!$B$11-Inputs!$B$11),0))))/100+(Inputs!$B$23+0+(IF(ArtifactsInput!$M$15,CHOOSE(ArtifactsInput!$N$15+1,25,30,35,40,45,50)/100*(Inputs!$B$11-Inputs!$B$11),0)))/100)/2</f>
        <v/>
      </c>
      <c r="M910">
        <f>L910*(1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0">
        <f>L910*(1-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0">
        <f>(1-Summary!$B$11)*T910+Summary!$B$11*V910</f>
        <v/>
      </c>
      <c r="P910">
        <f>IF(B942=0,0,O910/B942)</f>
        <v/>
      </c>
      <c r="Q910" t="n">
        <v>0</v>
      </c>
      <c r="R910" t="n">
        <v>0</v>
      </c>
      <c r="S910">
        <f>IFERROR(O910/N910,0)</f>
        <v/>
      </c>
      <c r="T910">
        <f>IF(C910,(Skills!G3*H910*N910*B936)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910*(1-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0">
        <f>INDEX(FactorTable!$B$2:$Y$301, MATCH(ROUND(MIN(300,MAX(1,U909)),0), FactorTable!$A$2:$A$301,0), 22)</f>
        <v/>
      </c>
      <c r="V910">
        <f>IF(C910,(Skills!G3*H910*N910*B936)*IF(Inputs!$B$38="pvp",1,(1+(Inputs!$B$21+Skills!Q3+(IF(ArtifactsInput!$M$33,CHOOSE(ArtifactsInput!$N$33+1,30,36,42,48,54,60),0))+(IF(AND(ArtifactsInput!$M$35,Inputs!$B$4&lt;&gt;"Chapter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1">
      <c r="A911">
        <f>Skills!A4</f>
        <v/>
      </c>
      <c r="B911">
        <f>Skills!B4</f>
        <v/>
      </c>
      <c r="C911">
        <f>Inputs!$B$3&gt;=60</f>
        <v/>
      </c>
      <c r="D911">
        <f>IF(Skills!C4=1,60+Inputs!$B$25+Inputs!$B$29,IF(Skills!C4=2,90+Inputs!$B$26+Inputs!$B$29,IF(Skills!C4=3,120+Inputs!$B$27+Inputs!$B$29,MAX(0,(Inputs!$B$3-100)*3)+Inputs!$B$28+Inputs!$B$29)))</f>
        <v/>
      </c>
      <c r="E911">
        <f>INDEX(FactorTable!$B$2:$Y$301, MATCH(ROUND(MIN(300,MAX(1,D911)),0), FactorTable!$A$2:$A$301,0), Skills!M4+1)</f>
        <v/>
      </c>
      <c r="F911">
        <f>IF(Skills!N4=TRUE,(Skills!L4/10)*(E911/1000),Skills!L4/10)+Skills!O4</f>
        <v/>
      </c>
      <c r="G911">
        <f>Skills!G4*IF(Skills!H4&gt;0,Skills!I4/Skills!H4,1)</f>
        <v/>
      </c>
      <c r="H911">
        <f>1-(1-Skills!J4/100)^Skills!K4</f>
        <v/>
      </c>
      <c r="I911" t="inlineStr">
        <is>
          <t>1</t>
        </is>
      </c>
      <c r="J911">
        <f>((Inputs!$B$6*(1+(Inputs!$B$7+1)/100))+(((Inputs!$B$12*(1+Inputs!$B$13/100))-(Inputs!$B$12*(1+Inputs!$B$13/100)))+0.25*(Inputs!$B$14-Inputs!$B$14))*(1+(Inputs!$B$7+1)/100))*(F911/100)</f>
        <v/>
      </c>
      <c r="K911">
        <f>J911*(1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919=TRUE,F919,0)/100)*(1+(IF(Skills!A4="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
      </c>
      <c r="L911">
        <f>K911*(MIN(Inputs!$B$22+((C927=TRUE)*(F927-Calc!F20)),(Inputs!$B$23+0+(IF(ArtifactsInput!$M$15,CHOOSE(ArtifactsInput!$N$15+1,25,30,35,40,45,50)/100*(Inputs!$B$11-Inputs!$B$11),0))))/100+(Inputs!$B$23+0+(IF(ArtifactsInput!$M$15,CHOOSE(ArtifactsInput!$N$15+1,25,30,35,40,45,50)/100*(Inputs!$B$11-Inputs!$B$11),0)))/100)/2</f>
        <v/>
      </c>
      <c r="M911">
        <f>L911*(1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1">
        <f>L911*(1-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1">
        <f>(1-Summary!$B$11)*T911+Summary!$B$11*V911</f>
        <v/>
      </c>
      <c r="P911">
        <f>IF(B942=0,0,O911/B942)</f>
        <v/>
      </c>
      <c r="Q911" t="n">
        <v>0</v>
      </c>
      <c r="R911" t="n">
        <v>0</v>
      </c>
      <c r="S911">
        <f>IFERROR(O911/N911,0)</f>
        <v/>
      </c>
      <c r="T911">
        <f>IF(C911,(Skills!G4*H911*N911*B936)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911*(1-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1">
        <f>290*U910/1000</f>
        <v/>
      </c>
      <c r="V911">
        <f>IF(C911,(Skills!G4*H911*N911*B936)*IF(Inputs!$B$38="pvp",1,(1+(Inputs!$B$21+Skills!Q4+(IF(ArtifactsInput!$M$33,CHOOSE(ArtifactsInput!$N$33+1,30,36,42,48,54,60),0))+(IF(AND(ArtifactsInput!$M$35,Inputs!$B$4&lt;&gt;"Chapter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2">
      <c r="A912">
        <f>Skills!A5</f>
        <v/>
      </c>
      <c r="B912">
        <f>Skills!B5</f>
        <v/>
      </c>
      <c r="C912">
        <f>Inputs!$B$3&gt;=60</f>
        <v/>
      </c>
      <c r="D912">
        <f>IF(Skills!C5=1,60+Inputs!$B$25+Inputs!$B$29,IF(Skills!C5=2,90+Inputs!$B$26+Inputs!$B$29,IF(Skills!C5=3,120+Inputs!$B$27+Inputs!$B$29,MAX(0,(Inputs!$B$3-100)*3)+Inputs!$B$28+Inputs!$B$29)))</f>
        <v/>
      </c>
      <c r="E912">
        <f>INDEX(FactorTable!$B$2:$Y$301, MATCH(ROUND(MIN(300,MAX(1,D912)),0), FactorTable!$A$2:$A$301,0), Skills!M5+1)</f>
        <v/>
      </c>
      <c r="F912">
        <f>IF(Skills!N5=TRUE,(Skills!L5/10)*(E912/1000),Skills!L5/10)+Skills!O5</f>
        <v/>
      </c>
      <c r="G912">
        <f>Skills!G5*IF(Skills!H5&gt;0,Skills!I5/Skills!H5,1)</f>
        <v/>
      </c>
      <c r="H912">
        <f>1-(1-Skills!J5/100)^Skills!K5</f>
        <v/>
      </c>
      <c r="I912" t="inlineStr">
        <is>
          <t>1</t>
        </is>
      </c>
      <c r="J912" t="inlineStr"/>
      <c r="K912" t="inlineStr"/>
      <c r="L912" t="inlineStr"/>
      <c r="M912" t="inlineStr"/>
      <c r="N912" t="inlineStr"/>
      <c r="O912">
        <f>(1-Summary!$B$11)*T912+Summary!$B$11*V912</f>
        <v/>
      </c>
      <c r="P912">
        <f>IF(B942=0,0,O912/B942)</f>
        <v/>
      </c>
      <c r="Q912" t="n">
        <v>0</v>
      </c>
      <c r="R912" t="n">
        <v>0</v>
      </c>
      <c r="S912">
        <f>IFERROR(O912/N912,0)</f>
        <v/>
      </c>
      <c r="T912" t="n">
        <v>0</v>
      </c>
      <c r="V912" t="n">
        <v>0</v>
      </c>
    </row>
    <row r="913">
      <c r="A913">
        <f>Skills!A6</f>
        <v/>
      </c>
      <c r="B913">
        <f>Skills!B6</f>
        <v/>
      </c>
      <c r="C913">
        <f>Inputs!$B$3&gt;=63</f>
        <v/>
      </c>
      <c r="D913">
        <f>IF(Skills!C6=1,60+Inputs!$B$25+Inputs!$B$29,IF(Skills!C6=2,90+Inputs!$B$26+Inputs!$B$29,IF(Skills!C6=3,120+Inputs!$B$27+Inputs!$B$29,MAX(0,(Inputs!$B$3-100)*3)+Inputs!$B$28+Inputs!$B$29)))</f>
        <v/>
      </c>
      <c r="E913">
        <f>INDEX(FactorTable!$B$2:$Y$301, MATCH(ROUND(MIN(300,MAX(1,D913)),0), FactorTable!$A$2:$A$301,0), Skills!M6+1)</f>
        <v/>
      </c>
      <c r="F913">
        <f>IF(Skills!N6=TRUE,(Skills!L6/10)*(E913/1000),Skills!L6/10)+Skills!O6</f>
        <v/>
      </c>
      <c r="G913">
        <f>Skills!G6*IF(Skills!H6&gt;0,Skills!I6/Skills!H6,1)</f>
        <v/>
      </c>
      <c r="H913">
        <f>1-(1-Skills!J6/100)^Skills!K6</f>
        <v/>
      </c>
      <c r="I913" t="inlineStr">
        <is>
          <t>1</t>
        </is>
      </c>
      <c r="J913">
        <f>((Inputs!$B$6*(1+(Inputs!$B$7+1)/100))+(((Inputs!$B$12*(1+Inputs!$B$13/100))-(Inputs!$B$12*(1+Inputs!$B$13/100)))+0.25*(Inputs!$B$14-Inputs!$B$14))*(1+(Inputs!$B$7+1)/100))*(F913/100)</f>
        <v/>
      </c>
      <c r="K913">
        <f>J913*(1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927=TRUE)*(F927-Calc!F20)),(Inputs!$B$23+0+(IF(ArtifactsInput!$M$15,CHOOSE(ArtifactsInput!$N$15+1,25,30,35,40,45,50)/100*(Inputs!$B$11-Inputs!$B$11),0))))/100+(Inputs!$B$23+0+(IF(ArtifactsInput!$M$15,CHOOSE(ArtifactsInput!$N$15+1,25,30,35,40,45,50)/100*(Inputs!$B$11-Inputs!$B$11),0)))/100)/2</f>
        <v/>
      </c>
      <c r="M913">
        <f>L913*(1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IF(B942=0,0,O913/B942)</f>
        <v/>
      </c>
      <c r="Q913">
        <f>IFERROR(1/(IF(Inputs!$B$38="pvp",15,MAX(0.1,Skills!D6-IF(Skills!E6=TRUE,Inputs!$B$32,0)))*(1-IF(AND(ArtifactsInput!$M$27,Inputs!$B$4="Chapter Hunt"),CHOOSE(ArtifactsInput!$N$27+1,20,24,28,32,36,40),0)/100)),0)</f>
        <v/>
      </c>
      <c r="R913">
        <f>IF(AND(Inputs!$B$38&lt;&gt;"pvp",Inputs!$B$43&gt;0),IF(MAX(0,Inputs!$B$43-B939)&lt;=0,0,(INT(MAX(0,Inputs!$B$43-B939)/(IF(Inputs!$B$38="pvp",15,MAX(0.1,Skills!D6-IF(Skills!E6=TRUE,Inputs!$B$32,0)))*(1-IF(AND(ArtifactsInput!$M$27,Inputs!$B$4="Chapter Hunt"),CHOOSE(ArtifactsInput!$N$27+1,20,24,28,32,36,40),0)/100)))+1)),0)</f>
        <v/>
      </c>
      <c r="S913">
        <f>IFERROR(O913/N913,0)</f>
        <v/>
      </c>
      <c r="T913">
        <f>IF(C913,(H913*N913*IF(AND(Inputs!$B$38&lt;&gt;"pvp",Inputs!$B$43&gt;0),((Skills!G6*((R913-1)*IF(Skills!H6&gt;0,Skills!I6/Skills!H6,1)+IF(Skills!H6&gt;0,MIN(Skills!I6,MAX(0,MAX(0,Inputs!$B$43-B939)-((R913-1)*(IF(Inputs!$B$38="pvp",15,MAX(0.1,Skills!D6-IF(Skills!E6=TRUE,Inputs!$B$32,0)))*(1-IF(AND(ArtifactsInput!$M$27,Inputs!$B$4="Chapter Hunt"),CHOOSE(ArtifactsInput!$N$27+1,20,24,28,32,36,40),0)/100)))))/Skills!H6,1)))/Inputs!$B$43),G913*Q913)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3">
        <f>IF(C913,(H913*N913*IF(AND(Inputs!$B$38&lt;&gt;"pvp",Inputs!$B$43&gt;0),((Skills!G6*((R913-1)*IF(Skills!H6&gt;0,Skills!I6/Skills!H6,1)+IF(Skills!H6&gt;0,MIN(Skills!I6,MAX(0,MAX(0,Inputs!$B$43-B939)-((R913-1)*(IF(Inputs!$B$38="pvp",15,MAX(0.1,Skills!D6-IF(Skills!E6=TRUE,Inputs!$B$32,0)))*(1-IF(AND(ArtifactsInput!$M$27,Inputs!$B$4="Chapter Hunt"),CHOOSE(ArtifactsInput!$N$27+1,20,24,28,32,36,40),0)/100)))))/Skills!H6,1)))/Inputs!$B$43),G913*Q913))*IF(Inputs!$B$38="pvp",1,(1+(Inputs!$B$21+Skills!Q6+(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Skills!A7</f>
        <v/>
      </c>
      <c r="B914">
        <f>Skills!B7</f>
        <v/>
      </c>
      <c r="C914">
        <f>Inputs!$B$3&gt;=100</f>
        <v/>
      </c>
      <c r="D914">
        <f>IF(Skills!C7=1,60+Inputs!$B$25+Inputs!$B$29,IF(Skills!C7=2,90+Inputs!$B$26+Inputs!$B$29,IF(Skills!C7=3,120+Inputs!$B$27+Inputs!$B$29,MAX(0,(Inputs!$B$3-100)*3)+Inputs!$B$28+Inputs!$B$29)))</f>
        <v/>
      </c>
      <c r="E914">
        <f>INDEX(FactorTable!$B$2:$Y$301, MATCH(ROUND(MIN(300,MAX(1,D914)),0), FactorTable!$A$2:$A$301,0), Skills!M7+1)</f>
        <v/>
      </c>
      <c r="F914">
        <f>IF(Skills!N7=TRUE,(Skills!L7/10)*(E914/1000),Skills!L7/10)+Skills!O7</f>
        <v/>
      </c>
      <c r="G914">
        <f>Skills!G7*IF(Skills!H7&gt;0,Skills!I7/Skills!H7,1)</f>
        <v/>
      </c>
      <c r="H914">
        <f>1-(1-Skills!J7/100)^Skills!K7</f>
        <v/>
      </c>
      <c r="I914" t="inlineStr">
        <is>
          <t>1</t>
        </is>
      </c>
      <c r="J914">
        <f>((Inputs!$B$6*(1+(Inputs!$B$7+1)/100))+(((Inputs!$B$12*(1+Inputs!$B$13/100))-(Inputs!$B$12*(1+Inputs!$B$13/100)))+0.25*(Inputs!$B$14-Inputs!$B$14))*(1+(Inputs!$B$7+1)/100))*(F914/100)</f>
        <v/>
      </c>
      <c r="K914">
        <f>J914*(1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914)</f>
        <v/>
      </c>
      <c r="L914">
        <f>K914*(MIN(Inputs!$B$22+((C927=TRUE)*(F927-Calc!F20)),(Inputs!$B$23+0+(IF(ArtifactsInput!$M$15,CHOOSE(ArtifactsInput!$N$15+1,25,30,35,40,45,50)/100*(Inputs!$B$11-Inputs!$B$11),0))))/100+(Inputs!$B$23+0+(IF(ArtifactsInput!$M$15,CHOOSE(ArtifactsInput!$N$15+1,25,30,35,40,45,50)/100*(Inputs!$B$11-Inputs!$B$11),0)))/100)/2</f>
        <v/>
      </c>
      <c r="M914">
        <f>L914*(1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4">
        <f>L914*(1-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914*(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4">
        <f>(1-Summary!$B$11)*T914+Summary!$B$11*V914</f>
        <v/>
      </c>
      <c r="P914">
        <f>IF(B942=0,0,O914/B942)</f>
        <v/>
      </c>
      <c r="Q914">
        <f>IFERROR(1/(IF(Inputs!$B$38="pvp",15,MAX(0.1,Skills!D7-IF(Skills!E7=TRUE,Inputs!$B$32,0)))*(1-IF(AND(ArtifactsInput!$M$27,Inputs!$B$4="Chapter Hunt"),CHOOSE(ArtifactsInput!$N$27+1,20,24,28,32,36,40),0)/100)),0)</f>
        <v/>
      </c>
      <c r="R914">
        <f>IF(AND(Inputs!$B$38&lt;&gt;"pvp",Inputs!$B$43&gt;0),IF(MAX(0,Inputs!$B$43-B939)&lt;=0,0,(INT(MAX(0,Inputs!$B$43-B939)/(IF(Inputs!$B$38="pvp",15,MAX(0.1,Skills!D7-IF(Skills!E7=TRUE,Inputs!$B$32,0)))*(1-IF(AND(ArtifactsInput!$M$27,Inputs!$B$4="Chapter Hunt"),CHOOSE(ArtifactsInput!$N$27+1,20,24,28,32,36,40),0)/100)))+1)),0)</f>
        <v/>
      </c>
      <c r="S914">
        <f>IFERROR(O914/N914,0)</f>
        <v/>
      </c>
      <c r="T914">
        <f>IF(C914,(H914*N914*IF(AND(Inputs!$B$38&lt;&gt;"pvp",Inputs!$B$43&gt;0),((Skills!G7*((R914-1)*IF(Skills!H7&gt;0,Skills!I7/Skills!H7,1)+IF(Skills!H7&gt;0,MIN(Skills!I7,MAX(0,MAX(0,Inputs!$B$43-B939)-((R914-1)*(IF(Inputs!$B$38="pvp",15,MAX(0.1,Skills!D7-IF(Skills!E7=TRUE,Inputs!$B$32,0)))*(1-IF(AND(ArtifactsInput!$M$27,Inputs!$B$4="Chapter Hunt"),CHOOSE(ArtifactsInput!$N$27+1,20,24,28,32,36,40),0)/100)))))/Skills!H7,1)))/Inputs!$B$43),G914*Q914)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914*(1-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914*(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914*(1-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914*(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4">
        <f>IF(C914,(H914*N914*IF(AND(Inputs!$B$38&lt;&gt;"pvp",Inputs!$B$43&gt;0),((Skills!G7*((R914-1)*IF(Skills!H7&gt;0,Skills!I7/Skills!H7,1)+IF(Skills!H7&gt;0,MIN(Skills!I7,MAX(0,MAX(0,Inputs!$B$43-B939)-((R914-1)*(IF(Inputs!$B$38="pvp",15,MAX(0.1,Skills!D7-IF(Skills!E7=TRUE,Inputs!$B$32,0)))*(1-IF(AND(ArtifactsInput!$M$27,Inputs!$B$4="Chapter Hunt"),CHOOSE(ArtifactsInput!$N$27+1,20,24,28,32,36,40),0)/100)))))/Skills!H7,1)))/Inputs!$B$43),G914*Q914))*IF(Inputs!$B$38="pvp",1,(1+(Inputs!$B$21+Skills!Q7+(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5">
      <c r="A915">
        <f>Skills!A8</f>
        <v/>
      </c>
      <c r="B915">
        <f>Skills!B8</f>
        <v/>
      </c>
      <c r="C915">
        <f>Inputs!$B$3&gt;=110</f>
        <v/>
      </c>
      <c r="D915">
        <f>IF(Skills!C8=1,60+Inputs!$B$25+Inputs!$B$29,IF(Skills!C8=2,90+Inputs!$B$26+Inputs!$B$29,IF(Skills!C8=3,120+Inputs!$B$27+Inputs!$B$29,MAX(0,(Inputs!$B$3-100)*3)+Inputs!$B$28+Inputs!$B$29)))</f>
        <v/>
      </c>
      <c r="E915">
        <f>INDEX(FactorTable!$B$2:$Y$301, MATCH(ROUND(MIN(300,MAX(1,D915)),0), FactorTable!$A$2:$A$301,0), Skills!M8+1)</f>
        <v/>
      </c>
      <c r="F915">
        <f>IF(Skills!N8=TRUE,(Skills!L8/10)*(E915/1000),Skills!L8/10)+Skills!O8</f>
        <v/>
      </c>
      <c r="G915">
        <f>Skills!G8*IF(Skills!H8&gt;0,Skills!I8/Skills!H8,1)</f>
        <v/>
      </c>
      <c r="H915">
        <f>1-(1-Skills!J8/100)^Skills!K8</f>
        <v/>
      </c>
      <c r="I915" t="inlineStr">
        <is>
          <t>1</t>
        </is>
      </c>
      <c r="J915">
        <f>((Inputs!$B$6*(1+(Inputs!$B$7+1)/100))+(((Inputs!$B$12*(1+Inputs!$B$13/100))-(Inputs!$B$12*(1+Inputs!$B$13/100)))+0.25*(Inputs!$B$14-Inputs!$B$14))*(1+(Inputs!$B$7+1)/100))*(F915/100)</f>
        <v/>
      </c>
      <c r="K915">
        <f>J915*(1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C927=TRUE)*(F927-Calc!F20)),(Inputs!$B$23+0+(IF(ArtifactsInput!$M$15,CHOOSE(ArtifactsInput!$N$15+1,25,30,35,40,45,50)/100*(Inputs!$B$11-Inputs!$B$11),0))))/100+(Inputs!$B$23+0+(IF(ArtifactsInput!$M$15,CHOOSE(ArtifactsInput!$N$15+1,25,30,35,40,45,50)/100*(Inputs!$B$11-Inputs!$B$11),0)))/100)/2</f>
        <v/>
      </c>
      <c r="M915">
        <f>L915*(1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(1-Summary!$B$11)*T915+Summary!$B$11*V915</f>
        <v/>
      </c>
      <c r="P915">
        <f>IF(B942=0,0,O915/B942)</f>
        <v/>
      </c>
      <c r="Q915">
        <f>IFERROR(1/(IF(Inputs!$B$38="pvp",15,MAX(0.1,Skills!D8-IF(Skills!E8=TRUE,Inputs!$B$32,0)))*(1-IF(AND(ArtifactsInput!$M$27,Inputs!$B$4="Chapter Hunt"),CHOOSE(ArtifactsInput!$N$27+1,20,24,28,32,36,40),0)/100)),0)</f>
        <v/>
      </c>
      <c r="R915">
        <f>IF(AND(Inputs!$B$38&lt;&gt;"pvp",Inputs!$B$43&gt;0),IF(MAX(0,Inputs!$B$43-B939)&lt;=0,0,(INT(MAX(0,Inputs!$B$43-B939)/(IF(Inputs!$B$38="pvp",15,MAX(0.1,Skills!D8-IF(Skills!E8=TRUE,Inputs!$B$32,0)))*(1-IF(AND(ArtifactsInput!$M$27,Inputs!$B$4="Chapter Hunt"),CHOOSE(ArtifactsInput!$N$27+1,20,24,28,32,36,40),0)/100)))+1)),0)</f>
        <v/>
      </c>
      <c r="S915">
        <f>IFERROR(O915/N915,0)</f>
        <v/>
      </c>
      <c r="T915">
        <f>IF(C915,(H915*N915*IF(AND(Inputs!$B$38&lt;&gt;"pvp",Inputs!$B$43&gt;0),((Skills!G8*((R915-1)*IF(Skills!H8&gt;0,Skills!I8/Skills!H8,1)+IF(Skills!H8&gt;0,MIN(Skills!I8,MAX(0,MAX(0,Inputs!$B$43-B939)-((R915-1)*(IF(Inputs!$B$38="pvp",15,MAX(0.1,Skills!D8-IF(Skills!E8=TRUE,Inputs!$B$32,0)))*(1-IF(AND(ArtifactsInput!$M$27,Inputs!$B$4="Chapter Hunt"),CHOOSE(ArtifactsInput!$N$27+1,20,24,28,32,36,40),0)/100)))))/Skills!H8,1)))/Inputs!$B$43),G915*Q915)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915*(1-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5">
        <f>IF(C915,(H915*N915*IF(AND(Inputs!$B$38&lt;&gt;"pvp",Inputs!$B$43&gt;0),((Skills!G8*((R915-1)*IF(Skills!H8&gt;0,Skills!I8/Skills!H8,1)+IF(Skills!H8&gt;0,MIN(Skills!I8,MAX(0,MAX(0,Inputs!$B$43-B939)-((R915-1)*(IF(Inputs!$B$38="pvp",15,MAX(0.1,Skills!D8-IF(Skills!E8=TRUE,Inputs!$B$32,0)))*(1-IF(AND(ArtifactsInput!$M$27,Inputs!$B$4="Chapter Hunt"),CHOOSE(ArtifactsInput!$N$27+1,20,24,28,32,36,40),0)/100)))))/Skills!H8,1)))/Inputs!$B$43),G915*Q915))*IF(Inputs!$B$38="pvp",1,(1+(Inputs!$B$21+Skills!Q8+(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Skills!A9</f>
        <v/>
      </c>
      <c r="B916">
        <f>Skills!B9</f>
        <v/>
      </c>
      <c r="C916">
        <f>Inputs!$B$3&gt;=110</f>
        <v/>
      </c>
      <c r="D916">
        <f>IF(Skills!C9=1,60+Inputs!$B$25+Inputs!$B$29,IF(Skills!C9=2,90+Inputs!$B$26+Inputs!$B$29,IF(Skills!C9=3,120+Inputs!$B$27+Inputs!$B$29,MAX(0,(Inputs!$B$3-100)*3)+Inputs!$B$28+Inputs!$B$29)))</f>
        <v/>
      </c>
      <c r="E916">
        <f>INDEX(FactorTable!$B$2:$Y$301, MATCH(ROUND(MIN(300,MAX(1,D916)),0), FactorTable!$A$2:$A$301,0), Skills!M9+1)</f>
        <v/>
      </c>
      <c r="F916">
        <f>IF(Skills!N9=TRUE,(Skills!L9/10)*(E916/1000),Skills!L9/10)+Skills!O9</f>
        <v/>
      </c>
      <c r="G916">
        <f>Skills!G9*IF(Skills!H9&gt;0,Skills!I9/Skills!H9,1)</f>
        <v/>
      </c>
      <c r="H916">
        <f>1-(1-Skills!J9/100)^Skills!K9</f>
        <v/>
      </c>
      <c r="I916" t="inlineStr">
        <is>
          <t>1</t>
        </is>
      </c>
      <c r="J916">
        <f>((Inputs!$B$6*(1+(Inputs!$B$7+1)/100))+(((Inputs!$B$12*(1+Inputs!$B$13/100))-(Inputs!$B$12*(1+Inputs!$B$13/100)))+0.25*(Inputs!$B$14-Inputs!$B$14))*(1+(Inputs!$B$7+1)/100))*(F916/100)</f>
        <v/>
      </c>
      <c r="K916">
        <f>J916*(1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C927=TRUE)*(F927-Calc!F20)),(Inputs!$B$23+0+(IF(ArtifactsInput!$M$15,CHOOSE(ArtifactsInput!$N$15+1,25,30,35,40,45,50)/100*(Inputs!$B$11-Inputs!$B$11),0))))/100+(Inputs!$B$23+0+(IF(ArtifactsInput!$M$15,CHOOSE(ArtifactsInput!$N$15+1,25,30,35,40,45,50)/100*(Inputs!$B$11-Inputs!$B$11),0)))/100)/2</f>
        <v/>
      </c>
      <c r="M916">
        <f>L916*(1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IF(B942=0,0,O916/B942)</f>
        <v/>
      </c>
      <c r="Q916">
        <f>IFERROR(1/(IF(Inputs!$B$38="pvp",15,MAX(0.1,Skills!D9-IF(Skills!E9=TRUE,Inputs!$B$32,0)))*(1-IF(AND(ArtifactsInput!$M$27,Inputs!$B$4="Chapter Hunt"),CHOOSE(ArtifactsInput!$N$27+1,20,24,28,32,36,40),0)/100)),0)</f>
        <v/>
      </c>
      <c r="R916">
        <f>IF(AND(Inputs!$B$38&lt;&gt;"pvp",Inputs!$B$43&gt;0),IF(MAX(0,Inputs!$B$43-B939)&lt;=0,0,(INT(MAX(0,Inputs!$B$43-B939)/(IF(Inputs!$B$38="pvp",15,MAX(0.1,Skills!D9-IF(Skills!E9=TRUE,Inputs!$B$32,0)))*(1-IF(AND(ArtifactsInput!$M$27,Inputs!$B$4="Chapter Hunt"),CHOOSE(ArtifactsInput!$N$27+1,20,24,28,32,36,40),0)/100)))+1)),0)</f>
        <v/>
      </c>
      <c r="S916">
        <f>IFERROR(O916/N916,0)</f>
        <v/>
      </c>
      <c r="T916">
        <f>IF(C916,(H916*N916*IF(AND(Inputs!$B$38&lt;&gt;"pvp",Inputs!$B$43&gt;0),((Skills!G9*((R916-1)*IF(Skills!H9&gt;0,Skills!I9/Skills!H9,1)+IF(Skills!H9&gt;0,MIN(Skills!I9,MAX(0,MAX(0,Inputs!$B$43-B939)-((R916-1)*(IF(Inputs!$B$38="pvp",15,MAX(0.1,Skills!D9-IF(Skills!E9=TRUE,Inputs!$B$32,0)))*(1-IF(AND(ArtifactsInput!$M$27,Inputs!$B$4="Chapter Hunt"),CHOOSE(ArtifactsInput!$N$27+1,20,24,28,32,36,40),0)/100)))))/Skills!H9,1)))/Inputs!$B$43),G916*Q916)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9*((R916-1)*IF(Skills!H9&gt;0,Skills!I9/Skills!H9,1)+IF(Skills!H9&gt;0,MIN(Skills!I9,MAX(0,MAX(0,Inputs!$B$43-B939)-((R916-1)*(IF(Inputs!$B$38="pvp",15,MAX(0.1,Skills!D9-IF(Skills!E9=TRUE,Inputs!$B$32,0)))*(1-IF(AND(ArtifactsInput!$M$27,Inputs!$B$4="Chapter Hunt"),CHOOSE(ArtifactsInput!$N$27+1,20,24,28,32,36,40),0)/100)))))/Skills!H9,1)))/Inputs!$B$43),G916*Q916))*IF(Inputs!$B$38="pvp",1,(1+(Inputs!$B$21+Skills!Q9+(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Skills!A10</f>
        <v/>
      </c>
      <c r="B917">
        <f>Skills!B10</f>
        <v/>
      </c>
      <c r="C917">
        <f>Inputs!$B$3&gt;=103</f>
        <v/>
      </c>
      <c r="D917">
        <f>IF(Skills!C10=1,60+Inputs!$B$25+Inputs!$B$29,IF(Skills!C10=2,90+Inputs!$B$26+Inputs!$B$29,IF(Skills!C10=3,120+Inputs!$B$27+Inputs!$B$29,MAX(0,(Inputs!$B$3-100)*3)+Inputs!$B$28+Inputs!$B$29)))</f>
        <v/>
      </c>
      <c r="E917">
        <f>INDEX(FactorTable!$B$2:$Y$301, MATCH(ROUND(MIN(300,MAX(1,D917)),0), FactorTable!$A$2:$A$301,0), Skills!M10+1)</f>
        <v/>
      </c>
      <c r="F917">
        <f>IF(Skills!N10=TRUE,(Skills!L10/10)*(E917/1000),Skills!L10/10)+Skills!O10</f>
        <v/>
      </c>
      <c r="G917">
        <f>Skills!G10*IF(Skills!H10&gt;0,Skills!I10/Skills!H10,1)</f>
        <v/>
      </c>
      <c r="H917">
        <f>1-(1-Skills!J10/100)^Skills!K10</f>
        <v/>
      </c>
      <c r="I917" t="inlineStr">
        <is>
          <t>1</t>
        </is>
      </c>
      <c r="J917">
        <f>((Inputs!$B$6*(1+(Inputs!$B$7+1)/100))+(((Inputs!$B$12*(1+Inputs!$B$13/100))-(Inputs!$B$12*(1+Inputs!$B$13/100)))+0.25*(Inputs!$B$14-Inputs!$B$14))*(1+(Inputs!$B$7+1)/100))*(F917/100)</f>
        <v/>
      </c>
      <c r="K917">
        <f>J917*(1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C927=TRUE)*(F927-Calc!F20)),(Inputs!$B$23+0+(IF(ArtifactsInput!$M$15,CHOOSE(ArtifactsInput!$N$15+1,25,30,35,40,45,50)/100*(Inputs!$B$11-Inputs!$B$11),0))))/100+(Inputs!$B$23+0+(IF(ArtifactsInput!$M$15,CHOOSE(ArtifactsInput!$N$15+1,25,30,35,40,45,50)/100*(Inputs!$B$11-Inputs!$B$11),0)))/100)/2</f>
        <v/>
      </c>
      <c r="M917">
        <f>L917*(1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IF(B942=0,0,O917/B942)</f>
        <v/>
      </c>
      <c r="Q917">
        <f>IFERROR(1/(IF(Inputs!$B$38="pvp",15,MAX(0.1,Skills!D10-IF(Skills!E10=TRUE,Inputs!$B$32,0)))*(1-IF(AND(ArtifactsInput!$M$27,Inputs!$B$4="Chapter Hunt"),CHOOSE(ArtifactsInput!$N$27+1,20,24,28,32,36,40),0)/100)),0)</f>
        <v/>
      </c>
      <c r="R917">
        <f>IF(AND(Inputs!$B$38&lt;&gt;"pvp",Inputs!$B$43&gt;0),IF(MAX(0,Inputs!$B$43-B939)&lt;=0,0,(INT(MAX(0,Inputs!$B$43-B939)/(IF(Inputs!$B$38="pvp",15,MAX(0.1,Skills!D10-IF(Skills!E10=TRUE,Inputs!$B$32,0)))*(1-IF(AND(ArtifactsInput!$M$27,Inputs!$B$4="Chapter Hunt"),CHOOSE(ArtifactsInput!$N$27+1,20,24,28,32,36,40),0)/100)))+1)),0)</f>
        <v/>
      </c>
      <c r="S917">
        <f>IFERROR(O917/N917,0)</f>
        <v/>
      </c>
      <c r="T917">
        <f>IF(C917,(H917*N917*IF(AND(Inputs!$B$38&lt;&gt;"pvp",Inputs!$B$43&gt;0),((Skills!G10*((R917-1)*IF(Skills!H10&gt;0,Skills!I10/Skills!H10,1)+IF(Skills!H10&gt;0,MIN(Skills!I10,MAX(0,MAX(0,Inputs!$B$43-B939)-((R917-1)*(IF(Inputs!$B$38="pvp",15,MAX(0.1,Skills!D10-IF(Skills!E10=TRUE,Inputs!$B$32,0)))*(1-IF(AND(ArtifactsInput!$M$27,Inputs!$B$4="Chapter Hunt"),CHOOSE(ArtifactsInput!$N$27+1,20,24,28,32,36,40),0)/100)))))/Skills!H10,1)))/Inputs!$B$43),G917*Q917)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10*((R917-1)*IF(Skills!H10&gt;0,Skills!I10/Skills!H10,1)+IF(Skills!H10&gt;0,MIN(Skills!I10,MAX(0,MAX(0,Inputs!$B$43-B939)-((R917-1)*(IF(Inputs!$B$38="pvp",15,MAX(0.1,Skills!D10-IF(Skills!E10=TRUE,Inputs!$B$32,0)))*(1-IF(AND(ArtifactsInput!$M$27,Inputs!$B$4="Chapter Hunt"),CHOOSE(ArtifactsInput!$N$27+1,20,24,28,32,36,40),0)/100)))))/Skills!H10,1)))/Inputs!$B$43),G917*Q917))*IF(Inputs!$B$38="pvp",1,(1+(Inputs!$B$21+Skills!Q10+(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Skills!A11</f>
        <v/>
      </c>
      <c r="B918">
        <f>Skills!B11</f>
        <v/>
      </c>
      <c r="C918">
        <f>Inputs!$B$3&gt;=113</f>
        <v/>
      </c>
      <c r="D918">
        <f>IF(Skills!C11=1,60+Inputs!$B$25+Inputs!$B$29,IF(Skills!C11=2,90+Inputs!$B$26+Inputs!$B$29,IF(Skills!C11=3,120+Inputs!$B$27+Inputs!$B$29,MAX(0,(Inputs!$B$3-100)*3)+Inputs!$B$28+Inputs!$B$29)))</f>
        <v/>
      </c>
      <c r="E918">
        <f>INDEX(FactorTable!$B$2:$Y$301, MATCH(ROUND(MIN(300,MAX(1,D918)),0), FactorTable!$A$2:$A$301,0), Skills!M11+1)</f>
        <v/>
      </c>
      <c r="F918">
        <f>IF(Skills!N11=TRUE,(Skills!L11/10)*(E918/1000),Skills!L11/10)+Skills!O11</f>
        <v/>
      </c>
      <c r="G918">
        <f>Skills!G11*IF(Skills!H11&gt;0,Skills!I11/Skills!H11,1)</f>
        <v/>
      </c>
      <c r="H918">
        <f>1-(1-Skills!J11/100)^Skills!K11</f>
        <v/>
      </c>
      <c r="I918" t="inlineStr">
        <is>
          <t>1</t>
        </is>
      </c>
      <c r="J918">
        <f>((Inputs!$B$6*(1+(Inputs!$B$7+1)/100))+(((Inputs!$B$12*(1+Inputs!$B$13/100))-(Inputs!$B$12*(1+Inputs!$B$13/100)))+0.25*(Inputs!$B$14-Inputs!$B$14))*(1+(Inputs!$B$7+1)/100))*(F918/100)</f>
        <v/>
      </c>
      <c r="K918">
        <f>J918*(1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C927=TRUE)*(F927-Calc!F20)),(Inputs!$B$23+0+(IF(ArtifactsInput!$M$15,CHOOSE(ArtifactsInput!$N$15+1,25,30,35,40,45,50)/100*(Inputs!$B$11-Inputs!$B$11),0))))/100+(Inputs!$B$23+0+(IF(ArtifactsInput!$M$15,CHOOSE(ArtifactsInput!$N$15+1,25,30,35,40,45,50)/100*(Inputs!$B$11-Inputs!$B$11),0)))/100)/2</f>
        <v/>
      </c>
      <c r="M918">
        <f>L918*(1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IF(B942=0,0,O918/B942)</f>
        <v/>
      </c>
      <c r="Q918">
        <f>IFERROR(1/(IF(Inputs!$B$38="pvp",15,MAX(0.1,Skills!D11-IF(Skills!E11=TRUE,Inputs!$B$32,0)))*(1-IF(AND(ArtifactsInput!$M$27,Inputs!$B$4="Chapter Hunt"),CHOOSE(ArtifactsInput!$N$27+1,20,24,28,32,36,40),0)/100)),0)</f>
        <v/>
      </c>
      <c r="R918">
        <f>IF(AND(Inputs!$B$38&lt;&gt;"pvp",Inputs!$B$43&gt;0),IF(MAX(0,Inputs!$B$43-B939)&lt;=0,0,(INT(MAX(0,Inputs!$B$43-B939)/(IF(Inputs!$B$38="pvp",15,MAX(0.1,Skills!D11-IF(Skills!E11=TRUE,Inputs!$B$32,0)))*(1-IF(AND(ArtifactsInput!$M$27,Inputs!$B$4="Chapter Hunt"),CHOOSE(ArtifactsInput!$N$27+1,20,24,28,32,36,40),0)/100)))+1)),0)</f>
        <v/>
      </c>
      <c r="S918">
        <f>IFERROR(O918/N918,0)</f>
        <v/>
      </c>
      <c r="T918">
        <f>IF(C918,(H918*N918*IF(AND(Inputs!$B$38&lt;&gt;"pvp",Inputs!$B$43&gt;0),((Skills!G11*((R918-1)*IF(Skills!H11&gt;0,Skills!I11/Skills!H11,1)+IF(Skills!H11&gt;0,MIN(Skills!I11,MAX(0,MAX(0,Inputs!$B$43-B939)-((R918-1)*(IF(Inputs!$B$38="pvp",15,MAX(0.1,Skills!D11-IF(Skills!E11=TRUE,Inputs!$B$32,0)))*(1-IF(AND(ArtifactsInput!$M$27,Inputs!$B$4="Chapter Hunt"),CHOOSE(ArtifactsInput!$N$27+1,20,24,28,32,36,40),0)/100)))))/Skills!H11,1)))/Inputs!$B$43),G918*Q918)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11*((R918-1)*IF(Skills!H11&gt;0,Skills!I11/Skills!H11,1)+IF(Skills!H11&gt;0,MIN(Skills!I11,MAX(0,MAX(0,Inputs!$B$43-B939)-((R918-1)*(IF(Inputs!$B$38="pvp",15,MAX(0.1,Skills!D11-IF(Skills!E11=TRUE,Inputs!$B$32,0)))*(1-IF(AND(ArtifactsInput!$M$27,Inputs!$B$4="Chapter Hunt"),CHOOSE(ArtifactsInput!$N$27+1,20,24,28,32,36,40),0)/100)))))/Skills!H11,1)))/Inputs!$B$43),G918*Q918))*IF(Inputs!$B$38="pvp",1,(1+(Inputs!$B$21+Skills!Q11+(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Skills!A12</f>
        <v/>
      </c>
      <c r="B919">
        <f>Skills!B12</f>
        <v/>
      </c>
      <c r="C919">
        <f>Inputs!$B$3&gt;=100</f>
        <v/>
      </c>
      <c r="D919">
        <f>IF(Skills!C12=1,60+Inputs!$B$25+Inputs!$B$29,IF(Skills!C12=2,90+Inputs!$B$26+Inputs!$B$29,IF(Skills!C12=3,120+Inputs!$B$27+Inputs!$B$29,MAX(0,(Inputs!$B$3-100)*3)+Inputs!$B$28+Inputs!$B$29)))</f>
        <v/>
      </c>
      <c r="E919">
        <f>INDEX(FactorTable!$B$2:$Y$301, MATCH(ROUND(MIN(300,MAX(1,D919)),0), FactorTable!$A$2:$A$301,0), Skills!M12+1)</f>
        <v/>
      </c>
      <c r="F919">
        <f>IF(Skills!N12=TRUE,(Skills!L12/10)*(E919/1000),Skills!L12/10)+Skills!O12</f>
        <v/>
      </c>
      <c r="G919" t="inlineStr"/>
      <c r="H919" t="inlineStr"/>
      <c r="I919" t="inlineStr">
        <is>
          <t>1</t>
        </is>
      </c>
      <c r="J919" t="inlineStr"/>
      <c r="K919" t="inlineStr"/>
      <c r="L919" t="inlineStr"/>
      <c r="M919" t="inlineStr"/>
      <c r="N919" t="inlineStr"/>
      <c r="O919" t="inlineStr"/>
      <c r="P919" t="inlineStr"/>
      <c r="Q919" t="inlineStr"/>
      <c r="R919" t="inlineStr"/>
      <c r="S919" t="inlineStr"/>
      <c r="T919" t="inlineStr"/>
      <c r="V919" t="inlineStr"/>
    </row>
    <row r="920">
      <c r="A920">
        <f>Skills!A13</f>
        <v/>
      </c>
      <c r="B920">
        <f>Skills!B13</f>
        <v/>
      </c>
      <c r="C920">
        <f>Inputs!$B$3&gt;=66</f>
        <v/>
      </c>
      <c r="D920">
        <f>IF(Skills!C13=1,60+Inputs!$B$25+Inputs!$B$29,IF(Skills!C13=2,90+Inputs!$B$26+Inputs!$B$29,IF(Skills!C13=3,120+Inputs!$B$27+Inputs!$B$29,MAX(0,(Inputs!$B$3-100)*3)+Inputs!$B$28+Inputs!$B$29)))</f>
        <v/>
      </c>
      <c r="E920">
        <f>INDEX(FactorTable!$B$2:$Y$301, MATCH(ROUND(MIN(300,MAX(1,D920)),0), FactorTable!$A$2:$A$301,0), Skills!M13+1)</f>
        <v/>
      </c>
      <c r="F920">
        <f>IF(Skills!N13=TRUE,(Skills!L13/10)*(E920/1000),Skills!L13/10)+Skills!O13</f>
        <v/>
      </c>
      <c r="G920">
        <f>Skills!G13*IF(Skills!H13&gt;0,Skills!I13/Skills!H13,1)</f>
        <v/>
      </c>
      <c r="H920">
        <f>1-(1-Skills!J13/100)^Skills!K13</f>
        <v/>
      </c>
      <c r="I920" t="inlineStr">
        <is>
          <t>1</t>
        </is>
      </c>
      <c r="J920" t="inlineStr"/>
      <c r="K920" t="inlineStr"/>
      <c r="L920" t="inlineStr"/>
      <c r="M920" t="inlineStr"/>
      <c r="N920" t="inlineStr"/>
      <c r="O920">
        <f>(1-Summary!$B$11)*T920+Summary!$B$11*V920</f>
        <v/>
      </c>
      <c r="P920">
        <f>IF(B942=0,0,O920/B942)</f>
        <v/>
      </c>
      <c r="Q920" t="n">
        <v>0</v>
      </c>
      <c r="R920" t="n">
        <v>0</v>
      </c>
      <c r="S920">
        <f>IFERROR(O920/N920,0)</f>
        <v/>
      </c>
      <c r="T920" t="n">
        <v>0</v>
      </c>
      <c r="V920" t="n">
        <v>0</v>
      </c>
    </row>
    <row r="921">
      <c r="A921">
        <f>Skills!A14</f>
        <v/>
      </c>
      <c r="B921">
        <f>Skills!B14</f>
        <v/>
      </c>
      <c r="C921">
        <f>Inputs!$B$3&gt;=107</f>
        <v/>
      </c>
      <c r="D921">
        <f>IF(Skills!C14=1,60+Inputs!$B$25+Inputs!$B$29,IF(Skills!C14=2,90+Inputs!$B$26+Inputs!$B$29,IF(Skills!C14=3,120+Inputs!$B$27+Inputs!$B$29,MAX(0,(Inputs!$B$3-100)*3)+Inputs!$B$28+Inputs!$B$29)))</f>
        <v/>
      </c>
      <c r="E921">
        <f>INDEX(FactorTable!$B$2:$Y$301, MATCH(ROUND(MIN(300,MAX(1,D921)),0), FactorTable!$A$2:$A$301,0), Skills!M14+1)</f>
        <v/>
      </c>
      <c r="F921">
        <f>IF(Skills!N14=TRUE,(Skills!L14/10)*(E921/1000),Skills!L14/10)+Skills!O14</f>
        <v/>
      </c>
      <c r="G921">
        <f>Skills!G14*IF(Skills!H14&gt;0,Skills!I14/Skills!H14,1)</f>
        <v/>
      </c>
      <c r="H921">
        <f>1-(1-Skills!J14/100)^Skills!K14</f>
        <v/>
      </c>
      <c r="I921" t="inlineStr">
        <is>
          <t>1</t>
        </is>
      </c>
      <c r="J921" t="inlineStr"/>
      <c r="K921" t="inlineStr"/>
      <c r="L921" t="inlineStr"/>
      <c r="M921" t="inlineStr"/>
      <c r="N921" t="inlineStr"/>
      <c r="O921">
        <f>(1-Summary!$B$11)*T921+Summary!$B$11*V921</f>
        <v/>
      </c>
      <c r="P921">
        <f>IF(B942=0,0,O921/B942)</f>
        <v/>
      </c>
      <c r="Q921" t="n">
        <v>0</v>
      </c>
      <c r="R921" t="n">
        <v>0</v>
      </c>
      <c r="S921">
        <f>IFERROR(O921/N921,0)</f>
        <v/>
      </c>
      <c r="T921" t="n">
        <v>0</v>
      </c>
      <c r="V921" t="n">
        <v>0</v>
      </c>
    </row>
    <row r="922">
      <c r="A922">
        <f>Skills!A15</f>
        <v/>
      </c>
      <c r="B922">
        <f>Skills!B15</f>
        <v/>
      </c>
      <c r="C922">
        <f>Inputs!$B$3&gt;=115</f>
        <v/>
      </c>
      <c r="D922">
        <f>IF(Skills!C15=1,60+Inputs!$B$25+Inputs!$B$29,IF(Skills!C15=2,90+Inputs!$B$26+Inputs!$B$29,IF(Skills!C15=3,120+Inputs!$B$27+Inputs!$B$29,MAX(0,(Inputs!$B$3-100)*3)+Inputs!$B$28+Inputs!$B$29)))</f>
        <v/>
      </c>
      <c r="E922">
        <f>INDEX(FactorTable!$B$2:$Y$301, MATCH(ROUND(MIN(300,MAX(1,D922)),0), FactorTable!$A$2:$A$301,0), Skills!M15+1)</f>
        <v/>
      </c>
      <c r="F922">
        <f>IF(Skills!N15=TRUE,(Skills!L15/10)*(E922/1000),Skills!L15/10)+Skills!O15</f>
        <v/>
      </c>
      <c r="G922">
        <f>Skills!G15*IF(Skills!H15&gt;0,Skills!I15/Skills!H15,1)</f>
        <v/>
      </c>
      <c r="H922">
        <f>1-(1-Skills!J15/100)^Skills!K15</f>
        <v/>
      </c>
      <c r="I922" t="inlineStr">
        <is>
          <t>1</t>
        </is>
      </c>
      <c r="J922" t="inlineStr"/>
      <c r="K922" t="inlineStr"/>
      <c r="L922" t="inlineStr"/>
      <c r="M922" t="inlineStr"/>
      <c r="N922" t="inlineStr"/>
      <c r="O922">
        <f>(1-Summary!$B$11)*T922+Summary!$B$11*V922</f>
        <v/>
      </c>
      <c r="P922">
        <f>IF(B942=0,0,O922/B942)</f>
        <v/>
      </c>
      <c r="Q922" t="n">
        <v>0</v>
      </c>
      <c r="R922" t="n">
        <v>0</v>
      </c>
      <c r="S922">
        <f>IFERROR(O922/N922,0)</f>
        <v/>
      </c>
      <c r="T922" t="n">
        <v>0</v>
      </c>
      <c r="V922" t="n">
        <v>0</v>
      </c>
    </row>
    <row r="923">
      <c r="A923">
        <f>Skills!A16</f>
        <v/>
      </c>
      <c r="B923">
        <f>Skills!B16</f>
        <v/>
      </c>
      <c r="C923">
        <f>Inputs!$B$3&gt;=15</f>
        <v/>
      </c>
      <c r="D923">
        <f>IF(Skills!C16=1,60+Inputs!$B$25+Inputs!$B$29,IF(Skills!C16=2,90+Inputs!$B$26+Inputs!$B$29,IF(Skills!C16=3,120+Inputs!$B$27+Inputs!$B$29,MAX(0,(Inputs!$B$3-100)*3)+Inputs!$B$28+Inputs!$B$29)))</f>
        <v/>
      </c>
      <c r="E923">
        <f>INDEX(FactorTable!$B$2:$Y$301, MATCH(ROUND(MIN(300,MAX(1,D923)),0), FactorTable!$A$2:$A$301,0), Skills!M16+1)</f>
        <v/>
      </c>
      <c r="F923">
        <f>IF(Skills!N16=TRUE,(Skills!L16/10)*(E923/1000),Skills!L16/10)+Skills!O16</f>
        <v/>
      </c>
      <c r="G923">
        <f>Skills!G16*IF(Skills!H16&gt;0,Skills!I16/Skills!H16,1)</f>
        <v/>
      </c>
      <c r="H923">
        <f>1-(1-Skills!J16/100)^Skills!K16</f>
        <v/>
      </c>
      <c r="I923" t="inlineStr">
        <is>
          <t>1</t>
        </is>
      </c>
      <c r="J923" t="inlineStr"/>
      <c r="K923" t="inlineStr"/>
      <c r="L923" t="inlineStr"/>
      <c r="M923" t="inlineStr"/>
      <c r="N923" t="inlineStr"/>
      <c r="O923">
        <f>(1-Summary!$B$11)*T923+Summary!$B$11*V923</f>
        <v/>
      </c>
      <c r="P923">
        <f>IF(B942=0,0,O923/B942)</f>
        <v/>
      </c>
      <c r="Q923" t="n">
        <v>0</v>
      </c>
      <c r="R923" t="n">
        <v>0</v>
      </c>
      <c r="S923">
        <f>IFERROR(O923/N923,0)</f>
        <v/>
      </c>
      <c r="T923" t="n">
        <v>0</v>
      </c>
      <c r="V923" t="n">
        <v>0</v>
      </c>
    </row>
    <row r="924">
      <c r="A924">
        <f>Skills!A17</f>
        <v/>
      </c>
      <c r="B924">
        <f>Skills!B17</f>
        <v/>
      </c>
      <c r="C924">
        <f>Inputs!$B$3&gt;=10</f>
        <v/>
      </c>
      <c r="D924">
        <f>IF(Skills!C17=1,60+Inputs!$B$25+Inputs!$B$29,IF(Skills!C17=2,90+Inputs!$B$26+Inputs!$B$29,IF(Skills!C17=3,120+Inputs!$B$27+Inputs!$B$29,MAX(0,(Inputs!$B$3-100)*3)+Inputs!$B$28+Inputs!$B$29)))</f>
        <v/>
      </c>
      <c r="E924">
        <f>INDEX(FactorTable!$B$2:$Y$301, MATCH(ROUND(MIN(300,MAX(1,D924)),0), FactorTable!$A$2:$A$301,0), Skills!M17+1)</f>
        <v/>
      </c>
      <c r="F924">
        <f>IF(Skills!N17=TRUE,(Skills!L17/10)*(E924/1000),Skills!L17/10)+Skills!O17</f>
        <v/>
      </c>
      <c r="G924">
        <f>Skills!G17*IF(Skills!H17&gt;0,Skills!I17/Skills!H17,1)</f>
        <v/>
      </c>
      <c r="H924">
        <f>1-(1-Skills!J17/100)^Skills!K17</f>
        <v/>
      </c>
      <c r="I924" t="inlineStr">
        <is>
          <t>1</t>
        </is>
      </c>
      <c r="J924" t="inlineStr"/>
      <c r="K924" t="inlineStr"/>
      <c r="L924" t="inlineStr"/>
      <c r="M924" t="inlineStr"/>
      <c r="N924" t="inlineStr"/>
      <c r="O924">
        <f>(1-Summary!$B$11)*T924+Summary!$B$11*V924</f>
        <v/>
      </c>
      <c r="P924">
        <f>IF(B942=0,0,O924/B942)</f>
        <v/>
      </c>
      <c r="Q924" t="n">
        <v>0</v>
      </c>
      <c r="R924" t="n">
        <v>0</v>
      </c>
      <c r="S924">
        <f>IFERROR(O924/N924,0)</f>
        <v/>
      </c>
      <c r="T924" t="n">
        <v>0</v>
      </c>
      <c r="V924" t="n">
        <v>0</v>
      </c>
    </row>
    <row r="925">
      <c r="A925">
        <f>Skills!A18</f>
        <v/>
      </c>
      <c r="B925">
        <f>Skills!B18</f>
        <v/>
      </c>
      <c r="C925">
        <f>Inputs!$B$3&gt;=33</f>
        <v/>
      </c>
      <c r="D925">
        <f>IF(Skills!C18=1,60+Inputs!$B$25+Inputs!$B$29,IF(Skills!C18=2,90+Inputs!$B$26+Inputs!$B$29,IF(Skills!C18=3,120+Inputs!$B$27+Inputs!$B$29,MAX(0,(Inputs!$B$3-100)*3)+Inputs!$B$28+Inputs!$B$29)))</f>
        <v/>
      </c>
      <c r="E925">
        <f>INDEX(FactorTable!$B$2:$Y$301, MATCH(ROUND(MIN(300,MAX(1,D925)),0), FactorTable!$A$2:$A$301,0), Skills!M18+1)</f>
        <v/>
      </c>
      <c r="F925">
        <f>IF(Skills!N18=TRUE,(Skills!L18/10)*(E925/1000),Skills!L18/10)+Skills!O18</f>
        <v/>
      </c>
      <c r="G925">
        <f>Skills!G18*IF(Skills!H18&gt;0,Skills!I18/Skills!H18,1)</f>
        <v/>
      </c>
      <c r="H925">
        <f>1-(1-Skills!J18/100)^Skills!K18</f>
        <v/>
      </c>
      <c r="I925" t="inlineStr">
        <is>
          <t>1</t>
        </is>
      </c>
      <c r="J925" t="inlineStr"/>
      <c r="K925" t="inlineStr"/>
      <c r="L925" t="inlineStr"/>
      <c r="M925" t="inlineStr"/>
      <c r="N925" t="inlineStr"/>
      <c r="O925">
        <f>(1-Summary!$B$11)*T925+Summary!$B$11*V925</f>
        <v/>
      </c>
      <c r="P925">
        <f>IF(B942=0,0,O925/B942)</f>
        <v/>
      </c>
      <c r="Q925" t="n">
        <v>0</v>
      </c>
      <c r="R925" t="n">
        <v>0</v>
      </c>
      <c r="S925">
        <f>IFERROR(O925/N925,0)</f>
        <v/>
      </c>
      <c r="T925" t="n">
        <v>0</v>
      </c>
      <c r="V925" t="n">
        <v>0</v>
      </c>
    </row>
    <row r="926">
      <c r="A926">
        <f>Skills!A19</f>
        <v/>
      </c>
      <c r="B926">
        <f>Skills!B19</f>
        <v/>
      </c>
      <c r="C926">
        <f>Inputs!$B$3&gt;=40</f>
        <v/>
      </c>
      <c r="D926">
        <f>IF(Skills!C19=1,60+Inputs!$B$25+Inputs!$B$29,IF(Skills!C19=2,90+Inputs!$B$26+Inputs!$B$29,IF(Skills!C19=3,120+Inputs!$B$27+Inputs!$B$29,MAX(0,(Inputs!$B$3-100)*3)+Inputs!$B$28+Inputs!$B$29)))</f>
        <v/>
      </c>
      <c r="E926">
        <f>INDEX(FactorTable!$B$2:$Y$301, MATCH(ROUND(MIN(300,MAX(1,D926)),0), FactorTable!$A$2:$A$301,0), Skills!M19+1)</f>
        <v/>
      </c>
      <c r="F926">
        <f>IF(Skills!N19=TRUE,(Skills!L19/10)*(E926/1000),Skills!L19/10)+Skills!O19</f>
        <v/>
      </c>
      <c r="G926">
        <f>Skills!G19*IF(Skills!H19&gt;0,Skills!I19/Skills!H19,1)</f>
        <v/>
      </c>
      <c r="H926">
        <f>1-(1-Skills!J19/100)^Skills!K19</f>
        <v/>
      </c>
      <c r="I926" t="inlineStr">
        <is>
          <t>1</t>
        </is>
      </c>
      <c r="J926" t="inlineStr"/>
      <c r="K926" t="inlineStr"/>
      <c r="L926" t="inlineStr"/>
      <c r="M926" t="inlineStr"/>
      <c r="N926" t="inlineStr"/>
      <c r="O926">
        <f>(1-Summary!$B$11)*T926+Summary!$B$11*V926</f>
        <v/>
      </c>
      <c r="P926">
        <f>IF(B942=0,0,O926/B942)</f>
        <v/>
      </c>
      <c r="Q926" t="n">
        <v>0</v>
      </c>
      <c r="R926" t="n">
        <v>0</v>
      </c>
      <c r="S926">
        <f>IFERROR(O926/N926,0)</f>
        <v/>
      </c>
      <c r="T926" t="n">
        <v>0</v>
      </c>
      <c r="V926" t="n">
        <v>0</v>
      </c>
    </row>
    <row r="927">
      <c r="A927">
        <f>Skills!A20</f>
        <v/>
      </c>
      <c r="B927">
        <f>Skills!B20</f>
        <v/>
      </c>
      <c r="C927">
        <f>Inputs!$B$3&gt;=43</f>
        <v/>
      </c>
      <c r="D927">
        <f>IF(Skills!C20=1,60+Inputs!$B$25+Inputs!$B$29,IF(Skills!C20=2,90+Inputs!$B$26+Inputs!$B$29,IF(Skills!C20=3,120+Inputs!$B$27+Inputs!$B$29,MAX(0,(Inputs!$B$3-100)*3)+Inputs!$B$28+Inputs!$B$29)))</f>
        <v/>
      </c>
      <c r="E927">
        <f>INDEX(FactorTable!$B$2:$Y$301, MATCH(ROUND(MIN(300,MAX(1,D927)),0), FactorTable!$A$2:$A$301,0), Skills!M20+1)</f>
        <v/>
      </c>
      <c r="F927">
        <f>IF(Skills!N20=TRUE,(Skills!L20/10)*(E927/1000),Skills!L20/10)+Skills!O20</f>
        <v/>
      </c>
      <c r="G927">
        <f>Skills!G20*IF(Skills!H20&gt;0,Skills!I20/Skills!H20,1)</f>
        <v/>
      </c>
      <c r="H927">
        <f>1-(1-Skills!J20/100)^Skills!K20</f>
        <v/>
      </c>
      <c r="I927" t="inlineStr">
        <is>
          <t>1</t>
        </is>
      </c>
      <c r="J927" t="inlineStr"/>
      <c r="K927" t="inlineStr"/>
      <c r="L927" t="inlineStr"/>
      <c r="M927" t="inlineStr"/>
      <c r="N927" t="inlineStr"/>
      <c r="O927">
        <f>(1-Summary!$B$11)*T927+Summary!$B$11*V927</f>
        <v/>
      </c>
      <c r="P927">
        <f>IF(B942=0,0,O927/B942)</f>
        <v/>
      </c>
      <c r="Q927" t="n">
        <v>0</v>
      </c>
      <c r="R927" t="n">
        <v>0</v>
      </c>
      <c r="S927">
        <f>IFERROR(O927/N927,0)</f>
        <v/>
      </c>
      <c r="T927" t="n">
        <v>0</v>
      </c>
      <c r="V927" t="n">
        <v>0</v>
      </c>
    </row>
    <row r="928">
      <c r="A928">
        <f>Skills!A21</f>
        <v/>
      </c>
      <c r="B928">
        <f>Skills!B21</f>
        <v/>
      </c>
      <c r="C928">
        <f>Inputs!$B$3&gt;=38</f>
        <v/>
      </c>
      <c r="D928">
        <f>IF(Skills!C21=1,60+Inputs!$B$25+Inputs!$B$29,IF(Skills!C21=2,90+Inputs!$B$26+Inputs!$B$29,IF(Skills!C21=3,120+Inputs!$B$27+Inputs!$B$29,MAX(0,(Inputs!$B$3-100)*3)+Inputs!$B$28+Inputs!$B$29)))</f>
        <v/>
      </c>
      <c r="E928">
        <f>INDEX(FactorTable!$B$2:$Y$301, MATCH(ROUND(MIN(300,MAX(1,D928)),0), FactorTable!$A$2:$A$301,0), Skills!M21+1)</f>
        <v/>
      </c>
      <c r="F928">
        <f>IF(Skills!N21=TRUE,(Skills!L21/10)*(E928/1000),Skills!L21/10)+Skills!O21</f>
        <v/>
      </c>
      <c r="G928">
        <f>Skills!G21*IF(Skills!H21&gt;0,Skills!I21/Skills!H21,1)</f>
        <v/>
      </c>
      <c r="H928">
        <f>1-(1-Skills!J21/100)^Skills!K21</f>
        <v/>
      </c>
      <c r="I928" t="inlineStr">
        <is>
          <t>1</t>
        </is>
      </c>
      <c r="J928" t="inlineStr"/>
      <c r="K928" t="inlineStr"/>
      <c r="L928" t="inlineStr"/>
      <c r="M928" t="inlineStr"/>
      <c r="N928" t="inlineStr"/>
      <c r="O928">
        <f>(1-Summary!$B$11)*T928+Summary!$B$11*V928</f>
        <v/>
      </c>
      <c r="P928">
        <f>IF(B942=0,0,O928/B942)</f>
        <v/>
      </c>
      <c r="Q928" t="n">
        <v>0</v>
      </c>
      <c r="R928" t="n">
        <v>0</v>
      </c>
      <c r="S928">
        <f>IFERROR(O928/N928,0)</f>
        <v/>
      </c>
      <c r="T928" t="n">
        <v>0</v>
      </c>
      <c r="V928" t="n">
        <v>0</v>
      </c>
    </row>
    <row r="929">
      <c r="A929">
        <f>Skills!A22</f>
        <v/>
      </c>
      <c r="B929">
        <f>Skills!B22</f>
        <v/>
      </c>
      <c r="C929">
        <f>Inputs!$B$3&gt;=75</f>
        <v/>
      </c>
      <c r="D929">
        <f>IF(Skills!C22=1,60+Inputs!$B$25+Inputs!$B$29,IF(Skills!C22=2,90+Inputs!$B$26+Inputs!$B$29,IF(Skills!C22=3,120+Inputs!$B$27+Inputs!$B$29,MAX(0,(Inputs!$B$3-100)*3)+Inputs!$B$28+Inputs!$B$29)))</f>
        <v/>
      </c>
      <c r="E929">
        <f>INDEX(FactorTable!$B$2:$Y$301, MATCH(ROUND(MIN(300,MAX(1,D929)),0), FactorTable!$A$2:$A$301,0), Skills!M22+1)</f>
        <v/>
      </c>
      <c r="F929">
        <f>IF(Skills!N22=TRUE,(Skills!L22/10)*(E929/1000),Skills!L22/10)+Skills!O22</f>
        <v/>
      </c>
      <c r="G929">
        <f>Skills!G22*IF(Skills!H22&gt;0,Skills!I22/Skills!H22,1)</f>
        <v/>
      </c>
      <c r="H929">
        <f>1-(1-Skills!J22/100)^Skills!K22</f>
        <v/>
      </c>
      <c r="I929" t="inlineStr">
        <is>
          <t>1</t>
        </is>
      </c>
      <c r="J929" t="inlineStr"/>
      <c r="K929" t="inlineStr"/>
      <c r="L929" t="inlineStr"/>
      <c r="M929" t="inlineStr"/>
      <c r="N929" t="inlineStr"/>
      <c r="O929">
        <f>(1-Summary!$B$11)*T929+Summary!$B$11*V929</f>
        <v/>
      </c>
      <c r="P929">
        <f>IF(B942=0,0,O929/B942)</f>
        <v/>
      </c>
      <c r="Q929" t="n">
        <v>0</v>
      </c>
      <c r="R929" t="n">
        <v>0</v>
      </c>
      <c r="S929">
        <f>IFERROR(O929/N929,0)</f>
        <v/>
      </c>
      <c r="T929" t="n">
        <v>0</v>
      </c>
      <c r="V929" t="n">
        <v>0</v>
      </c>
    </row>
    <row r="931">
      <c r="A931" t="inlineStr">
        <is>
          <t>Attack% Bucket Multiplier</t>
        </is>
      </c>
      <c r="B931">
        <f>(1+(((C920=TRUE)*F920)+((C926=TRUE)*(F926-Calc!F19))+(IF(ArtifactsInput!$M$21,CHOOSE(ArtifactsInput!$N$21+1,25,30,35,40,45,50)*(IF(OR(Inputs!$B$4="Chapter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32">
      <c r="A932" t="inlineStr">
        <is>
          <t>Global Crit Rate Bonus %</t>
        </is>
      </c>
      <c r="B932" t="n">
        <v>0</v>
      </c>
    </row>
    <row r="933">
      <c r="A933" t="inlineStr">
        <is>
          <t>Attack Speed Buff Bonus % (unused)</t>
        </is>
      </c>
      <c r="B933" t="n">
        <v>0</v>
      </c>
    </row>
    <row r="934">
      <c r="A934" t="inlineStr">
        <is>
          <t>Actions Per Second</t>
        </is>
      </c>
      <c r="B934">
        <f>1+MIN(150,150*(1-(1-(Inputs!$B$11+((C924=TRUE)*(F924-Calc!F17))+((C925=TRUE)*(F925-Calc!F18)))/150)*(1-B933/150)))/100</f>
        <v/>
      </c>
    </row>
    <row r="935">
      <c r="A935" t="inlineStr">
        <is>
          <t>Skill + Buff Cast Rate</t>
        </is>
      </c>
      <c r="B935">
        <f>IF(AND(Inputs!$B$38&lt;&gt;"pvp",Inputs!$B$43&gt;0),SUMPRODUCT((Skills!E2:E22=TRUE)*(C909:C929=TRUE)*R909:R929*Skills!F2:F22)/Inputs!$B$43,SUMPRODUCT((Skills!E2:E22=TRUE)*(C909:C929=TRUE)*Q909:Q929*Skills!F2:F22))</f>
        <v/>
      </c>
    </row>
    <row r="936">
      <c r="A936" t="inlineStr">
        <is>
          <t>Hook Bomber Casts Per Second</t>
        </is>
      </c>
      <c r="B936">
        <f>MAX(0,B934-B935)</f>
        <v/>
      </c>
    </row>
    <row r="937">
      <c r="A937" t="inlineStr">
        <is>
          <t>Global Critical Damage Bonus % (unused)</t>
        </is>
      </c>
      <c r="B937" t="n">
        <v>0</v>
      </c>
    </row>
    <row r="938">
      <c r="A938" t="inlineStr">
        <is>
          <t>Global Final Damage Bonus % (Serpent Scale + Crossbones + Time Leap + Speed Infusion)</t>
        </is>
      </c>
      <c r="B938">
        <f>((C912=TRUE)*F912*((10+IF(Inputs!$B$3&gt;=94,5,0))/((10+IF(Inputs!$B$3&gt;=94,5,0))+5/(B936*(1+IF(Inputs!$B$3&gt;=104,1,0))))))+((C921=TRUE)*F921)+((C922=TRUE)*F922)+((Inputs!$B$3&gt;=110)*20*(B934-1))</f>
        <v/>
      </c>
    </row>
    <row r="939">
      <c r="A939" t="inlineStr">
        <is>
          <t>Buff-Casting Startup Delay (s, fixed-duration only)</t>
        </is>
      </c>
      <c r="B939">
        <f>IF(AND(Inputs!$B$38&lt;&gt;"pvp",Inputs!$B$43&gt;0),SUMPRODUCT((Skills!T2:T22&gt;0)*(Skills!E2:E22=TRUE)*(C909:C929=TRUE))/B934,0)</f>
        <v/>
      </c>
    </row>
    <row r="940">
      <c r="A940" t="inlineStr">
        <is>
          <t>Boss-Only Total DPS (this block's swept value)</t>
        </is>
      </c>
      <c r="B940">
        <f>SUM(T909:T929)</f>
        <v/>
      </c>
    </row>
    <row r="941">
      <c r="A941" t="inlineStr">
        <is>
          <t>Normal-Only Total DPS (this block's swept value)</t>
        </is>
      </c>
      <c r="B941">
        <f>SUM(V909:V929)</f>
        <v/>
      </c>
    </row>
    <row r="942">
      <c r="A942" s="6" t="inlineStr">
        <is>
          <t>TOTAL DPS</t>
        </is>
      </c>
      <c r="B942" s="6">
        <f>SUM(O909:O929)</f>
        <v/>
      </c>
    </row>
    <row r="945">
      <c r="A945" s="6" t="inlineStr">
        <is>
          <t>Stat: Skill Cooldown Decrease (seconds)</t>
        </is>
      </c>
    </row>
    <row r="946">
      <c r="A946" s="5" t="inlineStr">
        <is>
          <t>Key</t>
        </is>
      </c>
      <c r="B946" s="5" t="inlineStr">
        <is>
          <t>Name</t>
        </is>
      </c>
      <c r="C946" s="5" t="inlineStr">
        <is>
          <t>Unlocked</t>
        </is>
      </c>
      <c r="D946" s="5" t="inlineStr">
        <is>
          <t>InputLevel</t>
        </is>
      </c>
      <c r="E946" s="5" t="inlineStr">
        <is>
          <t>Factor</t>
        </is>
      </c>
      <c r="F946" s="5" t="inlineStr">
        <is>
          <t>CoefficientPercent</t>
        </is>
      </c>
      <c r="G946" s="5" t="inlineStr">
        <is>
          <t>EffectiveHits</t>
        </is>
      </c>
      <c r="H946" s="5" t="inlineStr">
        <is>
          <t>ProcProbability</t>
        </is>
      </c>
      <c r="I946" s="5" t="inlineStr">
        <is>
          <t>MapleHeroMultiplier</t>
        </is>
      </c>
      <c r="J946" s="5" t="inlineStr">
        <is>
          <t>BaseDamage</t>
        </is>
      </c>
      <c r="K946" s="5" t="inlineStr">
        <is>
          <t>BaseHitDamage</t>
        </is>
      </c>
      <c r="L946" s="5" t="inlineStr">
        <is>
          <t>NonCritAvg</t>
        </is>
      </c>
      <c r="M946" s="5" t="inlineStr">
        <is>
          <t>CritAvg</t>
        </is>
      </c>
      <c r="N946" s="5" t="inlineStr">
        <is>
          <t>ExpectedDamage(perHit)</t>
        </is>
      </c>
      <c r="O946" s="5" t="inlineStr">
        <is>
          <t>DPS</t>
        </is>
      </c>
      <c r="P946" s="5" t="inlineStr">
        <is>
          <t>% of Total</t>
        </is>
      </c>
      <c r="Q946" s="5" t="inlineStr">
        <is>
          <t>InvCooldown</t>
        </is>
      </c>
      <c r="R946" s="5" t="inlineStr">
        <is>
          <t>CastsInFight</t>
        </is>
      </c>
      <c r="S946" s="5" t="inlineStr">
        <is>
          <t>HitRate(perSec)</t>
        </is>
      </c>
      <c r="U946" t="inlineStr">
        <is>
          <t>helpers</t>
        </is>
      </c>
    </row>
    <row r="947">
      <c r="A947">
        <f>Skills!A2</f>
        <v/>
      </c>
      <c r="B947">
        <f>Skills!B2</f>
        <v/>
      </c>
      <c r="C947">
        <f>Inputs!$B$3&gt;=100</f>
        <v/>
      </c>
      <c r="D947" t="inlineStr"/>
      <c r="E947" t="inlineStr"/>
      <c r="F947">
        <f>U949+Skills!O2</f>
        <v/>
      </c>
      <c r="G947">
        <f>Skills!G2*IF(Skills!H2&gt;0,Skills!I2/Skills!H2,1)</f>
        <v/>
      </c>
      <c r="H947">
        <f>1-(1-Skills!J2/100)^Skills!K2</f>
        <v/>
      </c>
      <c r="I947" t="inlineStr">
        <is>
          <t>1</t>
        </is>
      </c>
      <c r="J947">
        <f>((Inputs!$B$6*(1+Inputs!$B$7/100))+(((Inputs!$B$12*(1+Inputs!$B$13/100))-(Inputs!$B$12*(1+Inputs!$B$13/100)))+0.25*(Inputs!$B$14-Inputs!$B$14))*(1+Inputs!$B$7/100))*(F947/100)</f>
        <v/>
      </c>
      <c r="K947">
        <f>J947*(1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947)</f>
        <v/>
      </c>
      <c r="L947">
        <f>K947*(MIN(Inputs!$B$22+((C965=TRUE)*(F965-Calc!F20)),(Inputs!$B$23+0+(IF(ArtifactsInput!$M$15,CHOOSE(ArtifactsInput!$N$15+1,25,30,35,40,45,50)/100*(Inputs!$B$11-Inputs!$B$11),0))))/100+(Inputs!$B$23+0+(IF(ArtifactsInput!$M$15,CHOOSE(ArtifactsInput!$N$15+1,25,30,35,40,45,50)/100*(Inputs!$B$11-Inputs!$B$11),0)))/100)/2</f>
        <v/>
      </c>
      <c r="M947">
        <f>L947*(1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7">
        <f>L947*(1-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947*(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7">
        <f>(1-Summary!$B$11)*T947+Summary!$B$11*V947</f>
        <v/>
      </c>
      <c r="P947">
        <f>IF(B980=0,0,O947/B980)</f>
        <v/>
      </c>
      <c r="Q947" t="n">
        <v>0</v>
      </c>
      <c r="R947" t="n">
        <v>0</v>
      </c>
      <c r="S947">
        <f>IFERROR(O947/N947,0)</f>
        <v/>
      </c>
      <c r="T947">
        <f>IF(C947,(Skills!G2*N947*B974)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947*(1-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947*(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947*(1-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947*(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7">
        <f>MAX(0,(Inputs!$B$3-100)*3)+Inputs!$B$28+Inputs!$B$29</f>
        <v/>
      </c>
      <c r="V947">
        <f>IF(C947,(Skills!G2*N947*B974)*IF(Inputs!$B$38="pvp",1,(1+(Inputs!$B$21+Skills!Q2+(IF(ArtifactsInput!$M$33,CHOOSE(ArtifactsInput!$N$33+1,30,36,42,48,54,60),0))+(IF(AND(ArtifactsInput!$M$35,Inputs!$B$4&lt;&gt;"Chapter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8">
      <c r="A948">
        <f>Skills!A3</f>
        <v/>
      </c>
      <c r="B948">
        <f>Skills!B3</f>
        <v/>
      </c>
      <c r="C948">
        <f>Inputs!$B$3&gt;=35</f>
        <v/>
      </c>
      <c r="D948">
        <f>IF(Skills!C3=1,60+Inputs!$B$25+Inputs!$B$29,IF(Skills!C3=2,90+Inputs!$B$26+Inputs!$B$29,IF(Skills!C3=3,120+Inputs!$B$27+Inputs!$B$29,MAX(0,(Inputs!$B$3-100)*3)+Inputs!$B$28+Inputs!$B$29)))</f>
        <v/>
      </c>
      <c r="E948">
        <f>INDEX(FactorTable!$B$2:$Y$301, MATCH(ROUND(MIN(300,MAX(1,D948)),0), FactorTable!$A$2:$A$301,0), Skills!M3+1)</f>
        <v/>
      </c>
      <c r="F948">
        <f>IF(Skills!N3=TRUE,(Skills!L3/10)*(E948/1000),Skills!L3/10)+Skills!O3</f>
        <v/>
      </c>
      <c r="G948">
        <f>Skills!G3*IF(Skills!H3&gt;0,Skills!I3/Skills!H3,1)</f>
        <v/>
      </c>
      <c r="H948">
        <f>1-(1-Skills!J3/100)^Skills!K3</f>
        <v/>
      </c>
      <c r="I948" t="inlineStr">
        <is>
          <t>1</t>
        </is>
      </c>
      <c r="J948">
        <f>((Inputs!$B$6*(1+Inputs!$B$7/100))+(((Inputs!$B$12*(1+Inputs!$B$13/100))-(Inputs!$B$12*(1+Inputs!$B$13/100)))+0.25*(Inputs!$B$14-Inputs!$B$14))*(1+Inputs!$B$7/100))*(F948/100)</f>
        <v/>
      </c>
      <c r="K948">
        <f>J948*(1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948)</f>
        <v/>
      </c>
      <c r="L948">
        <f>K948*(MIN(Inputs!$B$22+((C965=TRUE)*(F965-Calc!F20)),(Inputs!$B$23+0+(IF(ArtifactsInput!$M$15,CHOOSE(ArtifactsInput!$N$15+1,25,30,35,40,45,50)/100*(Inputs!$B$11-Inputs!$B$11),0))))/100+(Inputs!$B$23+0+(IF(ArtifactsInput!$M$15,CHOOSE(ArtifactsInput!$N$15+1,25,30,35,40,45,50)/100*(Inputs!$B$11-Inputs!$B$11),0)))/100)/2</f>
        <v/>
      </c>
      <c r="M948">
        <f>L948*(1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8">
        <f>L948*(1-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948*(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8">
        <f>(1-Summary!$B$11)*T948+Summary!$B$11*V948</f>
        <v/>
      </c>
      <c r="P948">
        <f>IF(B980=0,0,O948/B980)</f>
        <v/>
      </c>
      <c r="Q948" t="n">
        <v>0</v>
      </c>
      <c r="R948" t="n">
        <v>0</v>
      </c>
      <c r="S948">
        <f>IFERROR(O948/N948,0)</f>
        <v/>
      </c>
      <c r="T948">
        <f>IF(C948,(Skills!G3*H948*N948*B974)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948*(1-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948*(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948*(1-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948*(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8">
        <f>INDEX(FactorTable!$B$2:$Y$301, MATCH(ROUND(MIN(300,MAX(1,U947)),0), FactorTable!$A$2:$A$301,0), 22)</f>
        <v/>
      </c>
      <c r="V948">
        <f>IF(C948,(Skills!G3*H948*N948*B974)*IF(Inputs!$B$38="pvp",1,(1+(Inputs!$B$21+Skills!Q3+(IF(ArtifactsInput!$M$33,CHOOSE(ArtifactsInput!$N$33+1,30,36,42,48,54,60),0))+(IF(AND(ArtifactsInput!$M$35,Inputs!$B$4&lt;&gt;"Chapter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9">
      <c r="A949">
        <f>Skills!A4</f>
        <v/>
      </c>
      <c r="B949">
        <f>Skills!B4</f>
        <v/>
      </c>
      <c r="C949">
        <f>Inputs!$B$3&gt;=60</f>
        <v/>
      </c>
      <c r="D949">
        <f>IF(Skills!C4=1,60+Inputs!$B$25+Inputs!$B$29,IF(Skills!C4=2,90+Inputs!$B$26+Inputs!$B$29,IF(Skills!C4=3,120+Inputs!$B$27+Inputs!$B$29,MAX(0,(Inputs!$B$3-100)*3)+Inputs!$B$28+Inputs!$B$29)))</f>
        <v/>
      </c>
      <c r="E949">
        <f>INDEX(FactorTable!$B$2:$Y$301, MATCH(ROUND(MIN(300,MAX(1,D949)),0), FactorTable!$A$2:$A$301,0), Skills!M4+1)</f>
        <v/>
      </c>
      <c r="F949">
        <f>IF(Skills!N4=TRUE,(Skills!L4/10)*(E949/1000),Skills!L4/10)+Skills!O4</f>
        <v/>
      </c>
      <c r="G949">
        <f>Skills!G4*IF(Skills!H4&gt;0,Skills!I4/Skills!H4,1)</f>
        <v/>
      </c>
      <c r="H949">
        <f>1-(1-Skills!J4/100)^Skills!K4</f>
        <v/>
      </c>
      <c r="I949" t="inlineStr">
        <is>
          <t>1</t>
        </is>
      </c>
      <c r="J949">
        <f>((Inputs!$B$6*(1+Inputs!$B$7/100))+(((Inputs!$B$12*(1+Inputs!$B$13/100))-(Inputs!$B$12*(1+Inputs!$B$13/100)))+0.25*(Inputs!$B$14-Inputs!$B$14))*(1+Inputs!$B$7/100))*(F949/100)</f>
        <v/>
      </c>
      <c r="K949">
        <f>J949*(1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957=TRUE,F957,0)/100)*(1+(IF(Skills!A4="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949)</f>
        <v/>
      </c>
      <c r="L949">
        <f>K949*(MIN(Inputs!$B$22+((C965=TRUE)*(F965-Calc!F20)),(Inputs!$B$23+0+(IF(ArtifactsInput!$M$15,CHOOSE(ArtifactsInput!$N$15+1,25,30,35,40,45,50)/100*(Inputs!$B$11-Inputs!$B$11),0))))/100+(Inputs!$B$23+0+(IF(ArtifactsInput!$M$15,CHOOSE(ArtifactsInput!$N$15+1,25,30,35,40,45,50)/100*(Inputs!$B$11-Inputs!$B$11),0)))/100)/2</f>
        <v/>
      </c>
      <c r="M949">
        <f>L949*(1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9">
        <f>L949*(1-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949*(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9">
        <f>(1-Summary!$B$11)*T949+Summary!$B$11*V949</f>
        <v/>
      </c>
      <c r="P949">
        <f>IF(B980=0,0,O949/B980)</f>
        <v/>
      </c>
      <c r="Q949" t="n">
        <v>0</v>
      </c>
      <c r="R949" t="n">
        <v>0</v>
      </c>
      <c r="S949">
        <f>IFERROR(O949/N949,0)</f>
        <v/>
      </c>
      <c r="T949">
        <f>IF(C949,(Skills!G4*H949*N949*B974)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949*(1-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949*(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949*(1-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949*(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9">
        <f>290*U948/1000</f>
        <v/>
      </c>
      <c r="V949">
        <f>IF(C949,(Skills!G4*H949*N949*B974)*IF(Inputs!$B$38="pvp",1,(1+(Inputs!$B$21+Skills!Q4+(IF(ArtifactsInput!$M$33,CHOOSE(ArtifactsInput!$N$33+1,30,36,42,48,54,60),0))+(IF(AND(ArtifactsInput!$M$35,Inputs!$B$4&lt;&gt;"Chapter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0">
      <c r="A950">
        <f>Skills!A5</f>
        <v/>
      </c>
      <c r="B950">
        <f>Skills!B5</f>
        <v/>
      </c>
      <c r="C950">
        <f>Inputs!$B$3&gt;=60</f>
        <v/>
      </c>
      <c r="D950">
        <f>IF(Skills!C5=1,60+Inputs!$B$25+Inputs!$B$29,IF(Skills!C5=2,90+Inputs!$B$26+Inputs!$B$29,IF(Skills!C5=3,120+Inputs!$B$27+Inputs!$B$29,MAX(0,(Inputs!$B$3-100)*3)+Inputs!$B$28+Inputs!$B$29)))</f>
        <v/>
      </c>
      <c r="E950">
        <f>INDEX(FactorTable!$B$2:$Y$301, MATCH(ROUND(MIN(300,MAX(1,D950)),0), FactorTable!$A$2:$A$301,0), Skills!M5+1)</f>
        <v/>
      </c>
      <c r="F950">
        <f>IF(Skills!N5=TRUE,(Skills!L5/10)*(E950/1000),Skills!L5/10)+Skills!O5</f>
        <v/>
      </c>
      <c r="G950">
        <f>Skills!G5*IF(Skills!H5&gt;0,Skills!I5/Skills!H5,1)</f>
        <v/>
      </c>
      <c r="H950">
        <f>1-(1-Skills!J5/100)^Skills!K5</f>
        <v/>
      </c>
      <c r="I950" t="inlineStr">
        <is>
          <t>1</t>
        </is>
      </c>
      <c r="J950" t="inlineStr"/>
      <c r="K950" t="inlineStr"/>
      <c r="L950" t="inlineStr"/>
      <c r="M950" t="inlineStr"/>
      <c r="N950" t="inlineStr"/>
      <c r="O950">
        <f>(1-Summary!$B$11)*T950+Summary!$B$11*V950</f>
        <v/>
      </c>
      <c r="P950">
        <f>IF(B980=0,0,O950/B980)</f>
        <v/>
      </c>
      <c r="Q950" t="n">
        <v>0</v>
      </c>
      <c r="R950" t="n">
        <v>0</v>
      </c>
      <c r="S950">
        <f>IFERROR(O950/N950,0)</f>
        <v/>
      </c>
      <c r="T950" t="n">
        <v>0</v>
      </c>
      <c r="V950" t="n">
        <v>0</v>
      </c>
    </row>
    <row r="951">
      <c r="A951">
        <f>Skills!A6</f>
        <v/>
      </c>
      <c r="B951">
        <f>Skills!B6</f>
        <v/>
      </c>
      <c r="C951">
        <f>Inputs!$B$3&gt;=63</f>
        <v/>
      </c>
      <c r="D951">
        <f>IF(Skills!C6=1,60+Inputs!$B$25+Inputs!$B$29,IF(Skills!C6=2,90+Inputs!$B$26+Inputs!$B$29,IF(Skills!C6=3,120+Inputs!$B$27+Inputs!$B$29,MAX(0,(Inputs!$B$3-100)*3)+Inputs!$B$28+Inputs!$B$29)))</f>
        <v/>
      </c>
      <c r="E951">
        <f>INDEX(FactorTable!$B$2:$Y$301, MATCH(ROUND(MIN(300,MAX(1,D951)),0), FactorTable!$A$2:$A$301,0), Skills!M6+1)</f>
        <v/>
      </c>
      <c r="F951">
        <f>IF(Skills!N6=TRUE,(Skills!L6/10)*(E951/1000),Skills!L6/10)+Skills!O6</f>
        <v/>
      </c>
      <c r="G951">
        <f>Skills!G6*IF(Skills!H6&gt;0,Skills!I6/Skills!H6,1)</f>
        <v/>
      </c>
      <c r="H951">
        <f>1-(1-Skills!J6/100)^Skills!K6</f>
        <v/>
      </c>
      <c r="I951" t="inlineStr">
        <is>
          <t>1</t>
        </is>
      </c>
      <c r="J951">
        <f>((Inputs!$B$6*(1+Inputs!$B$7/100))+(((Inputs!$B$12*(1+Inputs!$B$13/100))-(Inputs!$B$12*(1+Inputs!$B$13/100)))+0.25*(Inputs!$B$14-Inputs!$B$14))*(1+Inputs!$B$7/100))*(F951/100)</f>
        <v/>
      </c>
      <c r="K951">
        <f>J951*(1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951)</f>
        <v/>
      </c>
      <c r="L951">
        <f>K951*(MIN(Inputs!$B$22+((C965=TRUE)*(F965-Calc!F20)),(Inputs!$B$23+0+(IF(ArtifactsInput!$M$15,CHOOSE(ArtifactsInput!$N$15+1,25,30,35,40,45,50)/100*(Inputs!$B$11-Inputs!$B$11),0))))/100+(Inputs!$B$23+0+(IF(ArtifactsInput!$M$15,CHOOSE(ArtifactsInput!$N$15+1,25,30,35,40,45,50)/100*(Inputs!$B$11-Inputs!$B$11),0)))/100)/2</f>
        <v/>
      </c>
      <c r="M951">
        <f>L951*(1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1">
        <f>L951*(1-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1">
        <f>(1-Summary!$B$11)*T951+Summary!$B$11*V951</f>
        <v/>
      </c>
      <c r="P951">
        <f>IF(B980=0,0,O951/B980)</f>
        <v/>
      </c>
      <c r="Q951">
        <f>IFERROR(1/(IF(Inputs!$B$38="pvp",15,MAX(0.1,Skills!D6-IF(Skills!E6=TRUE,(Inputs!$B$32+1),0)))*(1-IF(AND(ArtifactsInput!$M$27,Inputs!$B$4="Chapter Hunt"),CHOOSE(ArtifactsInput!$N$27+1,20,24,28,32,36,40),0)/100)),0)</f>
        <v/>
      </c>
      <c r="R951">
        <f>IF(AND(Inputs!$B$38&lt;&gt;"pvp",Inputs!$B$43&gt;0),IF(MAX(0,Inputs!$B$43-B977)&lt;=0,0,(INT(MAX(0,Inputs!$B$43-B977)/(IF(Inputs!$B$38="pvp",15,MAX(0.1,Skills!D6-IF(Skills!E6=TRUE,(Inputs!$B$32+1),0)))*(1-IF(AND(ArtifactsInput!$M$27,Inputs!$B$4="Chapter Hunt"),CHOOSE(ArtifactsInput!$N$27+1,20,24,28,32,36,40),0)/100)))+1)),0)</f>
        <v/>
      </c>
      <c r="S951">
        <f>IFERROR(O951/N951,0)</f>
        <v/>
      </c>
      <c r="T951">
        <f>IF(C951,(H951*N951*IF(AND(Inputs!$B$38&lt;&gt;"pvp",Inputs!$B$43&gt;0),((Skills!G6*((R951-1)*IF(Skills!H6&gt;0,Skills!I6/Skills!H6,1)+IF(Skills!H6&gt;0,MIN(Skills!I6,MAX(0,MAX(0,Inputs!$B$43-B977)-((R951-1)*(IF(Inputs!$B$38="pvp",15,MAX(0.1,Skills!D6-IF(Skills!E6=TRUE,(Inputs!$B$32+1),0)))*(1-IF(AND(ArtifactsInput!$M$27,Inputs!$B$4="Chapter Hunt"),CHOOSE(ArtifactsInput!$N$27+1,20,24,28,32,36,40),0)/100)))))/Skills!H6,1)))/Inputs!$B$43),G951*Q951)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951*(1-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951*(1-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1">
        <f>IF(C951,(H951*N951*IF(AND(Inputs!$B$38&lt;&gt;"pvp",Inputs!$B$43&gt;0),((Skills!G6*((R951-1)*IF(Skills!H6&gt;0,Skills!I6/Skills!H6,1)+IF(Skills!H6&gt;0,MIN(Skills!I6,MAX(0,MAX(0,Inputs!$B$43-B977)-((R951-1)*(IF(Inputs!$B$38="pvp",15,MAX(0.1,Skills!D6-IF(Skills!E6=TRUE,(Inputs!$B$32+1),0)))*(1-IF(AND(ArtifactsInput!$M$27,Inputs!$B$4="Chapter Hunt"),CHOOSE(ArtifactsInput!$N$27+1,20,24,28,32,36,40),0)/100)))))/Skills!H6,1)))/Inputs!$B$43),G951*Q951))*IF(Inputs!$B$38="pvp",1,(1+(Inputs!$B$21+Skills!Q6+(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2">
      <c r="A952">
        <f>Skills!A7</f>
        <v/>
      </c>
      <c r="B952">
        <f>Skills!B7</f>
        <v/>
      </c>
      <c r="C952">
        <f>Inputs!$B$3&gt;=100</f>
        <v/>
      </c>
      <c r="D952">
        <f>IF(Skills!C7=1,60+Inputs!$B$25+Inputs!$B$29,IF(Skills!C7=2,90+Inputs!$B$26+Inputs!$B$29,IF(Skills!C7=3,120+Inputs!$B$27+Inputs!$B$29,MAX(0,(Inputs!$B$3-100)*3)+Inputs!$B$28+Inputs!$B$29)))</f>
        <v/>
      </c>
      <c r="E952">
        <f>INDEX(FactorTable!$B$2:$Y$301, MATCH(ROUND(MIN(300,MAX(1,D952)),0), FactorTable!$A$2:$A$301,0), Skills!M7+1)</f>
        <v/>
      </c>
      <c r="F952">
        <f>IF(Skills!N7=TRUE,(Skills!L7/10)*(E952/1000),Skills!L7/10)+Skills!O7</f>
        <v/>
      </c>
      <c r="G952">
        <f>Skills!G7*IF(Skills!H7&gt;0,Skills!I7/Skills!H7,1)</f>
        <v/>
      </c>
      <c r="H952">
        <f>1-(1-Skills!J7/100)^Skills!K7</f>
        <v/>
      </c>
      <c r="I952" t="inlineStr">
        <is>
          <t>1</t>
        </is>
      </c>
      <c r="J952">
        <f>((Inputs!$B$6*(1+Inputs!$B$7/100))+(((Inputs!$B$12*(1+Inputs!$B$13/100))-(Inputs!$B$12*(1+Inputs!$B$13/100)))+0.25*(Inputs!$B$14-Inputs!$B$14))*(1+Inputs!$B$7/100))*(F952/100)</f>
        <v/>
      </c>
      <c r="K952">
        <f>J952*(1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
      </c>
      <c r="L952">
        <f>K952*(MIN(Inputs!$B$22+((C965=TRUE)*(F965-Calc!F20)),(Inputs!$B$23+0+(IF(ArtifactsInput!$M$15,CHOOSE(ArtifactsInput!$N$15+1,25,30,35,40,45,50)/100*(Inputs!$B$11-Inputs!$B$11),0))))/100+(Inputs!$B$23+0+(IF(ArtifactsInput!$M$15,CHOOSE(ArtifactsInput!$N$15+1,25,30,35,40,45,50)/100*(Inputs!$B$11-Inputs!$B$11),0)))/100)/2</f>
        <v/>
      </c>
      <c r="M952">
        <f>L952*(1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2">
        <f>L952*(1-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2">
        <f>(1-Summary!$B$11)*T952+Summary!$B$11*V952</f>
        <v/>
      </c>
      <c r="P952">
        <f>IF(B980=0,0,O952/B980)</f>
        <v/>
      </c>
      <c r="Q952">
        <f>IFERROR(1/(IF(Inputs!$B$38="pvp",15,MAX(0.1,Skills!D7-IF(Skills!E7=TRUE,(Inputs!$B$32+1),0)))*(1-IF(AND(ArtifactsInput!$M$27,Inputs!$B$4="Chapter Hunt"),CHOOSE(ArtifactsInput!$N$27+1,20,24,28,32,36,40),0)/100)),0)</f>
        <v/>
      </c>
      <c r="R952">
        <f>IF(AND(Inputs!$B$38&lt;&gt;"pvp",Inputs!$B$43&gt;0),IF(MAX(0,Inputs!$B$43-B977)&lt;=0,0,(INT(MAX(0,Inputs!$B$43-B977)/(IF(Inputs!$B$38="pvp",15,MAX(0.1,Skills!D7-IF(Skills!E7=TRUE,(Inputs!$B$32+1),0)))*(1-IF(AND(ArtifactsInput!$M$27,Inputs!$B$4="Chapter Hunt"),CHOOSE(ArtifactsInput!$N$27+1,20,24,28,32,36,40),0)/100)))+1)),0)</f>
        <v/>
      </c>
      <c r="S952">
        <f>IFERROR(O952/N952,0)</f>
        <v/>
      </c>
      <c r="T952">
        <f>IF(C952,(H952*N952*IF(AND(Inputs!$B$38&lt;&gt;"pvp",Inputs!$B$43&gt;0),((Skills!G7*((R952-1)*IF(Skills!H7&gt;0,Skills!I7/Skills!H7,1)+IF(Skills!H7&gt;0,MIN(Skills!I7,MAX(0,MAX(0,Inputs!$B$43-B977)-((R952-1)*(IF(Inputs!$B$38="pvp",15,MAX(0.1,Skills!D7-IF(Skills!E7=TRUE,(Inputs!$B$32+1),0)))*(1-IF(AND(ArtifactsInput!$M$27,Inputs!$B$4="Chapter Hunt"),CHOOSE(ArtifactsInput!$N$27+1,20,24,28,32,36,40),0)/100)))))/Skills!H7,1)))/Inputs!$B$43),G952*Q952)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952*(1-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2">
        <f>IF(C952,(H952*N952*IF(AND(Inputs!$B$38&lt;&gt;"pvp",Inputs!$B$43&gt;0),((Skills!G7*((R952-1)*IF(Skills!H7&gt;0,Skills!I7/Skills!H7,1)+IF(Skills!H7&gt;0,MIN(Skills!I7,MAX(0,MAX(0,Inputs!$B$43-B977)-((R952-1)*(IF(Inputs!$B$38="pvp",15,MAX(0.1,Skills!D7-IF(Skills!E7=TRUE,(Inputs!$B$32+1),0)))*(1-IF(AND(ArtifactsInput!$M$27,Inputs!$B$4="Chapter Hunt"),CHOOSE(ArtifactsInput!$N$27+1,20,24,28,32,36,40),0)/100)))))/Skills!H7,1)))/Inputs!$B$43),G952*Q952))*IF(Inputs!$B$38="pvp",1,(1+(Inputs!$B$21+Skills!Q7+(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3">
      <c r="A953">
        <f>Skills!A8</f>
        <v/>
      </c>
      <c r="B953">
        <f>Skills!B8</f>
        <v/>
      </c>
      <c r="C953">
        <f>Inputs!$B$3&gt;=110</f>
        <v/>
      </c>
      <c r="D953">
        <f>IF(Skills!C8=1,60+Inputs!$B$25+Inputs!$B$29,IF(Skills!C8=2,90+Inputs!$B$26+Inputs!$B$29,IF(Skills!C8=3,120+Inputs!$B$27+Inputs!$B$29,MAX(0,(Inputs!$B$3-100)*3)+Inputs!$B$28+Inputs!$B$29)))</f>
        <v/>
      </c>
      <c r="E953">
        <f>INDEX(FactorTable!$B$2:$Y$301, MATCH(ROUND(MIN(300,MAX(1,D953)),0), FactorTable!$A$2:$A$301,0), Skills!M8+1)</f>
        <v/>
      </c>
      <c r="F953">
        <f>IF(Skills!N8=TRUE,(Skills!L8/10)*(E953/1000),Skills!L8/10)+Skills!O8</f>
        <v/>
      </c>
      <c r="G953">
        <f>Skills!G8*IF(Skills!H8&gt;0,Skills!I8/Skills!H8,1)</f>
        <v/>
      </c>
      <c r="H953">
        <f>1-(1-Skills!J8/100)^Skills!K8</f>
        <v/>
      </c>
      <c r="I953" t="inlineStr">
        <is>
          <t>1</t>
        </is>
      </c>
      <c r="J953">
        <f>((Inputs!$B$6*(1+Inputs!$B$7/100))+(((Inputs!$B$12*(1+Inputs!$B$13/100))-(Inputs!$B$12*(1+Inputs!$B$13/100)))+0.25*(Inputs!$B$14-Inputs!$B$14))*(1+Inputs!$B$7/100))*(F953/100)</f>
        <v/>
      </c>
      <c r="K953">
        <f>J953*(1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C965=TRUE)*(F965-Calc!F20)),(Inputs!$B$23+0+(IF(ArtifactsInput!$M$15,CHOOSE(ArtifactsInput!$N$15+1,25,30,35,40,45,50)/100*(Inputs!$B$11-Inputs!$B$11),0))))/100+(Inputs!$B$23+0+(IF(ArtifactsInput!$M$15,CHOOSE(ArtifactsInput!$N$15+1,25,30,35,40,45,50)/100*(Inputs!$B$11-Inputs!$B$11),0)))/100)/2</f>
        <v/>
      </c>
      <c r="M953">
        <f>L953*(1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(1-Summary!$B$11)*T953+Summary!$B$11*V953</f>
        <v/>
      </c>
      <c r="P953">
        <f>IF(B980=0,0,O953/B980)</f>
        <v/>
      </c>
      <c r="Q953">
        <f>IFERROR(1/(IF(Inputs!$B$38="pvp",15,MAX(0.1,Skills!D8-IF(Skills!E8=TRUE,(Inputs!$B$32+1),0)))*(1-IF(AND(ArtifactsInput!$M$27,Inputs!$B$4="Chapter Hunt"),CHOOSE(ArtifactsInput!$N$27+1,20,24,28,32,36,40),0)/100)),0)</f>
        <v/>
      </c>
      <c r="R953">
        <f>IF(AND(Inputs!$B$38&lt;&gt;"pvp",Inputs!$B$43&gt;0),IF(MAX(0,Inputs!$B$43-B977)&lt;=0,0,(INT(MAX(0,Inputs!$B$43-B977)/(IF(Inputs!$B$38="pvp",15,MAX(0.1,Skills!D8-IF(Skills!E8=TRUE,(Inputs!$B$32+1),0)))*(1-IF(AND(ArtifactsInput!$M$27,Inputs!$B$4="Chapter Hunt"),CHOOSE(ArtifactsInput!$N$27+1,20,24,28,32,36,40),0)/100)))+1)),0)</f>
        <v/>
      </c>
      <c r="S953">
        <f>IFERROR(O953/N953,0)</f>
        <v/>
      </c>
      <c r="T953">
        <f>IF(C953,(H953*N953*IF(AND(Inputs!$B$38&lt;&gt;"pvp",Inputs!$B$43&gt;0),((Skills!G8*((R953-1)*IF(Skills!H8&gt;0,Skills!I8/Skills!H8,1)+IF(Skills!H8&gt;0,MIN(Skills!I8,MAX(0,MAX(0,Inputs!$B$43-B977)-((R953-1)*(IF(Inputs!$B$38="pvp",15,MAX(0.1,Skills!D8-IF(Skills!E8=TRUE,(Inputs!$B$32+1),0)))*(1-IF(AND(ArtifactsInput!$M$27,Inputs!$B$4="Chapter Hunt"),CHOOSE(ArtifactsInput!$N$27+1,20,24,28,32,36,40),0)/100)))))/Skills!H8,1)))/Inputs!$B$43),G953*Q953)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953*(1-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3">
        <f>IF(C953,(H953*N953*IF(AND(Inputs!$B$38&lt;&gt;"pvp",Inputs!$B$43&gt;0),((Skills!G8*((R953-1)*IF(Skills!H8&gt;0,Skills!I8/Skills!H8,1)+IF(Skills!H8&gt;0,MIN(Skills!I8,MAX(0,MAX(0,Inputs!$B$43-B977)-((R953-1)*(IF(Inputs!$B$38="pvp",15,MAX(0.1,Skills!D8-IF(Skills!E8=TRUE,(Inputs!$B$32+1),0)))*(1-IF(AND(ArtifactsInput!$M$27,Inputs!$B$4="Chapter Hunt"),CHOOSE(ArtifactsInput!$N$27+1,20,24,28,32,36,40),0)/100)))))/Skills!H8,1)))/Inputs!$B$43),G953*Q953))*IF(Inputs!$B$38="pvp",1,(1+(Inputs!$B$21+Skills!Q8+(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4">
      <c r="A954">
        <f>Skills!A9</f>
        <v/>
      </c>
      <c r="B954">
        <f>Skills!B9</f>
        <v/>
      </c>
      <c r="C954">
        <f>Inputs!$B$3&gt;=110</f>
        <v/>
      </c>
      <c r="D954">
        <f>IF(Skills!C9=1,60+Inputs!$B$25+Inputs!$B$29,IF(Skills!C9=2,90+Inputs!$B$26+Inputs!$B$29,IF(Skills!C9=3,120+Inputs!$B$27+Inputs!$B$29,MAX(0,(Inputs!$B$3-100)*3)+Inputs!$B$28+Inputs!$B$29)))</f>
        <v/>
      </c>
      <c r="E954">
        <f>INDEX(FactorTable!$B$2:$Y$301, MATCH(ROUND(MIN(300,MAX(1,D954)),0), FactorTable!$A$2:$A$301,0), Skills!M9+1)</f>
        <v/>
      </c>
      <c r="F954">
        <f>IF(Skills!N9=TRUE,(Skills!L9/10)*(E954/1000),Skills!L9/10)+Skills!O9</f>
        <v/>
      </c>
      <c r="G954">
        <f>Skills!G9*IF(Skills!H9&gt;0,Skills!I9/Skills!H9,1)</f>
        <v/>
      </c>
      <c r="H954">
        <f>1-(1-Skills!J9/100)^Skills!K9</f>
        <v/>
      </c>
      <c r="I954" t="inlineStr">
        <is>
          <t>1</t>
        </is>
      </c>
      <c r="J954">
        <f>((Inputs!$B$6*(1+Inputs!$B$7/100))+(((Inputs!$B$12*(1+Inputs!$B$13/100))-(Inputs!$B$12*(1+Inputs!$B$13/100)))+0.25*(Inputs!$B$14-Inputs!$B$14))*(1+Inputs!$B$7/100))*(F954/100)</f>
        <v/>
      </c>
      <c r="K954">
        <f>J954*(1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
      </c>
      <c r="L954">
        <f>K954*(MIN(Inputs!$B$22+((C965=TRUE)*(F965-Calc!F20)),(Inputs!$B$23+0+(IF(ArtifactsInput!$M$15,CHOOSE(ArtifactsInput!$N$15+1,25,30,35,40,45,50)/100*(Inputs!$B$11-Inputs!$B$11),0))))/100+(Inputs!$B$23+0+(IF(ArtifactsInput!$M$15,CHOOSE(ArtifactsInput!$N$15+1,25,30,35,40,45,50)/100*(Inputs!$B$11-Inputs!$B$11),0)))/100)/2</f>
        <v/>
      </c>
      <c r="M954">
        <f>L954*(1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4">
        <f>L954*(1-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4">
        <f>(1-Summary!$B$11)*T954+Summary!$B$11*V954</f>
        <v/>
      </c>
      <c r="P954">
        <f>IF(B980=0,0,O954/B980)</f>
        <v/>
      </c>
      <c r="Q954">
        <f>IFERROR(1/(IF(Inputs!$B$38="pvp",15,MAX(0.1,Skills!D9-IF(Skills!E9=TRUE,(Inputs!$B$32+1),0)))*(1-IF(AND(ArtifactsInput!$M$27,Inputs!$B$4="Chapter Hunt"),CHOOSE(ArtifactsInput!$N$27+1,20,24,28,32,36,40),0)/100)),0)</f>
        <v/>
      </c>
      <c r="R954">
        <f>IF(AND(Inputs!$B$38&lt;&gt;"pvp",Inputs!$B$43&gt;0),IF(MAX(0,Inputs!$B$43-B977)&lt;=0,0,(INT(MAX(0,Inputs!$B$43-B977)/(IF(Inputs!$B$38="pvp",15,MAX(0.1,Skills!D9-IF(Skills!E9=TRUE,(Inputs!$B$32+1),0)))*(1-IF(AND(ArtifactsInput!$M$27,Inputs!$B$4="Chapter Hunt"),CHOOSE(ArtifactsInput!$N$27+1,20,24,28,32,36,40),0)/100)))+1)),0)</f>
        <v/>
      </c>
      <c r="S954">
        <f>IFERROR(O954/N954,0)</f>
        <v/>
      </c>
      <c r="T954">
        <f>IF(C954,(H954*N954*IF(AND(Inputs!$B$38&lt;&gt;"pvp",Inputs!$B$43&gt;0),((Skills!G9*((R954-1)*IF(Skills!H9&gt;0,Skills!I9/Skills!H9,1)+IF(Skills!H9&gt;0,MIN(Skills!I9,MAX(0,MAX(0,Inputs!$B$43-B977)-((R954-1)*(IF(Inputs!$B$38="pvp",15,MAX(0.1,Skills!D9-IF(Skills!E9=TRUE,(Inputs!$B$32+1),0)))*(1-IF(AND(ArtifactsInput!$M$27,Inputs!$B$4="Chapter Hunt"),CHOOSE(ArtifactsInput!$N$27+1,20,24,28,32,36,40),0)/100)))))/Skills!H9,1)))/Inputs!$B$43),G954*Q954)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954*(1-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4">
        <f>IF(C954,(H954*N954*IF(AND(Inputs!$B$38&lt;&gt;"pvp",Inputs!$B$43&gt;0),((Skills!G9*((R954-1)*IF(Skills!H9&gt;0,Skills!I9/Skills!H9,1)+IF(Skills!H9&gt;0,MIN(Skills!I9,MAX(0,MAX(0,Inputs!$B$43-B977)-((R954-1)*(IF(Inputs!$B$38="pvp",15,MAX(0.1,Skills!D9-IF(Skills!E9=TRUE,(Inputs!$B$32+1),0)))*(1-IF(AND(ArtifactsInput!$M$27,Inputs!$B$4="Chapter Hunt"),CHOOSE(ArtifactsInput!$N$27+1,20,24,28,32,36,40),0)/100)))))/Skills!H9,1)))/Inputs!$B$43),G954*Q954))*IF(Inputs!$B$38="pvp",1,(1+(Inputs!$B$21+Skills!Q9+(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5">
      <c r="A955">
        <f>Skills!A10</f>
        <v/>
      </c>
      <c r="B955">
        <f>Skills!B10</f>
        <v/>
      </c>
      <c r="C955">
        <f>Inputs!$B$3&gt;=103</f>
        <v/>
      </c>
      <c r="D955">
        <f>IF(Skills!C10=1,60+Inputs!$B$25+Inputs!$B$29,IF(Skills!C10=2,90+Inputs!$B$26+Inputs!$B$29,IF(Skills!C10=3,120+Inputs!$B$27+Inputs!$B$29,MAX(0,(Inputs!$B$3-100)*3)+Inputs!$B$28+Inputs!$B$29)))</f>
        <v/>
      </c>
      <c r="E955">
        <f>INDEX(FactorTable!$B$2:$Y$301, MATCH(ROUND(MIN(300,MAX(1,D955)),0), FactorTable!$A$2:$A$301,0), Skills!M10+1)</f>
        <v/>
      </c>
      <c r="F955">
        <f>IF(Skills!N10=TRUE,(Skills!L10/10)*(E955/1000),Skills!L10/10)+Skills!O10</f>
        <v/>
      </c>
      <c r="G955">
        <f>Skills!G10*IF(Skills!H10&gt;0,Skills!I10/Skills!H10,1)</f>
        <v/>
      </c>
      <c r="H955">
        <f>1-(1-Skills!J10/100)^Skills!K10</f>
        <v/>
      </c>
      <c r="I955" t="inlineStr">
        <is>
          <t>1</t>
        </is>
      </c>
      <c r="J955">
        <f>((Inputs!$B$6*(1+Inputs!$B$7/100))+(((Inputs!$B$12*(1+Inputs!$B$13/100))-(Inputs!$B$12*(1+Inputs!$B$13/100)))+0.25*(Inputs!$B$14-Inputs!$B$14))*(1+Inputs!$B$7/100))*(F955/100)</f>
        <v/>
      </c>
      <c r="K955">
        <f>J955*(1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965=TRUE)*(F965-Calc!F20)),(Inputs!$B$23+0+(IF(ArtifactsInput!$M$15,CHOOSE(ArtifactsInput!$N$15+1,25,30,35,40,45,50)/100*(Inputs!$B$11-Inputs!$B$11),0))))/100+(Inputs!$B$23+0+(IF(ArtifactsInput!$M$15,CHOOSE(ArtifactsInput!$N$15+1,25,30,35,40,45,50)/100*(Inputs!$B$11-Inputs!$B$11),0)))/100)/2</f>
        <v/>
      </c>
      <c r="M955">
        <f>L955*(1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IF(B980=0,0,O955/B980)</f>
        <v/>
      </c>
      <c r="Q955">
        <f>IFERROR(1/(IF(Inputs!$B$38="pvp",15,MAX(0.1,Skills!D10-IF(Skills!E10=TRUE,(Inputs!$B$32+1),0)))*(1-IF(AND(ArtifactsInput!$M$27,Inputs!$B$4="Chapter Hunt"),CHOOSE(ArtifactsInput!$N$27+1,20,24,28,32,36,40),0)/100)),0)</f>
        <v/>
      </c>
      <c r="R955">
        <f>IF(AND(Inputs!$B$38&lt;&gt;"pvp",Inputs!$B$43&gt;0),IF(MAX(0,Inputs!$B$43-B977)&lt;=0,0,(INT(MAX(0,Inputs!$B$43-B977)/(IF(Inputs!$B$38="pvp",15,MAX(0.1,Skills!D10-IF(Skills!E10=TRUE,(Inputs!$B$32+1),0)))*(1-IF(AND(ArtifactsInput!$M$27,Inputs!$B$4="Chapter Hunt"),CHOOSE(ArtifactsInput!$N$27+1,20,24,28,32,36,40),0)/100)))+1)),0)</f>
        <v/>
      </c>
      <c r="S955">
        <f>IFERROR(O955/N955,0)</f>
        <v/>
      </c>
      <c r="T955">
        <f>IF(C955,(H955*N955*IF(AND(Inputs!$B$38&lt;&gt;"pvp",Inputs!$B$43&gt;0),((Skills!G10*((R955-1)*IF(Skills!H10&gt;0,Skills!I10/Skills!H10,1)+IF(Skills!H10&gt;0,MIN(Skills!I10,MAX(0,MAX(0,Inputs!$B$43-B977)-((R955-1)*(IF(Inputs!$B$38="pvp",15,MAX(0.1,Skills!D10-IF(Skills!E10=TRUE,(Inputs!$B$32+1),0)))*(1-IF(AND(ArtifactsInput!$M$27,Inputs!$B$4="Chapter Hunt"),CHOOSE(ArtifactsInput!$N$27+1,20,24,28,32,36,40),0)/100)))))/Skills!H10,1)))/Inputs!$B$43),G955*Q955)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5">
        <f>IF(C955,(H955*N955*IF(AND(Inputs!$B$38&lt;&gt;"pvp",Inputs!$B$43&gt;0),((Skills!G10*((R955-1)*IF(Skills!H10&gt;0,Skills!I10/Skills!H10,1)+IF(Skills!H10&gt;0,MIN(Skills!I10,MAX(0,MAX(0,Inputs!$B$43-B977)-((R955-1)*(IF(Inputs!$B$38="pvp",15,MAX(0.1,Skills!D10-IF(Skills!E10=TRUE,(Inputs!$B$32+1),0)))*(1-IF(AND(ArtifactsInput!$M$27,Inputs!$B$4="Chapter Hunt"),CHOOSE(ArtifactsInput!$N$27+1,20,24,28,32,36,40),0)/100)))))/Skills!H10,1)))/Inputs!$B$43),G955*Q955))*IF(Inputs!$B$38="pvp",1,(1+(Inputs!$B$21+Skills!Q10+(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Skills!A11</f>
        <v/>
      </c>
      <c r="B956">
        <f>Skills!B11</f>
        <v/>
      </c>
      <c r="C956">
        <f>Inputs!$B$3&gt;=113</f>
        <v/>
      </c>
      <c r="D956">
        <f>IF(Skills!C11=1,60+Inputs!$B$25+Inputs!$B$29,IF(Skills!C11=2,90+Inputs!$B$26+Inputs!$B$29,IF(Skills!C11=3,120+Inputs!$B$27+Inputs!$B$29,MAX(0,(Inputs!$B$3-100)*3)+Inputs!$B$28+Inputs!$B$29)))</f>
        <v/>
      </c>
      <c r="E956">
        <f>INDEX(FactorTable!$B$2:$Y$301, MATCH(ROUND(MIN(300,MAX(1,D956)),0), FactorTable!$A$2:$A$301,0), Skills!M11+1)</f>
        <v/>
      </c>
      <c r="F956">
        <f>IF(Skills!N11=TRUE,(Skills!L11/10)*(E956/1000),Skills!L11/10)+Skills!O11</f>
        <v/>
      </c>
      <c r="G956">
        <f>Skills!G11*IF(Skills!H11&gt;0,Skills!I11/Skills!H11,1)</f>
        <v/>
      </c>
      <c r="H956">
        <f>1-(1-Skills!J11/100)^Skills!K11</f>
        <v/>
      </c>
      <c r="I956" t="inlineStr">
        <is>
          <t>1</t>
        </is>
      </c>
      <c r="J956">
        <f>((Inputs!$B$6*(1+Inputs!$B$7/100))+(((Inputs!$B$12*(1+Inputs!$B$13/100))-(Inputs!$B$12*(1+Inputs!$B$13/100)))+0.25*(Inputs!$B$14-Inputs!$B$14))*(1+Inputs!$B$7/100))*(F956/100)</f>
        <v/>
      </c>
      <c r="K956">
        <f>J956*(1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C965=TRUE)*(F965-Calc!F20)),(Inputs!$B$23+0+(IF(ArtifactsInput!$M$15,CHOOSE(ArtifactsInput!$N$15+1,25,30,35,40,45,50)/100*(Inputs!$B$11-Inputs!$B$11),0))))/100+(Inputs!$B$23+0+(IF(ArtifactsInput!$M$15,CHOOSE(ArtifactsInput!$N$15+1,25,30,35,40,45,50)/100*(Inputs!$B$11-Inputs!$B$11),0)))/100)/2</f>
        <v/>
      </c>
      <c r="M956">
        <f>L956*(1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(1-Summary!$B$11)*T956+Summary!$B$11*V956</f>
        <v/>
      </c>
      <c r="P956">
        <f>IF(B980=0,0,O956/B980)</f>
        <v/>
      </c>
      <c r="Q956">
        <f>IFERROR(1/(IF(Inputs!$B$38="pvp",15,MAX(0.1,Skills!D11-IF(Skills!E11=TRUE,(Inputs!$B$32+1),0)))*(1-IF(AND(ArtifactsInput!$M$27,Inputs!$B$4="Chapter Hunt"),CHOOSE(ArtifactsInput!$N$27+1,20,24,28,32,36,40),0)/100)),0)</f>
        <v/>
      </c>
      <c r="R956">
        <f>IF(AND(Inputs!$B$38&lt;&gt;"pvp",Inputs!$B$43&gt;0),IF(MAX(0,Inputs!$B$43-B977)&lt;=0,0,(INT(MAX(0,Inputs!$B$43-B977)/(IF(Inputs!$B$38="pvp",15,MAX(0.1,Skills!D11-IF(Skills!E11=TRUE,(Inputs!$B$32+1),0)))*(1-IF(AND(ArtifactsInput!$M$27,Inputs!$B$4="Chapter Hunt"),CHOOSE(ArtifactsInput!$N$27+1,20,24,28,32,36,40),0)/100)))+1)),0)</f>
        <v/>
      </c>
      <c r="S956">
        <f>IFERROR(O956/N956,0)</f>
        <v/>
      </c>
      <c r="T956">
        <f>IF(C956,(H956*N956*IF(AND(Inputs!$B$38&lt;&gt;"pvp",Inputs!$B$43&gt;0),((Skills!G11*((R956-1)*IF(Skills!H11&gt;0,Skills!I11/Skills!H11,1)+IF(Skills!H11&gt;0,MIN(Skills!I11,MAX(0,MAX(0,Inputs!$B$43-B977)-((R956-1)*(IF(Inputs!$B$38="pvp",15,MAX(0.1,Skills!D11-IF(Skills!E11=TRUE,(Inputs!$B$32+1),0)))*(1-IF(AND(ArtifactsInput!$M$27,Inputs!$B$4="Chapter Hunt"),CHOOSE(ArtifactsInput!$N$27+1,20,24,28,32,36,40),0)/100)))))/Skills!H11,1)))/Inputs!$B$43),G956*Q956)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956*(1-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6">
        <f>IF(C956,(H956*N956*IF(AND(Inputs!$B$38&lt;&gt;"pvp",Inputs!$B$43&gt;0),((Skills!G11*((R956-1)*IF(Skills!H11&gt;0,Skills!I11/Skills!H11,1)+IF(Skills!H11&gt;0,MIN(Skills!I11,MAX(0,MAX(0,Inputs!$B$43-B977)-((R956-1)*(IF(Inputs!$B$38="pvp",15,MAX(0.1,Skills!D11-IF(Skills!E11=TRUE,(Inputs!$B$32+1),0)))*(1-IF(AND(ArtifactsInput!$M$27,Inputs!$B$4="Chapter Hunt"),CHOOSE(ArtifactsInput!$N$27+1,20,24,28,32,36,40),0)/100)))))/Skills!H11,1)))/Inputs!$B$43),G956*Q956))*IF(Inputs!$B$38="pvp",1,(1+(Inputs!$B$21+Skills!Q11+(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Skills!A12</f>
        <v/>
      </c>
      <c r="B957">
        <f>Skills!B12</f>
        <v/>
      </c>
      <c r="C957">
        <f>Inputs!$B$3&gt;=100</f>
        <v/>
      </c>
      <c r="D957">
        <f>IF(Skills!C12=1,60+Inputs!$B$25+Inputs!$B$29,IF(Skills!C12=2,90+Inputs!$B$26+Inputs!$B$29,IF(Skills!C12=3,120+Inputs!$B$27+Inputs!$B$29,MAX(0,(Inputs!$B$3-100)*3)+Inputs!$B$28+Inputs!$B$29)))</f>
        <v/>
      </c>
      <c r="E957">
        <f>INDEX(FactorTable!$B$2:$Y$301, MATCH(ROUND(MIN(300,MAX(1,D957)),0), FactorTable!$A$2:$A$301,0), Skills!M12+1)</f>
        <v/>
      </c>
      <c r="F957">
        <f>IF(Skills!N12=TRUE,(Skills!L12/10)*(E957/1000),Skills!L12/10)+Skills!O12</f>
        <v/>
      </c>
      <c r="G957" t="inlineStr"/>
      <c r="H957" t="inlineStr"/>
      <c r="I957" t="inlineStr">
        <is>
          <t>1</t>
        </is>
      </c>
      <c r="J957" t="inlineStr"/>
      <c r="K957" t="inlineStr"/>
      <c r="L957" t="inlineStr"/>
      <c r="M957" t="inlineStr"/>
      <c r="N957" t="inlineStr"/>
      <c r="O957" t="inlineStr"/>
      <c r="P957" t="inlineStr"/>
      <c r="Q957" t="inlineStr"/>
      <c r="R957" t="inlineStr"/>
      <c r="S957" t="inlineStr"/>
      <c r="T957" t="inlineStr"/>
      <c r="V957" t="inlineStr"/>
    </row>
    <row r="958">
      <c r="A958">
        <f>Skills!A13</f>
        <v/>
      </c>
      <c r="B958">
        <f>Skills!B13</f>
        <v/>
      </c>
      <c r="C958">
        <f>Inputs!$B$3&gt;=66</f>
        <v/>
      </c>
      <c r="D958">
        <f>IF(Skills!C13=1,60+Inputs!$B$25+Inputs!$B$29,IF(Skills!C13=2,90+Inputs!$B$26+Inputs!$B$29,IF(Skills!C13=3,120+Inputs!$B$27+Inputs!$B$29,MAX(0,(Inputs!$B$3-100)*3)+Inputs!$B$28+Inputs!$B$29)))</f>
        <v/>
      </c>
      <c r="E958">
        <f>INDEX(FactorTable!$B$2:$Y$301, MATCH(ROUND(MIN(300,MAX(1,D958)),0), FactorTable!$A$2:$A$301,0), Skills!M13+1)</f>
        <v/>
      </c>
      <c r="F958">
        <f>IF(Skills!N13=TRUE,(Skills!L13/10)*(E958/1000),Skills!L13/10)+Skills!O13</f>
        <v/>
      </c>
      <c r="G958">
        <f>Skills!G13*IF(Skills!H13&gt;0,Skills!I13/Skills!H13,1)</f>
        <v/>
      </c>
      <c r="H958">
        <f>1-(1-Skills!J13/100)^Skills!K13</f>
        <v/>
      </c>
      <c r="I958" t="inlineStr">
        <is>
          <t>1</t>
        </is>
      </c>
      <c r="J958" t="inlineStr"/>
      <c r="K958" t="inlineStr"/>
      <c r="L958" t="inlineStr"/>
      <c r="M958" t="inlineStr"/>
      <c r="N958" t="inlineStr"/>
      <c r="O958">
        <f>(1-Summary!$B$11)*T958+Summary!$B$11*V958</f>
        <v/>
      </c>
      <c r="P958">
        <f>IF(B980=0,0,O958/B980)</f>
        <v/>
      </c>
      <c r="Q958" t="n">
        <v>0</v>
      </c>
      <c r="R958" t="n">
        <v>0</v>
      </c>
      <c r="S958">
        <f>IFERROR(O958/N958,0)</f>
        <v/>
      </c>
      <c r="T958" t="n">
        <v>0</v>
      </c>
      <c r="V958" t="n">
        <v>0</v>
      </c>
    </row>
    <row r="959">
      <c r="A959">
        <f>Skills!A14</f>
        <v/>
      </c>
      <c r="B959">
        <f>Skills!B14</f>
        <v/>
      </c>
      <c r="C959">
        <f>Inputs!$B$3&gt;=107</f>
        <v/>
      </c>
      <c r="D959">
        <f>IF(Skills!C14=1,60+Inputs!$B$25+Inputs!$B$29,IF(Skills!C14=2,90+Inputs!$B$26+Inputs!$B$29,IF(Skills!C14=3,120+Inputs!$B$27+Inputs!$B$29,MAX(0,(Inputs!$B$3-100)*3)+Inputs!$B$28+Inputs!$B$29)))</f>
        <v/>
      </c>
      <c r="E959">
        <f>INDEX(FactorTable!$B$2:$Y$301, MATCH(ROUND(MIN(300,MAX(1,D959)),0), FactorTable!$A$2:$A$301,0), Skills!M14+1)</f>
        <v/>
      </c>
      <c r="F959">
        <f>IF(Skills!N14=TRUE,(Skills!L14/10)*(E959/1000),Skills!L14/10)+Skills!O14</f>
        <v/>
      </c>
      <c r="G959">
        <f>Skills!G14*IF(Skills!H14&gt;0,Skills!I14/Skills!H14,1)</f>
        <v/>
      </c>
      <c r="H959">
        <f>1-(1-Skills!J14/100)^Skills!K14</f>
        <v/>
      </c>
      <c r="I959" t="inlineStr">
        <is>
          <t>1</t>
        </is>
      </c>
      <c r="J959" t="inlineStr"/>
      <c r="K959" t="inlineStr"/>
      <c r="L959" t="inlineStr"/>
      <c r="M959" t="inlineStr"/>
      <c r="N959" t="inlineStr"/>
      <c r="O959">
        <f>(1-Summary!$B$11)*T959+Summary!$B$11*V959</f>
        <v/>
      </c>
      <c r="P959">
        <f>IF(B980=0,0,O959/B980)</f>
        <v/>
      </c>
      <c r="Q959" t="n">
        <v>0</v>
      </c>
      <c r="R959" t="n">
        <v>0</v>
      </c>
      <c r="S959">
        <f>IFERROR(O959/N959,0)</f>
        <v/>
      </c>
      <c r="T959" t="n">
        <v>0</v>
      </c>
      <c r="V959" t="n">
        <v>0</v>
      </c>
    </row>
    <row r="960">
      <c r="A960">
        <f>Skills!A15</f>
        <v/>
      </c>
      <c r="B960">
        <f>Skills!B15</f>
        <v/>
      </c>
      <c r="C960">
        <f>Inputs!$B$3&gt;=115</f>
        <v/>
      </c>
      <c r="D960">
        <f>IF(Skills!C15=1,60+Inputs!$B$25+Inputs!$B$29,IF(Skills!C15=2,90+Inputs!$B$26+Inputs!$B$29,IF(Skills!C15=3,120+Inputs!$B$27+Inputs!$B$29,MAX(0,(Inputs!$B$3-100)*3)+Inputs!$B$28+Inputs!$B$29)))</f>
        <v/>
      </c>
      <c r="E960">
        <f>INDEX(FactorTable!$B$2:$Y$301, MATCH(ROUND(MIN(300,MAX(1,D960)),0), FactorTable!$A$2:$A$301,0), Skills!M15+1)</f>
        <v/>
      </c>
      <c r="F960">
        <f>IF(Skills!N15=TRUE,(Skills!L15/10)*(E960/1000),Skills!L15/10)+Skills!O15</f>
        <v/>
      </c>
      <c r="G960">
        <f>Skills!G15*IF(Skills!H15&gt;0,Skills!I15/Skills!H15,1)</f>
        <v/>
      </c>
      <c r="H960">
        <f>1-(1-Skills!J15/100)^Skills!K15</f>
        <v/>
      </c>
      <c r="I960" t="inlineStr">
        <is>
          <t>1</t>
        </is>
      </c>
      <c r="J960" t="inlineStr"/>
      <c r="K960" t="inlineStr"/>
      <c r="L960" t="inlineStr"/>
      <c r="M960" t="inlineStr"/>
      <c r="N960" t="inlineStr"/>
      <c r="O960">
        <f>(1-Summary!$B$11)*T960+Summary!$B$11*V960</f>
        <v/>
      </c>
      <c r="P960">
        <f>IF(B980=0,0,O960/B980)</f>
        <v/>
      </c>
      <c r="Q960" t="n">
        <v>0</v>
      </c>
      <c r="R960" t="n">
        <v>0</v>
      </c>
      <c r="S960">
        <f>IFERROR(O960/N960,0)</f>
        <v/>
      </c>
      <c r="T960" t="n">
        <v>0</v>
      </c>
      <c r="V960" t="n">
        <v>0</v>
      </c>
    </row>
    <row r="961">
      <c r="A961">
        <f>Skills!A16</f>
        <v/>
      </c>
      <c r="B961">
        <f>Skills!B16</f>
        <v/>
      </c>
      <c r="C961">
        <f>Inputs!$B$3&gt;=15</f>
        <v/>
      </c>
      <c r="D961">
        <f>IF(Skills!C16=1,60+Inputs!$B$25+Inputs!$B$29,IF(Skills!C16=2,90+Inputs!$B$26+Inputs!$B$29,IF(Skills!C16=3,120+Inputs!$B$27+Inputs!$B$29,MAX(0,(Inputs!$B$3-100)*3)+Inputs!$B$28+Inputs!$B$29)))</f>
        <v/>
      </c>
      <c r="E961">
        <f>INDEX(FactorTable!$B$2:$Y$301, MATCH(ROUND(MIN(300,MAX(1,D961)),0), FactorTable!$A$2:$A$301,0), Skills!M16+1)</f>
        <v/>
      </c>
      <c r="F961">
        <f>IF(Skills!N16=TRUE,(Skills!L16/10)*(E961/1000),Skills!L16/10)+Skills!O16</f>
        <v/>
      </c>
      <c r="G961">
        <f>Skills!G16*IF(Skills!H16&gt;0,Skills!I16/Skills!H16,1)</f>
        <v/>
      </c>
      <c r="H961">
        <f>1-(1-Skills!J16/100)^Skills!K16</f>
        <v/>
      </c>
      <c r="I961" t="inlineStr">
        <is>
          <t>1</t>
        </is>
      </c>
      <c r="J961" t="inlineStr"/>
      <c r="K961" t="inlineStr"/>
      <c r="L961" t="inlineStr"/>
      <c r="M961" t="inlineStr"/>
      <c r="N961" t="inlineStr"/>
      <c r="O961">
        <f>(1-Summary!$B$11)*T961+Summary!$B$11*V961</f>
        <v/>
      </c>
      <c r="P961">
        <f>IF(B980=0,0,O961/B980)</f>
        <v/>
      </c>
      <c r="Q961" t="n">
        <v>0</v>
      </c>
      <c r="R961" t="n">
        <v>0</v>
      </c>
      <c r="S961">
        <f>IFERROR(O961/N961,0)</f>
        <v/>
      </c>
      <c r="T961" t="n">
        <v>0</v>
      </c>
      <c r="V961" t="n">
        <v>0</v>
      </c>
    </row>
    <row r="962">
      <c r="A962">
        <f>Skills!A17</f>
        <v/>
      </c>
      <c r="B962">
        <f>Skills!B17</f>
        <v/>
      </c>
      <c r="C962">
        <f>Inputs!$B$3&gt;=10</f>
        <v/>
      </c>
      <c r="D962">
        <f>IF(Skills!C17=1,60+Inputs!$B$25+Inputs!$B$29,IF(Skills!C17=2,90+Inputs!$B$26+Inputs!$B$29,IF(Skills!C17=3,120+Inputs!$B$27+Inputs!$B$29,MAX(0,(Inputs!$B$3-100)*3)+Inputs!$B$28+Inputs!$B$29)))</f>
        <v/>
      </c>
      <c r="E962">
        <f>INDEX(FactorTable!$B$2:$Y$301, MATCH(ROUND(MIN(300,MAX(1,D962)),0), FactorTable!$A$2:$A$301,0), Skills!M17+1)</f>
        <v/>
      </c>
      <c r="F962">
        <f>IF(Skills!N17=TRUE,(Skills!L17/10)*(E962/1000),Skills!L17/10)+Skills!O17</f>
        <v/>
      </c>
      <c r="G962">
        <f>Skills!G17*IF(Skills!H17&gt;0,Skills!I17/Skills!H17,1)</f>
        <v/>
      </c>
      <c r="H962">
        <f>1-(1-Skills!J17/100)^Skills!K17</f>
        <v/>
      </c>
      <c r="I962" t="inlineStr">
        <is>
          <t>1</t>
        </is>
      </c>
      <c r="J962" t="inlineStr"/>
      <c r="K962" t="inlineStr"/>
      <c r="L962" t="inlineStr"/>
      <c r="M962" t="inlineStr"/>
      <c r="N962" t="inlineStr"/>
      <c r="O962">
        <f>(1-Summary!$B$11)*T962+Summary!$B$11*V962</f>
        <v/>
      </c>
      <c r="P962">
        <f>IF(B980=0,0,O962/B980)</f>
        <v/>
      </c>
      <c r="Q962" t="n">
        <v>0</v>
      </c>
      <c r="R962" t="n">
        <v>0</v>
      </c>
      <c r="S962">
        <f>IFERROR(O962/N962,0)</f>
        <v/>
      </c>
      <c r="T962" t="n">
        <v>0</v>
      </c>
      <c r="V962" t="n">
        <v>0</v>
      </c>
    </row>
    <row r="963">
      <c r="A963">
        <f>Skills!A18</f>
        <v/>
      </c>
      <c r="B963">
        <f>Skills!B18</f>
        <v/>
      </c>
      <c r="C963">
        <f>Inputs!$B$3&gt;=33</f>
        <v/>
      </c>
      <c r="D963">
        <f>IF(Skills!C18=1,60+Inputs!$B$25+Inputs!$B$29,IF(Skills!C18=2,90+Inputs!$B$26+Inputs!$B$29,IF(Skills!C18=3,120+Inputs!$B$27+Inputs!$B$29,MAX(0,(Inputs!$B$3-100)*3)+Inputs!$B$28+Inputs!$B$29)))</f>
        <v/>
      </c>
      <c r="E963">
        <f>INDEX(FactorTable!$B$2:$Y$301, MATCH(ROUND(MIN(300,MAX(1,D963)),0), FactorTable!$A$2:$A$301,0), Skills!M18+1)</f>
        <v/>
      </c>
      <c r="F963">
        <f>IF(Skills!N18=TRUE,(Skills!L18/10)*(E963/1000),Skills!L18/10)+Skills!O18</f>
        <v/>
      </c>
      <c r="G963">
        <f>Skills!G18*IF(Skills!H18&gt;0,Skills!I18/Skills!H18,1)</f>
        <v/>
      </c>
      <c r="H963">
        <f>1-(1-Skills!J18/100)^Skills!K18</f>
        <v/>
      </c>
      <c r="I963" t="inlineStr">
        <is>
          <t>1</t>
        </is>
      </c>
      <c r="J963" t="inlineStr"/>
      <c r="K963" t="inlineStr"/>
      <c r="L963" t="inlineStr"/>
      <c r="M963" t="inlineStr"/>
      <c r="N963" t="inlineStr"/>
      <c r="O963">
        <f>(1-Summary!$B$11)*T963+Summary!$B$11*V963</f>
        <v/>
      </c>
      <c r="P963">
        <f>IF(B980=0,0,O963/B980)</f>
        <v/>
      </c>
      <c r="Q963" t="n">
        <v>0</v>
      </c>
      <c r="R963" t="n">
        <v>0</v>
      </c>
      <c r="S963">
        <f>IFERROR(O963/N963,0)</f>
        <v/>
      </c>
      <c r="T963" t="n">
        <v>0</v>
      </c>
      <c r="V963" t="n">
        <v>0</v>
      </c>
    </row>
    <row r="964">
      <c r="A964">
        <f>Skills!A19</f>
        <v/>
      </c>
      <c r="B964">
        <f>Skills!B19</f>
        <v/>
      </c>
      <c r="C964">
        <f>Inputs!$B$3&gt;=40</f>
        <v/>
      </c>
      <c r="D964">
        <f>IF(Skills!C19=1,60+Inputs!$B$25+Inputs!$B$29,IF(Skills!C19=2,90+Inputs!$B$26+Inputs!$B$29,IF(Skills!C19=3,120+Inputs!$B$27+Inputs!$B$29,MAX(0,(Inputs!$B$3-100)*3)+Inputs!$B$28+Inputs!$B$29)))</f>
        <v/>
      </c>
      <c r="E964">
        <f>INDEX(FactorTable!$B$2:$Y$301, MATCH(ROUND(MIN(300,MAX(1,D964)),0), FactorTable!$A$2:$A$301,0), Skills!M19+1)</f>
        <v/>
      </c>
      <c r="F964">
        <f>IF(Skills!N19=TRUE,(Skills!L19/10)*(E964/1000),Skills!L19/10)+Skills!O19</f>
        <v/>
      </c>
      <c r="G964">
        <f>Skills!G19*IF(Skills!H19&gt;0,Skills!I19/Skills!H19,1)</f>
        <v/>
      </c>
      <c r="H964">
        <f>1-(1-Skills!J19/100)^Skills!K19</f>
        <v/>
      </c>
      <c r="I964" t="inlineStr">
        <is>
          <t>1</t>
        </is>
      </c>
      <c r="J964" t="inlineStr"/>
      <c r="K964" t="inlineStr"/>
      <c r="L964" t="inlineStr"/>
      <c r="M964" t="inlineStr"/>
      <c r="N964" t="inlineStr"/>
      <c r="O964">
        <f>(1-Summary!$B$11)*T964+Summary!$B$11*V964</f>
        <v/>
      </c>
      <c r="P964">
        <f>IF(B980=0,0,O964/B980)</f>
        <v/>
      </c>
      <c r="Q964" t="n">
        <v>0</v>
      </c>
      <c r="R964" t="n">
        <v>0</v>
      </c>
      <c r="S964">
        <f>IFERROR(O964/N964,0)</f>
        <v/>
      </c>
      <c r="T964" t="n">
        <v>0</v>
      </c>
      <c r="V964" t="n">
        <v>0</v>
      </c>
    </row>
    <row r="965">
      <c r="A965">
        <f>Skills!A20</f>
        <v/>
      </c>
      <c r="B965">
        <f>Skills!B20</f>
        <v/>
      </c>
      <c r="C965">
        <f>Inputs!$B$3&gt;=43</f>
        <v/>
      </c>
      <c r="D965">
        <f>IF(Skills!C20=1,60+Inputs!$B$25+Inputs!$B$29,IF(Skills!C20=2,90+Inputs!$B$26+Inputs!$B$29,IF(Skills!C20=3,120+Inputs!$B$27+Inputs!$B$29,MAX(0,(Inputs!$B$3-100)*3)+Inputs!$B$28+Inputs!$B$29)))</f>
        <v/>
      </c>
      <c r="E965">
        <f>INDEX(FactorTable!$B$2:$Y$301, MATCH(ROUND(MIN(300,MAX(1,D965)),0), FactorTable!$A$2:$A$301,0), Skills!M20+1)</f>
        <v/>
      </c>
      <c r="F965">
        <f>IF(Skills!N20=TRUE,(Skills!L20/10)*(E965/1000),Skills!L20/10)+Skills!O20</f>
        <v/>
      </c>
      <c r="G965">
        <f>Skills!G20*IF(Skills!H20&gt;0,Skills!I20/Skills!H20,1)</f>
        <v/>
      </c>
      <c r="H965">
        <f>1-(1-Skills!J20/100)^Skills!K20</f>
        <v/>
      </c>
      <c r="I965" t="inlineStr">
        <is>
          <t>1</t>
        </is>
      </c>
      <c r="J965" t="inlineStr"/>
      <c r="K965" t="inlineStr"/>
      <c r="L965" t="inlineStr"/>
      <c r="M965" t="inlineStr"/>
      <c r="N965" t="inlineStr"/>
      <c r="O965">
        <f>(1-Summary!$B$11)*T965+Summary!$B$11*V965</f>
        <v/>
      </c>
      <c r="P965">
        <f>IF(B980=0,0,O965/B980)</f>
        <v/>
      </c>
      <c r="Q965" t="n">
        <v>0</v>
      </c>
      <c r="R965" t="n">
        <v>0</v>
      </c>
      <c r="S965">
        <f>IFERROR(O965/N965,0)</f>
        <v/>
      </c>
      <c r="T965" t="n">
        <v>0</v>
      </c>
      <c r="V965" t="n">
        <v>0</v>
      </c>
    </row>
    <row r="966">
      <c r="A966">
        <f>Skills!A21</f>
        <v/>
      </c>
      <c r="B966">
        <f>Skills!B21</f>
        <v/>
      </c>
      <c r="C966">
        <f>Inputs!$B$3&gt;=38</f>
        <v/>
      </c>
      <c r="D966">
        <f>IF(Skills!C21=1,60+Inputs!$B$25+Inputs!$B$29,IF(Skills!C21=2,90+Inputs!$B$26+Inputs!$B$29,IF(Skills!C21=3,120+Inputs!$B$27+Inputs!$B$29,MAX(0,(Inputs!$B$3-100)*3)+Inputs!$B$28+Inputs!$B$29)))</f>
        <v/>
      </c>
      <c r="E966">
        <f>INDEX(FactorTable!$B$2:$Y$301, MATCH(ROUND(MIN(300,MAX(1,D966)),0), FactorTable!$A$2:$A$301,0), Skills!M21+1)</f>
        <v/>
      </c>
      <c r="F966">
        <f>IF(Skills!N21=TRUE,(Skills!L21/10)*(E966/1000),Skills!L21/10)+Skills!O21</f>
        <v/>
      </c>
      <c r="G966">
        <f>Skills!G21*IF(Skills!H21&gt;0,Skills!I21/Skills!H21,1)</f>
        <v/>
      </c>
      <c r="H966">
        <f>1-(1-Skills!J21/100)^Skills!K21</f>
        <v/>
      </c>
      <c r="I966" t="inlineStr">
        <is>
          <t>1</t>
        </is>
      </c>
      <c r="J966" t="inlineStr"/>
      <c r="K966" t="inlineStr"/>
      <c r="L966" t="inlineStr"/>
      <c r="M966" t="inlineStr"/>
      <c r="N966" t="inlineStr"/>
      <c r="O966">
        <f>(1-Summary!$B$11)*T966+Summary!$B$11*V966</f>
        <v/>
      </c>
      <c r="P966">
        <f>IF(B980=0,0,O966/B980)</f>
        <v/>
      </c>
      <c r="Q966" t="n">
        <v>0</v>
      </c>
      <c r="R966" t="n">
        <v>0</v>
      </c>
      <c r="S966">
        <f>IFERROR(O966/N966,0)</f>
        <v/>
      </c>
      <c r="T966" t="n">
        <v>0</v>
      </c>
      <c r="V966" t="n">
        <v>0</v>
      </c>
    </row>
    <row r="967">
      <c r="A967">
        <f>Skills!A22</f>
        <v/>
      </c>
      <c r="B967">
        <f>Skills!B22</f>
        <v/>
      </c>
      <c r="C967">
        <f>Inputs!$B$3&gt;=75</f>
        <v/>
      </c>
      <c r="D967">
        <f>IF(Skills!C22=1,60+Inputs!$B$25+Inputs!$B$29,IF(Skills!C22=2,90+Inputs!$B$26+Inputs!$B$29,IF(Skills!C22=3,120+Inputs!$B$27+Inputs!$B$29,MAX(0,(Inputs!$B$3-100)*3)+Inputs!$B$28+Inputs!$B$29)))</f>
        <v/>
      </c>
      <c r="E967">
        <f>INDEX(FactorTable!$B$2:$Y$301, MATCH(ROUND(MIN(300,MAX(1,D967)),0), FactorTable!$A$2:$A$301,0), Skills!M22+1)</f>
        <v/>
      </c>
      <c r="F967">
        <f>IF(Skills!N22=TRUE,(Skills!L22/10)*(E967/1000),Skills!L22/10)+Skills!O22</f>
        <v/>
      </c>
      <c r="G967">
        <f>Skills!G22*IF(Skills!H22&gt;0,Skills!I22/Skills!H22,1)</f>
        <v/>
      </c>
      <c r="H967">
        <f>1-(1-Skills!J22/100)^Skills!K22</f>
        <v/>
      </c>
      <c r="I967" t="inlineStr">
        <is>
          <t>1</t>
        </is>
      </c>
      <c r="J967" t="inlineStr"/>
      <c r="K967" t="inlineStr"/>
      <c r="L967" t="inlineStr"/>
      <c r="M967" t="inlineStr"/>
      <c r="N967" t="inlineStr"/>
      <c r="O967">
        <f>(1-Summary!$B$11)*T967+Summary!$B$11*V967</f>
        <v/>
      </c>
      <c r="P967">
        <f>IF(B980=0,0,O967/B980)</f>
        <v/>
      </c>
      <c r="Q967" t="n">
        <v>0</v>
      </c>
      <c r="R967" t="n">
        <v>0</v>
      </c>
      <c r="S967">
        <f>IFERROR(O967/N967,0)</f>
        <v/>
      </c>
      <c r="T967" t="n">
        <v>0</v>
      </c>
      <c r="V967" t="n">
        <v>0</v>
      </c>
    </row>
    <row r="969">
      <c r="A969" t="inlineStr">
        <is>
          <t>Attack% Bucket Multiplier</t>
        </is>
      </c>
      <c r="B969">
        <f>(1+(((C958=TRUE)*F958)+((C964=TRUE)*(F964-Calc!F19))+(IF(ArtifactsInput!$M$21,CHOOSE(ArtifactsInput!$N$21+1,25,30,35,40,45,50)*(IF(OR(Inputs!$B$4="Chapter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0">
      <c r="A970" t="inlineStr">
        <is>
          <t>Global Crit Rate Bonus %</t>
        </is>
      </c>
      <c r="B970" t="n">
        <v>0</v>
      </c>
    </row>
    <row r="971">
      <c r="A971" t="inlineStr">
        <is>
          <t>Attack Speed Buff Bonus % (unused)</t>
        </is>
      </c>
      <c r="B971" t="n">
        <v>0</v>
      </c>
    </row>
    <row r="972">
      <c r="A972" t="inlineStr">
        <is>
          <t>Actions Per Second</t>
        </is>
      </c>
      <c r="B972">
        <f>1+MIN(150,150*(1-(1-(Inputs!$B$11+((C962=TRUE)*(F962-Calc!F17))+((C963=TRUE)*(F963-Calc!F18)))/150)*(1-B971/150)))/100</f>
        <v/>
      </c>
    </row>
    <row r="973">
      <c r="A973" t="inlineStr">
        <is>
          <t>Skill + Buff Cast Rate</t>
        </is>
      </c>
      <c r="B973">
        <f>IF(AND(Inputs!$B$38&lt;&gt;"pvp",Inputs!$B$43&gt;0),SUMPRODUCT((Skills!E2:E22=TRUE)*(C947:C967=TRUE)*R947:R967*Skills!F2:F22)/Inputs!$B$43,SUMPRODUCT((Skills!E2:E22=TRUE)*(C947:C967=TRUE)*Q947:Q967*Skills!F2:F22))</f>
        <v/>
      </c>
    </row>
    <row r="974">
      <c r="A974" t="inlineStr">
        <is>
          <t>Hook Bomber Casts Per Second</t>
        </is>
      </c>
      <c r="B974">
        <f>MAX(0,B972-B973)</f>
        <v/>
      </c>
    </row>
    <row r="975">
      <c r="A975" t="inlineStr">
        <is>
          <t>Global Critical Damage Bonus % (unused)</t>
        </is>
      </c>
      <c r="B975" t="n">
        <v>0</v>
      </c>
    </row>
    <row r="976">
      <c r="A976" t="inlineStr">
        <is>
          <t>Global Final Damage Bonus % (Serpent Scale + Crossbones + Time Leap + Speed Infusion)</t>
        </is>
      </c>
      <c r="B976">
        <f>((C950=TRUE)*F950*((10+IF(Inputs!$B$3&gt;=94,5,0))/((10+IF(Inputs!$B$3&gt;=94,5,0))+5/(B974*(1+IF(Inputs!$B$3&gt;=104,1,0))))))+((C959=TRUE)*F959)+((C960=TRUE)*F960)+((Inputs!$B$3&gt;=110)*20*(B972-1))</f>
        <v/>
      </c>
    </row>
    <row r="977">
      <c r="A977" t="inlineStr">
        <is>
          <t>Buff-Casting Startup Delay (s, fixed-duration only)</t>
        </is>
      </c>
      <c r="B977">
        <f>IF(AND(Inputs!$B$38&lt;&gt;"pvp",Inputs!$B$43&gt;0),SUMPRODUCT((Skills!T2:T22&gt;0)*(Skills!E2:E22=TRUE)*(C947:C967=TRUE))/B972,0)</f>
        <v/>
      </c>
    </row>
    <row r="978">
      <c r="A978" t="inlineStr">
        <is>
          <t>Boss-Only Total DPS (this block's swept value)</t>
        </is>
      </c>
      <c r="B978">
        <f>SUM(T947:T967)</f>
        <v/>
      </c>
    </row>
    <row r="979">
      <c r="A979" t="inlineStr">
        <is>
          <t>Normal-Only Total DPS (this block's swept value)</t>
        </is>
      </c>
      <c r="B979">
        <f>SUM(V947:V967)</f>
        <v/>
      </c>
    </row>
    <row r="980">
      <c r="A980" s="6" t="inlineStr">
        <is>
          <t>TOTAL DPS</t>
        </is>
      </c>
      <c r="B980" s="6">
        <f>SUM(O947:O967)</f>
        <v/>
      </c>
    </row>
    <row r="983">
      <c r="A983" s="6" t="inlineStr">
        <is>
          <t>Stat: Basic Attack Target Increase (flat)</t>
        </is>
      </c>
    </row>
    <row r="984">
      <c r="A984" s="5" t="inlineStr">
        <is>
          <t>Key</t>
        </is>
      </c>
      <c r="B984" s="5" t="inlineStr">
        <is>
          <t>Name</t>
        </is>
      </c>
      <c r="C984" s="5" t="inlineStr">
        <is>
          <t>Unlocked</t>
        </is>
      </c>
      <c r="D984" s="5" t="inlineStr">
        <is>
          <t>InputLevel</t>
        </is>
      </c>
      <c r="E984" s="5" t="inlineStr">
        <is>
          <t>Factor</t>
        </is>
      </c>
      <c r="F984" s="5" t="inlineStr">
        <is>
          <t>CoefficientPercent</t>
        </is>
      </c>
      <c r="G984" s="5" t="inlineStr">
        <is>
          <t>EffectiveHits</t>
        </is>
      </c>
      <c r="H984" s="5" t="inlineStr">
        <is>
          <t>ProcProbability</t>
        </is>
      </c>
      <c r="I984" s="5" t="inlineStr">
        <is>
          <t>MapleHeroMultiplier</t>
        </is>
      </c>
      <c r="J984" s="5" t="inlineStr">
        <is>
          <t>BaseDamage</t>
        </is>
      </c>
      <c r="K984" s="5" t="inlineStr">
        <is>
          <t>BaseHitDamage</t>
        </is>
      </c>
      <c r="L984" s="5" t="inlineStr">
        <is>
          <t>NonCritAvg</t>
        </is>
      </c>
      <c r="M984" s="5" t="inlineStr">
        <is>
          <t>CritAvg</t>
        </is>
      </c>
      <c r="N984" s="5" t="inlineStr">
        <is>
          <t>ExpectedDamage(perHit)</t>
        </is>
      </c>
      <c r="O984" s="5" t="inlineStr">
        <is>
          <t>DPS</t>
        </is>
      </c>
      <c r="P984" s="5" t="inlineStr">
        <is>
          <t>% of Total</t>
        </is>
      </c>
      <c r="Q984" s="5" t="inlineStr">
        <is>
          <t>InvCooldown</t>
        </is>
      </c>
      <c r="R984" s="5" t="inlineStr">
        <is>
          <t>CastsInFight</t>
        </is>
      </c>
      <c r="S984" s="5" t="inlineStr">
        <is>
          <t>HitRate(perSec)</t>
        </is>
      </c>
      <c r="U984" t="inlineStr">
        <is>
          <t>helpers</t>
        </is>
      </c>
    </row>
    <row r="985">
      <c r="A985">
        <f>Skills!A2</f>
        <v/>
      </c>
      <c r="B985">
        <f>Skills!B2</f>
        <v/>
      </c>
      <c r="C985">
        <f>Inputs!$B$3&gt;=100</f>
        <v/>
      </c>
      <c r="D985" t="inlineStr"/>
      <c r="E985" t="inlineStr"/>
      <c r="F985">
        <f>U987+Skills!O2</f>
        <v/>
      </c>
      <c r="G985">
        <f>Skills!G2*IF(Skills!H2&gt;0,Skills!I2/Skills!H2,1)</f>
        <v/>
      </c>
      <c r="H985">
        <f>1-(1-Skills!J2/100)^Skills!K2</f>
        <v/>
      </c>
      <c r="I985" t="inlineStr">
        <is>
          <t>1</t>
        </is>
      </c>
      <c r="J985">
        <f>((Inputs!$B$6*(1+Inputs!$B$7/100))+(((Inputs!$B$12*(1+Inputs!$B$13/100))-(Inputs!$B$12*(1+Inputs!$B$13/100)))+0.25*(Inputs!$B$14-Inputs!$B$14))*(1+Inputs!$B$7/100))*(F985/100)</f>
        <v/>
      </c>
      <c r="K985">
        <f>J985*(1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985)</f>
        <v/>
      </c>
      <c r="L985">
        <f>K985*(MIN(Inputs!$B$22+((C1003=TRUE)*(F1003-Calc!F20)),(Inputs!$B$23+0+(IF(ArtifactsInput!$M$15,CHOOSE(ArtifactsInput!$N$15+1,25,30,35,40,45,50)/100*(Inputs!$B$11-Inputs!$B$11),0))))/100+(Inputs!$B$23+0+(IF(ArtifactsInput!$M$15,CHOOSE(ArtifactsInput!$N$15+1,25,30,35,40,45,50)/100*(Inputs!$B$11-Inputs!$B$11),0)))/100)/2</f>
        <v/>
      </c>
      <c r="M985">
        <f>L985*(1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5">
        <f>L985*(1-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985*(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5">
        <f>(1-Summary!$B$11)*T985+Summary!$B$11*V985</f>
        <v/>
      </c>
      <c r="P985">
        <f>IF(B1018=0,0,O985/B1018)</f>
        <v/>
      </c>
      <c r="Q985" t="n">
        <v>0</v>
      </c>
      <c r="R985" t="n">
        <v>0</v>
      </c>
      <c r="S985">
        <f>IFERROR(O985/N985,0)</f>
        <v/>
      </c>
      <c r="T985">
        <f>IF(C985,(Skills!G2*N985*B1012)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985*(1-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985*(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985*(1-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985*(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5">
        <f>MAX(0,(Inputs!$B$3-100)*3)+Inputs!$B$28+Inputs!$B$29</f>
        <v/>
      </c>
      <c r="V985">
        <f>IF(C985,(Skills!G2*N985*B1012)*IF(Inputs!$B$38="pvp",1,(1+(Inputs!$B$21+Skills!Q2+(IF(ArtifactsInput!$M$33,CHOOSE(ArtifactsInput!$N$33+1,30,36,42,48,54,60),0))+(IF(AND(ArtifactsInput!$M$35,Inputs!$B$4&lt;&gt;"Chapter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6">
      <c r="A986">
        <f>Skills!A3</f>
        <v/>
      </c>
      <c r="B986">
        <f>Skills!B3</f>
        <v/>
      </c>
      <c r="C986">
        <f>Inputs!$B$3&gt;=35</f>
        <v/>
      </c>
      <c r="D986">
        <f>IF(Skills!C3=1,60+Inputs!$B$25+Inputs!$B$29,IF(Skills!C3=2,90+Inputs!$B$26+Inputs!$B$29,IF(Skills!C3=3,120+Inputs!$B$27+Inputs!$B$29,MAX(0,(Inputs!$B$3-100)*3)+Inputs!$B$28+Inputs!$B$29)))</f>
        <v/>
      </c>
      <c r="E986">
        <f>INDEX(FactorTable!$B$2:$Y$301, MATCH(ROUND(MIN(300,MAX(1,D986)),0), FactorTable!$A$2:$A$301,0), Skills!M3+1)</f>
        <v/>
      </c>
      <c r="F986">
        <f>IF(Skills!N3=TRUE,(Skills!L3/10)*(E986/1000),Skills!L3/10)+Skills!O3</f>
        <v/>
      </c>
      <c r="G986">
        <f>Skills!G3*IF(Skills!H3&gt;0,Skills!I3/Skills!H3,1)</f>
        <v/>
      </c>
      <c r="H986">
        <f>1-(1-Skills!J3/100)^Skills!K3</f>
        <v/>
      </c>
      <c r="I986" t="inlineStr">
        <is>
          <t>1</t>
        </is>
      </c>
      <c r="J986">
        <f>((Inputs!$B$6*(1+Inputs!$B$7/100))+(((Inputs!$B$12*(1+Inputs!$B$13/100))-(Inputs!$B$12*(1+Inputs!$B$13/100)))+0.25*(Inputs!$B$14-Inputs!$B$14))*(1+Inputs!$B$7/100))*(F986/100)</f>
        <v/>
      </c>
      <c r="K986">
        <f>J986*(1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986)</f>
        <v/>
      </c>
      <c r="L986">
        <f>K986*(MIN(Inputs!$B$22+((C1003=TRUE)*(F1003-Calc!F20)),(Inputs!$B$23+0+(IF(ArtifactsInput!$M$15,CHOOSE(ArtifactsInput!$N$15+1,25,30,35,40,45,50)/100*(Inputs!$B$11-Inputs!$B$11),0))))/100+(Inputs!$B$23+0+(IF(ArtifactsInput!$M$15,CHOOSE(ArtifactsInput!$N$15+1,25,30,35,40,45,50)/100*(Inputs!$B$11-Inputs!$B$11),0)))/100)/2</f>
        <v/>
      </c>
      <c r="M986">
        <f>L986*(1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6">
        <f>L986*(1-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986*(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6">
        <f>(1-Summary!$B$11)*T986+Summary!$B$11*V986</f>
        <v/>
      </c>
      <c r="P986">
        <f>IF(B1018=0,0,O986/B1018)</f>
        <v/>
      </c>
      <c r="Q986" t="n">
        <v>0</v>
      </c>
      <c r="R986" t="n">
        <v>0</v>
      </c>
      <c r="S986">
        <f>IFERROR(O986/N986,0)</f>
        <v/>
      </c>
      <c r="T986">
        <f>IF(C986,(Skills!G3*H986*N986*B1012)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986*(1-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986*(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986*(1-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986*(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6">
        <f>INDEX(FactorTable!$B$2:$Y$301, MATCH(ROUND(MIN(300,MAX(1,U985)),0), FactorTable!$A$2:$A$301,0), 22)</f>
        <v/>
      </c>
      <c r="V986">
        <f>IF(C986,(Skills!G3*H986*N986*B1012)*IF(Inputs!$B$38="pvp",1,(1+(Inputs!$B$21+Skills!Q3+(IF(ArtifactsInput!$M$33,CHOOSE(ArtifactsInput!$N$33+1,30,36,42,48,54,60),0))+(IF(AND(ArtifactsInput!$M$35,Inputs!$B$4&lt;&gt;"Chapter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7">
      <c r="A987">
        <f>Skills!A4</f>
        <v/>
      </c>
      <c r="B987">
        <f>Skills!B4</f>
        <v/>
      </c>
      <c r="C987">
        <f>Inputs!$B$3&gt;=60</f>
        <v/>
      </c>
      <c r="D987">
        <f>IF(Skills!C4=1,60+Inputs!$B$25+Inputs!$B$29,IF(Skills!C4=2,90+Inputs!$B$26+Inputs!$B$29,IF(Skills!C4=3,120+Inputs!$B$27+Inputs!$B$29,MAX(0,(Inputs!$B$3-100)*3)+Inputs!$B$28+Inputs!$B$29)))</f>
        <v/>
      </c>
      <c r="E987">
        <f>INDEX(FactorTable!$B$2:$Y$301, MATCH(ROUND(MIN(300,MAX(1,D987)),0), FactorTable!$A$2:$A$301,0), Skills!M4+1)</f>
        <v/>
      </c>
      <c r="F987">
        <f>IF(Skills!N4=TRUE,(Skills!L4/10)*(E987/1000),Skills!L4/10)+Skills!O4</f>
        <v/>
      </c>
      <c r="G987">
        <f>Skills!G4*IF(Skills!H4&gt;0,Skills!I4/Skills!H4,1)</f>
        <v/>
      </c>
      <c r="H987">
        <f>1-(1-Skills!J4/100)^Skills!K4</f>
        <v/>
      </c>
      <c r="I987" t="inlineStr">
        <is>
          <t>1</t>
        </is>
      </c>
      <c r="J987">
        <f>((Inputs!$B$6*(1+Inputs!$B$7/100))+(((Inputs!$B$12*(1+Inputs!$B$13/100))-(Inputs!$B$12*(1+Inputs!$B$13/100)))+0.25*(Inputs!$B$14-Inputs!$B$14))*(1+Inputs!$B$7/100))*(F987/100)</f>
        <v/>
      </c>
      <c r="K987">
        <f>J987*(1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995=TRUE,F995,0)/100)*(1+(IF(Skills!A4="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987)</f>
        <v/>
      </c>
      <c r="L987">
        <f>K987*(MIN(Inputs!$B$22+((C1003=TRUE)*(F1003-Calc!F20)),(Inputs!$B$23+0+(IF(ArtifactsInput!$M$15,CHOOSE(ArtifactsInput!$N$15+1,25,30,35,40,45,50)/100*(Inputs!$B$11-Inputs!$B$11),0))))/100+(Inputs!$B$23+0+(IF(ArtifactsInput!$M$15,CHOOSE(ArtifactsInput!$N$15+1,25,30,35,40,45,50)/100*(Inputs!$B$11-Inputs!$B$11),0)))/100)/2</f>
        <v/>
      </c>
      <c r="M987">
        <f>L987*(1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7">
        <f>L987*(1-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987*(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7">
        <f>(1-Summary!$B$11)*T987+Summary!$B$11*V987</f>
        <v/>
      </c>
      <c r="P987">
        <f>IF(B1018=0,0,O987/B1018)</f>
        <v/>
      </c>
      <c r="Q987" t="n">
        <v>0</v>
      </c>
      <c r="R987" t="n">
        <v>0</v>
      </c>
      <c r="S987">
        <f>IFERROR(O987/N987,0)</f>
        <v/>
      </c>
      <c r="T987">
        <f>IF(C987,(Skills!G4*H987*N987*B1012)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987*(1-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987*(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987*(1-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987*(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7">
        <f>290*U986/1000</f>
        <v/>
      </c>
      <c r="V987">
        <f>IF(C987,(Skills!G4*H987*N987*B1012)*IF(Inputs!$B$38="pvp",1,(1+(Inputs!$B$21+Skills!Q4+(IF(ArtifactsInput!$M$33,CHOOSE(ArtifactsInput!$N$33+1,30,36,42,48,54,60),0))+(IF(AND(ArtifactsInput!$M$35,Inputs!$B$4&lt;&gt;"Chapter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8">
      <c r="A988">
        <f>Skills!A5</f>
        <v/>
      </c>
      <c r="B988">
        <f>Skills!B5</f>
        <v/>
      </c>
      <c r="C988">
        <f>Inputs!$B$3&gt;=60</f>
        <v/>
      </c>
      <c r="D988">
        <f>IF(Skills!C5=1,60+Inputs!$B$25+Inputs!$B$29,IF(Skills!C5=2,90+Inputs!$B$26+Inputs!$B$29,IF(Skills!C5=3,120+Inputs!$B$27+Inputs!$B$29,MAX(0,(Inputs!$B$3-100)*3)+Inputs!$B$28+Inputs!$B$29)))</f>
        <v/>
      </c>
      <c r="E988">
        <f>INDEX(FactorTable!$B$2:$Y$301, MATCH(ROUND(MIN(300,MAX(1,D988)),0), FactorTable!$A$2:$A$301,0), Skills!M5+1)</f>
        <v/>
      </c>
      <c r="F988">
        <f>IF(Skills!N5=TRUE,(Skills!L5/10)*(E988/1000),Skills!L5/10)+Skills!O5</f>
        <v/>
      </c>
      <c r="G988">
        <f>Skills!G5*IF(Skills!H5&gt;0,Skills!I5/Skills!H5,1)</f>
        <v/>
      </c>
      <c r="H988">
        <f>1-(1-Skills!J5/100)^Skills!K5</f>
        <v/>
      </c>
      <c r="I988" t="inlineStr">
        <is>
          <t>1</t>
        </is>
      </c>
      <c r="J988" t="inlineStr"/>
      <c r="K988" t="inlineStr"/>
      <c r="L988" t="inlineStr"/>
      <c r="M988" t="inlineStr"/>
      <c r="N988" t="inlineStr"/>
      <c r="O988">
        <f>(1-Summary!$B$11)*T988+Summary!$B$11*V988</f>
        <v/>
      </c>
      <c r="P988">
        <f>IF(B1018=0,0,O988/B1018)</f>
        <v/>
      </c>
      <c r="Q988" t="n">
        <v>0</v>
      </c>
      <c r="R988" t="n">
        <v>0</v>
      </c>
      <c r="S988">
        <f>IFERROR(O988/N988,0)</f>
        <v/>
      </c>
      <c r="T988" t="n">
        <v>0</v>
      </c>
      <c r="V988" t="n">
        <v>0</v>
      </c>
    </row>
    <row r="989">
      <c r="A989">
        <f>Skills!A6</f>
        <v/>
      </c>
      <c r="B989">
        <f>Skills!B6</f>
        <v/>
      </c>
      <c r="C989">
        <f>Inputs!$B$3&gt;=63</f>
        <v/>
      </c>
      <c r="D989">
        <f>IF(Skills!C6=1,60+Inputs!$B$25+Inputs!$B$29,IF(Skills!C6=2,90+Inputs!$B$26+Inputs!$B$29,IF(Skills!C6=3,120+Inputs!$B$27+Inputs!$B$29,MAX(0,(Inputs!$B$3-100)*3)+Inputs!$B$28+Inputs!$B$29)))</f>
        <v/>
      </c>
      <c r="E989">
        <f>INDEX(FactorTable!$B$2:$Y$301, MATCH(ROUND(MIN(300,MAX(1,D989)),0), FactorTable!$A$2:$A$301,0), Skills!M6+1)</f>
        <v/>
      </c>
      <c r="F989">
        <f>IF(Skills!N6=TRUE,(Skills!L6/10)*(E989/1000),Skills!L6/10)+Skills!O6</f>
        <v/>
      </c>
      <c r="G989">
        <f>Skills!G6*IF(Skills!H6&gt;0,Skills!I6/Skills!H6,1)</f>
        <v/>
      </c>
      <c r="H989">
        <f>1-(1-Skills!J6/100)^Skills!K6</f>
        <v/>
      </c>
      <c r="I989" t="inlineStr">
        <is>
          <t>1</t>
        </is>
      </c>
      <c r="J989">
        <f>((Inputs!$B$6*(1+Inputs!$B$7/100))+(((Inputs!$B$12*(1+Inputs!$B$13/100))-(Inputs!$B$12*(1+Inputs!$B$13/100)))+0.25*(Inputs!$B$14-Inputs!$B$14))*(1+Inputs!$B$7/100))*(F989/100)</f>
        <v/>
      </c>
      <c r="K989">
        <f>J989*(1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989)</f>
        <v/>
      </c>
      <c r="L989">
        <f>K989*(MIN(Inputs!$B$22+((C1003=TRUE)*(F1003-Calc!F20)),(Inputs!$B$23+0+(IF(ArtifactsInput!$M$15,CHOOSE(ArtifactsInput!$N$15+1,25,30,35,40,45,50)/100*(Inputs!$B$11-Inputs!$B$11),0))))/100+(Inputs!$B$23+0+(IF(ArtifactsInput!$M$15,CHOOSE(ArtifactsInput!$N$15+1,25,30,35,40,45,50)/100*(Inputs!$B$11-Inputs!$B$11),0)))/100)/2</f>
        <v/>
      </c>
      <c r="M989">
        <f>L989*(1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9">
        <f>L989*(1-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989*(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9">
        <f>(1-Summary!$B$11)*T989+Summary!$B$11*V989</f>
        <v/>
      </c>
      <c r="P989">
        <f>IF(B1018=0,0,O989/B1018)</f>
        <v/>
      </c>
      <c r="Q989">
        <f>IFERROR(1/(IF(Inputs!$B$38="pvp",15,MAX(0.1,Skills!D6-IF(Skills!E6=TRUE,Inputs!$B$32,0)))*(1-IF(AND(ArtifactsInput!$M$27,Inputs!$B$4="Chapter Hunt"),CHOOSE(ArtifactsInput!$N$27+1,20,24,28,32,36,40),0)/100)),0)</f>
        <v/>
      </c>
      <c r="R989">
        <f>IF(AND(Inputs!$B$38&lt;&gt;"pvp",Inputs!$B$43&gt;0),IF(MAX(0,Inputs!$B$43-B1015)&lt;=0,0,(INT(MAX(0,Inputs!$B$43-B1015)/(IF(Inputs!$B$38="pvp",15,MAX(0.1,Skills!D6-IF(Skills!E6=TRUE,Inputs!$B$32,0)))*(1-IF(AND(ArtifactsInput!$M$27,Inputs!$B$4="Chapter Hunt"),CHOOSE(ArtifactsInput!$N$27+1,20,24,28,32,36,40),0)/100)))+1)),0)</f>
        <v/>
      </c>
      <c r="S989">
        <f>IFERROR(O989/N989,0)</f>
        <v/>
      </c>
      <c r="T989">
        <f>IF(C989,(H989*N989*IF(AND(Inputs!$B$38&lt;&gt;"pvp",Inputs!$B$43&gt;0),((Skills!G6*((R989-1)*IF(Skills!H6&gt;0,Skills!I6/Skills!H6,1)+IF(Skills!H6&gt;0,MIN(Skills!I6,MAX(0,MAX(0,Inputs!$B$43-B1015)-((R989-1)*(IF(Inputs!$B$38="pvp",15,MAX(0.1,Skills!D6-IF(Skills!E6=TRUE,Inputs!$B$32,0)))*(1-IF(AND(ArtifactsInput!$M$27,Inputs!$B$4="Chapter Hunt"),CHOOSE(ArtifactsInput!$N$27+1,20,24,28,32,36,40),0)/100)))))/Skills!H6,1)))/Inputs!$B$43),G989*Q989)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989*(1-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989*(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989*(1-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989*(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9">
        <f>IF(C989,(H989*N989*IF(AND(Inputs!$B$38&lt;&gt;"pvp",Inputs!$B$43&gt;0),((Skills!G6*((R989-1)*IF(Skills!H6&gt;0,Skills!I6/Skills!H6,1)+IF(Skills!H6&gt;0,MIN(Skills!I6,MAX(0,MAX(0,Inputs!$B$43-B1015)-((R989-1)*(IF(Inputs!$B$38="pvp",15,MAX(0.1,Skills!D6-IF(Skills!E6=TRUE,Inputs!$B$32,0)))*(1-IF(AND(ArtifactsInput!$M$27,Inputs!$B$4="Chapter Hunt"),CHOOSE(ArtifactsInput!$N$27+1,20,24,28,32,36,40),0)/100)))))/Skills!H6,1)))/Inputs!$B$43),G989*Q989))*IF(Inputs!$B$38="pvp",1,(1+(Inputs!$B$21+Skills!Q6+(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0">
      <c r="A990">
        <f>Skills!A7</f>
        <v/>
      </c>
      <c r="B990">
        <f>Skills!B7</f>
        <v/>
      </c>
      <c r="C990">
        <f>Inputs!$B$3&gt;=100</f>
        <v/>
      </c>
      <c r="D990">
        <f>IF(Skills!C7=1,60+Inputs!$B$25+Inputs!$B$29,IF(Skills!C7=2,90+Inputs!$B$26+Inputs!$B$29,IF(Skills!C7=3,120+Inputs!$B$27+Inputs!$B$29,MAX(0,(Inputs!$B$3-100)*3)+Inputs!$B$28+Inputs!$B$29)))</f>
        <v/>
      </c>
      <c r="E990">
        <f>INDEX(FactorTable!$B$2:$Y$301, MATCH(ROUND(MIN(300,MAX(1,D990)),0), FactorTable!$A$2:$A$301,0), Skills!M7+1)</f>
        <v/>
      </c>
      <c r="F990">
        <f>IF(Skills!N7=TRUE,(Skills!L7/10)*(E990/1000),Skills!L7/10)+Skills!O7</f>
        <v/>
      </c>
      <c r="G990">
        <f>Skills!G7*IF(Skills!H7&gt;0,Skills!I7/Skills!H7,1)</f>
        <v/>
      </c>
      <c r="H990">
        <f>1-(1-Skills!J7/100)^Skills!K7</f>
        <v/>
      </c>
      <c r="I990" t="inlineStr">
        <is>
          <t>1</t>
        </is>
      </c>
      <c r="J990">
        <f>((Inputs!$B$6*(1+Inputs!$B$7/100))+(((Inputs!$B$12*(1+Inputs!$B$13/100))-(Inputs!$B$12*(1+Inputs!$B$13/100)))+0.25*(Inputs!$B$14-Inputs!$B$14))*(1+Inputs!$B$7/100))*(F990/100)</f>
        <v/>
      </c>
      <c r="K990">
        <f>J990*(1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990)</f>
        <v/>
      </c>
      <c r="L990">
        <f>K990*(MIN(Inputs!$B$22+((C1003=TRUE)*(F1003-Calc!F20)),(Inputs!$B$23+0+(IF(ArtifactsInput!$M$15,CHOOSE(ArtifactsInput!$N$15+1,25,30,35,40,45,50)/100*(Inputs!$B$11-Inputs!$B$11),0))))/100+(Inputs!$B$23+0+(IF(ArtifactsInput!$M$15,CHOOSE(ArtifactsInput!$N$15+1,25,30,35,40,45,50)/100*(Inputs!$B$11-Inputs!$B$11),0)))/100)/2</f>
        <v/>
      </c>
      <c r="M990">
        <f>L990*(1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0">
        <f>L990*(1-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990*(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0">
        <f>(1-Summary!$B$11)*T990+Summary!$B$11*V990</f>
        <v/>
      </c>
      <c r="P990">
        <f>IF(B1018=0,0,O990/B1018)</f>
        <v/>
      </c>
      <c r="Q990">
        <f>IFERROR(1/(IF(Inputs!$B$38="pvp",15,MAX(0.1,Skills!D7-IF(Skills!E7=TRUE,Inputs!$B$32,0)))*(1-IF(AND(ArtifactsInput!$M$27,Inputs!$B$4="Chapter Hunt"),CHOOSE(ArtifactsInput!$N$27+1,20,24,28,32,36,40),0)/100)),0)</f>
        <v/>
      </c>
      <c r="R990">
        <f>IF(AND(Inputs!$B$38&lt;&gt;"pvp",Inputs!$B$43&gt;0),IF(MAX(0,Inputs!$B$43-B1015)&lt;=0,0,(INT(MAX(0,Inputs!$B$43-B1015)/(IF(Inputs!$B$38="pvp",15,MAX(0.1,Skills!D7-IF(Skills!E7=TRUE,Inputs!$B$32,0)))*(1-IF(AND(ArtifactsInput!$M$27,Inputs!$B$4="Chapter Hunt"),CHOOSE(ArtifactsInput!$N$27+1,20,24,28,32,36,40),0)/100)))+1)),0)</f>
        <v/>
      </c>
      <c r="S990">
        <f>IFERROR(O990/N990,0)</f>
        <v/>
      </c>
      <c r="T990">
        <f>IF(C990,(H990*N990*IF(AND(Inputs!$B$38&lt;&gt;"pvp",Inputs!$B$43&gt;0),((Skills!G7*((R990-1)*IF(Skills!H7&gt;0,Skills!I7/Skills!H7,1)+IF(Skills!H7&gt;0,MIN(Skills!I7,MAX(0,MAX(0,Inputs!$B$43-B1015)-((R990-1)*(IF(Inputs!$B$38="pvp",15,MAX(0.1,Skills!D7-IF(Skills!E7=TRUE,Inputs!$B$32,0)))*(1-IF(AND(ArtifactsInput!$M$27,Inputs!$B$4="Chapter Hunt"),CHOOSE(ArtifactsInput!$N$27+1,20,24,28,32,36,40),0)/100)))))/Skills!H7,1)))/Inputs!$B$43),G990*Q990)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990*(1-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990*(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990*(1-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990*(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0">
        <f>IF(C990,(H990*N990*IF(AND(Inputs!$B$38&lt;&gt;"pvp",Inputs!$B$43&gt;0),((Skills!G7*((R990-1)*IF(Skills!H7&gt;0,Skills!I7/Skills!H7,1)+IF(Skills!H7&gt;0,MIN(Skills!I7,MAX(0,MAX(0,Inputs!$B$43-B1015)-((R990-1)*(IF(Inputs!$B$38="pvp",15,MAX(0.1,Skills!D7-IF(Skills!E7=TRUE,Inputs!$B$32,0)))*(1-IF(AND(ArtifactsInput!$M$27,Inputs!$B$4="Chapter Hunt"),CHOOSE(ArtifactsInput!$N$27+1,20,24,28,32,36,40),0)/100)))))/Skills!H7,1)))/Inputs!$B$43),G990*Q990))*IF(Inputs!$B$38="pvp",1,(1+(Inputs!$B$21+Skills!Q7+(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1">
      <c r="A991">
        <f>Skills!A8</f>
        <v/>
      </c>
      <c r="B991">
        <f>Skills!B8</f>
        <v/>
      </c>
      <c r="C991">
        <f>Inputs!$B$3&gt;=110</f>
        <v/>
      </c>
      <c r="D991">
        <f>IF(Skills!C8=1,60+Inputs!$B$25+Inputs!$B$29,IF(Skills!C8=2,90+Inputs!$B$26+Inputs!$B$29,IF(Skills!C8=3,120+Inputs!$B$27+Inputs!$B$29,MAX(0,(Inputs!$B$3-100)*3)+Inputs!$B$28+Inputs!$B$29)))</f>
        <v/>
      </c>
      <c r="E991">
        <f>INDEX(FactorTable!$B$2:$Y$301, MATCH(ROUND(MIN(300,MAX(1,D991)),0), FactorTable!$A$2:$A$301,0), Skills!M8+1)</f>
        <v/>
      </c>
      <c r="F991">
        <f>IF(Skills!N8=TRUE,(Skills!L8/10)*(E991/1000),Skills!L8/10)+Skills!O8</f>
        <v/>
      </c>
      <c r="G991">
        <f>Skills!G8*IF(Skills!H8&gt;0,Skills!I8/Skills!H8,1)</f>
        <v/>
      </c>
      <c r="H991">
        <f>1-(1-Skills!J8/100)^Skills!K8</f>
        <v/>
      </c>
      <c r="I991" t="inlineStr">
        <is>
          <t>1</t>
        </is>
      </c>
      <c r="J991">
        <f>((Inputs!$B$6*(1+Inputs!$B$7/100))+(((Inputs!$B$12*(1+Inputs!$B$13/100))-(Inputs!$B$12*(1+Inputs!$B$13/100)))+0.25*(Inputs!$B$14-Inputs!$B$14))*(1+Inputs!$B$7/100))*(F991/100)</f>
        <v/>
      </c>
      <c r="K991">
        <f>J991*(1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991)</f>
        <v/>
      </c>
      <c r="L991">
        <f>K991*(MIN(Inputs!$B$22+((C1003=TRUE)*(F1003-Calc!F20)),(Inputs!$B$23+0+(IF(ArtifactsInput!$M$15,CHOOSE(ArtifactsInput!$N$15+1,25,30,35,40,45,50)/100*(Inputs!$B$11-Inputs!$B$11),0))))/100+(Inputs!$B$23+0+(IF(ArtifactsInput!$M$15,CHOOSE(ArtifactsInput!$N$15+1,25,30,35,40,45,50)/100*(Inputs!$B$11-Inputs!$B$11),0)))/100)/2</f>
        <v/>
      </c>
      <c r="M991">
        <f>L991*(1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1">
        <f>L991*(1-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1">
        <f>(1-Summary!$B$11)*T991+Summary!$B$11*V991</f>
        <v/>
      </c>
      <c r="P991">
        <f>IF(B1018=0,0,O991/B1018)</f>
        <v/>
      </c>
      <c r="Q991">
        <f>IFERROR(1/(IF(Inputs!$B$38="pvp",15,MAX(0.1,Skills!D8-IF(Skills!E8=TRUE,Inputs!$B$32,0)))*(1-IF(AND(ArtifactsInput!$M$27,Inputs!$B$4="Chapter Hunt"),CHOOSE(ArtifactsInput!$N$27+1,20,24,28,32,36,40),0)/100)),0)</f>
        <v/>
      </c>
      <c r="R991">
        <f>IF(AND(Inputs!$B$38&lt;&gt;"pvp",Inputs!$B$43&gt;0),IF(MAX(0,Inputs!$B$43-B1015)&lt;=0,0,(INT(MAX(0,Inputs!$B$43-B1015)/(IF(Inputs!$B$38="pvp",15,MAX(0.1,Skills!D8-IF(Skills!E8=TRUE,Inputs!$B$32,0)))*(1-IF(AND(ArtifactsInput!$M$27,Inputs!$B$4="Chapter Hunt"),CHOOSE(ArtifactsInput!$N$27+1,20,24,28,32,36,40),0)/100)))+1)),0)</f>
        <v/>
      </c>
      <c r="S991">
        <f>IFERROR(O991/N991,0)</f>
        <v/>
      </c>
      <c r="T991">
        <f>IF(C991,(H991*N991*IF(AND(Inputs!$B$38&lt;&gt;"pvp",Inputs!$B$43&gt;0),((Skills!G8*((R991-1)*IF(Skills!H8&gt;0,Skills!I8/Skills!H8,1)+IF(Skills!H8&gt;0,MIN(Skills!I8,MAX(0,MAX(0,Inputs!$B$43-B1015)-((R991-1)*(IF(Inputs!$B$38="pvp",15,MAX(0.1,Skills!D8-IF(Skills!E8=TRUE,Inputs!$B$32,0)))*(1-IF(AND(ArtifactsInput!$M$27,Inputs!$B$4="Chapter Hunt"),CHOOSE(ArtifactsInput!$N$27+1,20,24,28,32,36,40),0)/100)))))/Skills!H8,1)))/Inputs!$B$43),G991*Q991)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991*(1-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991*(1-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1">
        <f>IF(C991,(H991*N991*IF(AND(Inputs!$B$38&lt;&gt;"pvp",Inputs!$B$43&gt;0),((Skills!G8*((R991-1)*IF(Skills!H8&gt;0,Skills!I8/Skills!H8,1)+IF(Skills!H8&gt;0,MIN(Skills!I8,MAX(0,MAX(0,Inputs!$B$43-B1015)-((R991-1)*(IF(Inputs!$B$38="pvp",15,MAX(0.1,Skills!D8-IF(Skills!E8=TRUE,Inputs!$B$32,0)))*(1-IF(AND(ArtifactsInput!$M$27,Inputs!$B$4="Chapter Hunt"),CHOOSE(ArtifactsInput!$N$27+1,20,24,28,32,36,40),0)/100)))))/Skills!H8,1)))/Inputs!$B$43),G991*Q991))*IF(Inputs!$B$38="pvp",1,(1+(Inputs!$B$21+Skills!Q8+(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2">
      <c r="A992">
        <f>Skills!A9</f>
        <v/>
      </c>
      <c r="B992">
        <f>Skills!B9</f>
        <v/>
      </c>
      <c r="C992">
        <f>Inputs!$B$3&gt;=110</f>
        <v/>
      </c>
      <c r="D992">
        <f>IF(Skills!C9=1,60+Inputs!$B$25+Inputs!$B$29,IF(Skills!C9=2,90+Inputs!$B$26+Inputs!$B$29,IF(Skills!C9=3,120+Inputs!$B$27+Inputs!$B$29,MAX(0,(Inputs!$B$3-100)*3)+Inputs!$B$28+Inputs!$B$29)))</f>
        <v/>
      </c>
      <c r="E992">
        <f>INDEX(FactorTable!$B$2:$Y$301, MATCH(ROUND(MIN(300,MAX(1,D992)),0), FactorTable!$A$2:$A$301,0), Skills!M9+1)</f>
        <v/>
      </c>
      <c r="F992">
        <f>IF(Skills!N9=TRUE,(Skills!L9/10)*(E992/1000),Skills!L9/10)+Skills!O9</f>
        <v/>
      </c>
      <c r="G992">
        <f>Skills!G9*IF(Skills!H9&gt;0,Skills!I9/Skills!H9,1)</f>
        <v/>
      </c>
      <c r="H992">
        <f>1-(1-Skills!J9/100)^Skills!K9</f>
        <v/>
      </c>
      <c r="I992" t="inlineStr">
        <is>
          <t>1</t>
        </is>
      </c>
      <c r="J992">
        <f>((Inputs!$B$6*(1+Inputs!$B$7/100))+(((Inputs!$B$12*(1+Inputs!$B$13/100))-(Inputs!$B$12*(1+Inputs!$B$13/100)))+0.25*(Inputs!$B$14-Inputs!$B$14))*(1+Inputs!$B$7/100))*(F992/100)</f>
        <v/>
      </c>
      <c r="K992">
        <f>J992*(1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992)</f>
        <v/>
      </c>
      <c r="L992">
        <f>K992*(MIN(Inputs!$B$22+((C1003=TRUE)*(F1003-Calc!F20)),(Inputs!$B$23+0+(IF(ArtifactsInput!$M$15,CHOOSE(ArtifactsInput!$N$15+1,25,30,35,40,45,50)/100*(Inputs!$B$11-Inputs!$B$11),0))))/100+(Inputs!$B$23+0+(IF(ArtifactsInput!$M$15,CHOOSE(ArtifactsInput!$N$15+1,25,30,35,40,45,50)/100*(Inputs!$B$11-Inputs!$B$11),0)))/100)/2</f>
        <v/>
      </c>
      <c r="M992">
        <f>L992*(1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2">
        <f>L992*(1-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992*(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2">
        <f>(1-Summary!$B$11)*T992+Summary!$B$11*V992</f>
        <v/>
      </c>
      <c r="P992">
        <f>IF(B1018=0,0,O992/B1018)</f>
        <v/>
      </c>
      <c r="Q992">
        <f>IFERROR(1/(IF(Inputs!$B$38="pvp",15,MAX(0.1,Skills!D9-IF(Skills!E9=TRUE,Inputs!$B$32,0)))*(1-IF(AND(ArtifactsInput!$M$27,Inputs!$B$4="Chapter Hunt"),CHOOSE(ArtifactsInput!$N$27+1,20,24,28,32,36,40),0)/100)),0)</f>
        <v/>
      </c>
      <c r="R992">
        <f>IF(AND(Inputs!$B$38&lt;&gt;"pvp",Inputs!$B$43&gt;0),IF(MAX(0,Inputs!$B$43-B1015)&lt;=0,0,(INT(MAX(0,Inputs!$B$43-B1015)/(IF(Inputs!$B$38="pvp",15,MAX(0.1,Skills!D9-IF(Skills!E9=TRUE,Inputs!$B$32,0)))*(1-IF(AND(ArtifactsInput!$M$27,Inputs!$B$4="Chapter Hunt"),CHOOSE(ArtifactsInput!$N$27+1,20,24,28,32,36,40),0)/100)))+1)),0)</f>
        <v/>
      </c>
      <c r="S992">
        <f>IFERROR(O992/N992,0)</f>
        <v/>
      </c>
      <c r="T992">
        <f>IF(C992,(H992*N992*IF(AND(Inputs!$B$38&lt;&gt;"pvp",Inputs!$B$43&gt;0),((Skills!G9*((R992-1)*IF(Skills!H9&gt;0,Skills!I9/Skills!H9,1)+IF(Skills!H9&gt;0,MIN(Skills!I9,MAX(0,MAX(0,Inputs!$B$43-B1015)-((R992-1)*(IF(Inputs!$B$38="pvp",15,MAX(0.1,Skills!D9-IF(Skills!E9=TRUE,Inputs!$B$32,0)))*(1-IF(AND(ArtifactsInput!$M$27,Inputs!$B$4="Chapter Hunt"),CHOOSE(ArtifactsInput!$N$27+1,20,24,28,32,36,40),0)/100)))))/Skills!H9,1)))/Inputs!$B$43),G992*Q992)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992*(1-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992*(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992*(1-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992*(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2">
        <f>IF(C992,(H992*N992*IF(AND(Inputs!$B$38&lt;&gt;"pvp",Inputs!$B$43&gt;0),((Skills!G9*((R992-1)*IF(Skills!H9&gt;0,Skills!I9/Skills!H9,1)+IF(Skills!H9&gt;0,MIN(Skills!I9,MAX(0,MAX(0,Inputs!$B$43-B1015)-((R992-1)*(IF(Inputs!$B$38="pvp",15,MAX(0.1,Skills!D9-IF(Skills!E9=TRUE,Inputs!$B$32,0)))*(1-IF(AND(ArtifactsInput!$M$27,Inputs!$B$4="Chapter Hunt"),CHOOSE(ArtifactsInput!$N$27+1,20,24,28,32,36,40),0)/100)))))/Skills!H9,1)))/Inputs!$B$43),G992*Q992))*IF(Inputs!$B$38="pvp",1,(1+(Inputs!$B$21+Skills!Q9+(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3">
      <c r="A993">
        <f>Skills!A10</f>
        <v/>
      </c>
      <c r="B993">
        <f>Skills!B10</f>
        <v/>
      </c>
      <c r="C993">
        <f>Inputs!$B$3&gt;=103</f>
        <v/>
      </c>
      <c r="D993">
        <f>IF(Skills!C10=1,60+Inputs!$B$25+Inputs!$B$29,IF(Skills!C10=2,90+Inputs!$B$26+Inputs!$B$29,IF(Skills!C10=3,120+Inputs!$B$27+Inputs!$B$29,MAX(0,(Inputs!$B$3-100)*3)+Inputs!$B$28+Inputs!$B$29)))</f>
        <v/>
      </c>
      <c r="E993">
        <f>INDEX(FactorTable!$B$2:$Y$301, MATCH(ROUND(MIN(300,MAX(1,D993)),0), FactorTable!$A$2:$A$301,0), Skills!M10+1)</f>
        <v/>
      </c>
      <c r="F993">
        <f>IF(Skills!N10=TRUE,(Skills!L10/10)*(E993/1000),Skills!L10/10)+Skills!O10</f>
        <v/>
      </c>
      <c r="G993">
        <f>Skills!G10*IF(Skills!H10&gt;0,Skills!I10/Skills!H10,1)</f>
        <v/>
      </c>
      <c r="H993">
        <f>1-(1-Skills!J10/100)^Skills!K10</f>
        <v/>
      </c>
      <c r="I993" t="inlineStr">
        <is>
          <t>1</t>
        </is>
      </c>
      <c r="J993">
        <f>((Inputs!$B$6*(1+Inputs!$B$7/100))+(((Inputs!$B$12*(1+Inputs!$B$13/100))-(Inputs!$B$12*(1+Inputs!$B$13/100)))+0.25*(Inputs!$B$14-Inputs!$B$14))*(1+Inputs!$B$7/100))*(F993/100)</f>
        <v/>
      </c>
      <c r="K993">
        <f>J993*(1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993)</f>
        <v/>
      </c>
      <c r="L993">
        <f>K993*(MIN(Inputs!$B$22+((C1003=TRUE)*(F1003-Calc!F20)),(Inputs!$B$23+0+(IF(ArtifactsInput!$M$15,CHOOSE(ArtifactsInput!$N$15+1,25,30,35,40,45,50)/100*(Inputs!$B$11-Inputs!$B$11),0))))/100+(Inputs!$B$23+0+(IF(ArtifactsInput!$M$15,CHOOSE(ArtifactsInput!$N$15+1,25,30,35,40,45,50)/100*(Inputs!$B$11-Inputs!$B$11),0)))/100)/2</f>
        <v/>
      </c>
      <c r="M993">
        <f>L993*(1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3">
        <f>L993*(1-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993*(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3">
        <f>(1-Summary!$B$11)*T993+Summary!$B$11*V993</f>
        <v/>
      </c>
      <c r="P993">
        <f>IF(B1018=0,0,O993/B1018)</f>
        <v/>
      </c>
      <c r="Q993">
        <f>IFERROR(1/(IF(Inputs!$B$38="pvp",15,MAX(0.1,Skills!D10-IF(Skills!E10=TRUE,Inputs!$B$32,0)))*(1-IF(AND(ArtifactsInput!$M$27,Inputs!$B$4="Chapter Hunt"),CHOOSE(ArtifactsInput!$N$27+1,20,24,28,32,36,40),0)/100)),0)</f>
        <v/>
      </c>
      <c r="R993">
        <f>IF(AND(Inputs!$B$38&lt;&gt;"pvp",Inputs!$B$43&gt;0),IF(MAX(0,Inputs!$B$43-B1015)&lt;=0,0,(INT(MAX(0,Inputs!$B$43-B1015)/(IF(Inputs!$B$38="pvp",15,MAX(0.1,Skills!D10-IF(Skills!E10=TRUE,Inputs!$B$32,0)))*(1-IF(AND(ArtifactsInput!$M$27,Inputs!$B$4="Chapter Hunt"),CHOOSE(ArtifactsInput!$N$27+1,20,24,28,32,36,40),0)/100)))+1)),0)</f>
        <v/>
      </c>
      <c r="S993">
        <f>IFERROR(O993/N993,0)</f>
        <v/>
      </c>
      <c r="T993">
        <f>IF(C993,(H993*N993*IF(AND(Inputs!$B$38&lt;&gt;"pvp",Inputs!$B$43&gt;0),((Skills!G10*((R993-1)*IF(Skills!H10&gt;0,Skills!I10/Skills!H10,1)+IF(Skills!H10&gt;0,MIN(Skills!I10,MAX(0,MAX(0,Inputs!$B$43-B1015)-((R993-1)*(IF(Inputs!$B$38="pvp",15,MAX(0.1,Skills!D10-IF(Skills!E10=TRUE,Inputs!$B$32,0)))*(1-IF(AND(ArtifactsInput!$M$27,Inputs!$B$4="Chapter Hunt"),CHOOSE(ArtifactsInput!$N$27+1,20,24,28,32,36,40),0)/100)))))/Skills!H10,1)))/Inputs!$B$43),G993*Q993)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993*(1-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993*(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993*(1-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993*(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3">
        <f>IF(C993,(H993*N993*IF(AND(Inputs!$B$38&lt;&gt;"pvp",Inputs!$B$43&gt;0),((Skills!G10*((R993-1)*IF(Skills!H10&gt;0,Skills!I10/Skills!H10,1)+IF(Skills!H10&gt;0,MIN(Skills!I10,MAX(0,MAX(0,Inputs!$B$43-B1015)-((R993-1)*(IF(Inputs!$B$38="pvp",15,MAX(0.1,Skills!D10-IF(Skills!E10=TRUE,Inputs!$B$32,0)))*(1-IF(AND(ArtifactsInput!$M$27,Inputs!$B$4="Chapter Hunt"),CHOOSE(ArtifactsInput!$N$27+1,20,24,28,32,36,40),0)/100)))))/Skills!H10,1)))/Inputs!$B$43),G993*Q993))*IF(Inputs!$B$38="pvp",1,(1+(Inputs!$B$21+Skills!Q10+(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4">
      <c r="A994">
        <f>Skills!A11</f>
        <v/>
      </c>
      <c r="B994">
        <f>Skills!B11</f>
        <v/>
      </c>
      <c r="C994">
        <f>Inputs!$B$3&gt;=113</f>
        <v/>
      </c>
      <c r="D994">
        <f>IF(Skills!C11=1,60+Inputs!$B$25+Inputs!$B$29,IF(Skills!C11=2,90+Inputs!$B$26+Inputs!$B$29,IF(Skills!C11=3,120+Inputs!$B$27+Inputs!$B$29,MAX(0,(Inputs!$B$3-100)*3)+Inputs!$B$28+Inputs!$B$29)))</f>
        <v/>
      </c>
      <c r="E994">
        <f>INDEX(FactorTable!$B$2:$Y$301, MATCH(ROUND(MIN(300,MAX(1,D994)),0), FactorTable!$A$2:$A$301,0), Skills!M11+1)</f>
        <v/>
      </c>
      <c r="F994">
        <f>IF(Skills!N11=TRUE,(Skills!L11/10)*(E994/1000),Skills!L11/10)+Skills!O11</f>
        <v/>
      </c>
      <c r="G994">
        <f>Skills!G11*IF(Skills!H11&gt;0,Skills!I11/Skills!H11,1)</f>
        <v/>
      </c>
      <c r="H994">
        <f>1-(1-Skills!J11/100)^Skills!K11</f>
        <v/>
      </c>
      <c r="I994" t="inlineStr">
        <is>
          <t>1</t>
        </is>
      </c>
      <c r="J994">
        <f>((Inputs!$B$6*(1+Inputs!$B$7/100))+(((Inputs!$B$12*(1+Inputs!$B$13/100))-(Inputs!$B$12*(1+Inputs!$B$13/100)))+0.25*(Inputs!$B$14-Inputs!$B$14))*(1+Inputs!$B$7/100))*(F994/100)</f>
        <v/>
      </c>
      <c r="K994">
        <f>J994*(1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994)</f>
        <v/>
      </c>
      <c r="L994">
        <f>K994*(MIN(Inputs!$B$22+((C1003=TRUE)*(F1003-Calc!F20)),(Inputs!$B$23+0+(IF(ArtifactsInput!$M$15,CHOOSE(ArtifactsInput!$N$15+1,25,30,35,40,45,50)/100*(Inputs!$B$11-Inputs!$B$11),0))))/100+(Inputs!$B$23+0+(IF(ArtifactsInput!$M$15,CHOOSE(ArtifactsInput!$N$15+1,25,30,35,40,45,50)/100*(Inputs!$B$11-Inputs!$B$11),0)))/100)/2</f>
        <v/>
      </c>
      <c r="M994">
        <f>L994*(1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4">
        <f>L994*(1-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994*(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4">
        <f>(1-Summary!$B$11)*T994+Summary!$B$11*V994</f>
        <v/>
      </c>
      <c r="P994">
        <f>IF(B1018=0,0,O994/B1018)</f>
        <v/>
      </c>
      <c r="Q994">
        <f>IFERROR(1/(IF(Inputs!$B$38="pvp",15,MAX(0.1,Skills!D11-IF(Skills!E11=TRUE,Inputs!$B$32,0)))*(1-IF(AND(ArtifactsInput!$M$27,Inputs!$B$4="Chapter Hunt"),CHOOSE(ArtifactsInput!$N$27+1,20,24,28,32,36,40),0)/100)),0)</f>
        <v/>
      </c>
      <c r="R994">
        <f>IF(AND(Inputs!$B$38&lt;&gt;"pvp",Inputs!$B$43&gt;0),IF(MAX(0,Inputs!$B$43-B1015)&lt;=0,0,(INT(MAX(0,Inputs!$B$43-B1015)/(IF(Inputs!$B$38="pvp",15,MAX(0.1,Skills!D11-IF(Skills!E11=TRUE,Inputs!$B$32,0)))*(1-IF(AND(ArtifactsInput!$M$27,Inputs!$B$4="Chapter Hunt"),CHOOSE(ArtifactsInput!$N$27+1,20,24,28,32,36,40),0)/100)))+1)),0)</f>
        <v/>
      </c>
      <c r="S994">
        <f>IFERROR(O994/N994,0)</f>
        <v/>
      </c>
      <c r="T994">
        <f>IF(C994,(H994*N994*IF(AND(Inputs!$B$38&lt;&gt;"pvp",Inputs!$B$43&gt;0),((Skills!G11*((R994-1)*IF(Skills!H11&gt;0,Skills!I11/Skills!H11,1)+IF(Skills!H11&gt;0,MIN(Skills!I11,MAX(0,MAX(0,Inputs!$B$43-B1015)-((R994-1)*(IF(Inputs!$B$38="pvp",15,MAX(0.1,Skills!D11-IF(Skills!E11=TRUE,Inputs!$B$32,0)))*(1-IF(AND(ArtifactsInput!$M$27,Inputs!$B$4="Chapter Hunt"),CHOOSE(ArtifactsInput!$N$27+1,20,24,28,32,36,40),0)/100)))))/Skills!H11,1)))/Inputs!$B$43),G994*Q994)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994*(1-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994*(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994*(1-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994*(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4">
        <f>IF(C994,(H994*N994*IF(AND(Inputs!$B$38&lt;&gt;"pvp",Inputs!$B$43&gt;0),((Skills!G11*((R994-1)*IF(Skills!H11&gt;0,Skills!I11/Skills!H11,1)+IF(Skills!H11&gt;0,MIN(Skills!I11,MAX(0,MAX(0,Inputs!$B$43-B1015)-((R994-1)*(IF(Inputs!$B$38="pvp",15,MAX(0.1,Skills!D11-IF(Skills!E11=TRUE,Inputs!$B$32,0)))*(1-IF(AND(ArtifactsInput!$M$27,Inputs!$B$4="Chapter Hunt"),CHOOSE(ArtifactsInput!$N$27+1,20,24,28,32,36,40),0)/100)))))/Skills!H11,1)))/Inputs!$B$43),G994*Q994))*IF(Inputs!$B$38="pvp",1,(1+(Inputs!$B$21+Skills!Q11+(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5">
      <c r="A995">
        <f>Skills!A12</f>
        <v/>
      </c>
      <c r="B995">
        <f>Skills!B12</f>
        <v/>
      </c>
      <c r="C995">
        <f>Inputs!$B$3&gt;=100</f>
        <v/>
      </c>
      <c r="D995">
        <f>IF(Skills!C12=1,60+Inputs!$B$25+Inputs!$B$29,IF(Skills!C12=2,90+Inputs!$B$26+Inputs!$B$29,IF(Skills!C12=3,120+Inputs!$B$27+Inputs!$B$29,MAX(0,(Inputs!$B$3-100)*3)+Inputs!$B$28+Inputs!$B$29)))</f>
        <v/>
      </c>
      <c r="E995">
        <f>INDEX(FactorTable!$B$2:$Y$301, MATCH(ROUND(MIN(300,MAX(1,D995)),0), FactorTable!$A$2:$A$301,0), Skills!M12+1)</f>
        <v/>
      </c>
      <c r="F995">
        <f>IF(Skills!N12=TRUE,(Skills!L12/10)*(E995/1000),Skills!L12/10)+Skills!O12</f>
        <v/>
      </c>
      <c r="G995" t="inlineStr"/>
      <c r="H995" t="inlineStr"/>
      <c r="I995" t="inlineStr">
        <is>
          <t>1</t>
        </is>
      </c>
      <c r="J995" t="inlineStr"/>
      <c r="K995" t="inlineStr"/>
      <c r="L995" t="inlineStr"/>
      <c r="M995" t="inlineStr"/>
      <c r="N995" t="inlineStr"/>
      <c r="O995" t="inlineStr"/>
      <c r="P995" t="inlineStr"/>
      <c r="Q995" t="inlineStr"/>
      <c r="R995" t="inlineStr"/>
      <c r="S995" t="inlineStr"/>
      <c r="T995" t="inlineStr"/>
      <c r="V995" t="inlineStr"/>
    </row>
    <row r="996">
      <c r="A996">
        <f>Skills!A13</f>
        <v/>
      </c>
      <c r="B996">
        <f>Skills!B13</f>
        <v/>
      </c>
      <c r="C996">
        <f>Inputs!$B$3&gt;=66</f>
        <v/>
      </c>
      <c r="D996">
        <f>IF(Skills!C13=1,60+Inputs!$B$25+Inputs!$B$29,IF(Skills!C13=2,90+Inputs!$B$26+Inputs!$B$29,IF(Skills!C13=3,120+Inputs!$B$27+Inputs!$B$29,MAX(0,(Inputs!$B$3-100)*3)+Inputs!$B$28+Inputs!$B$29)))</f>
        <v/>
      </c>
      <c r="E996">
        <f>INDEX(FactorTable!$B$2:$Y$301, MATCH(ROUND(MIN(300,MAX(1,D996)),0), FactorTable!$A$2:$A$301,0), Skills!M13+1)</f>
        <v/>
      </c>
      <c r="F996">
        <f>IF(Skills!N13=TRUE,(Skills!L13/10)*(E996/1000),Skills!L13/10)+Skills!O13</f>
        <v/>
      </c>
      <c r="G996">
        <f>Skills!G13*IF(Skills!H13&gt;0,Skills!I13/Skills!H13,1)</f>
        <v/>
      </c>
      <c r="H996">
        <f>1-(1-Skills!J13/100)^Skills!K13</f>
        <v/>
      </c>
      <c r="I996" t="inlineStr">
        <is>
          <t>1</t>
        </is>
      </c>
      <c r="J996" t="inlineStr"/>
      <c r="K996" t="inlineStr"/>
      <c r="L996" t="inlineStr"/>
      <c r="M996" t="inlineStr"/>
      <c r="N996" t="inlineStr"/>
      <c r="O996">
        <f>(1-Summary!$B$11)*T996+Summary!$B$11*V996</f>
        <v/>
      </c>
      <c r="P996">
        <f>IF(B1018=0,0,O996/B1018)</f>
        <v/>
      </c>
      <c r="Q996" t="n">
        <v>0</v>
      </c>
      <c r="R996" t="n">
        <v>0</v>
      </c>
      <c r="S996">
        <f>IFERROR(O996/N996,0)</f>
        <v/>
      </c>
      <c r="T996" t="n">
        <v>0</v>
      </c>
      <c r="V996" t="n">
        <v>0</v>
      </c>
    </row>
    <row r="997">
      <c r="A997">
        <f>Skills!A14</f>
        <v/>
      </c>
      <c r="B997">
        <f>Skills!B14</f>
        <v/>
      </c>
      <c r="C997">
        <f>Inputs!$B$3&gt;=107</f>
        <v/>
      </c>
      <c r="D997">
        <f>IF(Skills!C14=1,60+Inputs!$B$25+Inputs!$B$29,IF(Skills!C14=2,90+Inputs!$B$26+Inputs!$B$29,IF(Skills!C14=3,120+Inputs!$B$27+Inputs!$B$29,MAX(0,(Inputs!$B$3-100)*3)+Inputs!$B$28+Inputs!$B$29)))</f>
        <v/>
      </c>
      <c r="E997">
        <f>INDEX(FactorTable!$B$2:$Y$301, MATCH(ROUND(MIN(300,MAX(1,D997)),0), FactorTable!$A$2:$A$301,0), Skills!M14+1)</f>
        <v/>
      </c>
      <c r="F997">
        <f>IF(Skills!N14=TRUE,(Skills!L14/10)*(E997/1000),Skills!L14/10)+Skills!O14</f>
        <v/>
      </c>
      <c r="G997">
        <f>Skills!G14*IF(Skills!H14&gt;0,Skills!I14/Skills!H14,1)</f>
        <v/>
      </c>
      <c r="H997">
        <f>1-(1-Skills!J14/100)^Skills!K14</f>
        <v/>
      </c>
      <c r="I997" t="inlineStr">
        <is>
          <t>1</t>
        </is>
      </c>
      <c r="J997" t="inlineStr"/>
      <c r="K997" t="inlineStr"/>
      <c r="L997" t="inlineStr"/>
      <c r="M997" t="inlineStr"/>
      <c r="N997" t="inlineStr"/>
      <c r="O997">
        <f>(1-Summary!$B$11)*T997+Summary!$B$11*V997</f>
        <v/>
      </c>
      <c r="P997">
        <f>IF(B1018=0,0,O997/B1018)</f>
        <v/>
      </c>
      <c r="Q997" t="n">
        <v>0</v>
      </c>
      <c r="R997" t="n">
        <v>0</v>
      </c>
      <c r="S997">
        <f>IFERROR(O997/N997,0)</f>
        <v/>
      </c>
      <c r="T997" t="n">
        <v>0</v>
      </c>
      <c r="V997" t="n">
        <v>0</v>
      </c>
    </row>
    <row r="998">
      <c r="A998">
        <f>Skills!A15</f>
        <v/>
      </c>
      <c r="B998">
        <f>Skills!B15</f>
        <v/>
      </c>
      <c r="C998">
        <f>Inputs!$B$3&gt;=115</f>
        <v/>
      </c>
      <c r="D998">
        <f>IF(Skills!C15=1,60+Inputs!$B$25+Inputs!$B$29,IF(Skills!C15=2,90+Inputs!$B$26+Inputs!$B$29,IF(Skills!C15=3,120+Inputs!$B$27+Inputs!$B$29,MAX(0,(Inputs!$B$3-100)*3)+Inputs!$B$28+Inputs!$B$29)))</f>
        <v/>
      </c>
      <c r="E998">
        <f>INDEX(FactorTable!$B$2:$Y$301, MATCH(ROUND(MIN(300,MAX(1,D998)),0), FactorTable!$A$2:$A$301,0), Skills!M15+1)</f>
        <v/>
      </c>
      <c r="F998">
        <f>IF(Skills!N15=TRUE,(Skills!L15/10)*(E998/1000),Skills!L15/10)+Skills!O15</f>
        <v/>
      </c>
      <c r="G998">
        <f>Skills!G15*IF(Skills!H15&gt;0,Skills!I15/Skills!H15,1)</f>
        <v/>
      </c>
      <c r="H998">
        <f>1-(1-Skills!J15/100)^Skills!K15</f>
        <v/>
      </c>
      <c r="I998" t="inlineStr">
        <is>
          <t>1</t>
        </is>
      </c>
      <c r="J998" t="inlineStr"/>
      <c r="K998" t="inlineStr"/>
      <c r="L998" t="inlineStr"/>
      <c r="M998" t="inlineStr"/>
      <c r="N998" t="inlineStr"/>
      <c r="O998">
        <f>(1-Summary!$B$11)*T998+Summary!$B$11*V998</f>
        <v/>
      </c>
      <c r="P998">
        <f>IF(B1018=0,0,O998/B1018)</f>
        <v/>
      </c>
      <c r="Q998" t="n">
        <v>0</v>
      </c>
      <c r="R998" t="n">
        <v>0</v>
      </c>
      <c r="S998">
        <f>IFERROR(O998/N998,0)</f>
        <v/>
      </c>
      <c r="T998" t="n">
        <v>0</v>
      </c>
      <c r="V998" t="n">
        <v>0</v>
      </c>
    </row>
    <row r="999">
      <c r="A999">
        <f>Skills!A16</f>
        <v/>
      </c>
      <c r="B999">
        <f>Skills!B16</f>
        <v/>
      </c>
      <c r="C999">
        <f>Inputs!$B$3&gt;=15</f>
        <v/>
      </c>
      <c r="D999">
        <f>IF(Skills!C16=1,60+Inputs!$B$25+Inputs!$B$29,IF(Skills!C16=2,90+Inputs!$B$26+Inputs!$B$29,IF(Skills!C16=3,120+Inputs!$B$27+Inputs!$B$29,MAX(0,(Inputs!$B$3-100)*3)+Inputs!$B$28+Inputs!$B$29)))</f>
        <v/>
      </c>
      <c r="E999">
        <f>INDEX(FactorTable!$B$2:$Y$301, MATCH(ROUND(MIN(300,MAX(1,D999)),0), FactorTable!$A$2:$A$301,0), Skills!M16+1)</f>
        <v/>
      </c>
      <c r="F999">
        <f>IF(Skills!N16=TRUE,(Skills!L16/10)*(E999/1000),Skills!L16/10)+Skills!O16</f>
        <v/>
      </c>
      <c r="G999">
        <f>Skills!G16*IF(Skills!H16&gt;0,Skills!I16/Skills!H16,1)</f>
        <v/>
      </c>
      <c r="H999">
        <f>1-(1-Skills!J16/100)^Skills!K16</f>
        <v/>
      </c>
      <c r="I999" t="inlineStr">
        <is>
          <t>1</t>
        </is>
      </c>
      <c r="J999" t="inlineStr"/>
      <c r="K999" t="inlineStr"/>
      <c r="L999" t="inlineStr"/>
      <c r="M999" t="inlineStr"/>
      <c r="N999" t="inlineStr"/>
      <c r="O999">
        <f>(1-Summary!$B$11)*T999+Summary!$B$11*V999</f>
        <v/>
      </c>
      <c r="P999">
        <f>IF(B1018=0,0,O999/B1018)</f>
        <v/>
      </c>
      <c r="Q999" t="n">
        <v>0</v>
      </c>
      <c r="R999" t="n">
        <v>0</v>
      </c>
      <c r="S999">
        <f>IFERROR(O999/N999,0)</f>
        <v/>
      </c>
      <c r="T999" t="n">
        <v>0</v>
      </c>
      <c r="V999" t="n">
        <v>0</v>
      </c>
    </row>
    <row r="1000">
      <c r="A1000">
        <f>Skills!A17</f>
        <v/>
      </c>
      <c r="B1000">
        <f>Skills!B17</f>
        <v/>
      </c>
      <c r="C1000">
        <f>Inputs!$B$3&gt;=10</f>
        <v/>
      </c>
      <c r="D1000">
        <f>IF(Skills!C17=1,60+Inputs!$B$25+Inputs!$B$29,IF(Skills!C17=2,90+Inputs!$B$26+Inputs!$B$29,IF(Skills!C17=3,120+Inputs!$B$27+Inputs!$B$29,MAX(0,(Inputs!$B$3-100)*3)+Inputs!$B$28+Inputs!$B$29)))</f>
        <v/>
      </c>
      <c r="E1000">
        <f>INDEX(FactorTable!$B$2:$Y$301, MATCH(ROUND(MIN(300,MAX(1,D1000)),0), FactorTable!$A$2:$A$301,0), Skills!M17+1)</f>
        <v/>
      </c>
      <c r="F1000">
        <f>IF(Skills!N17=TRUE,(Skills!L17/10)*(E1000/1000),Skills!L17/10)+Skills!O17</f>
        <v/>
      </c>
      <c r="G1000">
        <f>Skills!G17*IF(Skills!H17&gt;0,Skills!I17/Skills!H17,1)</f>
        <v/>
      </c>
      <c r="H1000">
        <f>1-(1-Skills!J17/100)^Skills!K17</f>
        <v/>
      </c>
      <c r="I1000" t="inlineStr">
        <is>
          <t>1</t>
        </is>
      </c>
      <c r="J1000" t="inlineStr"/>
      <c r="K1000" t="inlineStr"/>
      <c r="L1000" t="inlineStr"/>
      <c r="M1000" t="inlineStr"/>
      <c r="N1000" t="inlineStr"/>
      <c r="O1000">
        <f>(1-Summary!$B$11)*T1000+Summary!$B$11*V1000</f>
        <v/>
      </c>
      <c r="P1000">
        <f>IF(B1018=0,0,O1000/B1018)</f>
        <v/>
      </c>
      <c r="Q1000" t="n">
        <v>0</v>
      </c>
      <c r="R1000" t="n">
        <v>0</v>
      </c>
      <c r="S1000">
        <f>IFERROR(O1000/N1000,0)</f>
        <v/>
      </c>
      <c r="T1000" t="n">
        <v>0</v>
      </c>
      <c r="V1000" t="n">
        <v>0</v>
      </c>
    </row>
    <row r="1001">
      <c r="A1001">
        <f>Skills!A18</f>
        <v/>
      </c>
      <c r="B1001">
        <f>Skills!B18</f>
        <v/>
      </c>
      <c r="C1001">
        <f>Inputs!$B$3&gt;=33</f>
        <v/>
      </c>
      <c r="D1001">
        <f>IF(Skills!C18=1,60+Inputs!$B$25+Inputs!$B$29,IF(Skills!C18=2,90+Inputs!$B$26+Inputs!$B$29,IF(Skills!C18=3,120+Inputs!$B$27+Inputs!$B$29,MAX(0,(Inputs!$B$3-100)*3)+Inputs!$B$28+Inputs!$B$29)))</f>
        <v/>
      </c>
      <c r="E1001">
        <f>INDEX(FactorTable!$B$2:$Y$301, MATCH(ROUND(MIN(300,MAX(1,D1001)),0), FactorTable!$A$2:$A$301,0), Skills!M18+1)</f>
        <v/>
      </c>
      <c r="F1001">
        <f>IF(Skills!N18=TRUE,(Skills!L18/10)*(E1001/1000),Skills!L18/10)+Skills!O18</f>
        <v/>
      </c>
      <c r="G1001">
        <f>Skills!G18*IF(Skills!H18&gt;0,Skills!I18/Skills!H18,1)</f>
        <v/>
      </c>
      <c r="H1001">
        <f>1-(1-Skills!J18/100)^Skills!K18</f>
        <v/>
      </c>
      <c r="I1001" t="inlineStr">
        <is>
          <t>1</t>
        </is>
      </c>
      <c r="J1001" t="inlineStr"/>
      <c r="K1001" t="inlineStr"/>
      <c r="L1001" t="inlineStr"/>
      <c r="M1001" t="inlineStr"/>
      <c r="N1001" t="inlineStr"/>
      <c r="O1001">
        <f>(1-Summary!$B$11)*T1001+Summary!$B$11*V1001</f>
        <v/>
      </c>
      <c r="P1001">
        <f>IF(B1018=0,0,O1001/B1018)</f>
        <v/>
      </c>
      <c r="Q1001" t="n">
        <v>0</v>
      </c>
      <c r="R1001" t="n">
        <v>0</v>
      </c>
      <c r="S1001">
        <f>IFERROR(O1001/N1001,0)</f>
        <v/>
      </c>
      <c r="T1001" t="n">
        <v>0</v>
      </c>
      <c r="V1001" t="n">
        <v>0</v>
      </c>
    </row>
    <row r="1002">
      <c r="A1002">
        <f>Skills!A19</f>
        <v/>
      </c>
      <c r="B1002">
        <f>Skills!B19</f>
        <v/>
      </c>
      <c r="C1002">
        <f>Inputs!$B$3&gt;=40</f>
        <v/>
      </c>
      <c r="D1002">
        <f>IF(Skills!C19=1,60+Inputs!$B$25+Inputs!$B$29,IF(Skills!C19=2,90+Inputs!$B$26+Inputs!$B$29,IF(Skills!C19=3,120+Inputs!$B$27+Inputs!$B$29,MAX(0,(Inputs!$B$3-100)*3)+Inputs!$B$28+Inputs!$B$29)))</f>
        <v/>
      </c>
      <c r="E1002">
        <f>INDEX(FactorTable!$B$2:$Y$301, MATCH(ROUND(MIN(300,MAX(1,D1002)),0), FactorTable!$A$2:$A$301,0), Skills!M19+1)</f>
        <v/>
      </c>
      <c r="F1002">
        <f>IF(Skills!N19=TRUE,(Skills!L19/10)*(E1002/1000),Skills!L19/10)+Skills!O19</f>
        <v/>
      </c>
      <c r="G1002">
        <f>Skills!G19*IF(Skills!H19&gt;0,Skills!I19/Skills!H19,1)</f>
        <v/>
      </c>
      <c r="H1002">
        <f>1-(1-Skills!J19/100)^Skills!K19</f>
        <v/>
      </c>
      <c r="I1002" t="inlineStr">
        <is>
          <t>1</t>
        </is>
      </c>
      <c r="J1002" t="inlineStr"/>
      <c r="K1002" t="inlineStr"/>
      <c r="L1002" t="inlineStr"/>
      <c r="M1002" t="inlineStr"/>
      <c r="N1002" t="inlineStr"/>
      <c r="O1002">
        <f>(1-Summary!$B$11)*T1002+Summary!$B$11*V1002</f>
        <v/>
      </c>
      <c r="P1002">
        <f>IF(B1018=0,0,O1002/B1018)</f>
        <v/>
      </c>
      <c r="Q1002" t="n">
        <v>0</v>
      </c>
      <c r="R1002" t="n">
        <v>0</v>
      </c>
      <c r="S1002">
        <f>IFERROR(O1002/N1002,0)</f>
        <v/>
      </c>
      <c r="T1002" t="n">
        <v>0</v>
      </c>
      <c r="V1002" t="n">
        <v>0</v>
      </c>
    </row>
    <row r="1003">
      <c r="A1003">
        <f>Skills!A20</f>
        <v/>
      </c>
      <c r="B1003">
        <f>Skills!B20</f>
        <v/>
      </c>
      <c r="C1003">
        <f>Inputs!$B$3&gt;=43</f>
        <v/>
      </c>
      <c r="D1003">
        <f>IF(Skills!C20=1,60+Inputs!$B$25+Inputs!$B$29,IF(Skills!C20=2,90+Inputs!$B$26+Inputs!$B$29,IF(Skills!C20=3,120+Inputs!$B$27+Inputs!$B$29,MAX(0,(Inputs!$B$3-100)*3)+Inputs!$B$28+Inputs!$B$29)))</f>
        <v/>
      </c>
      <c r="E1003">
        <f>INDEX(FactorTable!$B$2:$Y$301, MATCH(ROUND(MIN(300,MAX(1,D1003)),0), FactorTable!$A$2:$A$301,0), Skills!M20+1)</f>
        <v/>
      </c>
      <c r="F1003">
        <f>IF(Skills!N20=TRUE,(Skills!L20/10)*(E1003/1000),Skills!L20/10)+Skills!O20</f>
        <v/>
      </c>
      <c r="G1003">
        <f>Skills!G20*IF(Skills!H20&gt;0,Skills!I20/Skills!H20,1)</f>
        <v/>
      </c>
      <c r="H1003">
        <f>1-(1-Skills!J20/100)^Skills!K20</f>
        <v/>
      </c>
      <c r="I1003" t="inlineStr">
        <is>
          <t>1</t>
        </is>
      </c>
      <c r="J1003" t="inlineStr"/>
      <c r="K1003" t="inlineStr"/>
      <c r="L1003" t="inlineStr"/>
      <c r="M1003" t="inlineStr"/>
      <c r="N1003" t="inlineStr"/>
      <c r="O1003">
        <f>(1-Summary!$B$11)*T1003+Summary!$B$11*V1003</f>
        <v/>
      </c>
      <c r="P1003">
        <f>IF(B1018=0,0,O1003/B1018)</f>
        <v/>
      </c>
      <c r="Q1003" t="n">
        <v>0</v>
      </c>
      <c r="R1003" t="n">
        <v>0</v>
      </c>
      <c r="S1003">
        <f>IFERROR(O1003/N1003,0)</f>
        <v/>
      </c>
      <c r="T1003" t="n">
        <v>0</v>
      </c>
      <c r="V1003" t="n">
        <v>0</v>
      </c>
    </row>
    <row r="1004">
      <c r="A1004">
        <f>Skills!A21</f>
        <v/>
      </c>
      <c r="B1004">
        <f>Skills!B21</f>
        <v/>
      </c>
      <c r="C1004">
        <f>Inputs!$B$3&gt;=38</f>
        <v/>
      </c>
      <c r="D1004">
        <f>IF(Skills!C21=1,60+Inputs!$B$25+Inputs!$B$29,IF(Skills!C21=2,90+Inputs!$B$26+Inputs!$B$29,IF(Skills!C21=3,120+Inputs!$B$27+Inputs!$B$29,MAX(0,(Inputs!$B$3-100)*3)+Inputs!$B$28+Inputs!$B$29)))</f>
        <v/>
      </c>
      <c r="E1004">
        <f>INDEX(FactorTable!$B$2:$Y$301, MATCH(ROUND(MIN(300,MAX(1,D1004)),0), FactorTable!$A$2:$A$301,0), Skills!M21+1)</f>
        <v/>
      </c>
      <c r="F1004">
        <f>IF(Skills!N21=TRUE,(Skills!L21/10)*(E1004/1000),Skills!L21/10)+Skills!O21</f>
        <v/>
      </c>
      <c r="G1004">
        <f>Skills!G21*IF(Skills!H21&gt;0,Skills!I21/Skills!H21,1)</f>
        <v/>
      </c>
      <c r="H1004">
        <f>1-(1-Skills!J21/100)^Skills!K21</f>
        <v/>
      </c>
      <c r="I1004" t="inlineStr">
        <is>
          <t>1</t>
        </is>
      </c>
      <c r="J1004" t="inlineStr"/>
      <c r="K1004" t="inlineStr"/>
      <c r="L1004" t="inlineStr"/>
      <c r="M1004" t="inlineStr"/>
      <c r="N1004" t="inlineStr"/>
      <c r="O1004">
        <f>(1-Summary!$B$11)*T1004+Summary!$B$11*V1004</f>
        <v/>
      </c>
      <c r="P1004">
        <f>IF(B1018=0,0,O1004/B1018)</f>
        <v/>
      </c>
      <c r="Q1004" t="n">
        <v>0</v>
      </c>
      <c r="R1004" t="n">
        <v>0</v>
      </c>
      <c r="S1004">
        <f>IFERROR(O1004/N1004,0)</f>
        <v/>
      </c>
      <c r="T1004" t="n">
        <v>0</v>
      </c>
      <c r="V1004" t="n">
        <v>0</v>
      </c>
    </row>
    <row r="1005">
      <c r="A1005">
        <f>Skills!A22</f>
        <v/>
      </c>
      <c r="B1005">
        <f>Skills!B22</f>
        <v/>
      </c>
      <c r="C1005">
        <f>Inputs!$B$3&gt;=75</f>
        <v/>
      </c>
      <c r="D1005">
        <f>IF(Skills!C22=1,60+Inputs!$B$25+Inputs!$B$29,IF(Skills!C22=2,90+Inputs!$B$26+Inputs!$B$29,IF(Skills!C22=3,120+Inputs!$B$27+Inputs!$B$29,MAX(0,(Inputs!$B$3-100)*3)+Inputs!$B$28+Inputs!$B$29)))</f>
        <v/>
      </c>
      <c r="E1005">
        <f>INDEX(FactorTable!$B$2:$Y$301, MATCH(ROUND(MIN(300,MAX(1,D1005)),0), FactorTable!$A$2:$A$301,0), Skills!M22+1)</f>
        <v/>
      </c>
      <c r="F1005">
        <f>IF(Skills!N22=TRUE,(Skills!L22/10)*(E1005/1000),Skills!L22/10)+Skills!O22</f>
        <v/>
      </c>
      <c r="G1005">
        <f>Skills!G22*IF(Skills!H22&gt;0,Skills!I22/Skills!H22,1)</f>
        <v/>
      </c>
      <c r="H1005">
        <f>1-(1-Skills!J22/100)^Skills!K22</f>
        <v/>
      </c>
      <c r="I1005" t="inlineStr">
        <is>
          <t>1</t>
        </is>
      </c>
      <c r="J1005" t="inlineStr"/>
      <c r="K1005" t="inlineStr"/>
      <c r="L1005" t="inlineStr"/>
      <c r="M1005" t="inlineStr"/>
      <c r="N1005" t="inlineStr"/>
      <c r="O1005">
        <f>(1-Summary!$B$11)*T1005+Summary!$B$11*V1005</f>
        <v/>
      </c>
      <c r="P1005">
        <f>IF(B1018=0,0,O1005/B1018)</f>
        <v/>
      </c>
      <c r="Q1005" t="n">
        <v>0</v>
      </c>
      <c r="R1005" t="n">
        <v>0</v>
      </c>
      <c r="S1005">
        <f>IFERROR(O1005/N1005,0)</f>
        <v/>
      </c>
      <c r="T1005" t="n">
        <v>0</v>
      </c>
      <c r="V1005" t="n">
        <v>0</v>
      </c>
    </row>
    <row r="1007">
      <c r="A1007" t="inlineStr">
        <is>
          <t>Attack% Bucket Multiplier</t>
        </is>
      </c>
      <c r="B1007">
        <f>(1+(((C996=TRUE)*F996)+((C1002=TRUE)*(F1002-Calc!F19))+(IF(ArtifactsInput!$M$21,CHOOSE(ArtifactsInput!$N$21+1,25,30,35,40,45,50)*(IF(OR(Inputs!$B$4="Chapter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8">
      <c r="A1008" t="inlineStr">
        <is>
          <t>Global Crit Rate Bonus %</t>
        </is>
      </c>
      <c r="B1008" t="n">
        <v>0</v>
      </c>
    </row>
    <row r="1009">
      <c r="A1009" t="inlineStr">
        <is>
          <t>Attack Speed Buff Bonus % (unused)</t>
        </is>
      </c>
      <c r="B1009" t="n">
        <v>0</v>
      </c>
    </row>
    <row r="1010">
      <c r="A1010" t="inlineStr">
        <is>
          <t>Actions Per Second</t>
        </is>
      </c>
      <c r="B1010">
        <f>1+MIN(150,150*(1-(1-(Inputs!$B$11+((C1000=TRUE)*(F1000-Calc!F17))+((C1001=TRUE)*(F1001-Calc!F18)))/150)*(1-B1009/150)))/100</f>
        <v/>
      </c>
    </row>
    <row r="1011">
      <c r="A1011" t="inlineStr">
        <is>
          <t>Skill + Buff Cast Rate</t>
        </is>
      </c>
      <c r="B1011">
        <f>IF(AND(Inputs!$B$38&lt;&gt;"pvp",Inputs!$B$43&gt;0),SUMPRODUCT((Skills!E2:E22=TRUE)*(C985:C1005=TRUE)*R985:R1005*Skills!F2:F22)/Inputs!$B$43,SUMPRODUCT((Skills!E2:E22=TRUE)*(C985:C1005=TRUE)*Q985:Q1005*Skills!F2:F22))</f>
        <v/>
      </c>
    </row>
    <row r="1012">
      <c r="A1012" t="inlineStr">
        <is>
          <t>Hook Bomber Casts Per Second</t>
        </is>
      </c>
      <c r="B1012">
        <f>MAX(0,B1010-B1011)</f>
        <v/>
      </c>
    </row>
    <row r="1013">
      <c r="A1013" t="inlineStr">
        <is>
          <t>Global Critical Damage Bonus % (unused)</t>
        </is>
      </c>
      <c r="B1013" t="n">
        <v>0</v>
      </c>
    </row>
    <row r="1014">
      <c r="A1014" t="inlineStr">
        <is>
          <t>Global Final Damage Bonus % (Serpent Scale + Crossbones + Time Leap + Speed Infusion)</t>
        </is>
      </c>
      <c r="B1014">
        <f>((C988=TRUE)*F988*((10+IF(Inputs!$B$3&gt;=94,5,0))/((10+IF(Inputs!$B$3&gt;=94,5,0))+5/(B1012*(1+IF(Inputs!$B$3&gt;=104,1,0))))))+((C997=TRUE)*F997)+((C998=TRUE)*F998)+((Inputs!$B$3&gt;=110)*20*(B1010-1))</f>
        <v/>
      </c>
    </row>
    <row r="1015">
      <c r="A1015" t="inlineStr">
        <is>
          <t>Buff-Casting Startup Delay (s, fixed-duration only)</t>
        </is>
      </c>
      <c r="B1015">
        <f>IF(AND(Inputs!$B$38&lt;&gt;"pvp",Inputs!$B$43&gt;0),SUMPRODUCT((Skills!T2:T22&gt;0)*(Skills!E2:E22=TRUE)*(C985:C1005=TRUE))/B1010,0)</f>
        <v/>
      </c>
    </row>
    <row r="1016">
      <c r="A1016" t="inlineStr">
        <is>
          <t>Boss-Only Total DPS (this block's swept value)</t>
        </is>
      </c>
      <c r="B1016">
        <f>SUM(T985:T1005)</f>
        <v/>
      </c>
    </row>
    <row r="1017">
      <c r="A1017" t="inlineStr">
        <is>
          <t>Normal-Only Total DPS (this block's swept value)</t>
        </is>
      </c>
      <c r="B1017">
        <f>SUM(V985:V1005)</f>
        <v/>
      </c>
    </row>
    <row r="1018">
      <c r="A1018" s="6" t="inlineStr">
        <is>
          <t>TOTAL DPS</t>
        </is>
      </c>
      <c r="B1018" s="6">
        <f>SUM(O985:O1005)</f>
        <v/>
      </c>
    </row>
    <row r="1021">
      <c r="A1021" s="6" t="inlineStr">
        <is>
          <t>Stat: Buff Duration Increase %</t>
        </is>
      </c>
    </row>
    <row r="1022">
      <c r="A1022" s="5" t="inlineStr">
        <is>
          <t>Key</t>
        </is>
      </c>
      <c r="B1022" s="5" t="inlineStr">
        <is>
          <t>Name</t>
        </is>
      </c>
      <c r="C1022" s="5" t="inlineStr">
        <is>
          <t>Unlocked</t>
        </is>
      </c>
      <c r="D1022" s="5" t="inlineStr">
        <is>
          <t>InputLevel</t>
        </is>
      </c>
      <c r="E1022" s="5" t="inlineStr">
        <is>
          <t>Factor</t>
        </is>
      </c>
      <c r="F1022" s="5" t="inlineStr">
        <is>
          <t>CoefficientPercent</t>
        </is>
      </c>
      <c r="G1022" s="5" t="inlineStr">
        <is>
          <t>EffectiveHits</t>
        </is>
      </c>
      <c r="H1022" s="5" t="inlineStr">
        <is>
          <t>ProcProbability</t>
        </is>
      </c>
      <c r="I1022" s="5" t="inlineStr">
        <is>
          <t>MapleHeroMultiplier</t>
        </is>
      </c>
      <c r="J1022" s="5" t="inlineStr">
        <is>
          <t>BaseDamage</t>
        </is>
      </c>
      <c r="K1022" s="5" t="inlineStr">
        <is>
          <t>BaseHitDamage</t>
        </is>
      </c>
      <c r="L1022" s="5" t="inlineStr">
        <is>
          <t>NonCritAvg</t>
        </is>
      </c>
      <c r="M1022" s="5" t="inlineStr">
        <is>
          <t>CritAvg</t>
        </is>
      </c>
      <c r="N1022" s="5" t="inlineStr">
        <is>
          <t>ExpectedDamage(perHit)</t>
        </is>
      </c>
      <c r="O1022" s="5" t="inlineStr">
        <is>
          <t>DPS</t>
        </is>
      </c>
      <c r="P1022" s="5" t="inlineStr">
        <is>
          <t>% of Total</t>
        </is>
      </c>
      <c r="Q1022" s="5" t="inlineStr">
        <is>
          <t>InvCooldown</t>
        </is>
      </c>
      <c r="R1022" s="5" t="inlineStr">
        <is>
          <t>CastsInFight</t>
        </is>
      </c>
      <c r="S1022" s="5" t="inlineStr">
        <is>
          <t>HitRate(perSec)</t>
        </is>
      </c>
      <c r="U1022" t="inlineStr">
        <is>
          <t>helpers</t>
        </is>
      </c>
    </row>
    <row r="1023">
      <c r="A1023">
        <f>Skills!A2</f>
        <v/>
      </c>
      <c r="B1023">
        <f>Skills!B2</f>
        <v/>
      </c>
      <c r="C1023">
        <f>Inputs!$B$3&gt;=100</f>
        <v/>
      </c>
      <c r="D1023" t="inlineStr"/>
      <c r="E1023" t="inlineStr"/>
      <c r="F1023">
        <f>U1025+Skills!O2</f>
        <v/>
      </c>
      <c r="G1023">
        <f>Skills!G2*IF(Skills!H2&gt;0,Skills!I2/Skills!H2,1)</f>
        <v/>
      </c>
      <c r="H1023">
        <f>1-(1-Skills!J2/100)^Skills!K2</f>
        <v/>
      </c>
      <c r="I1023" t="inlineStr">
        <is>
          <t>1</t>
        </is>
      </c>
      <c r="J1023">
        <f>((Inputs!$B$6*(1+Inputs!$B$7/100))+(((Inputs!$B$12*(1+Inputs!$B$13/100))-(Inputs!$B$12*(1+Inputs!$B$13/100)))+0.25*(Inputs!$B$14-Inputs!$B$14))*(1+Inputs!$B$7/100))*(F1023/100)</f>
        <v/>
      </c>
      <c r="K1023">
        <f>J1023*(1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1041=TRUE)*(F1041-Calc!F20)),(Inputs!$B$23+0+(IF(ArtifactsInput!$M$15,CHOOSE(ArtifactsInput!$N$15+1,25,30,35,40,45,50)/100*(Inputs!$B$11-Inputs!$B$11),0))))/100+(Inputs!$B$23+0+(IF(ArtifactsInput!$M$15,CHOOSE(ArtifactsInput!$N$15+1,25,30,35,40,45,50)/100*(Inputs!$B$11-Inputs!$B$11),0)))/100)/2</f>
        <v/>
      </c>
      <c r="M1023">
        <f>L1023*(1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IF(B1056=0,0,O1023/B1056)</f>
        <v/>
      </c>
      <c r="Q1023" t="n">
        <v>0</v>
      </c>
      <c r="R1023" t="n">
        <v>0</v>
      </c>
      <c r="S1023">
        <f>IFERROR(O1023/N1023,0)</f>
        <v/>
      </c>
      <c r="T1023">
        <f>IF(C1023,(Skills!G2*N1023*B1050)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1023*(1-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3">
        <f>MAX(0,(Inputs!$B$3-100)*3)+Inputs!$B$28+Inputs!$B$29</f>
        <v/>
      </c>
      <c r="V1023">
        <f>IF(C1023,(Skills!G2*N1023*B1050)*IF(Inputs!$B$38="pvp",1,(1+(Inputs!$B$21+Skills!Q2+(IF(ArtifactsInput!$M$33,CHOOSE(ArtifactsInput!$N$33+1,30,36,42,48,54,60),0))+(IF(AND(ArtifactsInput!$M$35,Inputs!$B$4&lt;&gt;"Chapter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Skills!A3</f>
        <v/>
      </c>
      <c r="B1024">
        <f>Skills!B3</f>
        <v/>
      </c>
      <c r="C1024">
        <f>Inputs!$B$3&gt;=35</f>
        <v/>
      </c>
      <c r="D1024">
        <f>IF(Skills!C3=1,60+Inputs!$B$25+Inputs!$B$29,IF(Skills!C3=2,90+Inputs!$B$26+Inputs!$B$29,IF(Skills!C3=3,120+Inputs!$B$27+Inputs!$B$29,MAX(0,(Inputs!$B$3-100)*3)+Inputs!$B$28+Inputs!$B$29)))</f>
        <v/>
      </c>
      <c r="E1024">
        <f>INDEX(FactorTable!$B$2:$Y$301, MATCH(ROUND(MIN(300,MAX(1,D1024)),0), FactorTable!$A$2:$A$301,0), Skills!M3+1)</f>
        <v/>
      </c>
      <c r="F1024">
        <f>IF(Skills!N3=TRUE,(Skills!L3/10)*(E1024/1000),Skills!L3/10)+Skills!O3</f>
        <v/>
      </c>
      <c r="G1024">
        <f>Skills!G3*IF(Skills!H3&gt;0,Skills!I3/Skills!H3,1)</f>
        <v/>
      </c>
      <c r="H1024">
        <f>1-(1-Skills!J3/100)^Skills!K3</f>
        <v/>
      </c>
      <c r="I1024" t="inlineStr">
        <is>
          <t>1</t>
        </is>
      </c>
      <c r="J1024">
        <f>((Inputs!$B$6*(1+Inputs!$B$7/100))+(((Inputs!$B$12*(1+Inputs!$B$13/100))-(Inputs!$B$12*(1+Inputs!$B$13/100)))+0.25*(Inputs!$B$14-Inputs!$B$14))*(1+Inputs!$B$7/100))*(F1024/100)</f>
        <v/>
      </c>
      <c r="K1024">
        <f>J1024*(1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1024)</f>
        <v/>
      </c>
      <c r="L1024">
        <f>K1024*(MIN(Inputs!$B$22+((C1041=TRUE)*(F1041-Calc!F20)),(Inputs!$B$23+0+(IF(ArtifactsInput!$M$15,CHOOSE(ArtifactsInput!$N$15+1,25,30,35,40,45,50)/100*(Inputs!$B$11-Inputs!$B$11),0))))/100+(Inputs!$B$23+0+(IF(ArtifactsInput!$M$15,CHOOSE(ArtifactsInput!$N$15+1,25,30,35,40,45,50)/100*(Inputs!$B$11-Inputs!$B$11),0)))/100)/2</f>
        <v/>
      </c>
      <c r="M1024">
        <f>L1024*(1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4">
        <f>L1024*(1-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1024*(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4">
        <f>(1-Summary!$B$11)*T1024+Summary!$B$11*V1024</f>
        <v/>
      </c>
      <c r="P1024">
        <f>IF(B1056=0,0,O1024/B1056)</f>
        <v/>
      </c>
      <c r="Q1024" t="n">
        <v>0</v>
      </c>
      <c r="R1024" t="n">
        <v>0</v>
      </c>
      <c r="S1024">
        <f>IFERROR(O1024/N1024,0)</f>
        <v/>
      </c>
      <c r="T1024">
        <f>IF(C1024,(Skills!G3*H1024*N1024*B1050)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1024*(1-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1024*(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1024*(1-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1024*(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4">
        <f>INDEX(FactorTable!$B$2:$Y$301, MATCH(ROUND(MIN(300,MAX(1,U1023)),0), FactorTable!$A$2:$A$301,0), 22)</f>
        <v/>
      </c>
      <c r="V1024">
        <f>IF(C1024,(Skills!G3*H1024*N1024*B1050)*IF(Inputs!$B$38="pvp",1,(1+(Inputs!$B$21+Skills!Q3+(IF(ArtifactsInput!$M$33,CHOOSE(ArtifactsInput!$N$33+1,30,36,42,48,54,60),0))+(IF(AND(ArtifactsInput!$M$35,Inputs!$B$4&lt;&gt;"Chapter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5">
      <c r="A1025">
        <f>Skills!A4</f>
        <v/>
      </c>
      <c r="B1025">
        <f>Skills!B4</f>
        <v/>
      </c>
      <c r="C1025">
        <f>Inputs!$B$3&gt;=60</f>
        <v/>
      </c>
      <c r="D1025">
        <f>IF(Skills!C4=1,60+Inputs!$B$25+Inputs!$B$29,IF(Skills!C4=2,90+Inputs!$B$26+Inputs!$B$29,IF(Skills!C4=3,120+Inputs!$B$27+Inputs!$B$29,MAX(0,(Inputs!$B$3-100)*3)+Inputs!$B$28+Inputs!$B$29)))</f>
        <v/>
      </c>
      <c r="E1025">
        <f>INDEX(FactorTable!$B$2:$Y$301, MATCH(ROUND(MIN(300,MAX(1,D1025)),0), FactorTable!$A$2:$A$301,0), Skills!M4+1)</f>
        <v/>
      </c>
      <c r="F1025">
        <f>IF(Skills!N4=TRUE,(Skills!L4/10)*(E1025/1000),Skills!L4/10)+Skills!O4</f>
        <v/>
      </c>
      <c r="G1025">
        <f>Skills!G4*IF(Skills!H4&gt;0,Skills!I4/Skills!H4,1)</f>
        <v/>
      </c>
      <c r="H1025">
        <f>1-(1-Skills!J4/100)^Skills!K4</f>
        <v/>
      </c>
      <c r="I1025" t="inlineStr">
        <is>
          <t>1</t>
        </is>
      </c>
      <c r="J1025">
        <f>((Inputs!$B$6*(1+Inputs!$B$7/100))+(((Inputs!$B$12*(1+Inputs!$B$13/100))-(Inputs!$B$12*(1+Inputs!$B$13/100)))+0.25*(Inputs!$B$14-Inputs!$B$14))*(1+Inputs!$B$7/100))*(F1025/100)</f>
        <v/>
      </c>
      <c r="K1025">
        <f>J1025*(1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1033=TRUE,F1033,0)/100)*(1+(IF(Skills!A4="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1025)</f>
        <v/>
      </c>
      <c r="L1025">
        <f>K1025*(MIN(Inputs!$B$22+((C1041=TRUE)*(F1041-Calc!F20)),(Inputs!$B$23+0+(IF(ArtifactsInput!$M$15,CHOOSE(ArtifactsInput!$N$15+1,25,30,35,40,45,50)/100*(Inputs!$B$11-Inputs!$B$11),0))))/100+(Inputs!$B$23+0+(IF(ArtifactsInput!$M$15,CHOOSE(ArtifactsInput!$N$15+1,25,30,35,40,45,50)/100*(Inputs!$B$11-Inputs!$B$11),0)))/100)/2</f>
        <v/>
      </c>
      <c r="M1025">
        <f>L1025*(1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5">
        <f>L1025*(1-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1025*(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5">
        <f>(1-Summary!$B$11)*T1025+Summary!$B$11*V1025</f>
        <v/>
      </c>
      <c r="P1025">
        <f>IF(B1056=0,0,O1025/B1056)</f>
        <v/>
      </c>
      <c r="Q1025" t="n">
        <v>0</v>
      </c>
      <c r="R1025" t="n">
        <v>0</v>
      </c>
      <c r="S1025">
        <f>IFERROR(O1025/N1025,0)</f>
        <v/>
      </c>
      <c r="T1025">
        <f>IF(C1025,(Skills!G4*H1025*N1025*B1050)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1025*(1-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1025*(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1025*(1-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1025*(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5">
        <f>290*U1024/1000</f>
        <v/>
      </c>
      <c r="V1025">
        <f>IF(C1025,(Skills!G4*H1025*N1025*B1050)*IF(Inputs!$B$38="pvp",1,(1+(Inputs!$B$21+Skills!Q4+(IF(ArtifactsInput!$M$33,CHOOSE(ArtifactsInput!$N$33+1,30,36,42,48,54,60),0))+(IF(AND(ArtifactsInput!$M$35,Inputs!$B$4&lt;&gt;"Chapter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6">
      <c r="A1026">
        <f>Skills!A5</f>
        <v/>
      </c>
      <c r="B1026">
        <f>Skills!B5</f>
        <v/>
      </c>
      <c r="C1026">
        <f>Inputs!$B$3&gt;=60</f>
        <v/>
      </c>
      <c r="D1026">
        <f>IF(Skills!C5=1,60+Inputs!$B$25+Inputs!$B$29,IF(Skills!C5=2,90+Inputs!$B$26+Inputs!$B$29,IF(Skills!C5=3,120+Inputs!$B$27+Inputs!$B$29,MAX(0,(Inputs!$B$3-100)*3)+Inputs!$B$28+Inputs!$B$29)))</f>
        <v/>
      </c>
      <c r="E1026">
        <f>INDEX(FactorTable!$B$2:$Y$301, MATCH(ROUND(MIN(300,MAX(1,D1026)),0), FactorTable!$A$2:$A$301,0), Skills!M5+1)</f>
        <v/>
      </c>
      <c r="F1026">
        <f>IF(Skills!N5=TRUE,(Skills!L5/10)*(E1026/1000),Skills!L5/10)+Skills!O5</f>
        <v/>
      </c>
      <c r="G1026">
        <f>Skills!G5*IF(Skills!H5&gt;0,Skills!I5/Skills!H5,1)</f>
        <v/>
      </c>
      <c r="H1026">
        <f>1-(1-Skills!J5/100)^Skills!K5</f>
        <v/>
      </c>
      <c r="I1026" t="inlineStr">
        <is>
          <t>1</t>
        </is>
      </c>
      <c r="J1026" t="inlineStr"/>
      <c r="K1026" t="inlineStr"/>
      <c r="L1026" t="inlineStr"/>
      <c r="M1026" t="inlineStr"/>
      <c r="N1026" t="inlineStr"/>
      <c r="O1026">
        <f>(1-Summary!$B$11)*T1026+Summary!$B$11*V1026</f>
        <v/>
      </c>
      <c r="P1026">
        <f>IF(B1056=0,0,O1026/B1056)</f>
        <v/>
      </c>
      <c r="Q1026" t="n">
        <v>0</v>
      </c>
      <c r="R1026" t="n">
        <v>0</v>
      </c>
      <c r="S1026">
        <f>IFERROR(O1026/N1026,0)</f>
        <v/>
      </c>
      <c r="T1026" t="n">
        <v>0</v>
      </c>
      <c r="V1026" t="n">
        <v>0</v>
      </c>
    </row>
    <row r="1027">
      <c r="A1027">
        <f>Skills!A6</f>
        <v/>
      </c>
      <c r="B1027">
        <f>Skills!B6</f>
        <v/>
      </c>
      <c r="C1027">
        <f>Inputs!$B$3&gt;=63</f>
        <v/>
      </c>
      <c r="D1027">
        <f>IF(Skills!C6=1,60+Inputs!$B$25+Inputs!$B$29,IF(Skills!C6=2,90+Inputs!$B$26+Inputs!$B$29,IF(Skills!C6=3,120+Inputs!$B$27+Inputs!$B$29,MAX(0,(Inputs!$B$3-100)*3)+Inputs!$B$28+Inputs!$B$29)))</f>
        <v/>
      </c>
      <c r="E1027">
        <f>INDEX(FactorTable!$B$2:$Y$301, MATCH(ROUND(MIN(300,MAX(1,D1027)),0), FactorTable!$A$2:$A$301,0), Skills!M6+1)</f>
        <v/>
      </c>
      <c r="F1027">
        <f>IF(Skills!N6=TRUE,(Skills!L6/10)*(E1027/1000),Skills!L6/10)+Skills!O6</f>
        <v/>
      </c>
      <c r="G1027">
        <f>Skills!G6*IF(Skills!H6&gt;0,Skills!I6/Skills!H6,1)</f>
        <v/>
      </c>
      <c r="H1027">
        <f>1-(1-Skills!J6/100)^Skills!K6</f>
        <v/>
      </c>
      <c r="I1027" t="inlineStr">
        <is>
          <t>1</t>
        </is>
      </c>
      <c r="J1027">
        <f>((Inputs!$B$6*(1+Inputs!$B$7/100))+(((Inputs!$B$12*(1+Inputs!$B$13/100))-(Inputs!$B$12*(1+Inputs!$B$13/100)))+0.25*(Inputs!$B$14-Inputs!$B$14))*(1+Inputs!$B$7/100))*(F1027/100)</f>
        <v/>
      </c>
      <c r="K1027">
        <f>J1027*(1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1027)</f>
        <v/>
      </c>
      <c r="L1027">
        <f>K1027*(MIN(Inputs!$B$22+((C1041=TRUE)*(F1041-Calc!F20)),(Inputs!$B$23+0+(IF(ArtifactsInput!$M$15,CHOOSE(ArtifactsInput!$N$15+1,25,30,35,40,45,50)/100*(Inputs!$B$11-Inputs!$B$11),0))))/100+(Inputs!$B$23+0+(IF(ArtifactsInput!$M$15,CHOOSE(ArtifactsInput!$N$15+1,25,30,35,40,45,50)/100*(Inputs!$B$11-Inputs!$B$11),0)))/100)/2</f>
        <v/>
      </c>
      <c r="M1027">
        <f>L1027*(1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7">
        <f>L1027*(1-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1027*(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7">
        <f>(1-Summary!$B$11)*T1027+Summary!$B$11*V1027</f>
        <v/>
      </c>
      <c r="P1027">
        <f>IF(B1056=0,0,O1027/B1056)</f>
        <v/>
      </c>
      <c r="Q1027">
        <f>IFERROR(1/(IF(Inputs!$B$38="pvp",15,MAX(0.1,Skills!D6-IF(Skills!E6=TRUE,Inputs!$B$32,0)))*(1-IF(AND(ArtifactsInput!$M$27,Inputs!$B$4="Chapter Hunt"),CHOOSE(ArtifactsInput!$N$27+1,20,24,28,32,36,40),0)/100)),0)</f>
        <v/>
      </c>
      <c r="R1027">
        <f>IF(AND(Inputs!$B$38&lt;&gt;"pvp",Inputs!$B$43&gt;0),IF(MAX(0,Inputs!$B$43-B1053)&lt;=0,0,(INT(MAX(0,Inputs!$B$43-B1053)/(IF(Inputs!$B$38="pvp",15,MAX(0.1,Skills!D6-IF(Skills!E6=TRUE,Inputs!$B$32,0)))*(1-IF(AND(ArtifactsInput!$M$27,Inputs!$B$4="Chapter Hunt"),CHOOSE(ArtifactsInput!$N$27+1,20,24,28,32,36,40),0)/100)))+1)),0)</f>
        <v/>
      </c>
      <c r="S1027">
        <f>IFERROR(O1027/N1027,0)</f>
        <v/>
      </c>
      <c r="T1027">
        <f>IF(C1027,(H1027*N1027*IF(AND(Inputs!$B$38&lt;&gt;"pvp",Inputs!$B$43&gt;0),((Skills!G6*((R1027-1)*IF(Skills!H6&gt;0,Skills!I6/Skills!H6,1)+IF(Skills!H6&gt;0,MIN(Skills!I6,MAX(0,MAX(0,Inputs!$B$43-B1053)-((R1027-1)*(IF(Inputs!$B$38="pvp",15,MAX(0.1,Skills!D6-IF(Skills!E6=TRUE,Inputs!$B$32,0)))*(1-IF(AND(ArtifactsInput!$M$27,Inputs!$B$4="Chapter Hunt"),CHOOSE(ArtifactsInput!$N$27+1,20,24,28,32,36,40),0)/100)))))/Skills!H6,1)))/Inputs!$B$43),G1027*Q1027)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1027*(1-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1027*(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1027*(1-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1027*(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7">
        <f>IF(C1027,(H1027*N1027*IF(AND(Inputs!$B$38&lt;&gt;"pvp",Inputs!$B$43&gt;0),((Skills!G6*((R1027-1)*IF(Skills!H6&gt;0,Skills!I6/Skills!H6,1)+IF(Skills!H6&gt;0,MIN(Skills!I6,MAX(0,MAX(0,Inputs!$B$43-B1053)-((R1027-1)*(IF(Inputs!$B$38="pvp",15,MAX(0.1,Skills!D6-IF(Skills!E6=TRUE,Inputs!$B$32,0)))*(1-IF(AND(ArtifactsInput!$M$27,Inputs!$B$4="Chapter Hunt"),CHOOSE(ArtifactsInput!$N$27+1,20,24,28,32,36,40),0)/100)))))/Skills!H6,1)))/Inputs!$B$43),G1027*Q1027))*IF(Inputs!$B$38="pvp",1,(1+(Inputs!$B$21+Skills!Q6+(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8">
      <c r="A1028">
        <f>Skills!A7</f>
        <v/>
      </c>
      <c r="B1028">
        <f>Skills!B7</f>
        <v/>
      </c>
      <c r="C1028">
        <f>Inputs!$B$3&gt;=100</f>
        <v/>
      </c>
      <c r="D1028">
        <f>IF(Skills!C7=1,60+Inputs!$B$25+Inputs!$B$29,IF(Skills!C7=2,90+Inputs!$B$26+Inputs!$B$29,IF(Skills!C7=3,120+Inputs!$B$27+Inputs!$B$29,MAX(0,(Inputs!$B$3-100)*3)+Inputs!$B$28+Inputs!$B$29)))</f>
        <v/>
      </c>
      <c r="E1028">
        <f>INDEX(FactorTable!$B$2:$Y$301, MATCH(ROUND(MIN(300,MAX(1,D1028)),0), FactorTable!$A$2:$A$301,0), Skills!M7+1)</f>
        <v/>
      </c>
      <c r="F1028">
        <f>IF(Skills!N7=TRUE,(Skills!L7/10)*(E1028/1000),Skills!L7/10)+Skills!O7</f>
        <v/>
      </c>
      <c r="G1028">
        <f>Skills!G7*IF(Skills!H7&gt;0,Skills!I7/Skills!H7,1)</f>
        <v/>
      </c>
      <c r="H1028">
        <f>1-(1-Skills!J7/100)^Skills!K7</f>
        <v/>
      </c>
      <c r="I1028" t="inlineStr">
        <is>
          <t>1</t>
        </is>
      </c>
      <c r="J1028">
        <f>((Inputs!$B$6*(1+Inputs!$B$7/100))+(((Inputs!$B$12*(1+Inputs!$B$13/100))-(Inputs!$B$12*(1+Inputs!$B$13/100)))+0.25*(Inputs!$B$14-Inputs!$B$14))*(1+Inputs!$B$7/100))*(F1028/100)</f>
        <v/>
      </c>
      <c r="K1028">
        <f>J1028*(1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1028)</f>
        <v/>
      </c>
      <c r="L1028">
        <f>K1028*(MIN(Inputs!$B$22+((C1041=TRUE)*(F1041-Calc!F20)),(Inputs!$B$23+0+(IF(ArtifactsInput!$M$15,CHOOSE(ArtifactsInput!$N$15+1,25,30,35,40,45,50)/100*(Inputs!$B$11-Inputs!$B$11),0))))/100+(Inputs!$B$23+0+(IF(ArtifactsInput!$M$15,CHOOSE(ArtifactsInput!$N$15+1,25,30,35,40,45,50)/100*(Inputs!$B$11-Inputs!$B$11),0)))/100)/2</f>
        <v/>
      </c>
      <c r="M1028">
        <f>L1028*(1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8">
        <f>L1028*(1-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1028*(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8">
        <f>(1-Summary!$B$11)*T1028+Summary!$B$11*V1028</f>
        <v/>
      </c>
      <c r="P1028">
        <f>IF(B1056=0,0,O1028/B1056)</f>
        <v/>
      </c>
      <c r="Q1028">
        <f>IFERROR(1/(IF(Inputs!$B$38="pvp",15,MAX(0.1,Skills!D7-IF(Skills!E7=TRUE,Inputs!$B$32,0)))*(1-IF(AND(ArtifactsInput!$M$27,Inputs!$B$4="Chapter Hunt"),CHOOSE(ArtifactsInput!$N$27+1,20,24,28,32,36,40),0)/100)),0)</f>
        <v/>
      </c>
      <c r="R1028">
        <f>IF(AND(Inputs!$B$38&lt;&gt;"pvp",Inputs!$B$43&gt;0),IF(MAX(0,Inputs!$B$43-B1053)&lt;=0,0,(INT(MAX(0,Inputs!$B$43-B1053)/(IF(Inputs!$B$38="pvp",15,MAX(0.1,Skills!D7-IF(Skills!E7=TRUE,Inputs!$B$32,0)))*(1-IF(AND(ArtifactsInput!$M$27,Inputs!$B$4="Chapter Hunt"),CHOOSE(ArtifactsInput!$N$27+1,20,24,28,32,36,40),0)/100)))+1)),0)</f>
        <v/>
      </c>
      <c r="S1028">
        <f>IFERROR(O1028/N1028,0)</f>
        <v/>
      </c>
      <c r="T1028">
        <f>IF(C1028,(H1028*N1028*IF(AND(Inputs!$B$38&lt;&gt;"pvp",Inputs!$B$43&gt;0),((Skills!G7*((R1028-1)*IF(Skills!H7&gt;0,Skills!I7/Skills!H7,1)+IF(Skills!H7&gt;0,MIN(Skills!I7,MAX(0,MAX(0,Inputs!$B$43-B1053)-((R1028-1)*(IF(Inputs!$B$38="pvp",15,MAX(0.1,Skills!D7-IF(Skills!E7=TRUE,Inputs!$B$32,0)))*(1-IF(AND(ArtifactsInput!$M$27,Inputs!$B$4="Chapter Hunt"),CHOOSE(ArtifactsInput!$N$27+1,20,24,28,32,36,40),0)/100)))))/Skills!H7,1)))/Inputs!$B$43),G1028*Q1028)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1028*(1-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1028*(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1028*(1-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1028*(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8">
        <f>IF(C1028,(H1028*N1028*IF(AND(Inputs!$B$38&lt;&gt;"pvp",Inputs!$B$43&gt;0),((Skills!G7*((R1028-1)*IF(Skills!H7&gt;0,Skills!I7/Skills!H7,1)+IF(Skills!H7&gt;0,MIN(Skills!I7,MAX(0,MAX(0,Inputs!$B$43-B1053)-((R1028-1)*(IF(Inputs!$B$38="pvp",15,MAX(0.1,Skills!D7-IF(Skills!E7=TRUE,Inputs!$B$32,0)))*(1-IF(AND(ArtifactsInput!$M$27,Inputs!$B$4="Chapter Hunt"),CHOOSE(ArtifactsInput!$N$27+1,20,24,28,32,36,40),0)/100)))))/Skills!H7,1)))/Inputs!$B$43),G1028*Q1028))*IF(Inputs!$B$38="pvp",1,(1+(Inputs!$B$21+Skills!Q7+(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9">
      <c r="A1029">
        <f>Skills!A8</f>
        <v/>
      </c>
      <c r="B1029">
        <f>Skills!B8</f>
        <v/>
      </c>
      <c r="C1029">
        <f>Inputs!$B$3&gt;=110</f>
        <v/>
      </c>
      <c r="D1029">
        <f>IF(Skills!C8=1,60+Inputs!$B$25+Inputs!$B$29,IF(Skills!C8=2,90+Inputs!$B$26+Inputs!$B$29,IF(Skills!C8=3,120+Inputs!$B$27+Inputs!$B$29,MAX(0,(Inputs!$B$3-100)*3)+Inputs!$B$28+Inputs!$B$29)))</f>
        <v/>
      </c>
      <c r="E1029">
        <f>INDEX(FactorTable!$B$2:$Y$301, MATCH(ROUND(MIN(300,MAX(1,D1029)),0), FactorTable!$A$2:$A$301,0), Skills!M8+1)</f>
        <v/>
      </c>
      <c r="F1029">
        <f>IF(Skills!N8=TRUE,(Skills!L8/10)*(E1029/1000),Skills!L8/10)+Skills!O8</f>
        <v/>
      </c>
      <c r="G1029">
        <f>Skills!G8*IF(Skills!H8&gt;0,Skills!I8/Skills!H8,1)</f>
        <v/>
      </c>
      <c r="H1029">
        <f>1-(1-Skills!J8/100)^Skills!K8</f>
        <v/>
      </c>
      <c r="I1029" t="inlineStr">
        <is>
          <t>1</t>
        </is>
      </c>
      <c r="J1029">
        <f>((Inputs!$B$6*(1+Inputs!$B$7/100))+(((Inputs!$B$12*(1+Inputs!$B$13/100))-(Inputs!$B$12*(1+Inputs!$B$13/100)))+0.25*(Inputs!$B$14-Inputs!$B$14))*(1+Inputs!$B$7/100))*(F1029/100)</f>
        <v/>
      </c>
      <c r="K1029">
        <f>J1029*(1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1029)</f>
        <v/>
      </c>
      <c r="L1029">
        <f>K1029*(MIN(Inputs!$B$22+((C1041=TRUE)*(F1041-Calc!F20)),(Inputs!$B$23+0+(IF(ArtifactsInput!$M$15,CHOOSE(ArtifactsInput!$N$15+1,25,30,35,40,45,50)/100*(Inputs!$B$11-Inputs!$B$11),0))))/100+(Inputs!$B$23+0+(IF(ArtifactsInput!$M$15,CHOOSE(ArtifactsInput!$N$15+1,25,30,35,40,45,50)/100*(Inputs!$B$11-Inputs!$B$11),0)))/100)/2</f>
        <v/>
      </c>
      <c r="M1029">
        <f>L1029*(1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9">
        <f>L1029*(1-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1029*(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9">
        <f>(1-Summary!$B$11)*T1029+Summary!$B$11*V1029</f>
        <v/>
      </c>
      <c r="P1029">
        <f>IF(B1056=0,0,O1029/B1056)</f>
        <v/>
      </c>
      <c r="Q1029">
        <f>IFERROR(1/(IF(Inputs!$B$38="pvp",15,MAX(0.1,Skills!D8-IF(Skills!E8=TRUE,Inputs!$B$32,0)))*(1-IF(AND(ArtifactsInput!$M$27,Inputs!$B$4="Chapter Hunt"),CHOOSE(ArtifactsInput!$N$27+1,20,24,28,32,36,40),0)/100)),0)</f>
        <v/>
      </c>
      <c r="R1029">
        <f>IF(AND(Inputs!$B$38&lt;&gt;"pvp",Inputs!$B$43&gt;0),IF(MAX(0,Inputs!$B$43-B1053)&lt;=0,0,(INT(MAX(0,Inputs!$B$43-B1053)/(IF(Inputs!$B$38="pvp",15,MAX(0.1,Skills!D8-IF(Skills!E8=TRUE,Inputs!$B$32,0)))*(1-IF(AND(ArtifactsInput!$M$27,Inputs!$B$4="Chapter Hunt"),CHOOSE(ArtifactsInput!$N$27+1,20,24,28,32,36,40),0)/100)))+1)),0)</f>
        <v/>
      </c>
      <c r="S1029">
        <f>IFERROR(O1029/N1029,0)</f>
        <v/>
      </c>
      <c r="T1029">
        <f>IF(C1029,(H1029*N1029*IF(AND(Inputs!$B$38&lt;&gt;"pvp",Inputs!$B$43&gt;0),((Skills!G8*((R1029-1)*IF(Skills!H8&gt;0,Skills!I8/Skills!H8,1)+IF(Skills!H8&gt;0,MIN(Skills!I8,MAX(0,MAX(0,Inputs!$B$43-B1053)-((R1029-1)*(IF(Inputs!$B$38="pvp",15,MAX(0.1,Skills!D8-IF(Skills!E8=TRUE,Inputs!$B$32,0)))*(1-IF(AND(ArtifactsInput!$M$27,Inputs!$B$4="Chapter Hunt"),CHOOSE(ArtifactsInput!$N$27+1,20,24,28,32,36,40),0)/100)))))/Skills!H8,1)))/Inputs!$B$43),G1029*Q1029)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1029*(1-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1029*(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1029*(1-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1029*(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9">
        <f>IF(C1029,(H1029*N1029*IF(AND(Inputs!$B$38&lt;&gt;"pvp",Inputs!$B$43&gt;0),((Skills!G8*((R1029-1)*IF(Skills!H8&gt;0,Skills!I8/Skills!H8,1)+IF(Skills!H8&gt;0,MIN(Skills!I8,MAX(0,MAX(0,Inputs!$B$43-B1053)-((R1029-1)*(IF(Inputs!$B$38="pvp",15,MAX(0.1,Skills!D8-IF(Skills!E8=TRUE,Inputs!$B$32,0)))*(1-IF(AND(ArtifactsInput!$M$27,Inputs!$B$4="Chapter Hunt"),CHOOSE(ArtifactsInput!$N$27+1,20,24,28,32,36,40),0)/100)))))/Skills!H8,1)))/Inputs!$B$43),G1029*Q1029))*IF(Inputs!$B$38="pvp",1,(1+(Inputs!$B$21+Skills!Q8+(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0">
      <c r="A1030">
        <f>Skills!A9</f>
        <v/>
      </c>
      <c r="B1030">
        <f>Skills!B9</f>
        <v/>
      </c>
      <c r="C1030">
        <f>Inputs!$B$3&gt;=110</f>
        <v/>
      </c>
      <c r="D1030">
        <f>IF(Skills!C9=1,60+Inputs!$B$25+Inputs!$B$29,IF(Skills!C9=2,90+Inputs!$B$26+Inputs!$B$29,IF(Skills!C9=3,120+Inputs!$B$27+Inputs!$B$29,MAX(0,(Inputs!$B$3-100)*3)+Inputs!$B$28+Inputs!$B$29)))</f>
        <v/>
      </c>
      <c r="E1030">
        <f>INDEX(FactorTable!$B$2:$Y$301, MATCH(ROUND(MIN(300,MAX(1,D1030)),0), FactorTable!$A$2:$A$301,0), Skills!M9+1)</f>
        <v/>
      </c>
      <c r="F1030">
        <f>IF(Skills!N9=TRUE,(Skills!L9/10)*(E1030/1000),Skills!L9/10)+Skills!O9</f>
        <v/>
      </c>
      <c r="G1030">
        <f>Skills!G9*IF(Skills!H9&gt;0,Skills!I9/Skills!H9,1)</f>
        <v/>
      </c>
      <c r="H1030">
        <f>1-(1-Skills!J9/100)^Skills!K9</f>
        <v/>
      </c>
      <c r="I1030" t="inlineStr">
        <is>
          <t>1</t>
        </is>
      </c>
      <c r="J1030">
        <f>((Inputs!$B$6*(1+Inputs!$B$7/100))+(((Inputs!$B$12*(1+Inputs!$B$13/100))-(Inputs!$B$12*(1+Inputs!$B$13/100)))+0.25*(Inputs!$B$14-Inputs!$B$14))*(1+Inputs!$B$7/100))*(F1030/100)</f>
        <v/>
      </c>
      <c r="K1030">
        <f>J1030*(1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1030)</f>
        <v/>
      </c>
      <c r="L1030">
        <f>K1030*(MIN(Inputs!$B$22+((C1041=TRUE)*(F1041-Calc!F20)),(Inputs!$B$23+0+(IF(ArtifactsInput!$M$15,CHOOSE(ArtifactsInput!$N$15+1,25,30,35,40,45,50)/100*(Inputs!$B$11-Inputs!$B$11),0))))/100+(Inputs!$B$23+0+(IF(ArtifactsInput!$M$15,CHOOSE(ArtifactsInput!$N$15+1,25,30,35,40,45,50)/100*(Inputs!$B$11-Inputs!$B$11),0)))/100)/2</f>
        <v/>
      </c>
      <c r="M1030">
        <f>L1030*(1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0">
        <f>L1030*(1-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1030*(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0">
        <f>(1-Summary!$B$11)*T1030+Summary!$B$11*V1030</f>
        <v/>
      </c>
      <c r="P1030">
        <f>IF(B1056=0,0,O1030/B1056)</f>
        <v/>
      </c>
      <c r="Q1030">
        <f>IFERROR(1/(IF(Inputs!$B$38="pvp",15,MAX(0.1,Skills!D9-IF(Skills!E9=TRUE,Inputs!$B$32,0)))*(1-IF(AND(ArtifactsInput!$M$27,Inputs!$B$4="Chapter Hunt"),CHOOSE(ArtifactsInput!$N$27+1,20,24,28,32,36,40),0)/100)),0)</f>
        <v/>
      </c>
      <c r="R1030">
        <f>IF(AND(Inputs!$B$38&lt;&gt;"pvp",Inputs!$B$43&gt;0),IF(MAX(0,Inputs!$B$43-B1053)&lt;=0,0,(INT(MAX(0,Inputs!$B$43-B1053)/(IF(Inputs!$B$38="pvp",15,MAX(0.1,Skills!D9-IF(Skills!E9=TRUE,Inputs!$B$32,0)))*(1-IF(AND(ArtifactsInput!$M$27,Inputs!$B$4="Chapter Hunt"),CHOOSE(ArtifactsInput!$N$27+1,20,24,28,32,36,40),0)/100)))+1)),0)</f>
        <v/>
      </c>
      <c r="S1030">
        <f>IFERROR(O1030/N1030,0)</f>
        <v/>
      </c>
      <c r="T1030">
        <f>IF(C1030,(H1030*N1030*IF(AND(Inputs!$B$38&lt;&gt;"pvp",Inputs!$B$43&gt;0),((Skills!G9*((R1030-1)*IF(Skills!H9&gt;0,Skills!I9/Skills!H9,1)+IF(Skills!H9&gt;0,MIN(Skills!I9,MAX(0,MAX(0,Inputs!$B$43-B1053)-((R1030-1)*(IF(Inputs!$B$38="pvp",15,MAX(0.1,Skills!D9-IF(Skills!E9=TRUE,Inputs!$B$32,0)))*(1-IF(AND(ArtifactsInput!$M$27,Inputs!$B$4="Chapter Hunt"),CHOOSE(ArtifactsInput!$N$27+1,20,24,28,32,36,40),0)/100)))))/Skills!H9,1)))/Inputs!$B$43),G1030*Q1030)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1030*(1-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1030*(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1030*(1-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1030*(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0">
        <f>IF(C1030,(H1030*N1030*IF(AND(Inputs!$B$38&lt;&gt;"pvp",Inputs!$B$43&gt;0),((Skills!G9*((R1030-1)*IF(Skills!H9&gt;0,Skills!I9/Skills!H9,1)+IF(Skills!H9&gt;0,MIN(Skills!I9,MAX(0,MAX(0,Inputs!$B$43-B1053)-((R1030-1)*(IF(Inputs!$B$38="pvp",15,MAX(0.1,Skills!D9-IF(Skills!E9=TRUE,Inputs!$B$32,0)))*(1-IF(AND(ArtifactsInput!$M$27,Inputs!$B$4="Chapter Hunt"),CHOOSE(ArtifactsInput!$N$27+1,20,24,28,32,36,40),0)/100)))))/Skills!H9,1)))/Inputs!$B$43),G1030*Q1030))*IF(Inputs!$B$38="pvp",1,(1+(Inputs!$B$21+Skills!Q9+(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1">
      <c r="A1031">
        <f>Skills!A10</f>
        <v/>
      </c>
      <c r="B1031">
        <f>Skills!B10</f>
        <v/>
      </c>
      <c r="C1031">
        <f>Inputs!$B$3&gt;=103</f>
        <v/>
      </c>
      <c r="D1031">
        <f>IF(Skills!C10=1,60+Inputs!$B$25+Inputs!$B$29,IF(Skills!C10=2,90+Inputs!$B$26+Inputs!$B$29,IF(Skills!C10=3,120+Inputs!$B$27+Inputs!$B$29,MAX(0,(Inputs!$B$3-100)*3)+Inputs!$B$28+Inputs!$B$29)))</f>
        <v/>
      </c>
      <c r="E1031">
        <f>INDEX(FactorTable!$B$2:$Y$301, MATCH(ROUND(MIN(300,MAX(1,D1031)),0), FactorTable!$A$2:$A$301,0), Skills!M10+1)</f>
        <v/>
      </c>
      <c r="F1031">
        <f>IF(Skills!N10=TRUE,(Skills!L10/10)*(E1031/1000),Skills!L10/10)+Skills!O10</f>
        <v/>
      </c>
      <c r="G1031">
        <f>Skills!G10*IF(Skills!H10&gt;0,Skills!I10/Skills!H10,1)</f>
        <v/>
      </c>
      <c r="H1031">
        <f>1-(1-Skills!J10/100)^Skills!K10</f>
        <v/>
      </c>
      <c r="I1031" t="inlineStr">
        <is>
          <t>1</t>
        </is>
      </c>
      <c r="J1031">
        <f>((Inputs!$B$6*(1+Inputs!$B$7/100))+(((Inputs!$B$12*(1+Inputs!$B$13/100))-(Inputs!$B$12*(1+Inputs!$B$13/100)))+0.25*(Inputs!$B$14-Inputs!$B$14))*(1+Inputs!$B$7/100))*(F1031/100)</f>
        <v/>
      </c>
      <c r="K1031">
        <f>J1031*(1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1031)</f>
        <v/>
      </c>
      <c r="L1031">
        <f>K1031*(MIN(Inputs!$B$22+((C1041=TRUE)*(F1041-Calc!F20)),(Inputs!$B$23+0+(IF(ArtifactsInput!$M$15,CHOOSE(ArtifactsInput!$N$15+1,25,30,35,40,45,50)/100*(Inputs!$B$11-Inputs!$B$11),0))))/100+(Inputs!$B$23+0+(IF(ArtifactsInput!$M$15,CHOOSE(ArtifactsInput!$N$15+1,25,30,35,40,45,50)/100*(Inputs!$B$11-Inputs!$B$11),0)))/100)/2</f>
        <v/>
      </c>
      <c r="M1031">
        <f>L1031*(1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1">
        <f>L1031*(1-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1">
        <f>(1-Summary!$B$11)*T1031+Summary!$B$11*V1031</f>
        <v/>
      </c>
      <c r="P1031">
        <f>IF(B1056=0,0,O1031/B1056)</f>
        <v/>
      </c>
      <c r="Q1031">
        <f>IFERROR(1/(IF(Inputs!$B$38="pvp",15,MAX(0.1,Skills!D10-IF(Skills!E10=TRUE,Inputs!$B$32,0)))*(1-IF(AND(ArtifactsInput!$M$27,Inputs!$B$4="Chapter Hunt"),CHOOSE(ArtifactsInput!$N$27+1,20,24,28,32,36,40),0)/100)),0)</f>
        <v/>
      </c>
      <c r="R1031">
        <f>IF(AND(Inputs!$B$38&lt;&gt;"pvp",Inputs!$B$43&gt;0),IF(MAX(0,Inputs!$B$43-B1053)&lt;=0,0,(INT(MAX(0,Inputs!$B$43-B1053)/(IF(Inputs!$B$38="pvp",15,MAX(0.1,Skills!D10-IF(Skills!E10=TRUE,Inputs!$B$32,0)))*(1-IF(AND(ArtifactsInput!$M$27,Inputs!$B$4="Chapter Hunt"),CHOOSE(ArtifactsInput!$N$27+1,20,24,28,32,36,40),0)/100)))+1)),0)</f>
        <v/>
      </c>
      <c r="S1031">
        <f>IFERROR(O1031/N1031,0)</f>
        <v/>
      </c>
      <c r="T1031">
        <f>IF(C1031,(H1031*N1031*IF(AND(Inputs!$B$38&lt;&gt;"pvp",Inputs!$B$43&gt;0),((Skills!G10*((R1031-1)*IF(Skills!H10&gt;0,Skills!I10/Skills!H10,1)+IF(Skills!H10&gt;0,MIN(Skills!I10,MAX(0,MAX(0,Inputs!$B$43-B1053)-((R1031-1)*(IF(Inputs!$B$38="pvp",15,MAX(0.1,Skills!D10-IF(Skills!E10=TRUE,Inputs!$B$32,0)))*(1-IF(AND(ArtifactsInput!$M$27,Inputs!$B$4="Chapter Hunt"),CHOOSE(ArtifactsInput!$N$27+1,20,24,28,32,36,40),0)/100)))))/Skills!H10,1)))/Inputs!$B$43),G1031*Q1031)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1031*(1-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1031*(1-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1">
        <f>IF(C1031,(H1031*N1031*IF(AND(Inputs!$B$38&lt;&gt;"pvp",Inputs!$B$43&gt;0),((Skills!G10*((R1031-1)*IF(Skills!H10&gt;0,Skills!I10/Skills!H10,1)+IF(Skills!H10&gt;0,MIN(Skills!I10,MAX(0,MAX(0,Inputs!$B$43-B1053)-((R1031-1)*(IF(Inputs!$B$38="pvp",15,MAX(0.1,Skills!D10-IF(Skills!E10=TRUE,Inputs!$B$32,0)))*(1-IF(AND(ArtifactsInput!$M$27,Inputs!$B$4="Chapter Hunt"),CHOOSE(ArtifactsInput!$N$27+1,20,24,28,32,36,40),0)/100)))))/Skills!H10,1)))/Inputs!$B$43),G1031*Q1031))*IF(Inputs!$B$38="pvp",1,(1+(Inputs!$B$21+Skills!Q10+(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2">
      <c r="A1032">
        <f>Skills!A11</f>
        <v/>
      </c>
      <c r="B1032">
        <f>Skills!B11</f>
        <v/>
      </c>
      <c r="C1032">
        <f>Inputs!$B$3&gt;=113</f>
        <v/>
      </c>
      <c r="D1032">
        <f>IF(Skills!C11=1,60+Inputs!$B$25+Inputs!$B$29,IF(Skills!C11=2,90+Inputs!$B$26+Inputs!$B$29,IF(Skills!C11=3,120+Inputs!$B$27+Inputs!$B$29,MAX(0,(Inputs!$B$3-100)*3)+Inputs!$B$28+Inputs!$B$29)))</f>
        <v/>
      </c>
      <c r="E1032">
        <f>INDEX(FactorTable!$B$2:$Y$301, MATCH(ROUND(MIN(300,MAX(1,D1032)),0), FactorTable!$A$2:$A$301,0), Skills!M11+1)</f>
        <v/>
      </c>
      <c r="F1032">
        <f>IF(Skills!N11=TRUE,(Skills!L11/10)*(E1032/1000),Skills!L11/10)+Skills!O11</f>
        <v/>
      </c>
      <c r="G1032">
        <f>Skills!G11*IF(Skills!H11&gt;0,Skills!I11/Skills!H11,1)</f>
        <v/>
      </c>
      <c r="H1032">
        <f>1-(1-Skills!J11/100)^Skills!K11</f>
        <v/>
      </c>
      <c r="I1032" t="inlineStr">
        <is>
          <t>1</t>
        </is>
      </c>
      <c r="J1032">
        <f>((Inputs!$B$6*(1+Inputs!$B$7/100))+(((Inputs!$B$12*(1+Inputs!$B$13/100))-(Inputs!$B$12*(1+Inputs!$B$13/100)))+0.25*(Inputs!$B$14-Inputs!$B$14))*(1+Inputs!$B$7/100))*(F1032/100)</f>
        <v/>
      </c>
      <c r="K1032">
        <f>J1032*(1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1032)</f>
        <v/>
      </c>
      <c r="L1032">
        <f>K1032*(MIN(Inputs!$B$22+((C1041=TRUE)*(F1041-Calc!F20)),(Inputs!$B$23+0+(IF(ArtifactsInput!$M$15,CHOOSE(ArtifactsInput!$N$15+1,25,30,35,40,45,50)/100*(Inputs!$B$11-Inputs!$B$11),0))))/100+(Inputs!$B$23+0+(IF(ArtifactsInput!$M$15,CHOOSE(ArtifactsInput!$N$15+1,25,30,35,40,45,50)/100*(Inputs!$B$11-Inputs!$B$11),0)))/100)/2</f>
        <v/>
      </c>
      <c r="M1032">
        <f>L1032*(1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2">
        <f>L1032*(1-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1032*(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2">
        <f>(1-Summary!$B$11)*T1032+Summary!$B$11*V1032</f>
        <v/>
      </c>
      <c r="P1032">
        <f>IF(B1056=0,0,O1032/B1056)</f>
        <v/>
      </c>
      <c r="Q1032">
        <f>IFERROR(1/(IF(Inputs!$B$38="pvp",15,MAX(0.1,Skills!D11-IF(Skills!E11=TRUE,Inputs!$B$32,0)))*(1-IF(AND(ArtifactsInput!$M$27,Inputs!$B$4="Chapter Hunt"),CHOOSE(ArtifactsInput!$N$27+1,20,24,28,32,36,40),0)/100)),0)</f>
        <v/>
      </c>
      <c r="R1032">
        <f>IF(AND(Inputs!$B$38&lt;&gt;"pvp",Inputs!$B$43&gt;0),IF(MAX(0,Inputs!$B$43-B1053)&lt;=0,0,(INT(MAX(0,Inputs!$B$43-B1053)/(IF(Inputs!$B$38="pvp",15,MAX(0.1,Skills!D11-IF(Skills!E11=TRUE,Inputs!$B$32,0)))*(1-IF(AND(ArtifactsInput!$M$27,Inputs!$B$4="Chapter Hunt"),CHOOSE(ArtifactsInput!$N$27+1,20,24,28,32,36,40),0)/100)))+1)),0)</f>
        <v/>
      </c>
      <c r="S1032">
        <f>IFERROR(O1032/N1032,0)</f>
        <v/>
      </c>
      <c r="T1032">
        <f>IF(C1032,(H1032*N1032*IF(AND(Inputs!$B$38&lt;&gt;"pvp",Inputs!$B$43&gt;0),((Skills!G11*((R1032-1)*IF(Skills!H11&gt;0,Skills!I11/Skills!H11,1)+IF(Skills!H11&gt;0,MIN(Skills!I11,MAX(0,MAX(0,Inputs!$B$43-B1053)-((R1032-1)*(IF(Inputs!$B$38="pvp",15,MAX(0.1,Skills!D11-IF(Skills!E11=TRUE,Inputs!$B$32,0)))*(1-IF(AND(ArtifactsInput!$M$27,Inputs!$B$4="Chapter Hunt"),CHOOSE(ArtifactsInput!$N$27+1,20,24,28,32,36,40),0)/100)))))/Skills!H11,1)))/Inputs!$B$43),G1032*Q1032)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1032*(1-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1032*(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1032*(1-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1032*(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2">
        <f>IF(C1032,(H1032*N1032*IF(AND(Inputs!$B$38&lt;&gt;"pvp",Inputs!$B$43&gt;0),((Skills!G11*((R1032-1)*IF(Skills!H11&gt;0,Skills!I11/Skills!H11,1)+IF(Skills!H11&gt;0,MIN(Skills!I11,MAX(0,MAX(0,Inputs!$B$43-B1053)-((R1032-1)*(IF(Inputs!$B$38="pvp",15,MAX(0.1,Skills!D11-IF(Skills!E11=TRUE,Inputs!$B$32,0)))*(1-IF(AND(ArtifactsInput!$M$27,Inputs!$B$4="Chapter Hunt"),CHOOSE(ArtifactsInput!$N$27+1,20,24,28,32,36,40),0)/100)))))/Skills!H11,1)))/Inputs!$B$43),G1032*Q1032))*IF(Inputs!$B$38="pvp",1,(1+(Inputs!$B$21+Skills!Q11+(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3">
      <c r="A1033">
        <f>Skills!A12</f>
        <v/>
      </c>
      <c r="B1033">
        <f>Skills!B12</f>
        <v/>
      </c>
      <c r="C1033">
        <f>Inputs!$B$3&gt;=100</f>
        <v/>
      </c>
      <c r="D1033">
        <f>IF(Skills!C12=1,60+Inputs!$B$25+Inputs!$B$29,IF(Skills!C12=2,90+Inputs!$B$26+Inputs!$B$29,IF(Skills!C12=3,120+Inputs!$B$27+Inputs!$B$29,MAX(0,(Inputs!$B$3-100)*3)+Inputs!$B$28+Inputs!$B$29)))</f>
        <v/>
      </c>
      <c r="E1033">
        <f>INDEX(FactorTable!$B$2:$Y$301, MATCH(ROUND(MIN(300,MAX(1,D1033)),0), FactorTable!$A$2:$A$301,0), Skills!M12+1)</f>
        <v/>
      </c>
      <c r="F1033">
        <f>IF(Skills!N12=TRUE,(Skills!L12/10)*(E1033/1000),Skills!L12/10)+Skills!O12</f>
        <v/>
      </c>
      <c r="G1033" t="inlineStr"/>
      <c r="H1033" t="inlineStr"/>
      <c r="I1033" t="inlineStr">
        <is>
          <t>1</t>
        </is>
      </c>
      <c r="J1033" t="inlineStr"/>
      <c r="K1033" t="inlineStr"/>
      <c r="L1033" t="inlineStr"/>
      <c r="M1033" t="inlineStr"/>
      <c r="N1033" t="inlineStr"/>
      <c r="O1033" t="inlineStr"/>
      <c r="P1033" t="inlineStr"/>
      <c r="Q1033" t="inlineStr"/>
      <c r="R1033" t="inlineStr"/>
      <c r="S1033" t="inlineStr"/>
      <c r="T1033" t="inlineStr"/>
      <c r="V1033" t="inlineStr"/>
    </row>
    <row r="1034">
      <c r="A1034">
        <f>Skills!A13</f>
        <v/>
      </c>
      <c r="B1034">
        <f>Skills!B13</f>
        <v/>
      </c>
      <c r="C1034">
        <f>Inputs!$B$3&gt;=66</f>
        <v/>
      </c>
      <c r="D1034">
        <f>IF(Skills!C13=1,60+Inputs!$B$25+Inputs!$B$29,IF(Skills!C13=2,90+Inputs!$B$26+Inputs!$B$29,IF(Skills!C13=3,120+Inputs!$B$27+Inputs!$B$29,MAX(0,(Inputs!$B$3-100)*3)+Inputs!$B$28+Inputs!$B$29)))</f>
        <v/>
      </c>
      <c r="E1034">
        <f>INDEX(FactorTable!$B$2:$Y$301, MATCH(ROUND(MIN(300,MAX(1,D1034)),0), FactorTable!$A$2:$A$301,0), Skills!M13+1)</f>
        <v/>
      </c>
      <c r="F1034">
        <f>IF(Skills!N13=TRUE,(Skills!L13/10)*(E1034/1000),Skills!L13/10)+Skills!O13</f>
        <v/>
      </c>
      <c r="G1034">
        <f>Skills!G13*IF(Skills!H13&gt;0,Skills!I13/Skills!H13,1)</f>
        <v/>
      </c>
      <c r="H1034">
        <f>1-(1-Skills!J13/100)^Skills!K13</f>
        <v/>
      </c>
      <c r="I1034" t="inlineStr">
        <is>
          <t>1</t>
        </is>
      </c>
      <c r="J1034" t="inlineStr"/>
      <c r="K1034" t="inlineStr"/>
      <c r="L1034" t="inlineStr"/>
      <c r="M1034" t="inlineStr"/>
      <c r="N1034" t="inlineStr"/>
      <c r="O1034">
        <f>(1-Summary!$B$11)*T1034+Summary!$B$11*V1034</f>
        <v/>
      </c>
      <c r="P1034">
        <f>IF(B1056=0,0,O1034/B1056)</f>
        <v/>
      </c>
      <c r="Q1034" t="n">
        <v>0</v>
      </c>
      <c r="R1034" t="n">
        <v>0</v>
      </c>
      <c r="S1034">
        <f>IFERROR(O1034/N1034,0)</f>
        <v/>
      </c>
      <c r="T1034" t="n">
        <v>0</v>
      </c>
      <c r="V1034" t="n">
        <v>0</v>
      </c>
    </row>
    <row r="1035">
      <c r="A1035">
        <f>Skills!A14</f>
        <v/>
      </c>
      <c r="B1035">
        <f>Skills!B14</f>
        <v/>
      </c>
      <c r="C1035">
        <f>Inputs!$B$3&gt;=107</f>
        <v/>
      </c>
      <c r="D1035">
        <f>IF(Skills!C14=1,60+Inputs!$B$25+Inputs!$B$29,IF(Skills!C14=2,90+Inputs!$B$26+Inputs!$B$29,IF(Skills!C14=3,120+Inputs!$B$27+Inputs!$B$29,MAX(0,(Inputs!$B$3-100)*3)+Inputs!$B$28+Inputs!$B$29)))</f>
        <v/>
      </c>
      <c r="E1035">
        <f>INDEX(FactorTable!$B$2:$Y$301, MATCH(ROUND(MIN(300,MAX(1,D1035)),0), FactorTable!$A$2:$A$301,0), Skills!M14+1)</f>
        <v/>
      </c>
      <c r="F1035">
        <f>IF(Skills!N14=TRUE,(Skills!L14/10)*(E1035/1000),Skills!L14/10)+Skills!O14</f>
        <v/>
      </c>
      <c r="G1035">
        <f>Skills!G14*IF(Skills!H14&gt;0,Skills!I14/Skills!H14,1)</f>
        <v/>
      </c>
      <c r="H1035">
        <f>1-(1-Skills!J14/100)^Skills!K14</f>
        <v/>
      </c>
      <c r="I1035" t="inlineStr">
        <is>
          <t>1</t>
        </is>
      </c>
      <c r="J1035" t="inlineStr"/>
      <c r="K1035" t="inlineStr"/>
      <c r="L1035" t="inlineStr"/>
      <c r="M1035" t="inlineStr"/>
      <c r="N1035" t="inlineStr"/>
      <c r="O1035">
        <f>(1-Summary!$B$11)*T1035+Summary!$B$11*V1035</f>
        <v/>
      </c>
      <c r="P1035">
        <f>IF(B1056=0,0,O1035/B1056)</f>
        <v/>
      </c>
      <c r="Q1035" t="n">
        <v>0</v>
      </c>
      <c r="R1035" t="n">
        <v>0</v>
      </c>
      <c r="S1035">
        <f>IFERROR(O1035/N1035,0)</f>
        <v/>
      </c>
      <c r="T1035" t="n">
        <v>0</v>
      </c>
      <c r="V1035" t="n">
        <v>0</v>
      </c>
    </row>
    <row r="1036">
      <c r="A1036">
        <f>Skills!A15</f>
        <v/>
      </c>
      <c r="B1036">
        <f>Skills!B15</f>
        <v/>
      </c>
      <c r="C1036">
        <f>Inputs!$B$3&gt;=115</f>
        <v/>
      </c>
      <c r="D1036">
        <f>IF(Skills!C15=1,60+Inputs!$B$25+Inputs!$B$29,IF(Skills!C15=2,90+Inputs!$B$26+Inputs!$B$29,IF(Skills!C15=3,120+Inputs!$B$27+Inputs!$B$29,MAX(0,(Inputs!$B$3-100)*3)+Inputs!$B$28+Inputs!$B$29)))</f>
        <v/>
      </c>
      <c r="E1036">
        <f>INDEX(FactorTable!$B$2:$Y$301, MATCH(ROUND(MIN(300,MAX(1,D1036)),0), FactorTable!$A$2:$A$301,0), Skills!M15+1)</f>
        <v/>
      </c>
      <c r="F1036">
        <f>IF(Skills!N15=TRUE,(Skills!L15/10)*(E1036/1000),Skills!L15/10)+Skills!O15</f>
        <v/>
      </c>
      <c r="G1036">
        <f>Skills!G15*IF(Skills!H15&gt;0,Skills!I15/Skills!H15,1)</f>
        <v/>
      </c>
      <c r="H1036">
        <f>1-(1-Skills!J15/100)^Skills!K15</f>
        <v/>
      </c>
      <c r="I1036" t="inlineStr">
        <is>
          <t>1</t>
        </is>
      </c>
      <c r="J1036" t="inlineStr"/>
      <c r="K1036" t="inlineStr"/>
      <c r="L1036" t="inlineStr"/>
      <c r="M1036" t="inlineStr"/>
      <c r="N1036" t="inlineStr"/>
      <c r="O1036">
        <f>(1-Summary!$B$11)*T1036+Summary!$B$11*V1036</f>
        <v/>
      </c>
      <c r="P1036">
        <f>IF(B1056=0,0,O1036/B1056)</f>
        <v/>
      </c>
      <c r="Q1036" t="n">
        <v>0</v>
      </c>
      <c r="R1036" t="n">
        <v>0</v>
      </c>
      <c r="S1036">
        <f>IFERROR(O1036/N1036,0)</f>
        <v/>
      </c>
      <c r="T1036" t="n">
        <v>0</v>
      </c>
      <c r="V1036" t="n">
        <v>0</v>
      </c>
    </row>
    <row r="1037">
      <c r="A1037">
        <f>Skills!A16</f>
        <v/>
      </c>
      <c r="B1037">
        <f>Skills!B16</f>
        <v/>
      </c>
      <c r="C1037">
        <f>Inputs!$B$3&gt;=15</f>
        <v/>
      </c>
      <c r="D1037">
        <f>IF(Skills!C16=1,60+Inputs!$B$25+Inputs!$B$29,IF(Skills!C16=2,90+Inputs!$B$26+Inputs!$B$29,IF(Skills!C16=3,120+Inputs!$B$27+Inputs!$B$29,MAX(0,(Inputs!$B$3-100)*3)+Inputs!$B$28+Inputs!$B$29)))</f>
        <v/>
      </c>
      <c r="E1037">
        <f>INDEX(FactorTable!$B$2:$Y$301, MATCH(ROUND(MIN(300,MAX(1,D1037)),0), FactorTable!$A$2:$A$301,0), Skills!M16+1)</f>
        <v/>
      </c>
      <c r="F1037">
        <f>IF(Skills!N16=TRUE,(Skills!L16/10)*(E1037/1000),Skills!L16/10)+Skills!O16</f>
        <v/>
      </c>
      <c r="G1037">
        <f>Skills!G16*IF(Skills!H16&gt;0,Skills!I16/Skills!H16,1)</f>
        <v/>
      </c>
      <c r="H1037">
        <f>1-(1-Skills!J16/100)^Skills!K16</f>
        <v/>
      </c>
      <c r="I1037" t="inlineStr">
        <is>
          <t>1</t>
        </is>
      </c>
      <c r="J1037" t="inlineStr"/>
      <c r="K1037" t="inlineStr"/>
      <c r="L1037" t="inlineStr"/>
      <c r="M1037" t="inlineStr"/>
      <c r="N1037" t="inlineStr"/>
      <c r="O1037">
        <f>(1-Summary!$B$11)*T1037+Summary!$B$11*V1037</f>
        <v/>
      </c>
      <c r="P1037">
        <f>IF(B1056=0,0,O1037/B1056)</f>
        <v/>
      </c>
      <c r="Q1037" t="n">
        <v>0</v>
      </c>
      <c r="R1037" t="n">
        <v>0</v>
      </c>
      <c r="S1037">
        <f>IFERROR(O1037/N1037,0)</f>
        <v/>
      </c>
      <c r="T1037" t="n">
        <v>0</v>
      </c>
      <c r="V1037" t="n">
        <v>0</v>
      </c>
    </row>
    <row r="1038">
      <c r="A1038">
        <f>Skills!A17</f>
        <v/>
      </c>
      <c r="B1038">
        <f>Skills!B17</f>
        <v/>
      </c>
      <c r="C1038">
        <f>Inputs!$B$3&gt;=10</f>
        <v/>
      </c>
      <c r="D1038">
        <f>IF(Skills!C17=1,60+Inputs!$B$25+Inputs!$B$29,IF(Skills!C17=2,90+Inputs!$B$26+Inputs!$B$29,IF(Skills!C17=3,120+Inputs!$B$27+Inputs!$B$29,MAX(0,(Inputs!$B$3-100)*3)+Inputs!$B$28+Inputs!$B$29)))</f>
        <v/>
      </c>
      <c r="E1038">
        <f>INDEX(FactorTable!$B$2:$Y$301, MATCH(ROUND(MIN(300,MAX(1,D1038)),0), FactorTable!$A$2:$A$301,0), Skills!M17+1)</f>
        <v/>
      </c>
      <c r="F1038">
        <f>IF(Skills!N17=TRUE,(Skills!L17/10)*(E1038/1000),Skills!L17/10)+Skills!O17</f>
        <v/>
      </c>
      <c r="G1038">
        <f>Skills!G17*IF(Skills!H17&gt;0,Skills!I17/Skills!H17,1)</f>
        <v/>
      </c>
      <c r="H1038">
        <f>1-(1-Skills!J17/100)^Skills!K17</f>
        <v/>
      </c>
      <c r="I1038" t="inlineStr">
        <is>
          <t>1</t>
        </is>
      </c>
      <c r="J1038" t="inlineStr"/>
      <c r="K1038" t="inlineStr"/>
      <c r="L1038" t="inlineStr"/>
      <c r="M1038" t="inlineStr"/>
      <c r="N1038" t="inlineStr"/>
      <c r="O1038">
        <f>(1-Summary!$B$11)*T1038+Summary!$B$11*V1038</f>
        <v/>
      </c>
      <c r="P1038">
        <f>IF(B1056=0,0,O1038/B1056)</f>
        <v/>
      </c>
      <c r="Q1038" t="n">
        <v>0</v>
      </c>
      <c r="R1038" t="n">
        <v>0</v>
      </c>
      <c r="S1038">
        <f>IFERROR(O1038/N1038,0)</f>
        <v/>
      </c>
      <c r="T1038" t="n">
        <v>0</v>
      </c>
      <c r="V1038" t="n">
        <v>0</v>
      </c>
    </row>
    <row r="1039">
      <c r="A1039">
        <f>Skills!A18</f>
        <v/>
      </c>
      <c r="B1039">
        <f>Skills!B18</f>
        <v/>
      </c>
      <c r="C1039">
        <f>Inputs!$B$3&gt;=33</f>
        <v/>
      </c>
      <c r="D1039">
        <f>IF(Skills!C18=1,60+Inputs!$B$25+Inputs!$B$29,IF(Skills!C18=2,90+Inputs!$B$26+Inputs!$B$29,IF(Skills!C18=3,120+Inputs!$B$27+Inputs!$B$29,MAX(0,(Inputs!$B$3-100)*3)+Inputs!$B$28+Inputs!$B$29)))</f>
        <v/>
      </c>
      <c r="E1039">
        <f>INDEX(FactorTable!$B$2:$Y$301, MATCH(ROUND(MIN(300,MAX(1,D1039)),0), FactorTable!$A$2:$A$301,0), Skills!M18+1)</f>
        <v/>
      </c>
      <c r="F1039">
        <f>IF(Skills!N18=TRUE,(Skills!L18/10)*(E1039/1000),Skills!L18/10)+Skills!O18</f>
        <v/>
      </c>
      <c r="G1039">
        <f>Skills!G18*IF(Skills!H18&gt;0,Skills!I18/Skills!H18,1)</f>
        <v/>
      </c>
      <c r="H1039">
        <f>1-(1-Skills!J18/100)^Skills!K18</f>
        <v/>
      </c>
      <c r="I1039" t="inlineStr">
        <is>
          <t>1</t>
        </is>
      </c>
      <c r="J1039" t="inlineStr"/>
      <c r="K1039" t="inlineStr"/>
      <c r="L1039" t="inlineStr"/>
      <c r="M1039" t="inlineStr"/>
      <c r="N1039" t="inlineStr"/>
      <c r="O1039">
        <f>(1-Summary!$B$11)*T1039+Summary!$B$11*V1039</f>
        <v/>
      </c>
      <c r="P1039">
        <f>IF(B1056=0,0,O1039/B1056)</f>
        <v/>
      </c>
      <c r="Q1039" t="n">
        <v>0</v>
      </c>
      <c r="R1039" t="n">
        <v>0</v>
      </c>
      <c r="S1039">
        <f>IFERROR(O1039/N1039,0)</f>
        <v/>
      </c>
      <c r="T1039" t="n">
        <v>0</v>
      </c>
      <c r="V1039" t="n">
        <v>0</v>
      </c>
    </row>
    <row r="1040">
      <c r="A1040">
        <f>Skills!A19</f>
        <v/>
      </c>
      <c r="B1040">
        <f>Skills!B19</f>
        <v/>
      </c>
      <c r="C1040">
        <f>Inputs!$B$3&gt;=40</f>
        <v/>
      </c>
      <c r="D1040">
        <f>IF(Skills!C19=1,60+Inputs!$B$25+Inputs!$B$29,IF(Skills!C19=2,90+Inputs!$B$26+Inputs!$B$29,IF(Skills!C19=3,120+Inputs!$B$27+Inputs!$B$29,MAX(0,(Inputs!$B$3-100)*3)+Inputs!$B$28+Inputs!$B$29)))</f>
        <v/>
      </c>
      <c r="E1040">
        <f>INDEX(FactorTable!$B$2:$Y$301, MATCH(ROUND(MIN(300,MAX(1,D1040)),0), FactorTable!$A$2:$A$301,0), Skills!M19+1)</f>
        <v/>
      </c>
      <c r="F1040">
        <f>IF(Skills!N19=TRUE,(Skills!L19/10)*(E1040/1000),Skills!L19/10)+Skills!O19</f>
        <v/>
      </c>
      <c r="G1040">
        <f>Skills!G19*IF(Skills!H19&gt;0,Skills!I19/Skills!H19,1)</f>
        <v/>
      </c>
      <c r="H1040">
        <f>1-(1-Skills!J19/100)^Skills!K19</f>
        <v/>
      </c>
      <c r="I1040" t="inlineStr">
        <is>
          <t>1</t>
        </is>
      </c>
      <c r="J1040" t="inlineStr"/>
      <c r="K1040" t="inlineStr"/>
      <c r="L1040" t="inlineStr"/>
      <c r="M1040" t="inlineStr"/>
      <c r="N1040" t="inlineStr"/>
      <c r="O1040">
        <f>(1-Summary!$B$11)*T1040+Summary!$B$11*V1040</f>
        <v/>
      </c>
      <c r="P1040">
        <f>IF(B1056=0,0,O1040/B1056)</f>
        <v/>
      </c>
      <c r="Q1040" t="n">
        <v>0</v>
      </c>
      <c r="R1040" t="n">
        <v>0</v>
      </c>
      <c r="S1040">
        <f>IFERROR(O1040/N1040,0)</f>
        <v/>
      </c>
      <c r="T1040" t="n">
        <v>0</v>
      </c>
      <c r="V1040" t="n">
        <v>0</v>
      </c>
    </row>
    <row r="1041">
      <c r="A1041">
        <f>Skills!A20</f>
        <v/>
      </c>
      <c r="B1041">
        <f>Skills!B20</f>
        <v/>
      </c>
      <c r="C1041">
        <f>Inputs!$B$3&gt;=43</f>
        <v/>
      </c>
      <c r="D1041">
        <f>IF(Skills!C20=1,60+Inputs!$B$25+Inputs!$B$29,IF(Skills!C20=2,90+Inputs!$B$26+Inputs!$B$29,IF(Skills!C20=3,120+Inputs!$B$27+Inputs!$B$29,MAX(0,(Inputs!$B$3-100)*3)+Inputs!$B$28+Inputs!$B$29)))</f>
        <v/>
      </c>
      <c r="E1041">
        <f>INDEX(FactorTable!$B$2:$Y$301, MATCH(ROUND(MIN(300,MAX(1,D1041)),0), FactorTable!$A$2:$A$301,0), Skills!M20+1)</f>
        <v/>
      </c>
      <c r="F1041">
        <f>IF(Skills!N20=TRUE,(Skills!L20/10)*(E1041/1000),Skills!L20/10)+Skills!O20</f>
        <v/>
      </c>
      <c r="G1041">
        <f>Skills!G20*IF(Skills!H20&gt;0,Skills!I20/Skills!H20,1)</f>
        <v/>
      </c>
      <c r="H1041">
        <f>1-(1-Skills!J20/100)^Skills!K20</f>
        <v/>
      </c>
      <c r="I1041" t="inlineStr">
        <is>
          <t>1</t>
        </is>
      </c>
      <c r="J1041" t="inlineStr"/>
      <c r="K1041" t="inlineStr"/>
      <c r="L1041" t="inlineStr"/>
      <c r="M1041" t="inlineStr"/>
      <c r="N1041" t="inlineStr"/>
      <c r="O1041">
        <f>(1-Summary!$B$11)*T1041+Summary!$B$11*V1041</f>
        <v/>
      </c>
      <c r="P1041">
        <f>IF(B1056=0,0,O1041/B1056)</f>
        <v/>
      </c>
      <c r="Q1041" t="n">
        <v>0</v>
      </c>
      <c r="R1041" t="n">
        <v>0</v>
      </c>
      <c r="S1041">
        <f>IFERROR(O1041/N1041,0)</f>
        <v/>
      </c>
      <c r="T1041" t="n">
        <v>0</v>
      </c>
      <c r="V1041" t="n">
        <v>0</v>
      </c>
    </row>
    <row r="1042">
      <c r="A1042">
        <f>Skills!A21</f>
        <v/>
      </c>
      <c r="B1042">
        <f>Skills!B21</f>
        <v/>
      </c>
      <c r="C1042">
        <f>Inputs!$B$3&gt;=38</f>
        <v/>
      </c>
      <c r="D1042">
        <f>IF(Skills!C21=1,60+Inputs!$B$25+Inputs!$B$29,IF(Skills!C21=2,90+Inputs!$B$26+Inputs!$B$29,IF(Skills!C21=3,120+Inputs!$B$27+Inputs!$B$29,MAX(0,(Inputs!$B$3-100)*3)+Inputs!$B$28+Inputs!$B$29)))</f>
        <v/>
      </c>
      <c r="E1042">
        <f>INDEX(FactorTable!$B$2:$Y$301, MATCH(ROUND(MIN(300,MAX(1,D1042)),0), FactorTable!$A$2:$A$301,0), Skills!M21+1)</f>
        <v/>
      </c>
      <c r="F1042">
        <f>IF(Skills!N21=TRUE,(Skills!L21/10)*(E1042/1000),Skills!L21/10)+Skills!O21</f>
        <v/>
      </c>
      <c r="G1042">
        <f>Skills!G21*IF(Skills!H21&gt;0,Skills!I21/Skills!H21,1)</f>
        <v/>
      </c>
      <c r="H1042">
        <f>1-(1-Skills!J21/100)^Skills!K21</f>
        <v/>
      </c>
      <c r="I1042" t="inlineStr">
        <is>
          <t>1</t>
        </is>
      </c>
      <c r="J1042" t="inlineStr"/>
      <c r="K1042" t="inlineStr"/>
      <c r="L1042" t="inlineStr"/>
      <c r="M1042" t="inlineStr"/>
      <c r="N1042" t="inlineStr"/>
      <c r="O1042">
        <f>(1-Summary!$B$11)*T1042+Summary!$B$11*V1042</f>
        <v/>
      </c>
      <c r="P1042">
        <f>IF(B1056=0,0,O1042/B1056)</f>
        <v/>
      </c>
      <c r="Q1042" t="n">
        <v>0</v>
      </c>
      <c r="R1042" t="n">
        <v>0</v>
      </c>
      <c r="S1042">
        <f>IFERROR(O1042/N1042,0)</f>
        <v/>
      </c>
      <c r="T1042" t="n">
        <v>0</v>
      </c>
      <c r="V1042" t="n">
        <v>0</v>
      </c>
    </row>
    <row r="1043">
      <c r="A1043">
        <f>Skills!A22</f>
        <v/>
      </c>
      <c r="B1043">
        <f>Skills!B22</f>
        <v/>
      </c>
      <c r="C1043">
        <f>Inputs!$B$3&gt;=75</f>
        <v/>
      </c>
      <c r="D1043">
        <f>IF(Skills!C22=1,60+Inputs!$B$25+Inputs!$B$29,IF(Skills!C22=2,90+Inputs!$B$26+Inputs!$B$29,IF(Skills!C22=3,120+Inputs!$B$27+Inputs!$B$29,MAX(0,(Inputs!$B$3-100)*3)+Inputs!$B$28+Inputs!$B$29)))</f>
        <v/>
      </c>
      <c r="E1043">
        <f>INDEX(FactorTable!$B$2:$Y$301, MATCH(ROUND(MIN(300,MAX(1,D1043)),0), FactorTable!$A$2:$A$301,0), Skills!M22+1)</f>
        <v/>
      </c>
      <c r="F1043">
        <f>IF(Skills!N22=TRUE,(Skills!L22/10)*(E1043/1000),Skills!L22/10)+Skills!O22</f>
        <v/>
      </c>
      <c r="G1043">
        <f>Skills!G22*IF(Skills!H22&gt;0,Skills!I22/Skills!H22,1)</f>
        <v/>
      </c>
      <c r="H1043">
        <f>1-(1-Skills!J22/100)^Skills!K22</f>
        <v/>
      </c>
      <c r="I1043" t="inlineStr">
        <is>
          <t>1</t>
        </is>
      </c>
      <c r="J1043" t="inlineStr"/>
      <c r="K1043" t="inlineStr"/>
      <c r="L1043" t="inlineStr"/>
      <c r="M1043" t="inlineStr"/>
      <c r="N1043" t="inlineStr"/>
      <c r="O1043">
        <f>(1-Summary!$B$11)*T1043+Summary!$B$11*V1043</f>
        <v/>
      </c>
      <c r="P1043">
        <f>IF(B1056=0,0,O1043/B1056)</f>
        <v/>
      </c>
      <c r="Q1043" t="n">
        <v>0</v>
      </c>
      <c r="R1043" t="n">
        <v>0</v>
      </c>
      <c r="S1043">
        <f>IFERROR(O1043/N1043,0)</f>
        <v/>
      </c>
      <c r="T1043" t="n">
        <v>0</v>
      </c>
      <c r="V1043" t="n">
        <v>0</v>
      </c>
    </row>
    <row r="1045">
      <c r="A1045" t="inlineStr">
        <is>
          <t>Attack% Bucket Multiplier</t>
        </is>
      </c>
      <c r="B1045">
        <f>(1+(((C1034=TRUE)*F1034)+((C1040=TRUE)*(F1040-Calc!F19))+(IF(ArtifactsInput!$M$21,CHOOSE(ArtifactsInput!$N$21+1,25,30,35,40,45,50)*(IF(OR(Inputs!$B$4="Chapter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6">
      <c r="A1046" t="inlineStr">
        <is>
          <t>Global Crit Rate Bonus %</t>
        </is>
      </c>
      <c r="B1046" t="n">
        <v>0</v>
      </c>
    </row>
    <row r="1047">
      <c r="A1047" t="inlineStr">
        <is>
          <t>Attack Speed Buff Bonus % (unused)</t>
        </is>
      </c>
      <c r="B1047" t="n">
        <v>0</v>
      </c>
    </row>
    <row r="1048">
      <c r="A1048" t="inlineStr">
        <is>
          <t>Actions Per Second</t>
        </is>
      </c>
      <c r="B1048">
        <f>1+MIN(150,150*(1-(1-(Inputs!$B$11+((C1038=TRUE)*(F1038-Calc!F17))+((C1039=TRUE)*(F1039-Calc!F18)))/150)*(1-B1047/150)))/100</f>
        <v/>
      </c>
    </row>
    <row r="1049">
      <c r="A1049" t="inlineStr">
        <is>
          <t>Skill + Buff Cast Rate</t>
        </is>
      </c>
      <c r="B1049">
        <f>IF(AND(Inputs!$B$38&lt;&gt;"pvp",Inputs!$B$43&gt;0),SUMPRODUCT((Skills!E2:E22=TRUE)*(C1023:C1043=TRUE)*R1023:R1043*Skills!F2:F22)/Inputs!$B$43,SUMPRODUCT((Skills!E2:E22=TRUE)*(C1023:C1043=TRUE)*Q1023:Q1043*Skills!F2:F22))</f>
        <v/>
      </c>
    </row>
    <row r="1050">
      <c r="A1050" t="inlineStr">
        <is>
          <t>Hook Bomber Casts Per Second</t>
        </is>
      </c>
      <c r="B1050">
        <f>MAX(0,B1048-B1049)</f>
        <v/>
      </c>
    </row>
    <row r="1051">
      <c r="A1051" t="inlineStr">
        <is>
          <t>Global Critical Damage Bonus % (unused)</t>
        </is>
      </c>
      <c r="B1051" t="n">
        <v>0</v>
      </c>
    </row>
    <row r="1052">
      <c r="A1052" t="inlineStr">
        <is>
          <t>Global Final Damage Bonus % (Serpent Scale + Crossbones + Time Leap + Speed Infusion)</t>
        </is>
      </c>
      <c r="B1052">
        <f>((C1026=TRUE)*F1026*((10+IF(Inputs!$B$3&gt;=94,5,0))/((10+IF(Inputs!$B$3&gt;=94,5,0))+5/(B1050*(1+IF(Inputs!$B$3&gt;=104,1,0))))))+((C1035=TRUE)*F1035)+((C1036=TRUE)*F1036)+((Inputs!$B$3&gt;=110)*20*(B1048-1))</f>
        <v/>
      </c>
    </row>
    <row r="1053">
      <c r="A1053" t="inlineStr">
        <is>
          <t>Buff-Casting Startup Delay (s, fixed-duration only)</t>
        </is>
      </c>
      <c r="B1053">
        <f>IF(AND(Inputs!$B$38&lt;&gt;"pvp",Inputs!$B$43&gt;0),SUMPRODUCT((Skills!T2:T22&gt;0)*(Skills!E2:E22=TRUE)*(C1023:C1043=TRUE))/B1048,0)</f>
        <v/>
      </c>
    </row>
    <row r="1054">
      <c r="A1054" t="inlineStr">
        <is>
          <t>Boss-Only Total DPS (this block's swept value)</t>
        </is>
      </c>
      <c r="B1054">
        <f>SUM(T1023:T1043)</f>
        <v/>
      </c>
    </row>
    <row r="1055">
      <c r="A1055" t="inlineStr">
        <is>
          <t>Normal-Only Total DPS (this block's swept value)</t>
        </is>
      </c>
      <c r="B1055">
        <f>SUM(V1023:V1043)</f>
        <v/>
      </c>
    </row>
    <row r="1056">
      <c r="A1056" s="6" t="inlineStr">
        <is>
          <t>TOTAL DPS</t>
        </is>
      </c>
      <c r="B1056" s="6">
        <f>SUM(O1023:O1043)</f>
        <v/>
      </c>
    </row>
    <row r="1059">
      <c r="A1059" s="6" t="inlineStr">
        <is>
          <t>Stat: Charm of the Undead (Equip)</t>
        </is>
      </c>
    </row>
    <row r="1060">
      <c r="A1060" s="5" t="inlineStr">
        <is>
          <t>Key</t>
        </is>
      </c>
      <c r="B1060" s="5" t="inlineStr">
        <is>
          <t>Name</t>
        </is>
      </c>
      <c r="C1060" s="5" t="inlineStr">
        <is>
          <t>Unlocked</t>
        </is>
      </c>
      <c r="D1060" s="5" t="inlineStr">
        <is>
          <t>InputLevel</t>
        </is>
      </c>
      <c r="E1060" s="5" t="inlineStr">
        <is>
          <t>Factor</t>
        </is>
      </c>
      <c r="F1060" s="5" t="inlineStr">
        <is>
          <t>CoefficientPercent</t>
        </is>
      </c>
      <c r="G1060" s="5" t="inlineStr">
        <is>
          <t>EffectiveHits</t>
        </is>
      </c>
      <c r="H1060" s="5" t="inlineStr">
        <is>
          <t>ProcProbability</t>
        </is>
      </c>
      <c r="I1060" s="5" t="inlineStr">
        <is>
          <t>MapleHeroMultiplier</t>
        </is>
      </c>
      <c r="J1060" s="5" t="inlineStr">
        <is>
          <t>BaseDamage</t>
        </is>
      </c>
      <c r="K1060" s="5" t="inlineStr">
        <is>
          <t>BaseHitDamage</t>
        </is>
      </c>
      <c r="L1060" s="5" t="inlineStr">
        <is>
          <t>NonCritAvg</t>
        </is>
      </c>
      <c r="M1060" s="5" t="inlineStr">
        <is>
          <t>CritAvg</t>
        </is>
      </c>
      <c r="N1060" s="5" t="inlineStr">
        <is>
          <t>ExpectedDamage(perHit)</t>
        </is>
      </c>
      <c r="O1060" s="5" t="inlineStr">
        <is>
          <t>DPS</t>
        </is>
      </c>
      <c r="P1060" s="5" t="inlineStr">
        <is>
          <t>% of Total</t>
        </is>
      </c>
      <c r="Q1060" s="5" t="inlineStr">
        <is>
          <t>InvCooldown</t>
        </is>
      </c>
      <c r="R1060" s="5" t="inlineStr">
        <is>
          <t>CastsInFight</t>
        </is>
      </c>
      <c r="S1060" s="5" t="inlineStr">
        <is>
          <t>HitRate(perSec)</t>
        </is>
      </c>
      <c r="U1060" t="inlineStr">
        <is>
          <t>helpers</t>
        </is>
      </c>
    </row>
    <row r="1061">
      <c r="A1061">
        <f>Skills!A2</f>
        <v/>
      </c>
      <c r="B1061">
        <f>Skills!B2</f>
        <v/>
      </c>
      <c r="C1061">
        <f>Inputs!$B$3&gt;=100</f>
        <v/>
      </c>
      <c r="D1061" t="inlineStr"/>
      <c r="E1061" t="inlineStr"/>
      <c r="F1061">
        <f>U1063+Skills!O2</f>
        <v/>
      </c>
      <c r="G1061">
        <f>Skills!G2*IF(Skills!H2&gt;0,Skills!I2/Skills!H2,1)</f>
        <v/>
      </c>
      <c r="H1061">
        <f>1-(1-Skills!J2/100)^Skills!K2</f>
        <v/>
      </c>
      <c r="I1061" t="inlineStr">
        <is>
          <t>1</t>
        </is>
      </c>
      <c r="J1061">
        <f>((Inputs!$B$6*(1+Inputs!$B$7/100))+(((Inputs!$B$12*(1+Inputs!$B$13/100))-(Inputs!$B$12*(1+Inputs!$B$13/100)))+0.25*(Inputs!$B$14-Inputs!$B$14))*(1+Inputs!$B$7/100))*(F1061/100)</f>
        <v/>
      </c>
      <c r="K1061">
        <f>J1061*(1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1061)</f>
        <v/>
      </c>
      <c r="L1061">
        <f>K1061*(MIN(Inputs!$B$22+((C1079=TRUE)*(F1079-Calc!F20)),(Inputs!$B$23+0+(IF(ArtifactsInput!$M$15,CHOOSE(ArtifactsInput!$N$15+1,25,30,35,40,45,50)/100*(Inputs!$B$11-Inputs!$B$11),0))))/100+(Inputs!$B$23+0+(IF(ArtifactsInput!$M$15,CHOOSE(ArtifactsInput!$N$15+1,25,30,35,40,45,50)/100*(Inputs!$B$11-Inputs!$B$11),0)))/100)/2</f>
        <v/>
      </c>
      <c r="M1061">
        <f>L1061*(1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1">
        <f>L1061*(1-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1">
        <f>(1-Summary!$B$11)*T1061+Summary!$B$11*V1061</f>
        <v/>
      </c>
      <c r="P1061">
        <f>IF(B1094=0,0,O1061/B1094)</f>
        <v/>
      </c>
      <c r="Q1061" t="n">
        <v>0</v>
      </c>
      <c r="R1061" t="n">
        <v>0</v>
      </c>
      <c r="S1061">
        <f>IFERROR(O1061/N1061,0)</f>
        <v/>
      </c>
      <c r="T1061">
        <f>IF(C1061,(Skills!G2*N1061*B1088)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1061*(1-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1061*(1-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1">
        <f>MAX(0,(Inputs!$B$3-100)*3)+Inputs!$B$28+Inputs!$B$29</f>
        <v/>
      </c>
      <c r="V1061">
        <f>IF(C1061,(Skills!G2*N1061*B1088)*IF(Inputs!$B$38="pvp",1,(1+(Inputs!$B$21+Skills!Q2+(IF(ArtifactsInput!$M$33,CHOOSE(ArtifactsInput!$N$33+1,30,36,42,48,54,60),0))+(IF(AND(ArtifactsInput!$M$35,Inputs!$B$4&lt;&gt;"Chapter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2">
      <c r="A1062">
        <f>Skills!A3</f>
        <v/>
      </c>
      <c r="B1062">
        <f>Skills!B3</f>
        <v/>
      </c>
      <c r="C1062">
        <f>Inputs!$B$3&gt;=35</f>
        <v/>
      </c>
      <c r="D1062">
        <f>IF(Skills!C3=1,60+Inputs!$B$25+Inputs!$B$29,IF(Skills!C3=2,90+Inputs!$B$26+Inputs!$B$29,IF(Skills!C3=3,120+Inputs!$B$27+Inputs!$B$29,MAX(0,(Inputs!$B$3-100)*3)+Inputs!$B$28+Inputs!$B$29)))</f>
        <v/>
      </c>
      <c r="E1062">
        <f>INDEX(FactorTable!$B$2:$Y$301, MATCH(ROUND(MIN(300,MAX(1,D1062)),0), FactorTable!$A$2:$A$301,0), Skills!M3+1)</f>
        <v/>
      </c>
      <c r="F1062">
        <f>IF(Skills!N3=TRUE,(Skills!L3/10)*(E1062/1000),Skills!L3/10)+Skills!O3</f>
        <v/>
      </c>
      <c r="G1062">
        <f>Skills!G3*IF(Skills!H3&gt;0,Skills!I3/Skills!H3,1)</f>
        <v/>
      </c>
      <c r="H1062">
        <f>1-(1-Skills!J3/100)^Skills!K3</f>
        <v/>
      </c>
      <c r="I1062" t="inlineStr">
        <is>
          <t>1</t>
        </is>
      </c>
      <c r="J1062">
        <f>((Inputs!$B$6*(1+Inputs!$B$7/100))+(((Inputs!$B$12*(1+Inputs!$B$13/100))-(Inputs!$B$12*(1+Inputs!$B$13/100)))+0.25*(Inputs!$B$14-Inputs!$B$14))*(1+Inputs!$B$7/100))*(F1062/100)</f>
        <v/>
      </c>
      <c r="K1062">
        <f>J1062*(1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1062)</f>
        <v/>
      </c>
      <c r="L1062">
        <f>K1062*(MIN(Inputs!$B$22+((C1079=TRUE)*(F1079-Calc!F20)),(Inputs!$B$23+0+(IF(ArtifactsInput!$M$15,CHOOSE(ArtifactsInput!$N$15+1,25,30,35,40,45,50)/100*(Inputs!$B$11-Inputs!$B$11),0))))/100+(Inputs!$B$23+0+(IF(ArtifactsInput!$M$15,CHOOSE(ArtifactsInput!$N$15+1,25,30,35,40,45,50)/100*(Inputs!$B$11-Inputs!$B$11),0)))/100)/2</f>
        <v/>
      </c>
      <c r="M1062">
        <f>L1062*(1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2">
        <f>L1062*(1-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1062*(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2">
        <f>(1-Summary!$B$11)*T1062+Summary!$B$11*V1062</f>
        <v/>
      </c>
      <c r="P1062">
        <f>IF(B1094=0,0,O1062/B1094)</f>
        <v/>
      </c>
      <c r="Q1062" t="n">
        <v>0</v>
      </c>
      <c r="R1062" t="n">
        <v>0</v>
      </c>
      <c r="S1062">
        <f>IFERROR(O1062/N1062,0)</f>
        <v/>
      </c>
      <c r="T1062">
        <f>IF(C1062,(Skills!G3*H1062*N1062*B1088)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1062*(1-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1062*(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1062*(1-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1062*(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2">
        <f>INDEX(FactorTable!$B$2:$Y$301, MATCH(ROUND(MIN(300,MAX(1,U1061)),0), FactorTable!$A$2:$A$301,0), 22)</f>
        <v/>
      </c>
      <c r="V1062">
        <f>IF(C1062,(Skills!G3*H1062*N1062*B1088)*IF(Inputs!$B$38="pvp",1,(1+(Inputs!$B$21+Skills!Q3+(IF(ArtifactsInput!$M$33,CHOOSE(ArtifactsInput!$N$33+1,30,36,42,48,54,60),0))+(IF(AND(ArtifactsInput!$M$35,Inputs!$B$4&lt;&gt;"Chapter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3">
      <c r="A1063">
        <f>Skills!A4</f>
        <v/>
      </c>
      <c r="B1063">
        <f>Skills!B4</f>
        <v/>
      </c>
      <c r="C1063">
        <f>Inputs!$B$3&gt;=60</f>
        <v/>
      </c>
      <c r="D1063">
        <f>IF(Skills!C4=1,60+Inputs!$B$25+Inputs!$B$29,IF(Skills!C4=2,90+Inputs!$B$26+Inputs!$B$29,IF(Skills!C4=3,120+Inputs!$B$27+Inputs!$B$29,MAX(0,(Inputs!$B$3-100)*3)+Inputs!$B$28+Inputs!$B$29)))</f>
        <v/>
      </c>
      <c r="E1063">
        <f>INDEX(FactorTable!$B$2:$Y$301, MATCH(ROUND(MIN(300,MAX(1,D1063)),0), FactorTable!$A$2:$A$301,0), Skills!M4+1)</f>
        <v/>
      </c>
      <c r="F1063">
        <f>IF(Skills!N4=TRUE,(Skills!L4/10)*(E1063/1000),Skills!L4/10)+Skills!O4</f>
        <v/>
      </c>
      <c r="G1063">
        <f>Skills!G4*IF(Skills!H4&gt;0,Skills!I4/Skills!H4,1)</f>
        <v/>
      </c>
      <c r="H1063">
        <f>1-(1-Skills!J4/100)^Skills!K4</f>
        <v/>
      </c>
      <c r="I1063" t="inlineStr">
        <is>
          <t>1</t>
        </is>
      </c>
      <c r="J1063">
        <f>((Inputs!$B$6*(1+Inputs!$B$7/100))+(((Inputs!$B$12*(1+Inputs!$B$13/100))-(Inputs!$B$12*(1+Inputs!$B$13/100)))+0.25*(Inputs!$B$14-Inputs!$B$14))*(1+Inputs!$B$7/100))*(F1063/100)</f>
        <v/>
      </c>
      <c r="K1063">
        <f>J1063*(1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1071=TRUE,F1071,0)/100)*(1+(IF(Skills!A4="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1079=TRUE)*(F1079-Calc!F20)),(Inputs!$B$23+0+(IF(ArtifactsInput!$M$15,CHOOSE(ArtifactsInput!$N$15+1,25,30,35,40,45,50)/100*(Inputs!$B$11-Inputs!$B$11),0))))/100+(Inputs!$B$23+0+(IF(ArtifactsInput!$M$15,CHOOSE(ArtifactsInput!$N$15+1,25,30,35,40,45,50)/100*(Inputs!$B$11-Inputs!$B$11),0)))/100)/2</f>
        <v/>
      </c>
      <c r="M1063">
        <f>L1063*(1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IF(B1094=0,0,O1063/B1094)</f>
        <v/>
      </c>
      <c r="Q1063" t="n">
        <v>0</v>
      </c>
      <c r="R1063" t="n">
        <v>0</v>
      </c>
      <c r="S1063">
        <f>IFERROR(O1063/N1063,0)</f>
        <v/>
      </c>
      <c r="T1063">
        <f>IF(C1063,(Skills!G4*H1063*N1063*B1088)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1063*(1-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3">
        <f>290*U1062/1000</f>
        <v/>
      </c>
      <c r="V1063">
        <f>IF(C1063,(Skills!G4*H1063*N1063*B1088)*IF(Inputs!$B$38="pvp",1,(1+(Inputs!$B$21+Skills!Q4+(IF(ArtifactsInput!$M$33,CHOOSE(ArtifactsInput!$N$33+1,30,36,42,48,54,60),0))+(IF(AND(ArtifactsInput!$M$35,Inputs!$B$4&lt;&gt;"Chapter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Skills!A5</f>
        <v/>
      </c>
      <c r="B1064">
        <f>Skills!B5</f>
        <v/>
      </c>
      <c r="C1064">
        <f>Inputs!$B$3&gt;=60</f>
        <v/>
      </c>
      <c r="D1064">
        <f>IF(Skills!C5=1,60+Inputs!$B$25+Inputs!$B$29,IF(Skills!C5=2,90+Inputs!$B$26+Inputs!$B$29,IF(Skills!C5=3,120+Inputs!$B$27+Inputs!$B$29,MAX(0,(Inputs!$B$3-100)*3)+Inputs!$B$28+Inputs!$B$29)))</f>
        <v/>
      </c>
      <c r="E1064">
        <f>INDEX(FactorTable!$B$2:$Y$301, MATCH(ROUND(MIN(300,MAX(1,D1064)),0), FactorTable!$A$2:$A$301,0), Skills!M5+1)</f>
        <v/>
      </c>
      <c r="F1064">
        <f>IF(Skills!N5=TRUE,(Skills!L5/10)*(E1064/1000),Skills!L5/10)+Skills!O5</f>
        <v/>
      </c>
      <c r="G1064">
        <f>Skills!G5*IF(Skills!H5&gt;0,Skills!I5/Skills!H5,1)</f>
        <v/>
      </c>
      <c r="H1064">
        <f>1-(1-Skills!J5/100)^Skills!K5</f>
        <v/>
      </c>
      <c r="I1064" t="inlineStr">
        <is>
          <t>1</t>
        </is>
      </c>
      <c r="J1064" t="inlineStr"/>
      <c r="K1064" t="inlineStr"/>
      <c r="L1064" t="inlineStr"/>
      <c r="M1064" t="inlineStr"/>
      <c r="N1064" t="inlineStr"/>
      <c r="O1064">
        <f>(1-Summary!$B$11)*T1064+Summary!$B$11*V1064</f>
        <v/>
      </c>
      <c r="P1064">
        <f>IF(B1094=0,0,O1064/B1094)</f>
        <v/>
      </c>
      <c r="Q1064" t="n">
        <v>0</v>
      </c>
      <c r="R1064" t="n">
        <v>0</v>
      </c>
      <c r="S1064">
        <f>IFERROR(O1064/N1064,0)</f>
        <v/>
      </c>
      <c r="T1064" t="n">
        <v>0</v>
      </c>
      <c r="V1064" t="n">
        <v>0</v>
      </c>
    </row>
    <row r="1065">
      <c r="A1065">
        <f>Skills!A6</f>
        <v/>
      </c>
      <c r="B1065">
        <f>Skills!B6</f>
        <v/>
      </c>
      <c r="C1065">
        <f>Inputs!$B$3&gt;=63</f>
        <v/>
      </c>
      <c r="D1065">
        <f>IF(Skills!C6=1,60+Inputs!$B$25+Inputs!$B$29,IF(Skills!C6=2,90+Inputs!$B$26+Inputs!$B$29,IF(Skills!C6=3,120+Inputs!$B$27+Inputs!$B$29,MAX(0,(Inputs!$B$3-100)*3)+Inputs!$B$28+Inputs!$B$29)))</f>
        <v/>
      </c>
      <c r="E1065">
        <f>INDEX(FactorTable!$B$2:$Y$301, MATCH(ROUND(MIN(300,MAX(1,D1065)),0), FactorTable!$A$2:$A$301,0), Skills!M6+1)</f>
        <v/>
      </c>
      <c r="F1065">
        <f>IF(Skills!N6=TRUE,(Skills!L6/10)*(E1065/1000),Skills!L6/10)+Skills!O6</f>
        <v/>
      </c>
      <c r="G1065">
        <f>Skills!G6*IF(Skills!H6&gt;0,Skills!I6/Skills!H6,1)</f>
        <v/>
      </c>
      <c r="H1065">
        <f>1-(1-Skills!J6/100)^Skills!K6</f>
        <v/>
      </c>
      <c r="I1065" t="inlineStr">
        <is>
          <t>1</t>
        </is>
      </c>
      <c r="J1065">
        <f>((Inputs!$B$6*(1+Inputs!$B$7/100))+(((Inputs!$B$12*(1+Inputs!$B$13/100))-(Inputs!$B$12*(1+Inputs!$B$13/100)))+0.25*(Inputs!$B$14-Inputs!$B$14))*(1+Inputs!$B$7/100))*(F1065/100)</f>
        <v/>
      </c>
      <c r="K1065">
        <f>J1065*(1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1065)</f>
        <v/>
      </c>
      <c r="L1065">
        <f>K1065*(MIN(Inputs!$B$22+((C1079=TRUE)*(F1079-Calc!F20)),(Inputs!$B$23+0+(IF(ArtifactsInput!$M$15,CHOOSE(ArtifactsInput!$N$15+1,25,30,35,40,45,50)/100*(Inputs!$B$11-Inputs!$B$11),0))))/100+(Inputs!$B$23+0+(IF(ArtifactsInput!$M$15,CHOOSE(ArtifactsInput!$N$15+1,25,30,35,40,45,50)/100*(Inputs!$B$11-Inputs!$B$11),0)))/100)/2</f>
        <v/>
      </c>
      <c r="M1065">
        <f>L1065*(1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5">
        <f>L1065*(1-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1065*(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5">
        <f>(1-Summary!$B$11)*T1065+Summary!$B$11*V1065</f>
        <v/>
      </c>
      <c r="P1065">
        <f>IF(B1094=0,0,O1065/B1094)</f>
        <v/>
      </c>
      <c r="Q1065">
        <f>IFERROR(1/(IF(Inputs!$B$38="pvp",15,MAX(0.1,Skills!D6-IF(Skills!E6=TRUE,Inputs!$B$32,0)))*(1-IF(AND(ArtifactsInput!$M$27,Inputs!$B$4="Chapter Hunt"),CHOOSE(ArtifactsInput!$N$27+1,20,24,28,32,36,40),0)/100)),0)</f>
        <v/>
      </c>
      <c r="R1065">
        <f>IF(AND(Inputs!$B$38&lt;&gt;"pvp",Inputs!$B$43&gt;0),IF(MAX(0,Inputs!$B$43-B1091)&lt;=0,0,(INT(MAX(0,Inputs!$B$43-B1091)/(IF(Inputs!$B$38="pvp",15,MAX(0.1,Skills!D6-IF(Skills!E6=TRUE,Inputs!$B$32,0)))*(1-IF(AND(ArtifactsInput!$M$27,Inputs!$B$4="Chapter Hunt"),CHOOSE(ArtifactsInput!$N$27+1,20,24,28,32,36,40),0)/100)))+1)),0)</f>
        <v/>
      </c>
      <c r="S1065">
        <f>IFERROR(O1065/N1065,0)</f>
        <v/>
      </c>
      <c r="T1065">
        <f>IF(C1065,(H1065*N1065*IF(AND(Inputs!$B$38&lt;&gt;"pvp",Inputs!$B$43&gt;0),((Skills!G6*((R1065-1)*IF(Skills!H6&gt;0,Skills!I6/Skills!H6,1)+IF(Skills!H6&gt;0,MIN(Skills!I6,MAX(0,MAX(0,Inputs!$B$43-B1091)-((R1065-1)*(IF(Inputs!$B$38="pvp",15,MAX(0.1,Skills!D6-IF(Skills!E6=TRUE,Inputs!$B$32,0)))*(1-IF(AND(ArtifactsInput!$M$27,Inputs!$B$4="Chapter Hunt"),CHOOSE(ArtifactsInput!$N$27+1,20,24,28,32,36,40),0)/100)))))/Skills!H6,1)))/Inputs!$B$43),G1065*Q1065)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1065*(1-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1065*(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1065*(1-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1065*(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5">
        <f>IF(C1065,(H1065*N1065*IF(AND(Inputs!$B$38&lt;&gt;"pvp",Inputs!$B$43&gt;0),((Skills!G6*((R1065-1)*IF(Skills!H6&gt;0,Skills!I6/Skills!H6,1)+IF(Skills!H6&gt;0,MIN(Skills!I6,MAX(0,MAX(0,Inputs!$B$43-B1091)-((R1065-1)*(IF(Inputs!$B$38="pvp",15,MAX(0.1,Skills!D6-IF(Skills!E6=TRUE,Inputs!$B$32,0)))*(1-IF(AND(ArtifactsInput!$M$27,Inputs!$B$4="Chapter Hunt"),CHOOSE(ArtifactsInput!$N$27+1,20,24,28,32,36,40),0)/100)))))/Skills!H6,1)))/Inputs!$B$43),G1065*Q1065))*IF(Inputs!$B$38="pvp",1,(1+(Inputs!$B$21+Skills!Q6+(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6">
      <c r="A1066">
        <f>Skills!A7</f>
        <v/>
      </c>
      <c r="B1066">
        <f>Skills!B7</f>
        <v/>
      </c>
      <c r="C1066">
        <f>Inputs!$B$3&gt;=100</f>
        <v/>
      </c>
      <c r="D1066">
        <f>IF(Skills!C7=1,60+Inputs!$B$25+Inputs!$B$29,IF(Skills!C7=2,90+Inputs!$B$26+Inputs!$B$29,IF(Skills!C7=3,120+Inputs!$B$27+Inputs!$B$29,MAX(0,(Inputs!$B$3-100)*3)+Inputs!$B$28+Inputs!$B$29)))</f>
        <v/>
      </c>
      <c r="E1066">
        <f>INDEX(FactorTable!$B$2:$Y$301, MATCH(ROUND(MIN(300,MAX(1,D1066)),0), FactorTable!$A$2:$A$301,0), Skills!M7+1)</f>
        <v/>
      </c>
      <c r="F1066">
        <f>IF(Skills!N7=TRUE,(Skills!L7/10)*(E1066/1000),Skills!L7/10)+Skills!O7</f>
        <v/>
      </c>
      <c r="G1066">
        <f>Skills!G7*IF(Skills!H7&gt;0,Skills!I7/Skills!H7,1)</f>
        <v/>
      </c>
      <c r="H1066">
        <f>1-(1-Skills!J7/100)^Skills!K7</f>
        <v/>
      </c>
      <c r="I1066" t="inlineStr">
        <is>
          <t>1</t>
        </is>
      </c>
      <c r="J1066">
        <f>((Inputs!$B$6*(1+Inputs!$B$7/100))+(((Inputs!$B$12*(1+Inputs!$B$13/100))-(Inputs!$B$12*(1+Inputs!$B$13/100)))+0.25*(Inputs!$B$14-Inputs!$B$14))*(1+Inputs!$B$7/100))*(F1066/100)</f>
        <v/>
      </c>
      <c r="K1066">
        <f>J1066*(1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C1079=TRUE)*(F1079-Calc!F20)),(Inputs!$B$23+0+(IF(ArtifactsInput!$M$15,CHOOSE(ArtifactsInput!$N$15+1,25,30,35,40,45,50)/100*(Inputs!$B$11-Inputs!$B$11),0))))/100+(Inputs!$B$23+0+(IF(ArtifactsInput!$M$15,CHOOSE(ArtifactsInput!$N$15+1,25,30,35,40,45,50)/100*(Inputs!$B$11-Inputs!$B$11),0)))/100)/2</f>
        <v/>
      </c>
      <c r="M1066">
        <f>L1066*(1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(1-Summary!$B$11)*T1066+Summary!$B$11*V1066</f>
        <v/>
      </c>
      <c r="P1066">
        <f>IF(B1094=0,0,O1066/B1094)</f>
        <v/>
      </c>
      <c r="Q1066">
        <f>IFERROR(1/(IF(Inputs!$B$38="pvp",15,MAX(0.1,Skills!D7-IF(Skills!E7=TRUE,Inputs!$B$32,0)))*(1-IF(AND(ArtifactsInput!$M$27,Inputs!$B$4="Chapter Hunt"),CHOOSE(ArtifactsInput!$N$27+1,20,24,28,32,36,40),0)/100)),0)</f>
        <v/>
      </c>
      <c r="R1066">
        <f>IF(AND(Inputs!$B$38&lt;&gt;"pvp",Inputs!$B$43&gt;0),IF(MAX(0,Inputs!$B$43-B1091)&lt;=0,0,(INT(MAX(0,Inputs!$B$43-B1091)/(IF(Inputs!$B$38="pvp",15,MAX(0.1,Skills!D7-IF(Skills!E7=TRUE,Inputs!$B$32,0)))*(1-IF(AND(ArtifactsInput!$M$27,Inputs!$B$4="Chapter Hunt"),CHOOSE(ArtifactsInput!$N$27+1,20,24,28,32,36,40),0)/100)))+1)),0)</f>
        <v/>
      </c>
      <c r="S1066">
        <f>IFERROR(O1066/N1066,0)</f>
        <v/>
      </c>
      <c r="T1066">
        <f>IF(C1066,(H1066*N1066*IF(AND(Inputs!$B$38&lt;&gt;"pvp",Inputs!$B$43&gt;0),((Skills!G7*((R1066-1)*IF(Skills!H7&gt;0,Skills!I7/Skills!H7,1)+IF(Skills!H7&gt;0,MIN(Skills!I7,MAX(0,MAX(0,Inputs!$B$43-B1091)-((R1066-1)*(IF(Inputs!$B$38="pvp",15,MAX(0.1,Skills!D7-IF(Skills!E7=TRUE,Inputs!$B$32,0)))*(1-IF(AND(ArtifactsInput!$M$27,Inputs!$B$4="Chapter Hunt"),CHOOSE(ArtifactsInput!$N$27+1,20,24,28,32,36,40),0)/100)))))/Skills!H7,1)))/Inputs!$B$43),G1066*Q1066)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1066*(1-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6">
        <f>IF(C1066,(H1066*N1066*IF(AND(Inputs!$B$38&lt;&gt;"pvp",Inputs!$B$43&gt;0),((Skills!G7*((R1066-1)*IF(Skills!H7&gt;0,Skills!I7/Skills!H7,1)+IF(Skills!H7&gt;0,MIN(Skills!I7,MAX(0,MAX(0,Inputs!$B$43-B1091)-((R1066-1)*(IF(Inputs!$B$38="pvp",15,MAX(0.1,Skills!D7-IF(Skills!E7=TRUE,Inputs!$B$32,0)))*(1-IF(AND(ArtifactsInput!$M$27,Inputs!$B$4="Chapter Hunt"),CHOOSE(ArtifactsInput!$N$27+1,20,24,28,32,36,40),0)/100)))))/Skills!H7,1)))/Inputs!$B$43),G1066*Q1066))*IF(Inputs!$B$38="pvp",1,(1+(Inputs!$B$21+Skills!Q7+(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Skills!A8</f>
        <v/>
      </c>
      <c r="B1067">
        <f>Skills!B8</f>
        <v/>
      </c>
      <c r="C1067">
        <f>Inputs!$B$3&gt;=110</f>
        <v/>
      </c>
      <c r="D1067">
        <f>IF(Skills!C8=1,60+Inputs!$B$25+Inputs!$B$29,IF(Skills!C8=2,90+Inputs!$B$26+Inputs!$B$29,IF(Skills!C8=3,120+Inputs!$B$27+Inputs!$B$29,MAX(0,(Inputs!$B$3-100)*3)+Inputs!$B$28+Inputs!$B$29)))</f>
        <v/>
      </c>
      <c r="E1067">
        <f>INDEX(FactorTable!$B$2:$Y$301, MATCH(ROUND(MIN(300,MAX(1,D1067)),0), FactorTable!$A$2:$A$301,0), Skills!M8+1)</f>
        <v/>
      </c>
      <c r="F1067">
        <f>IF(Skills!N8=TRUE,(Skills!L8/10)*(E1067/1000),Skills!L8/10)+Skills!O8</f>
        <v/>
      </c>
      <c r="G1067">
        <f>Skills!G8*IF(Skills!H8&gt;0,Skills!I8/Skills!H8,1)</f>
        <v/>
      </c>
      <c r="H1067">
        <f>1-(1-Skills!J8/100)^Skills!K8</f>
        <v/>
      </c>
      <c r="I1067" t="inlineStr">
        <is>
          <t>1</t>
        </is>
      </c>
      <c r="J1067">
        <f>((Inputs!$B$6*(1+Inputs!$B$7/100))+(((Inputs!$B$12*(1+Inputs!$B$13/100))-(Inputs!$B$12*(1+Inputs!$B$13/100)))+0.25*(Inputs!$B$14-Inputs!$B$14))*(1+Inputs!$B$7/100))*(F1067/100)</f>
        <v/>
      </c>
      <c r="K1067">
        <f>J1067*(1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1079=TRUE)*(F1079-Calc!F20)),(Inputs!$B$23+0+(IF(ArtifactsInput!$M$15,CHOOSE(ArtifactsInput!$N$15+1,25,30,35,40,45,50)/100*(Inputs!$B$11-Inputs!$B$11),0))))/100+(Inputs!$B$23+0+(IF(ArtifactsInput!$M$15,CHOOSE(ArtifactsInput!$N$15+1,25,30,35,40,45,50)/100*(Inputs!$B$11-Inputs!$B$11),0)))/100)/2</f>
        <v/>
      </c>
      <c r="M1067">
        <f>L1067*(1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IF(B1094=0,0,O1067/B1094)</f>
        <v/>
      </c>
      <c r="Q1067">
        <f>IFERROR(1/(IF(Inputs!$B$38="pvp",15,MAX(0.1,Skills!D8-IF(Skills!E8=TRUE,Inputs!$B$32,0)))*(1-IF(AND(ArtifactsInput!$M$27,Inputs!$B$4="Chapter Hunt"),CHOOSE(ArtifactsInput!$N$27+1,20,24,28,32,36,40),0)/100)),0)</f>
        <v/>
      </c>
      <c r="R1067">
        <f>IF(AND(Inputs!$B$38&lt;&gt;"pvp",Inputs!$B$43&gt;0),IF(MAX(0,Inputs!$B$43-B1091)&lt;=0,0,(INT(MAX(0,Inputs!$B$43-B1091)/(IF(Inputs!$B$38="pvp",15,MAX(0.1,Skills!D8-IF(Skills!E8=TRUE,Inputs!$B$32,0)))*(1-IF(AND(ArtifactsInput!$M$27,Inputs!$B$4="Chapter Hunt"),CHOOSE(ArtifactsInput!$N$27+1,20,24,28,32,36,40),0)/100)))+1)),0)</f>
        <v/>
      </c>
      <c r="S1067">
        <f>IFERROR(O1067/N1067,0)</f>
        <v/>
      </c>
      <c r="T1067">
        <f>IF(C1067,(H1067*N1067*IF(AND(Inputs!$B$38&lt;&gt;"pvp",Inputs!$B$43&gt;0),((Skills!G8*((R1067-1)*IF(Skills!H8&gt;0,Skills!I8/Skills!H8,1)+IF(Skills!H8&gt;0,MIN(Skills!I8,MAX(0,MAX(0,Inputs!$B$43-B1091)-((R1067-1)*(IF(Inputs!$B$38="pvp",15,MAX(0.1,Skills!D8-IF(Skills!E8=TRUE,Inputs!$B$32,0)))*(1-IF(AND(ArtifactsInput!$M$27,Inputs!$B$4="Chapter Hunt"),CHOOSE(ArtifactsInput!$N$27+1,20,24,28,32,36,40),0)/100)))))/Skills!H8,1)))/Inputs!$B$43),G1067*Q1067)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1067*(1-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8*((R1067-1)*IF(Skills!H8&gt;0,Skills!I8/Skills!H8,1)+IF(Skills!H8&gt;0,MIN(Skills!I8,MAX(0,MAX(0,Inputs!$B$43-B1091)-((R1067-1)*(IF(Inputs!$B$38="pvp",15,MAX(0.1,Skills!D8-IF(Skills!E8=TRUE,Inputs!$B$32,0)))*(1-IF(AND(ArtifactsInput!$M$27,Inputs!$B$4="Chapter Hunt"),CHOOSE(ArtifactsInput!$N$27+1,20,24,28,32,36,40),0)/100)))))/Skills!H8,1)))/Inputs!$B$43),G1067*Q1067))*IF(Inputs!$B$38="pvp",1,(1+(Inputs!$B$21+Skills!Q8+(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Skills!A9</f>
        <v/>
      </c>
      <c r="B1068">
        <f>Skills!B9</f>
        <v/>
      </c>
      <c r="C1068">
        <f>Inputs!$B$3&gt;=110</f>
        <v/>
      </c>
      <c r="D1068">
        <f>IF(Skills!C9=1,60+Inputs!$B$25+Inputs!$B$29,IF(Skills!C9=2,90+Inputs!$B$26+Inputs!$B$29,IF(Skills!C9=3,120+Inputs!$B$27+Inputs!$B$29,MAX(0,(Inputs!$B$3-100)*3)+Inputs!$B$28+Inputs!$B$29)))</f>
        <v/>
      </c>
      <c r="E1068">
        <f>INDEX(FactorTable!$B$2:$Y$301, MATCH(ROUND(MIN(300,MAX(1,D1068)),0), FactorTable!$A$2:$A$301,0), Skills!M9+1)</f>
        <v/>
      </c>
      <c r="F1068">
        <f>IF(Skills!N9=TRUE,(Skills!L9/10)*(E1068/1000),Skills!L9/10)+Skills!O9</f>
        <v/>
      </c>
      <c r="G1068">
        <f>Skills!G9*IF(Skills!H9&gt;0,Skills!I9/Skills!H9,1)</f>
        <v/>
      </c>
      <c r="H1068">
        <f>1-(1-Skills!J9/100)^Skills!K9</f>
        <v/>
      </c>
      <c r="I1068" t="inlineStr">
        <is>
          <t>1</t>
        </is>
      </c>
      <c r="J1068">
        <f>((Inputs!$B$6*(1+Inputs!$B$7/100))+(((Inputs!$B$12*(1+Inputs!$B$13/100))-(Inputs!$B$12*(1+Inputs!$B$13/100)))+0.25*(Inputs!$B$14-Inputs!$B$14))*(1+Inputs!$B$7/100))*(F1068/100)</f>
        <v/>
      </c>
      <c r="K1068">
        <f>J1068*(1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1079=TRUE)*(F1079-Calc!F20)),(Inputs!$B$23+0+(IF(ArtifactsInput!$M$15,CHOOSE(ArtifactsInput!$N$15+1,25,30,35,40,45,50)/100*(Inputs!$B$11-Inputs!$B$11),0))))/100+(Inputs!$B$23+0+(IF(ArtifactsInput!$M$15,CHOOSE(ArtifactsInput!$N$15+1,25,30,35,40,45,50)/100*(Inputs!$B$11-Inputs!$B$11),0)))/100)/2</f>
        <v/>
      </c>
      <c r="M1068">
        <f>L1068*(1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IF(B1094=0,0,O1068/B1094)</f>
        <v/>
      </c>
      <c r="Q1068">
        <f>IFERROR(1/(IF(Inputs!$B$38="pvp",15,MAX(0.1,Skills!D9-IF(Skills!E9=TRUE,Inputs!$B$32,0)))*(1-IF(AND(ArtifactsInput!$M$27,Inputs!$B$4="Chapter Hunt"),CHOOSE(ArtifactsInput!$N$27+1,20,24,28,32,36,40),0)/100)),0)</f>
        <v/>
      </c>
      <c r="R1068">
        <f>IF(AND(Inputs!$B$38&lt;&gt;"pvp",Inputs!$B$43&gt;0),IF(MAX(0,Inputs!$B$43-B1091)&lt;=0,0,(INT(MAX(0,Inputs!$B$43-B1091)/(IF(Inputs!$B$38="pvp",15,MAX(0.1,Skills!D9-IF(Skills!E9=TRUE,Inputs!$B$32,0)))*(1-IF(AND(ArtifactsInput!$M$27,Inputs!$B$4="Chapter Hunt"),CHOOSE(ArtifactsInput!$N$27+1,20,24,28,32,36,40),0)/100)))+1)),0)</f>
        <v/>
      </c>
      <c r="S1068">
        <f>IFERROR(O1068/N1068,0)</f>
        <v/>
      </c>
      <c r="T1068">
        <f>IF(C1068,(H1068*N1068*IF(AND(Inputs!$B$38&lt;&gt;"pvp",Inputs!$B$43&gt;0),((Skills!G9*((R1068-1)*IF(Skills!H9&gt;0,Skills!I9/Skills!H9,1)+IF(Skills!H9&gt;0,MIN(Skills!I9,MAX(0,MAX(0,Inputs!$B$43-B1091)-((R1068-1)*(IF(Inputs!$B$38="pvp",15,MAX(0.1,Skills!D9-IF(Skills!E9=TRUE,Inputs!$B$32,0)))*(1-IF(AND(ArtifactsInput!$M$27,Inputs!$B$4="Chapter Hunt"),CHOOSE(ArtifactsInput!$N$27+1,20,24,28,32,36,40),0)/100)))))/Skills!H9,1)))/Inputs!$B$43),G1068*Q1068)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1068*(1-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9*((R1068-1)*IF(Skills!H9&gt;0,Skills!I9/Skills!H9,1)+IF(Skills!H9&gt;0,MIN(Skills!I9,MAX(0,MAX(0,Inputs!$B$43-B1091)-((R1068-1)*(IF(Inputs!$B$38="pvp",15,MAX(0.1,Skills!D9-IF(Skills!E9=TRUE,Inputs!$B$32,0)))*(1-IF(AND(ArtifactsInput!$M$27,Inputs!$B$4="Chapter Hunt"),CHOOSE(ArtifactsInput!$N$27+1,20,24,28,32,36,40),0)/100)))))/Skills!H9,1)))/Inputs!$B$43),G1068*Q1068))*IF(Inputs!$B$38="pvp",1,(1+(Inputs!$B$21+Skills!Q9+(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Skills!A10</f>
        <v/>
      </c>
      <c r="B1069">
        <f>Skills!B10</f>
        <v/>
      </c>
      <c r="C1069">
        <f>Inputs!$B$3&gt;=103</f>
        <v/>
      </c>
      <c r="D1069">
        <f>IF(Skills!C10=1,60+Inputs!$B$25+Inputs!$B$29,IF(Skills!C10=2,90+Inputs!$B$26+Inputs!$B$29,IF(Skills!C10=3,120+Inputs!$B$27+Inputs!$B$29,MAX(0,(Inputs!$B$3-100)*3)+Inputs!$B$28+Inputs!$B$29)))</f>
        <v/>
      </c>
      <c r="E1069">
        <f>INDEX(FactorTable!$B$2:$Y$301, MATCH(ROUND(MIN(300,MAX(1,D1069)),0), FactorTable!$A$2:$A$301,0), Skills!M10+1)</f>
        <v/>
      </c>
      <c r="F1069">
        <f>IF(Skills!N10=TRUE,(Skills!L10/10)*(E1069/1000),Skills!L10/10)+Skills!O10</f>
        <v/>
      </c>
      <c r="G1069">
        <f>Skills!G10*IF(Skills!H10&gt;0,Skills!I10/Skills!H10,1)</f>
        <v/>
      </c>
      <c r="H1069">
        <f>1-(1-Skills!J10/100)^Skills!K10</f>
        <v/>
      </c>
      <c r="I1069" t="inlineStr">
        <is>
          <t>1</t>
        </is>
      </c>
      <c r="J1069">
        <f>((Inputs!$B$6*(1+Inputs!$B$7/100))+(((Inputs!$B$12*(1+Inputs!$B$13/100))-(Inputs!$B$12*(1+Inputs!$B$13/100)))+0.25*(Inputs!$B$14-Inputs!$B$14))*(1+Inputs!$B$7/100))*(F1069/100)</f>
        <v/>
      </c>
      <c r="K1069">
        <f>J1069*(1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1069)</f>
        <v/>
      </c>
      <c r="L1069">
        <f>K1069*(MIN(Inputs!$B$22+((C1079=TRUE)*(F1079-Calc!F20)),(Inputs!$B$23+0+(IF(ArtifactsInput!$M$15,CHOOSE(ArtifactsInput!$N$15+1,25,30,35,40,45,50)/100*(Inputs!$B$11-Inputs!$B$11),0))))/100+(Inputs!$B$23+0+(IF(ArtifactsInput!$M$15,CHOOSE(ArtifactsInput!$N$15+1,25,30,35,40,45,50)/100*(Inputs!$B$11-Inputs!$B$11),0)))/100)/2</f>
        <v/>
      </c>
      <c r="M1069">
        <f>L1069*(1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9">
        <f>L1069*(1-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1069*(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9">
        <f>(1-Summary!$B$11)*T1069+Summary!$B$11*V1069</f>
        <v/>
      </c>
      <c r="P1069">
        <f>IF(B1094=0,0,O1069/B1094)</f>
        <v/>
      </c>
      <c r="Q1069">
        <f>IFERROR(1/(IF(Inputs!$B$38="pvp",15,MAX(0.1,Skills!D10-IF(Skills!E10=TRUE,Inputs!$B$32,0)))*(1-IF(AND(ArtifactsInput!$M$27,Inputs!$B$4="Chapter Hunt"),CHOOSE(ArtifactsInput!$N$27+1,20,24,28,32,36,40),0)/100)),0)</f>
        <v/>
      </c>
      <c r="R1069">
        <f>IF(AND(Inputs!$B$38&lt;&gt;"pvp",Inputs!$B$43&gt;0),IF(MAX(0,Inputs!$B$43-B1091)&lt;=0,0,(INT(MAX(0,Inputs!$B$43-B1091)/(IF(Inputs!$B$38="pvp",15,MAX(0.1,Skills!D10-IF(Skills!E10=TRUE,Inputs!$B$32,0)))*(1-IF(AND(ArtifactsInput!$M$27,Inputs!$B$4="Chapter Hunt"),CHOOSE(ArtifactsInput!$N$27+1,20,24,28,32,36,40),0)/100)))+1)),0)</f>
        <v/>
      </c>
      <c r="S1069">
        <f>IFERROR(O1069/N1069,0)</f>
        <v/>
      </c>
      <c r="T1069">
        <f>IF(C1069,(H1069*N1069*IF(AND(Inputs!$B$38&lt;&gt;"pvp",Inputs!$B$43&gt;0),((Skills!G10*((R1069-1)*IF(Skills!H10&gt;0,Skills!I10/Skills!H10,1)+IF(Skills!H10&gt;0,MIN(Skills!I10,MAX(0,MAX(0,Inputs!$B$43-B1091)-((R1069-1)*(IF(Inputs!$B$38="pvp",15,MAX(0.1,Skills!D10-IF(Skills!E10=TRUE,Inputs!$B$32,0)))*(1-IF(AND(ArtifactsInput!$M$27,Inputs!$B$4="Chapter Hunt"),CHOOSE(ArtifactsInput!$N$27+1,20,24,28,32,36,40),0)/100)))))/Skills!H10,1)))/Inputs!$B$43),G1069*Q1069)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1069*(1-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1069*(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1069*(1-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1069*(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9">
        <f>IF(C1069,(H1069*N1069*IF(AND(Inputs!$B$38&lt;&gt;"pvp",Inputs!$B$43&gt;0),((Skills!G10*((R1069-1)*IF(Skills!H10&gt;0,Skills!I10/Skills!H10,1)+IF(Skills!H10&gt;0,MIN(Skills!I10,MAX(0,MAX(0,Inputs!$B$43-B1091)-((R1069-1)*(IF(Inputs!$B$38="pvp",15,MAX(0.1,Skills!D10-IF(Skills!E10=TRUE,Inputs!$B$32,0)))*(1-IF(AND(ArtifactsInput!$M$27,Inputs!$B$4="Chapter Hunt"),CHOOSE(ArtifactsInput!$N$27+1,20,24,28,32,36,40),0)/100)))))/Skills!H10,1)))/Inputs!$B$43),G1069*Q1069))*IF(Inputs!$B$38="pvp",1,(1+(Inputs!$B$21+Skills!Q10+(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0">
      <c r="A1070">
        <f>Skills!A11</f>
        <v/>
      </c>
      <c r="B1070">
        <f>Skills!B11</f>
        <v/>
      </c>
      <c r="C1070">
        <f>Inputs!$B$3&gt;=113</f>
        <v/>
      </c>
      <c r="D1070">
        <f>IF(Skills!C11=1,60+Inputs!$B$25+Inputs!$B$29,IF(Skills!C11=2,90+Inputs!$B$26+Inputs!$B$29,IF(Skills!C11=3,120+Inputs!$B$27+Inputs!$B$29,MAX(0,(Inputs!$B$3-100)*3)+Inputs!$B$28+Inputs!$B$29)))</f>
        <v/>
      </c>
      <c r="E1070">
        <f>INDEX(FactorTable!$B$2:$Y$301, MATCH(ROUND(MIN(300,MAX(1,D1070)),0), FactorTable!$A$2:$A$301,0), Skills!M11+1)</f>
        <v/>
      </c>
      <c r="F1070">
        <f>IF(Skills!N11=TRUE,(Skills!L11/10)*(E1070/1000),Skills!L11/10)+Skills!O11</f>
        <v/>
      </c>
      <c r="G1070">
        <f>Skills!G11*IF(Skills!H11&gt;0,Skills!I11/Skills!H11,1)</f>
        <v/>
      </c>
      <c r="H1070">
        <f>1-(1-Skills!J11/100)^Skills!K11</f>
        <v/>
      </c>
      <c r="I1070" t="inlineStr">
        <is>
          <t>1</t>
        </is>
      </c>
      <c r="J1070">
        <f>((Inputs!$B$6*(1+Inputs!$B$7/100))+(((Inputs!$B$12*(1+Inputs!$B$13/100))-(Inputs!$B$12*(1+Inputs!$B$13/100)))+0.25*(Inputs!$B$14-Inputs!$B$14))*(1+Inputs!$B$7/100))*(F1070/100)</f>
        <v/>
      </c>
      <c r="K1070">
        <f>J1070*(1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1079=TRUE)*(F1079-Calc!F20)),(Inputs!$B$23+0+(IF(ArtifactsInput!$M$15,CHOOSE(ArtifactsInput!$N$15+1,25,30,35,40,45,50)/100*(Inputs!$B$11-Inputs!$B$11),0))))/100+(Inputs!$B$23+0+(IF(ArtifactsInput!$M$15,CHOOSE(ArtifactsInput!$N$15+1,25,30,35,40,45,50)/100*(Inputs!$B$11-Inputs!$B$11),0)))/100)/2</f>
        <v/>
      </c>
      <c r="M1070">
        <f>L1070*(1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IF(B1094=0,0,O1070/B1094)</f>
        <v/>
      </c>
      <c r="Q1070">
        <f>IFERROR(1/(IF(Inputs!$B$38="pvp",15,MAX(0.1,Skills!D11-IF(Skills!E11=TRUE,Inputs!$B$32,0)))*(1-IF(AND(ArtifactsInput!$M$27,Inputs!$B$4="Chapter Hunt"),CHOOSE(ArtifactsInput!$N$27+1,20,24,28,32,36,40),0)/100)),0)</f>
        <v/>
      </c>
      <c r="R1070">
        <f>IF(AND(Inputs!$B$38&lt;&gt;"pvp",Inputs!$B$43&gt;0),IF(MAX(0,Inputs!$B$43-B1091)&lt;=0,0,(INT(MAX(0,Inputs!$B$43-B1091)/(IF(Inputs!$B$38="pvp",15,MAX(0.1,Skills!D11-IF(Skills!E11=TRUE,Inputs!$B$32,0)))*(1-IF(AND(ArtifactsInput!$M$27,Inputs!$B$4="Chapter Hunt"),CHOOSE(ArtifactsInput!$N$27+1,20,24,28,32,36,40),0)/100)))+1)),0)</f>
        <v/>
      </c>
      <c r="S1070">
        <f>IFERROR(O1070/N1070,0)</f>
        <v/>
      </c>
      <c r="T1070">
        <f>IF(C1070,(H1070*N1070*IF(AND(Inputs!$B$38&lt;&gt;"pvp",Inputs!$B$43&gt;0),((Skills!G11*((R1070-1)*IF(Skills!H11&gt;0,Skills!I11/Skills!H11,1)+IF(Skills!H11&gt;0,MIN(Skills!I11,MAX(0,MAX(0,Inputs!$B$43-B1091)-((R1070-1)*(IF(Inputs!$B$38="pvp",15,MAX(0.1,Skills!D11-IF(Skills!E11=TRUE,Inputs!$B$32,0)))*(1-IF(AND(ArtifactsInput!$M$27,Inputs!$B$4="Chapter Hunt"),CHOOSE(ArtifactsInput!$N$27+1,20,24,28,32,36,40),0)/100)))))/Skills!H11,1)))/Inputs!$B$43),G1070*Q1070)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1070*(1-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11*((R1070-1)*IF(Skills!H11&gt;0,Skills!I11/Skills!H11,1)+IF(Skills!H11&gt;0,MIN(Skills!I11,MAX(0,MAX(0,Inputs!$B$43-B1091)-((R1070-1)*(IF(Inputs!$B$38="pvp",15,MAX(0.1,Skills!D11-IF(Skills!E11=TRUE,Inputs!$B$32,0)))*(1-IF(AND(ArtifactsInput!$M$27,Inputs!$B$4="Chapter Hunt"),CHOOSE(ArtifactsInput!$N$27+1,20,24,28,32,36,40),0)/100)))))/Skills!H11,1)))/Inputs!$B$43),G1070*Q1070))*IF(Inputs!$B$38="pvp",1,(1+(Inputs!$B$21+Skills!Q11+(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Skills!A12</f>
        <v/>
      </c>
      <c r="B1071">
        <f>Skills!B12</f>
        <v/>
      </c>
      <c r="C1071">
        <f>Inputs!$B$3&gt;=100</f>
        <v/>
      </c>
      <c r="D1071">
        <f>IF(Skills!C12=1,60+Inputs!$B$25+Inputs!$B$29,IF(Skills!C12=2,90+Inputs!$B$26+Inputs!$B$29,IF(Skills!C12=3,120+Inputs!$B$27+Inputs!$B$29,MAX(0,(Inputs!$B$3-100)*3)+Inputs!$B$28+Inputs!$B$29)))</f>
        <v/>
      </c>
      <c r="E1071">
        <f>INDEX(FactorTable!$B$2:$Y$301, MATCH(ROUND(MIN(300,MAX(1,D1071)),0), FactorTable!$A$2:$A$301,0), Skills!M12+1)</f>
        <v/>
      </c>
      <c r="F1071">
        <f>IF(Skills!N12=TRUE,(Skills!L12/10)*(E1071/1000),Skills!L12/10)+Skills!O12</f>
        <v/>
      </c>
      <c r="G1071" t="inlineStr"/>
      <c r="H1071" t="inlineStr"/>
      <c r="I1071" t="inlineStr">
        <is>
          <t>1</t>
        </is>
      </c>
      <c r="J1071" t="inlineStr"/>
      <c r="K1071" t="inlineStr"/>
      <c r="L1071" t="inlineStr"/>
      <c r="M1071" t="inlineStr"/>
      <c r="N1071" t="inlineStr"/>
      <c r="O1071" t="inlineStr"/>
      <c r="P1071" t="inlineStr"/>
      <c r="Q1071" t="inlineStr"/>
      <c r="R1071" t="inlineStr"/>
      <c r="S1071" t="inlineStr"/>
      <c r="T1071" t="inlineStr"/>
      <c r="V1071" t="inlineStr"/>
    </row>
    <row r="1072">
      <c r="A1072">
        <f>Skills!A13</f>
        <v/>
      </c>
      <c r="B1072">
        <f>Skills!B13</f>
        <v/>
      </c>
      <c r="C1072">
        <f>Inputs!$B$3&gt;=66</f>
        <v/>
      </c>
      <c r="D1072">
        <f>IF(Skills!C13=1,60+Inputs!$B$25+Inputs!$B$29,IF(Skills!C13=2,90+Inputs!$B$26+Inputs!$B$29,IF(Skills!C13=3,120+Inputs!$B$27+Inputs!$B$29,MAX(0,(Inputs!$B$3-100)*3)+Inputs!$B$28+Inputs!$B$29)))</f>
        <v/>
      </c>
      <c r="E1072">
        <f>INDEX(FactorTable!$B$2:$Y$301, MATCH(ROUND(MIN(300,MAX(1,D1072)),0), FactorTable!$A$2:$A$301,0), Skills!M13+1)</f>
        <v/>
      </c>
      <c r="F1072">
        <f>IF(Skills!N13=TRUE,(Skills!L13/10)*(E1072/1000),Skills!L13/10)+Skills!O13</f>
        <v/>
      </c>
      <c r="G1072">
        <f>Skills!G13*IF(Skills!H13&gt;0,Skills!I13/Skills!H13,1)</f>
        <v/>
      </c>
      <c r="H1072">
        <f>1-(1-Skills!J13/100)^Skills!K13</f>
        <v/>
      </c>
      <c r="I1072" t="inlineStr">
        <is>
          <t>1</t>
        </is>
      </c>
      <c r="J1072" t="inlineStr"/>
      <c r="K1072" t="inlineStr"/>
      <c r="L1072" t="inlineStr"/>
      <c r="M1072" t="inlineStr"/>
      <c r="N1072" t="inlineStr"/>
      <c r="O1072">
        <f>(1-Summary!$B$11)*T1072+Summary!$B$11*V1072</f>
        <v/>
      </c>
      <c r="P1072">
        <f>IF(B1094=0,0,O1072/B1094)</f>
        <v/>
      </c>
      <c r="Q1072" t="n">
        <v>0</v>
      </c>
      <c r="R1072" t="n">
        <v>0</v>
      </c>
      <c r="S1072">
        <f>IFERROR(O1072/N1072,0)</f>
        <v/>
      </c>
      <c r="T1072" t="n">
        <v>0</v>
      </c>
      <c r="V1072" t="n">
        <v>0</v>
      </c>
    </row>
    <row r="1073">
      <c r="A1073">
        <f>Skills!A14</f>
        <v/>
      </c>
      <c r="B1073">
        <f>Skills!B14</f>
        <v/>
      </c>
      <c r="C1073">
        <f>Inputs!$B$3&gt;=107</f>
        <v/>
      </c>
      <c r="D1073">
        <f>IF(Skills!C14=1,60+Inputs!$B$25+Inputs!$B$29,IF(Skills!C14=2,90+Inputs!$B$26+Inputs!$B$29,IF(Skills!C14=3,120+Inputs!$B$27+Inputs!$B$29,MAX(0,(Inputs!$B$3-100)*3)+Inputs!$B$28+Inputs!$B$29)))</f>
        <v/>
      </c>
      <c r="E1073">
        <f>INDEX(FactorTable!$B$2:$Y$301, MATCH(ROUND(MIN(300,MAX(1,D1073)),0), FactorTable!$A$2:$A$301,0), Skills!M14+1)</f>
        <v/>
      </c>
      <c r="F1073">
        <f>IF(Skills!N14=TRUE,(Skills!L14/10)*(E1073/1000),Skills!L14/10)+Skills!O14</f>
        <v/>
      </c>
      <c r="G1073">
        <f>Skills!G14*IF(Skills!H14&gt;0,Skills!I14/Skills!H14,1)</f>
        <v/>
      </c>
      <c r="H1073">
        <f>1-(1-Skills!J14/100)^Skills!K14</f>
        <v/>
      </c>
      <c r="I1073" t="inlineStr">
        <is>
          <t>1</t>
        </is>
      </c>
      <c r="J1073" t="inlineStr"/>
      <c r="K1073" t="inlineStr"/>
      <c r="L1073" t="inlineStr"/>
      <c r="M1073" t="inlineStr"/>
      <c r="N1073" t="inlineStr"/>
      <c r="O1073">
        <f>(1-Summary!$B$11)*T1073+Summary!$B$11*V1073</f>
        <v/>
      </c>
      <c r="P1073">
        <f>IF(B1094=0,0,O1073/B1094)</f>
        <v/>
      </c>
      <c r="Q1073" t="n">
        <v>0</v>
      </c>
      <c r="R1073" t="n">
        <v>0</v>
      </c>
      <c r="S1073">
        <f>IFERROR(O1073/N1073,0)</f>
        <v/>
      </c>
      <c r="T1073" t="n">
        <v>0</v>
      </c>
      <c r="V1073" t="n">
        <v>0</v>
      </c>
    </row>
    <row r="1074">
      <c r="A1074">
        <f>Skills!A15</f>
        <v/>
      </c>
      <c r="B1074">
        <f>Skills!B15</f>
        <v/>
      </c>
      <c r="C1074">
        <f>Inputs!$B$3&gt;=115</f>
        <v/>
      </c>
      <c r="D1074">
        <f>IF(Skills!C15=1,60+Inputs!$B$25+Inputs!$B$29,IF(Skills!C15=2,90+Inputs!$B$26+Inputs!$B$29,IF(Skills!C15=3,120+Inputs!$B$27+Inputs!$B$29,MAX(0,(Inputs!$B$3-100)*3)+Inputs!$B$28+Inputs!$B$29)))</f>
        <v/>
      </c>
      <c r="E1074">
        <f>INDEX(FactorTable!$B$2:$Y$301, MATCH(ROUND(MIN(300,MAX(1,D1074)),0), FactorTable!$A$2:$A$301,0), Skills!M15+1)</f>
        <v/>
      </c>
      <c r="F1074">
        <f>IF(Skills!N15=TRUE,(Skills!L15/10)*(E1074/1000),Skills!L15/10)+Skills!O15</f>
        <v/>
      </c>
      <c r="G1074">
        <f>Skills!G15*IF(Skills!H15&gt;0,Skills!I15/Skills!H15,1)</f>
        <v/>
      </c>
      <c r="H1074">
        <f>1-(1-Skills!J15/100)^Skills!K15</f>
        <v/>
      </c>
      <c r="I1074" t="inlineStr">
        <is>
          <t>1</t>
        </is>
      </c>
      <c r="J1074" t="inlineStr"/>
      <c r="K1074" t="inlineStr"/>
      <c r="L1074" t="inlineStr"/>
      <c r="M1074" t="inlineStr"/>
      <c r="N1074" t="inlineStr"/>
      <c r="O1074">
        <f>(1-Summary!$B$11)*T1074+Summary!$B$11*V1074</f>
        <v/>
      </c>
      <c r="P1074">
        <f>IF(B1094=0,0,O1074/B1094)</f>
        <v/>
      </c>
      <c r="Q1074" t="n">
        <v>0</v>
      </c>
      <c r="R1074" t="n">
        <v>0</v>
      </c>
      <c r="S1074">
        <f>IFERROR(O1074/N1074,0)</f>
        <v/>
      </c>
      <c r="T1074" t="n">
        <v>0</v>
      </c>
      <c r="V1074" t="n">
        <v>0</v>
      </c>
    </row>
    <row r="1075">
      <c r="A1075">
        <f>Skills!A16</f>
        <v/>
      </c>
      <c r="B1075">
        <f>Skills!B16</f>
        <v/>
      </c>
      <c r="C1075">
        <f>Inputs!$B$3&gt;=15</f>
        <v/>
      </c>
      <c r="D1075">
        <f>IF(Skills!C16=1,60+Inputs!$B$25+Inputs!$B$29,IF(Skills!C16=2,90+Inputs!$B$26+Inputs!$B$29,IF(Skills!C16=3,120+Inputs!$B$27+Inputs!$B$29,MAX(0,(Inputs!$B$3-100)*3)+Inputs!$B$28+Inputs!$B$29)))</f>
        <v/>
      </c>
      <c r="E1075">
        <f>INDEX(FactorTable!$B$2:$Y$301, MATCH(ROUND(MIN(300,MAX(1,D1075)),0), FactorTable!$A$2:$A$301,0), Skills!M16+1)</f>
        <v/>
      </c>
      <c r="F1075">
        <f>IF(Skills!N16=TRUE,(Skills!L16/10)*(E1075/1000),Skills!L16/10)+Skills!O16</f>
        <v/>
      </c>
      <c r="G1075">
        <f>Skills!G16*IF(Skills!H16&gt;0,Skills!I16/Skills!H16,1)</f>
        <v/>
      </c>
      <c r="H1075">
        <f>1-(1-Skills!J16/100)^Skills!K16</f>
        <v/>
      </c>
      <c r="I1075" t="inlineStr">
        <is>
          <t>1</t>
        </is>
      </c>
      <c r="J1075" t="inlineStr"/>
      <c r="K1075" t="inlineStr"/>
      <c r="L1075" t="inlineStr"/>
      <c r="M1075" t="inlineStr"/>
      <c r="N1075" t="inlineStr"/>
      <c r="O1075">
        <f>(1-Summary!$B$11)*T1075+Summary!$B$11*V1075</f>
        <v/>
      </c>
      <c r="P1075">
        <f>IF(B1094=0,0,O1075/B1094)</f>
        <v/>
      </c>
      <c r="Q1075" t="n">
        <v>0</v>
      </c>
      <c r="R1075" t="n">
        <v>0</v>
      </c>
      <c r="S1075">
        <f>IFERROR(O1075/N1075,0)</f>
        <v/>
      </c>
      <c r="T1075" t="n">
        <v>0</v>
      </c>
      <c r="V1075" t="n">
        <v>0</v>
      </c>
    </row>
    <row r="1076">
      <c r="A1076">
        <f>Skills!A17</f>
        <v/>
      </c>
      <c r="B1076">
        <f>Skills!B17</f>
        <v/>
      </c>
      <c r="C1076">
        <f>Inputs!$B$3&gt;=10</f>
        <v/>
      </c>
      <c r="D1076">
        <f>IF(Skills!C17=1,60+Inputs!$B$25+Inputs!$B$29,IF(Skills!C17=2,90+Inputs!$B$26+Inputs!$B$29,IF(Skills!C17=3,120+Inputs!$B$27+Inputs!$B$29,MAX(0,(Inputs!$B$3-100)*3)+Inputs!$B$28+Inputs!$B$29)))</f>
        <v/>
      </c>
      <c r="E1076">
        <f>INDEX(FactorTable!$B$2:$Y$301, MATCH(ROUND(MIN(300,MAX(1,D1076)),0), FactorTable!$A$2:$A$301,0), Skills!M17+1)</f>
        <v/>
      </c>
      <c r="F1076">
        <f>IF(Skills!N17=TRUE,(Skills!L17/10)*(E1076/1000),Skills!L17/10)+Skills!O17</f>
        <v/>
      </c>
      <c r="G1076">
        <f>Skills!G17*IF(Skills!H17&gt;0,Skills!I17/Skills!H17,1)</f>
        <v/>
      </c>
      <c r="H1076">
        <f>1-(1-Skills!J17/100)^Skills!K17</f>
        <v/>
      </c>
      <c r="I1076" t="inlineStr">
        <is>
          <t>1</t>
        </is>
      </c>
      <c r="J1076" t="inlineStr"/>
      <c r="K1076" t="inlineStr"/>
      <c r="L1076" t="inlineStr"/>
      <c r="M1076" t="inlineStr"/>
      <c r="N1076" t="inlineStr"/>
      <c r="O1076">
        <f>(1-Summary!$B$11)*T1076+Summary!$B$11*V1076</f>
        <v/>
      </c>
      <c r="P1076">
        <f>IF(B1094=0,0,O1076/B1094)</f>
        <v/>
      </c>
      <c r="Q1076" t="n">
        <v>0</v>
      </c>
      <c r="R1076" t="n">
        <v>0</v>
      </c>
      <c r="S1076">
        <f>IFERROR(O1076/N1076,0)</f>
        <v/>
      </c>
      <c r="T1076" t="n">
        <v>0</v>
      </c>
      <c r="V1076" t="n">
        <v>0</v>
      </c>
    </row>
    <row r="1077">
      <c r="A1077">
        <f>Skills!A18</f>
        <v/>
      </c>
      <c r="B1077">
        <f>Skills!B18</f>
        <v/>
      </c>
      <c r="C1077">
        <f>Inputs!$B$3&gt;=33</f>
        <v/>
      </c>
      <c r="D1077">
        <f>IF(Skills!C18=1,60+Inputs!$B$25+Inputs!$B$29,IF(Skills!C18=2,90+Inputs!$B$26+Inputs!$B$29,IF(Skills!C18=3,120+Inputs!$B$27+Inputs!$B$29,MAX(0,(Inputs!$B$3-100)*3)+Inputs!$B$28+Inputs!$B$29)))</f>
        <v/>
      </c>
      <c r="E1077">
        <f>INDEX(FactorTable!$B$2:$Y$301, MATCH(ROUND(MIN(300,MAX(1,D1077)),0), FactorTable!$A$2:$A$301,0), Skills!M18+1)</f>
        <v/>
      </c>
      <c r="F1077">
        <f>IF(Skills!N18=TRUE,(Skills!L18/10)*(E1077/1000),Skills!L18/10)+Skills!O18</f>
        <v/>
      </c>
      <c r="G1077">
        <f>Skills!G18*IF(Skills!H18&gt;0,Skills!I18/Skills!H18,1)</f>
        <v/>
      </c>
      <c r="H1077">
        <f>1-(1-Skills!J18/100)^Skills!K18</f>
        <v/>
      </c>
      <c r="I1077" t="inlineStr">
        <is>
          <t>1</t>
        </is>
      </c>
      <c r="J1077" t="inlineStr"/>
      <c r="K1077" t="inlineStr"/>
      <c r="L1077" t="inlineStr"/>
      <c r="M1077" t="inlineStr"/>
      <c r="N1077" t="inlineStr"/>
      <c r="O1077">
        <f>(1-Summary!$B$11)*T1077+Summary!$B$11*V1077</f>
        <v/>
      </c>
      <c r="P1077">
        <f>IF(B1094=0,0,O1077/B1094)</f>
        <v/>
      </c>
      <c r="Q1077" t="n">
        <v>0</v>
      </c>
      <c r="R1077" t="n">
        <v>0</v>
      </c>
      <c r="S1077">
        <f>IFERROR(O1077/N1077,0)</f>
        <v/>
      </c>
      <c r="T1077" t="n">
        <v>0</v>
      </c>
      <c r="V1077" t="n">
        <v>0</v>
      </c>
    </row>
    <row r="1078">
      <c r="A1078">
        <f>Skills!A19</f>
        <v/>
      </c>
      <c r="B1078">
        <f>Skills!B19</f>
        <v/>
      </c>
      <c r="C1078">
        <f>Inputs!$B$3&gt;=40</f>
        <v/>
      </c>
      <c r="D1078">
        <f>IF(Skills!C19=1,60+Inputs!$B$25+Inputs!$B$29,IF(Skills!C19=2,90+Inputs!$B$26+Inputs!$B$29,IF(Skills!C19=3,120+Inputs!$B$27+Inputs!$B$29,MAX(0,(Inputs!$B$3-100)*3)+Inputs!$B$28+Inputs!$B$29)))</f>
        <v/>
      </c>
      <c r="E1078">
        <f>INDEX(FactorTable!$B$2:$Y$301, MATCH(ROUND(MIN(300,MAX(1,D1078)),0), FactorTable!$A$2:$A$301,0), Skills!M19+1)</f>
        <v/>
      </c>
      <c r="F1078">
        <f>IF(Skills!N19=TRUE,(Skills!L19/10)*(E1078/1000),Skills!L19/10)+Skills!O19</f>
        <v/>
      </c>
      <c r="G1078">
        <f>Skills!G19*IF(Skills!H19&gt;0,Skills!I19/Skills!H19,1)</f>
        <v/>
      </c>
      <c r="H1078">
        <f>1-(1-Skills!J19/100)^Skills!K19</f>
        <v/>
      </c>
      <c r="I1078" t="inlineStr">
        <is>
          <t>1</t>
        </is>
      </c>
      <c r="J1078" t="inlineStr"/>
      <c r="K1078" t="inlineStr"/>
      <c r="L1078" t="inlineStr"/>
      <c r="M1078" t="inlineStr"/>
      <c r="N1078" t="inlineStr"/>
      <c r="O1078">
        <f>(1-Summary!$B$11)*T1078+Summary!$B$11*V1078</f>
        <v/>
      </c>
      <c r="P1078">
        <f>IF(B1094=0,0,O1078/B1094)</f>
        <v/>
      </c>
      <c r="Q1078" t="n">
        <v>0</v>
      </c>
      <c r="R1078" t="n">
        <v>0</v>
      </c>
      <c r="S1078">
        <f>IFERROR(O1078/N1078,0)</f>
        <v/>
      </c>
      <c r="T1078" t="n">
        <v>0</v>
      </c>
      <c r="V1078" t="n">
        <v>0</v>
      </c>
    </row>
    <row r="1079">
      <c r="A1079">
        <f>Skills!A20</f>
        <v/>
      </c>
      <c r="B1079">
        <f>Skills!B20</f>
        <v/>
      </c>
      <c r="C1079">
        <f>Inputs!$B$3&gt;=43</f>
        <v/>
      </c>
      <c r="D1079">
        <f>IF(Skills!C20=1,60+Inputs!$B$25+Inputs!$B$29,IF(Skills!C20=2,90+Inputs!$B$26+Inputs!$B$29,IF(Skills!C20=3,120+Inputs!$B$27+Inputs!$B$29,MAX(0,(Inputs!$B$3-100)*3)+Inputs!$B$28+Inputs!$B$29)))</f>
        <v/>
      </c>
      <c r="E1079">
        <f>INDEX(FactorTable!$B$2:$Y$301, MATCH(ROUND(MIN(300,MAX(1,D1079)),0), FactorTable!$A$2:$A$301,0), Skills!M20+1)</f>
        <v/>
      </c>
      <c r="F1079">
        <f>IF(Skills!N20=TRUE,(Skills!L20/10)*(E1079/1000),Skills!L20/10)+Skills!O20</f>
        <v/>
      </c>
      <c r="G1079">
        <f>Skills!G20*IF(Skills!H20&gt;0,Skills!I20/Skills!H20,1)</f>
        <v/>
      </c>
      <c r="H1079">
        <f>1-(1-Skills!J20/100)^Skills!K20</f>
        <v/>
      </c>
      <c r="I1079" t="inlineStr">
        <is>
          <t>1</t>
        </is>
      </c>
      <c r="J1079" t="inlineStr"/>
      <c r="K1079" t="inlineStr"/>
      <c r="L1079" t="inlineStr"/>
      <c r="M1079" t="inlineStr"/>
      <c r="N1079" t="inlineStr"/>
      <c r="O1079">
        <f>(1-Summary!$B$11)*T1079+Summary!$B$11*V1079</f>
        <v/>
      </c>
      <c r="P1079">
        <f>IF(B1094=0,0,O1079/B1094)</f>
        <v/>
      </c>
      <c r="Q1079" t="n">
        <v>0</v>
      </c>
      <c r="R1079" t="n">
        <v>0</v>
      </c>
      <c r="S1079">
        <f>IFERROR(O1079/N1079,0)</f>
        <v/>
      </c>
      <c r="T1079" t="n">
        <v>0</v>
      </c>
      <c r="V1079" t="n">
        <v>0</v>
      </c>
    </row>
    <row r="1080">
      <c r="A1080">
        <f>Skills!A21</f>
        <v/>
      </c>
      <c r="B1080">
        <f>Skills!B21</f>
        <v/>
      </c>
      <c r="C1080">
        <f>Inputs!$B$3&gt;=38</f>
        <v/>
      </c>
      <c r="D1080">
        <f>IF(Skills!C21=1,60+Inputs!$B$25+Inputs!$B$29,IF(Skills!C21=2,90+Inputs!$B$26+Inputs!$B$29,IF(Skills!C21=3,120+Inputs!$B$27+Inputs!$B$29,MAX(0,(Inputs!$B$3-100)*3)+Inputs!$B$28+Inputs!$B$29)))</f>
        <v/>
      </c>
      <c r="E1080">
        <f>INDEX(FactorTable!$B$2:$Y$301, MATCH(ROUND(MIN(300,MAX(1,D1080)),0), FactorTable!$A$2:$A$301,0), Skills!M21+1)</f>
        <v/>
      </c>
      <c r="F1080">
        <f>IF(Skills!N21=TRUE,(Skills!L21/10)*(E1080/1000),Skills!L21/10)+Skills!O21</f>
        <v/>
      </c>
      <c r="G1080">
        <f>Skills!G21*IF(Skills!H21&gt;0,Skills!I21/Skills!H21,1)</f>
        <v/>
      </c>
      <c r="H1080">
        <f>1-(1-Skills!J21/100)^Skills!K21</f>
        <v/>
      </c>
      <c r="I1080" t="inlineStr">
        <is>
          <t>1</t>
        </is>
      </c>
      <c r="J1080" t="inlineStr"/>
      <c r="K1080" t="inlineStr"/>
      <c r="L1080" t="inlineStr"/>
      <c r="M1080" t="inlineStr"/>
      <c r="N1080" t="inlineStr"/>
      <c r="O1080">
        <f>(1-Summary!$B$11)*T1080+Summary!$B$11*V1080</f>
        <v/>
      </c>
      <c r="P1080">
        <f>IF(B1094=0,0,O1080/B1094)</f>
        <v/>
      </c>
      <c r="Q1080" t="n">
        <v>0</v>
      </c>
      <c r="R1080" t="n">
        <v>0</v>
      </c>
      <c r="S1080">
        <f>IFERROR(O1080/N1080,0)</f>
        <v/>
      </c>
      <c r="T1080" t="n">
        <v>0</v>
      </c>
      <c r="V1080" t="n">
        <v>0</v>
      </c>
    </row>
    <row r="1081">
      <c r="A1081">
        <f>Skills!A22</f>
        <v/>
      </c>
      <c r="B1081">
        <f>Skills!B22</f>
        <v/>
      </c>
      <c r="C1081">
        <f>Inputs!$B$3&gt;=75</f>
        <v/>
      </c>
      <c r="D1081">
        <f>IF(Skills!C22=1,60+Inputs!$B$25+Inputs!$B$29,IF(Skills!C22=2,90+Inputs!$B$26+Inputs!$B$29,IF(Skills!C22=3,120+Inputs!$B$27+Inputs!$B$29,MAX(0,(Inputs!$B$3-100)*3)+Inputs!$B$28+Inputs!$B$29)))</f>
        <v/>
      </c>
      <c r="E1081">
        <f>INDEX(FactorTable!$B$2:$Y$301, MATCH(ROUND(MIN(300,MAX(1,D1081)),0), FactorTable!$A$2:$A$301,0), Skills!M22+1)</f>
        <v/>
      </c>
      <c r="F1081">
        <f>IF(Skills!N22=TRUE,(Skills!L22/10)*(E1081/1000),Skills!L22/10)+Skills!O22</f>
        <v/>
      </c>
      <c r="G1081">
        <f>Skills!G22*IF(Skills!H22&gt;0,Skills!I22/Skills!H22,1)</f>
        <v/>
      </c>
      <c r="H1081">
        <f>1-(1-Skills!J22/100)^Skills!K22</f>
        <v/>
      </c>
      <c r="I1081" t="inlineStr">
        <is>
          <t>1</t>
        </is>
      </c>
      <c r="J1081" t="inlineStr"/>
      <c r="K1081" t="inlineStr"/>
      <c r="L1081" t="inlineStr"/>
      <c r="M1081" t="inlineStr"/>
      <c r="N1081" t="inlineStr"/>
      <c r="O1081">
        <f>(1-Summary!$B$11)*T1081+Summary!$B$11*V1081</f>
        <v/>
      </c>
      <c r="P1081">
        <f>IF(B1094=0,0,O1081/B1094)</f>
        <v/>
      </c>
      <c r="Q1081" t="n">
        <v>0</v>
      </c>
      <c r="R1081" t="n">
        <v>0</v>
      </c>
      <c r="S1081">
        <f>IFERROR(O1081/N1081,0)</f>
        <v/>
      </c>
      <c r="T1081" t="n">
        <v>0</v>
      </c>
      <c r="V1081" t="n">
        <v>0</v>
      </c>
    </row>
    <row r="1083">
      <c r="A1083" t="inlineStr">
        <is>
          <t>Attack% Bucket Multiplier</t>
        </is>
      </c>
      <c r="B1083">
        <f>(1+(((C1072=TRUE)*F1072)+((C1078=TRUE)*(F1078-Calc!F19))+(IF(ArtifactsInput!$M$21,CHOOSE(ArtifactsInput!$N$21+1,25,30,35,40,45,50)*(IF(OR(Inputs!$B$4="Chapter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084">
      <c r="A1084" t="inlineStr">
        <is>
          <t>Global Crit Rate Bonus %</t>
        </is>
      </c>
      <c r="B1084" t="n">
        <v>0</v>
      </c>
    </row>
    <row r="1085">
      <c r="A1085" t="inlineStr">
        <is>
          <t>Attack Speed Buff Bonus % (unused)</t>
        </is>
      </c>
      <c r="B1085" t="n">
        <v>0</v>
      </c>
    </row>
    <row r="1086">
      <c r="A1086" t="inlineStr">
        <is>
          <t>Actions Per Second</t>
        </is>
      </c>
      <c r="B1086">
        <f>1+MIN(150,150*(1-(1-(Inputs!$B$11+((C1076=TRUE)*(F1076-Calc!F17))+((C1077=TRUE)*(F1077-Calc!F18)))/150)*(1-B1085/150)))/100</f>
        <v/>
      </c>
    </row>
    <row r="1087">
      <c r="A1087" t="inlineStr">
        <is>
          <t>Skill + Buff Cast Rate</t>
        </is>
      </c>
      <c r="B1087">
        <f>IF(AND(Inputs!$B$38&lt;&gt;"pvp",Inputs!$B$43&gt;0),SUMPRODUCT((Skills!E2:E22=TRUE)*(C1061:C1081=TRUE)*R1061:R1081*Skills!F2:F22)/Inputs!$B$43,SUMPRODUCT((Skills!E2:E22=TRUE)*(C1061:C1081=TRUE)*Q1061:Q1081*Skills!F2:F22))</f>
        <v/>
      </c>
    </row>
    <row r="1088">
      <c r="A1088" t="inlineStr">
        <is>
          <t>Hook Bomber Casts Per Second</t>
        </is>
      </c>
      <c r="B1088">
        <f>MAX(0,B1086-B1087)</f>
        <v/>
      </c>
    </row>
    <row r="1089">
      <c r="A1089" t="inlineStr">
        <is>
          <t>Global Critical Damage Bonus % (unused)</t>
        </is>
      </c>
      <c r="B1089" t="n">
        <v>0</v>
      </c>
    </row>
    <row r="1090">
      <c r="A1090" t="inlineStr">
        <is>
          <t>Global Final Damage Bonus % (Serpent Scale + Crossbones + Time Leap + Speed Infusion)</t>
        </is>
      </c>
      <c r="B1090">
        <f>((C1064=TRUE)*F1064*((10+IF(Inputs!$B$3&gt;=94,5,0))/((10+IF(Inputs!$B$3&gt;=94,5,0))+5/(B1088*(1+IF(Inputs!$B$3&gt;=104,1,0))))))+((C1073=TRUE)*F1073)+((C1074=TRUE)*F1074)+((Inputs!$B$3&gt;=110)*20*(B1086-1))</f>
        <v/>
      </c>
    </row>
    <row r="1091">
      <c r="A1091" t="inlineStr">
        <is>
          <t>Buff-Casting Startup Delay (s, fixed-duration only)</t>
        </is>
      </c>
      <c r="B1091">
        <f>IF(AND(Inputs!$B$38&lt;&gt;"pvp",Inputs!$B$43&gt;0),SUMPRODUCT((Skills!T2:T22&gt;0)*(Skills!E2:E22=TRUE)*(C1061:C1081=TRUE))/B1086,0)</f>
        <v/>
      </c>
    </row>
    <row r="1092">
      <c r="A1092" t="inlineStr">
        <is>
          <t>Boss-Only Total DPS (this block's swept value)</t>
        </is>
      </c>
      <c r="B1092">
        <f>SUM(T1061:T1081)</f>
        <v/>
      </c>
    </row>
    <row r="1093">
      <c r="A1093" t="inlineStr">
        <is>
          <t>Normal-Only Total DPS (this block's swept value)</t>
        </is>
      </c>
      <c r="B1093">
        <f>SUM(V1061:V1081)</f>
        <v/>
      </c>
    </row>
    <row r="1094">
      <c r="A1094" s="6" t="inlineStr">
        <is>
          <t>TOTAL DPS</t>
        </is>
      </c>
      <c r="B1094" s="6">
        <f>SUM(O1061:O1081)</f>
        <v/>
      </c>
    </row>
    <row r="1097">
      <c r="A1097" s="6" t="inlineStr">
        <is>
          <t>Stat: Pig's Ribbon (Equip)</t>
        </is>
      </c>
    </row>
    <row r="1098">
      <c r="A1098" s="5" t="inlineStr">
        <is>
          <t>Key</t>
        </is>
      </c>
      <c r="B1098" s="5" t="inlineStr">
        <is>
          <t>Name</t>
        </is>
      </c>
      <c r="C1098" s="5" t="inlineStr">
        <is>
          <t>Unlocked</t>
        </is>
      </c>
      <c r="D1098" s="5" t="inlineStr">
        <is>
          <t>InputLevel</t>
        </is>
      </c>
      <c r="E1098" s="5" t="inlineStr">
        <is>
          <t>Factor</t>
        </is>
      </c>
      <c r="F1098" s="5" t="inlineStr">
        <is>
          <t>CoefficientPercent</t>
        </is>
      </c>
      <c r="G1098" s="5" t="inlineStr">
        <is>
          <t>EffectiveHits</t>
        </is>
      </c>
      <c r="H1098" s="5" t="inlineStr">
        <is>
          <t>ProcProbability</t>
        </is>
      </c>
      <c r="I1098" s="5" t="inlineStr">
        <is>
          <t>MapleHeroMultiplier</t>
        </is>
      </c>
      <c r="J1098" s="5" t="inlineStr">
        <is>
          <t>BaseDamage</t>
        </is>
      </c>
      <c r="K1098" s="5" t="inlineStr">
        <is>
          <t>BaseHitDamage</t>
        </is>
      </c>
      <c r="L1098" s="5" t="inlineStr">
        <is>
          <t>NonCritAvg</t>
        </is>
      </c>
      <c r="M1098" s="5" t="inlineStr">
        <is>
          <t>CritAvg</t>
        </is>
      </c>
      <c r="N1098" s="5" t="inlineStr">
        <is>
          <t>ExpectedDamage(perHit)</t>
        </is>
      </c>
      <c r="O1098" s="5" t="inlineStr">
        <is>
          <t>DPS</t>
        </is>
      </c>
      <c r="P1098" s="5" t="inlineStr">
        <is>
          <t>% of Total</t>
        </is>
      </c>
      <c r="Q1098" s="5" t="inlineStr">
        <is>
          <t>InvCooldown</t>
        </is>
      </c>
      <c r="R1098" s="5" t="inlineStr">
        <is>
          <t>CastsInFight</t>
        </is>
      </c>
      <c r="S1098" s="5" t="inlineStr">
        <is>
          <t>HitRate(perSec)</t>
        </is>
      </c>
      <c r="U1098" t="inlineStr">
        <is>
          <t>helpers</t>
        </is>
      </c>
    </row>
    <row r="1099">
      <c r="A1099">
        <f>Skills!A2</f>
        <v/>
      </c>
      <c r="B1099">
        <f>Skills!B2</f>
        <v/>
      </c>
      <c r="C1099">
        <f>Inputs!$B$3&gt;=100</f>
        <v/>
      </c>
      <c r="D1099" t="inlineStr"/>
      <c r="E1099" t="inlineStr"/>
      <c r="F1099">
        <f>U1101+Skills!O2</f>
        <v/>
      </c>
      <c r="G1099">
        <f>Skills!G2*IF(Skills!H2&gt;0,Skills!I2/Skills!H2,1)</f>
        <v/>
      </c>
      <c r="H1099">
        <f>1-(1-Skills!J2/100)^Skills!K2</f>
        <v/>
      </c>
      <c r="I1099" t="inlineStr">
        <is>
          <t>1</t>
        </is>
      </c>
      <c r="J1099">
        <f>((Inputs!$B$6*(1+Inputs!$B$7/100))+(((Inputs!$B$12*(1+Inputs!$B$13/100))-(Inputs!$B$12*(1+Inputs!$B$13/100)))+0.25*(Inputs!$B$14-Inputs!$B$14))*(1+Inputs!$B$7/100))*(F1099/100)</f>
        <v/>
      </c>
      <c r="K1099">
        <f>J1099*(1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1099)</f>
        <v/>
      </c>
      <c r="L1099">
        <f>K1099*(MIN(Inputs!$B$22+((C1117=TRUE)*(F1117-Calc!F20)),(Inputs!$B$23+0+(IF(ArtifactsInput!$M$15,CHOOSE(ArtifactsInput!$N$15+1,25,30,35,40,45,50)/100*(Inputs!$B$11-Inputs!$B$11),0))))/100+(Inputs!$B$23+0+(IF(ArtifactsInput!$M$15,CHOOSE(ArtifactsInput!$N$15+1,25,30,35,40,45,50)/100*(Inputs!$B$11-Inputs!$B$11),0)))/100)/2</f>
        <v/>
      </c>
      <c r="M1099">
        <f>L1099*(1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9">
        <f>L1099*(1-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1099*(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9">
        <f>(1-Summary!$B$11)*T1099+Summary!$B$11*V1099</f>
        <v/>
      </c>
      <c r="P1099">
        <f>IF(B1132=0,0,O1099/B1132)</f>
        <v/>
      </c>
      <c r="Q1099" t="n">
        <v>0</v>
      </c>
      <c r="R1099" t="n">
        <v>0</v>
      </c>
      <c r="S1099">
        <f>IFERROR(O1099/N1099,0)</f>
        <v/>
      </c>
      <c r="T1099">
        <f>IF(C1099,(Skills!G2*N1099*B1126)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1099*(1-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1099*(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1099*(1-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1099*(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9">
        <f>MAX(0,(Inputs!$B$3-100)*3)+Inputs!$B$28+Inputs!$B$29</f>
        <v/>
      </c>
      <c r="V1099">
        <f>IF(C1099,(Skills!G2*N1099*B1126)*IF(Inputs!$B$38="pvp",1,(1+(Inputs!$B$21+Skills!Q2+(IF(ArtifactsInput!$M$33,CHOOSE(ArtifactsInput!$N$33+1,30,36,42,48,54,60),0))+(IF(AND(ArtifactsInput!$M$35,Inputs!$B$4&lt;&gt;"Chapter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0">
      <c r="A1100">
        <f>Skills!A3</f>
        <v/>
      </c>
      <c r="B1100">
        <f>Skills!B3</f>
        <v/>
      </c>
      <c r="C1100">
        <f>Inputs!$B$3&gt;=35</f>
        <v/>
      </c>
      <c r="D1100">
        <f>IF(Skills!C3=1,60+Inputs!$B$25+Inputs!$B$29,IF(Skills!C3=2,90+Inputs!$B$26+Inputs!$B$29,IF(Skills!C3=3,120+Inputs!$B$27+Inputs!$B$29,MAX(0,(Inputs!$B$3-100)*3)+Inputs!$B$28+Inputs!$B$29)))</f>
        <v/>
      </c>
      <c r="E1100">
        <f>INDEX(FactorTable!$B$2:$Y$301, MATCH(ROUND(MIN(300,MAX(1,D1100)),0), FactorTable!$A$2:$A$301,0), Skills!M3+1)</f>
        <v/>
      </c>
      <c r="F1100">
        <f>IF(Skills!N3=TRUE,(Skills!L3/10)*(E1100/1000),Skills!L3/10)+Skills!O3</f>
        <v/>
      </c>
      <c r="G1100">
        <f>Skills!G3*IF(Skills!H3&gt;0,Skills!I3/Skills!H3,1)</f>
        <v/>
      </c>
      <c r="H1100">
        <f>1-(1-Skills!J3/100)^Skills!K3</f>
        <v/>
      </c>
      <c r="I1100" t="inlineStr">
        <is>
          <t>1</t>
        </is>
      </c>
      <c r="J1100">
        <f>((Inputs!$B$6*(1+Inputs!$B$7/100))+(((Inputs!$B$12*(1+Inputs!$B$13/100))-(Inputs!$B$12*(1+Inputs!$B$13/100)))+0.25*(Inputs!$B$14-Inputs!$B$14))*(1+Inputs!$B$7/100))*(F1100/100)</f>
        <v/>
      </c>
      <c r="K1100">
        <f>J1100*(1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1100)</f>
        <v/>
      </c>
      <c r="L1100">
        <f>K1100*(MIN(Inputs!$B$22+((C1117=TRUE)*(F1117-Calc!F20)),(Inputs!$B$23+0+(IF(ArtifactsInput!$M$15,CHOOSE(ArtifactsInput!$N$15+1,25,30,35,40,45,50)/100*(Inputs!$B$11-Inputs!$B$11),0))))/100+(Inputs!$B$23+0+(IF(ArtifactsInput!$M$15,CHOOSE(ArtifactsInput!$N$15+1,25,30,35,40,45,50)/100*(Inputs!$B$11-Inputs!$B$11),0)))/100)/2</f>
        <v/>
      </c>
      <c r="M1100">
        <f>L1100*(1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0">
        <f>L1100*(1-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1100*(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0">
        <f>(1-Summary!$B$11)*T1100+Summary!$B$11*V1100</f>
        <v/>
      </c>
      <c r="P1100">
        <f>IF(B1132=0,0,O1100/B1132)</f>
        <v/>
      </c>
      <c r="Q1100" t="n">
        <v>0</v>
      </c>
      <c r="R1100" t="n">
        <v>0</v>
      </c>
      <c r="S1100">
        <f>IFERROR(O1100/N1100,0)</f>
        <v/>
      </c>
      <c r="T1100">
        <f>IF(C1100,(Skills!G3*H1100*N1100*B1126)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1100*(1-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1100*(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1100*(1-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1100*(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0">
        <f>INDEX(FactorTable!$B$2:$Y$301, MATCH(ROUND(MIN(300,MAX(1,U1099)),0), FactorTable!$A$2:$A$301,0), 22)</f>
        <v/>
      </c>
      <c r="V1100">
        <f>IF(C1100,(Skills!G3*H1100*N1100*B1126)*IF(Inputs!$B$38="pvp",1,(1+(Inputs!$B$21+Skills!Q3+(IF(ArtifactsInput!$M$33,CHOOSE(ArtifactsInput!$N$33+1,30,36,42,48,54,60),0))+(IF(AND(ArtifactsInput!$M$35,Inputs!$B$4&lt;&gt;"Chapter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1">
      <c r="A1101">
        <f>Skills!A4</f>
        <v/>
      </c>
      <c r="B1101">
        <f>Skills!B4</f>
        <v/>
      </c>
      <c r="C1101">
        <f>Inputs!$B$3&gt;=60</f>
        <v/>
      </c>
      <c r="D1101">
        <f>IF(Skills!C4=1,60+Inputs!$B$25+Inputs!$B$29,IF(Skills!C4=2,90+Inputs!$B$26+Inputs!$B$29,IF(Skills!C4=3,120+Inputs!$B$27+Inputs!$B$29,MAX(0,(Inputs!$B$3-100)*3)+Inputs!$B$28+Inputs!$B$29)))</f>
        <v/>
      </c>
      <c r="E1101">
        <f>INDEX(FactorTable!$B$2:$Y$301, MATCH(ROUND(MIN(300,MAX(1,D1101)),0), FactorTable!$A$2:$A$301,0), Skills!M4+1)</f>
        <v/>
      </c>
      <c r="F1101">
        <f>IF(Skills!N4=TRUE,(Skills!L4/10)*(E1101/1000),Skills!L4/10)+Skills!O4</f>
        <v/>
      </c>
      <c r="G1101">
        <f>Skills!G4*IF(Skills!H4&gt;0,Skills!I4/Skills!H4,1)</f>
        <v/>
      </c>
      <c r="H1101">
        <f>1-(1-Skills!J4/100)^Skills!K4</f>
        <v/>
      </c>
      <c r="I1101" t="inlineStr">
        <is>
          <t>1</t>
        </is>
      </c>
      <c r="J1101">
        <f>((Inputs!$B$6*(1+Inputs!$B$7/100))+(((Inputs!$B$12*(1+Inputs!$B$13/100))-(Inputs!$B$12*(1+Inputs!$B$13/100)))+0.25*(Inputs!$B$14-Inputs!$B$14))*(1+Inputs!$B$7/100))*(F1101/100)</f>
        <v/>
      </c>
      <c r="K1101">
        <f>J1101*(1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1109=TRUE,F1109,0)/100)*(1+(IF(Skills!A4="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1101)</f>
        <v/>
      </c>
      <c r="L1101">
        <f>K1101*(MIN(Inputs!$B$22+((C1117=TRUE)*(F1117-Calc!F20)),(Inputs!$B$23+0+(IF(ArtifactsInput!$M$15,CHOOSE(ArtifactsInput!$N$15+1,25,30,35,40,45,50)/100*(Inputs!$B$11-Inputs!$B$11),0))))/100+(Inputs!$B$23+0+(IF(ArtifactsInput!$M$15,CHOOSE(ArtifactsInput!$N$15+1,25,30,35,40,45,50)/100*(Inputs!$B$11-Inputs!$B$11),0)))/100)/2</f>
        <v/>
      </c>
      <c r="M1101">
        <f>L1101*(1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1">
        <f>L1101*(1-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1">
        <f>(1-Summary!$B$11)*T1101+Summary!$B$11*V1101</f>
        <v/>
      </c>
      <c r="P1101">
        <f>IF(B1132=0,0,O1101/B1132)</f>
        <v/>
      </c>
      <c r="Q1101" t="n">
        <v>0</v>
      </c>
      <c r="R1101" t="n">
        <v>0</v>
      </c>
      <c r="S1101">
        <f>IFERROR(O1101/N1101,0)</f>
        <v/>
      </c>
      <c r="T1101">
        <f>IF(C1101,(Skills!G4*H1101*N1101*B1126)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1101*(1-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1101*(1-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1">
        <f>290*U1100/1000</f>
        <v/>
      </c>
      <c r="V1101">
        <f>IF(C1101,(Skills!G4*H1101*N1101*B1126)*IF(Inputs!$B$38="pvp",1,(1+(Inputs!$B$21+Skills!Q4+(IF(ArtifactsInput!$M$33,CHOOSE(ArtifactsInput!$N$33+1,30,36,42,48,54,60),0))+(IF(AND(ArtifactsInput!$M$35,Inputs!$B$4&lt;&gt;"Chapter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2">
      <c r="A1102">
        <f>Skills!A5</f>
        <v/>
      </c>
      <c r="B1102">
        <f>Skills!B5</f>
        <v/>
      </c>
      <c r="C1102">
        <f>Inputs!$B$3&gt;=60</f>
        <v/>
      </c>
      <c r="D1102">
        <f>IF(Skills!C5=1,60+Inputs!$B$25+Inputs!$B$29,IF(Skills!C5=2,90+Inputs!$B$26+Inputs!$B$29,IF(Skills!C5=3,120+Inputs!$B$27+Inputs!$B$29,MAX(0,(Inputs!$B$3-100)*3)+Inputs!$B$28+Inputs!$B$29)))</f>
        <v/>
      </c>
      <c r="E1102">
        <f>INDEX(FactorTable!$B$2:$Y$301, MATCH(ROUND(MIN(300,MAX(1,D1102)),0), FactorTable!$A$2:$A$301,0), Skills!M5+1)</f>
        <v/>
      </c>
      <c r="F1102">
        <f>IF(Skills!N5=TRUE,(Skills!L5/10)*(E1102/1000),Skills!L5/10)+Skills!O5</f>
        <v/>
      </c>
      <c r="G1102">
        <f>Skills!G5*IF(Skills!H5&gt;0,Skills!I5/Skills!H5,1)</f>
        <v/>
      </c>
      <c r="H1102">
        <f>1-(1-Skills!J5/100)^Skills!K5</f>
        <v/>
      </c>
      <c r="I1102" t="inlineStr">
        <is>
          <t>1</t>
        </is>
      </c>
      <c r="J1102" t="inlineStr"/>
      <c r="K1102" t="inlineStr"/>
      <c r="L1102" t="inlineStr"/>
      <c r="M1102" t="inlineStr"/>
      <c r="N1102" t="inlineStr"/>
      <c r="O1102">
        <f>(1-Summary!$B$11)*T1102+Summary!$B$11*V1102</f>
        <v/>
      </c>
      <c r="P1102">
        <f>IF(B1132=0,0,O1102/B1132)</f>
        <v/>
      </c>
      <c r="Q1102" t="n">
        <v>0</v>
      </c>
      <c r="R1102" t="n">
        <v>0</v>
      </c>
      <c r="S1102">
        <f>IFERROR(O1102/N1102,0)</f>
        <v/>
      </c>
      <c r="T1102" t="n">
        <v>0</v>
      </c>
      <c r="V1102" t="n">
        <v>0</v>
      </c>
    </row>
    <row r="1103">
      <c r="A1103">
        <f>Skills!A6</f>
        <v/>
      </c>
      <c r="B1103">
        <f>Skills!B6</f>
        <v/>
      </c>
      <c r="C1103">
        <f>Inputs!$B$3&gt;=63</f>
        <v/>
      </c>
      <c r="D1103">
        <f>IF(Skills!C6=1,60+Inputs!$B$25+Inputs!$B$29,IF(Skills!C6=2,90+Inputs!$B$26+Inputs!$B$29,IF(Skills!C6=3,120+Inputs!$B$27+Inputs!$B$29,MAX(0,(Inputs!$B$3-100)*3)+Inputs!$B$28+Inputs!$B$29)))</f>
        <v/>
      </c>
      <c r="E1103">
        <f>INDEX(FactorTable!$B$2:$Y$301, MATCH(ROUND(MIN(300,MAX(1,D1103)),0), FactorTable!$A$2:$A$301,0), Skills!M6+1)</f>
        <v/>
      </c>
      <c r="F1103">
        <f>IF(Skills!N6=TRUE,(Skills!L6/10)*(E1103/1000),Skills!L6/10)+Skills!O6</f>
        <v/>
      </c>
      <c r="G1103">
        <f>Skills!G6*IF(Skills!H6&gt;0,Skills!I6/Skills!H6,1)</f>
        <v/>
      </c>
      <c r="H1103">
        <f>1-(1-Skills!J6/100)^Skills!K6</f>
        <v/>
      </c>
      <c r="I1103" t="inlineStr">
        <is>
          <t>1</t>
        </is>
      </c>
      <c r="J1103">
        <f>((Inputs!$B$6*(1+Inputs!$B$7/100))+(((Inputs!$B$12*(1+Inputs!$B$13/100))-(Inputs!$B$12*(1+Inputs!$B$13/100)))+0.25*(Inputs!$B$14-Inputs!$B$14))*(1+Inputs!$B$7/100))*(F1103/100)</f>
        <v/>
      </c>
      <c r="K1103">
        <f>J1103*(1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1103)</f>
        <v/>
      </c>
      <c r="L1103">
        <f>K1103*(MIN(Inputs!$B$22+((C1117=TRUE)*(F1117-Calc!F20)),(Inputs!$B$23+0+(IF(ArtifactsInput!$M$15,CHOOSE(ArtifactsInput!$N$15+1,25,30,35,40,45,50)/100*(Inputs!$B$11-Inputs!$B$11),0))))/100+(Inputs!$B$23+0+(IF(ArtifactsInput!$M$15,CHOOSE(ArtifactsInput!$N$15+1,25,30,35,40,45,50)/100*(Inputs!$B$11-Inputs!$B$11),0)))/100)/2</f>
        <v/>
      </c>
      <c r="M1103">
        <f>L1103*(1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3">
        <f>L1103*(1-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1103*(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3">
        <f>(1-Summary!$B$11)*T1103+Summary!$B$11*V1103</f>
        <v/>
      </c>
      <c r="P1103">
        <f>IF(B1132=0,0,O1103/B1132)</f>
        <v/>
      </c>
      <c r="Q1103">
        <f>IFERROR(1/(IF(Inputs!$B$38="pvp",15,MAX(0.1,Skills!D6-IF(Skills!E6=TRUE,Inputs!$B$32,0)))*(1-IF(AND(ArtifactsInput!$M$27,Inputs!$B$4="Chapter Hunt"),CHOOSE(ArtifactsInput!$N$27+1,20,24,28,32,36,40),0)/100)),0)</f>
        <v/>
      </c>
      <c r="R1103">
        <f>IF(AND(Inputs!$B$38&lt;&gt;"pvp",Inputs!$B$43&gt;0),IF(MAX(0,Inputs!$B$43-B1129)&lt;=0,0,(INT(MAX(0,Inputs!$B$43-B1129)/(IF(Inputs!$B$38="pvp",15,MAX(0.1,Skills!D6-IF(Skills!E6=TRUE,Inputs!$B$32,0)))*(1-IF(AND(ArtifactsInput!$M$27,Inputs!$B$4="Chapter Hunt"),CHOOSE(ArtifactsInput!$N$27+1,20,24,28,32,36,40),0)/100)))+1)),0)</f>
        <v/>
      </c>
      <c r="S1103">
        <f>IFERROR(O1103/N1103,0)</f>
        <v/>
      </c>
      <c r="T1103">
        <f>IF(C1103,(H1103*N1103*IF(AND(Inputs!$B$38&lt;&gt;"pvp",Inputs!$B$43&gt;0),((Skills!G6*((R1103-1)*IF(Skills!H6&gt;0,Skills!I6/Skills!H6,1)+IF(Skills!H6&gt;0,MIN(Skills!I6,MAX(0,MAX(0,Inputs!$B$43-B1129)-((R1103-1)*(IF(Inputs!$B$38="pvp",15,MAX(0.1,Skills!D6-IF(Skills!E6=TRUE,Inputs!$B$32,0)))*(1-IF(AND(ArtifactsInput!$M$27,Inputs!$B$4="Chapter Hunt"),CHOOSE(ArtifactsInput!$N$27+1,20,24,28,32,36,40),0)/100)))))/Skills!H6,1)))/Inputs!$B$43),G1103*Q1103)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1103*(1-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1103*(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1103*(1-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1103*(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3">
        <f>IF(C1103,(H1103*N1103*IF(AND(Inputs!$B$38&lt;&gt;"pvp",Inputs!$B$43&gt;0),((Skills!G6*((R1103-1)*IF(Skills!H6&gt;0,Skills!I6/Skills!H6,1)+IF(Skills!H6&gt;0,MIN(Skills!I6,MAX(0,MAX(0,Inputs!$B$43-B1129)-((R1103-1)*(IF(Inputs!$B$38="pvp",15,MAX(0.1,Skills!D6-IF(Skills!E6=TRUE,Inputs!$B$32,0)))*(1-IF(AND(ArtifactsInput!$M$27,Inputs!$B$4="Chapter Hunt"),CHOOSE(ArtifactsInput!$N$27+1,20,24,28,32,36,40),0)/100)))))/Skills!H6,1)))/Inputs!$B$43),G1103*Q1103))*IF(Inputs!$B$38="pvp",1,(1+(Inputs!$B$21+Skills!Q6+(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4">
      <c r="A1104">
        <f>Skills!A7</f>
        <v/>
      </c>
      <c r="B1104">
        <f>Skills!B7</f>
        <v/>
      </c>
      <c r="C1104">
        <f>Inputs!$B$3&gt;=100</f>
        <v/>
      </c>
      <c r="D1104">
        <f>IF(Skills!C7=1,60+Inputs!$B$25+Inputs!$B$29,IF(Skills!C7=2,90+Inputs!$B$26+Inputs!$B$29,IF(Skills!C7=3,120+Inputs!$B$27+Inputs!$B$29,MAX(0,(Inputs!$B$3-100)*3)+Inputs!$B$28+Inputs!$B$29)))</f>
        <v/>
      </c>
      <c r="E1104">
        <f>INDEX(FactorTable!$B$2:$Y$301, MATCH(ROUND(MIN(300,MAX(1,D1104)),0), FactorTable!$A$2:$A$301,0), Skills!M7+1)</f>
        <v/>
      </c>
      <c r="F1104">
        <f>IF(Skills!N7=TRUE,(Skills!L7/10)*(E1104/1000),Skills!L7/10)+Skills!O7</f>
        <v/>
      </c>
      <c r="G1104">
        <f>Skills!G7*IF(Skills!H7&gt;0,Skills!I7/Skills!H7,1)</f>
        <v/>
      </c>
      <c r="H1104">
        <f>1-(1-Skills!J7/100)^Skills!K7</f>
        <v/>
      </c>
      <c r="I1104" t="inlineStr">
        <is>
          <t>1</t>
        </is>
      </c>
      <c r="J1104">
        <f>((Inputs!$B$6*(1+Inputs!$B$7/100))+(((Inputs!$B$12*(1+Inputs!$B$13/100))-(Inputs!$B$12*(1+Inputs!$B$13/100)))+0.25*(Inputs!$B$14-Inputs!$B$14))*(1+Inputs!$B$7/100))*(F1104/100)</f>
        <v/>
      </c>
      <c r="K1104">
        <f>J1104*(1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1104)</f>
        <v/>
      </c>
      <c r="L1104">
        <f>K1104*(MIN(Inputs!$B$22+((C1117=TRUE)*(F1117-Calc!F20)),(Inputs!$B$23+0+(IF(ArtifactsInput!$M$15,CHOOSE(ArtifactsInput!$N$15+1,25,30,35,40,45,50)/100*(Inputs!$B$11-Inputs!$B$11),0))))/100+(Inputs!$B$23+0+(IF(ArtifactsInput!$M$15,CHOOSE(ArtifactsInput!$N$15+1,25,30,35,40,45,50)/100*(Inputs!$B$11-Inputs!$B$11),0)))/100)/2</f>
        <v/>
      </c>
      <c r="M1104">
        <f>L1104*(1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4">
        <f>L1104*(1-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1104*(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4">
        <f>(1-Summary!$B$11)*T1104+Summary!$B$11*V1104</f>
        <v/>
      </c>
      <c r="P1104">
        <f>IF(B1132=0,0,O1104/B1132)</f>
        <v/>
      </c>
      <c r="Q1104">
        <f>IFERROR(1/(IF(Inputs!$B$38="pvp",15,MAX(0.1,Skills!D7-IF(Skills!E7=TRUE,Inputs!$B$32,0)))*(1-IF(AND(ArtifactsInput!$M$27,Inputs!$B$4="Chapter Hunt"),CHOOSE(ArtifactsInput!$N$27+1,20,24,28,32,36,40),0)/100)),0)</f>
        <v/>
      </c>
      <c r="R1104">
        <f>IF(AND(Inputs!$B$38&lt;&gt;"pvp",Inputs!$B$43&gt;0),IF(MAX(0,Inputs!$B$43-B1129)&lt;=0,0,(INT(MAX(0,Inputs!$B$43-B1129)/(IF(Inputs!$B$38="pvp",15,MAX(0.1,Skills!D7-IF(Skills!E7=TRUE,Inputs!$B$32,0)))*(1-IF(AND(ArtifactsInput!$M$27,Inputs!$B$4="Chapter Hunt"),CHOOSE(ArtifactsInput!$N$27+1,20,24,28,32,36,40),0)/100)))+1)),0)</f>
        <v/>
      </c>
      <c r="S1104">
        <f>IFERROR(O1104/N1104,0)</f>
        <v/>
      </c>
      <c r="T1104">
        <f>IF(C1104,(H1104*N1104*IF(AND(Inputs!$B$38&lt;&gt;"pvp",Inputs!$B$43&gt;0),((Skills!G7*((R1104-1)*IF(Skills!H7&gt;0,Skills!I7/Skills!H7,1)+IF(Skills!H7&gt;0,MIN(Skills!I7,MAX(0,MAX(0,Inputs!$B$43-B1129)-((R1104-1)*(IF(Inputs!$B$38="pvp",15,MAX(0.1,Skills!D7-IF(Skills!E7=TRUE,Inputs!$B$32,0)))*(1-IF(AND(ArtifactsInput!$M$27,Inputs!$B$4="Chapter Hunt"),CHOOSE(ArtifactsInput!$N$27+1,20,24,28,32,36,40),0)/100)))))/Skills!H7,1)))/Inputs!$B$43),G1104*Q1104)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1104*(1-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1104*(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1104*(1-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1104*(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4">
        <f>IF(C1104,(H1104*N1104*IF(AND(Inputs!$B$38&lt;&gt;"pvp",Inputs!$B$43&gt;0),((Skills!G7*((R1104-1)*IF(Skills!H7&gt;0,Skills!I7/Skills!H7,1)+IF(Skills!H7&gt;0,MIN(Skills!I7,MAX(0,MAX(0,Inputs!$B$43-B1129)-((R1104-1)*(IF(Inputs!$B$38="pvp",15,MAX(0.1,Skills!D7-IF(Skills!E7=TRUE,Inputs!$B$32,0)))*(1-IF(AND(ArtifactsInput!$M$27,Inputs!$B$4="Chapter Hunt"),CHOOSE(ArtifactsInput!$N$27+1,20,24,28,32,36,40),0)/100)))))/Skills!H7,1)))/Inputs!$B$43),G1104*Q1104))*IF(Inputs!$B$38="pvp",1,(1+(Inputs!$B$21+Skills!Q7+(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5">
      <c r="A1105">
        <f>Skills!A8</f>
        <v/>
      </c>
      <c r="B1105">
        <f>Skills!B8</f>
        <v/>
      </c>
      <c r="C1105">
        <f>Inputs!$B$3&gt;=110</f>
        <v/>
      </c>
      <c r="D1105">
        <f>IF(Skills!C8=1,60+Inputs!$B$25+Inputs!$B$29,IF(Skills!C8=2,90+Inputs!$B$26+Inputs!$B$29,IF(Skills!C8=3,120+Inputs!$B$27+Inputs!$B$29,MAX(0,(Inputs!$B$3-100)*3)+Inputs!$B$28+Inputs!$B$29)))</f>
        <v/>
      </c>
      <c r="E1105">
        <f>INDEX(FactorTable!$B$2:$Y$301, MATCH(ROUND(MIN(300,MAX(1,D1105)),0), FactorTable!$A$2:$A$301,0), Skills!M8+1)</f>
        <v/>
      </c>
      <c r="F1105">
        <f>IF(Skills!N8=TRUE,(Skills!L8/10)*(E1105/1000),Skills!L8/10)+Skills!O8</f>
        <v/>
      </c>
      <c r="G1105">
        <f>Skills!G8*IF(Skills!H8&gt;0,Skills!I8/Skills!H8,1)</f>
        <v/>
      </c>
      <c r="H1105">
        <f>1-(1-Skills!J8/100)^Skills!K8</f>
        <v/>
      </c>
      <c r="I1105" t="inlineStr">
        <is>
          <t>1</t>
        </is>
      </c>
      <c r="J1105">
        <f>((Inputs!$B$6*(1+Inputs!$B$7/100))+(((Inputs!$B$12*(1+Inputs!$B$13/100))-(Inputs!$B$12*(1+Inputs!$B$13/100)))+0.25*(Inputs!$B$14-Inputs!$B$14))*(1+Inputs!$B$7/100))*(F1105/100)</f>
        <v/>
      </c>
      <c r="K1105">
        <f>J1105*(1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1105)</f>
        <v/>
      </c>
      <c r="L1105">
        <f>K1105*(MIN(Inputs!$B$22+((C1117=TRUE)*(F1117-Calc!F20)),(Inputs!$B$23+0+(IF(ArtifactsInput!$M$15,CHOOSE(ArtifactsInput!$N$15+1,25,30,35,40,45,50)/100*(Inputs!$B$11-Inputs!$B$11),0))))/100+(Inputs!$B$23+0+(IF(ArtifactsInput!$M$15,CHOOSE(ArtifactsInput!$N$15+1,25,30,35,40,45,50)/100*(Inputs!$B$11-Inputs!$B$11),0)))/100)/2</f>
        <v/>
      </c>
      <c r="M1105">
        <f>L1105*(1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5">
        <f>L1105*(1-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1105*(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5">
        <f>(1-Summary!$B$11)*T1105+Summary!$B$11*V1105</f>
        <v/>
      </c>
      <c r="P1105">
        <f>IF(B1132=0,0,O1105/B1132)</f>
        <v/>
      </c>
      <c r="Q1105">
        <f>IFERROR(1/(IF(Inputs!$B$38="pvp",15,MAX(0.1,Skills!D8-IF(Skills!E8=TRUE,Inputs!$B$32,0)))*(1-IF(AND(ArtifactsInput!$M$27,Inputs!$B$4="Chapter Hunt"),CHOOSE(ArtifactsInput!$N$27+1,20,24,28,32,36,40),0)/100)),0)</f>
        <v/>
      </c>
      <c r="R1105">
        <f>IF(AND(Inputs!$B$38&lt;&gt;"pvp",Inputs!$B$43&gt;0),IF(MAX(0,Inputs!$B$43-B1129)&lt;=0,0,(INT(MAX(0,Inputs!$B$43-B1129)/(IF(Inputs!$B$38="pvp",15,MAX(0.1,Skills!D8-IF(Skills!E8=TRUE,Inputs!$B$32,0)))*(1-IF(AND(ArtifactsInput!$M$27,Inputs!$B$4="Chapter Hunt"),CHOOSE(ArtifactsInput!$N$27+1,20,24,28,32,36,40),0)/100)))+1)),0)</f>
        <v/>
      </c>
      <c r="S1105">
        <f>IFERROR(O1105/N1105,0)</f>
        <v/>
      </c>
      <c r="T1105">
        <f>IF(C1105,(H1105*N1105*IF(AND(Inputs!$B$38&lt;&gt;"pvp",Inputs!$B$43&gt;0),((Skills!G8*((R1105-1)*IF(Skills!H8&gt;0,Skills!I8/Skills!H8,1)+IF(Skills!H8&gt;0,MIN(Skills!I8,MAX(0,MAX(0,Inputs!$B$43-B1129)-((R1105-1)*(IF(Inputs!$B$38="pvp",15,MAX(0.1,Skills!D8-IF(Skills!E8=TRUE,Inputs!$B$32,0)))*(1-IF(AND(ArtifactsInput!$M$27,Inputs!$B$4="Chapter Hunt"),CHOOSE(ArtifactsInput!$N$27+1,20,24,28,32,36,40),0)/100)))))/Skills!H8,1)))/Inputs!$B$43),G1105*Q1105)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1105*(1-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1105*(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1105*(1-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1105*(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5">
        <f>IF(C1105,(H1105*N1105*IF(AND(Inputs!$B$38&lt;&gt;"pvp",Inputs!$B$43&gt;0),((Skills!G8*((R1105-1)*IF(Skills!H8&gt;0,Skills!I8/Skills!H8,1)+IF(Skills!H8&gt;0,MIN(Skills!I8,MAX(0,MAX(0,Inputs!$B$43-B1129)-((R1105-1)*(IF(Inputs!$B$38="pvp",15,MAX(0.1,Skills!D8-IF(Skills!E8=TRUE,Inputs!$B$32,0)))*(1-IF(AND(ArtifactsInput!$M$27,Inputs!$B$4="Chapter Hunt"),CHOOSE(ArtifactsInput!$N$27+1,20,24,28,32,36,40),0)/100)))))/Skills!H8,1)))/Inputs!$B$43),G1105*Q1105))*IF(Inputs!$B$38="pvp",1,(1+(Inputs!$B$21+Skills!Q8+(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6">
      <c r="A1106">
        <f>Skills!A9</f>
        <v/>
      </c>
      <c r="B1106">
        <f>Skills!B9</f>
        <v/>
      </c>
      <c r="C1106">
        <f>Inputs!$B$3&gt;=110</f>
        <v/>
      </c>
      <c r="D1106">
        <f>IF(Skills!C9=1,60+Inputs!$B$25+Inputs!$B$29,IF(Skills!C9=2,90+Inputs!$B$26+Inputs!$B$29,IF(Skills!C9=3,120+Inputs!$B$27+Inputs!$B$29,MAX(0,(Inputs!$B$3-100)*3)+Inputs!$B$28+Inputs!$B$29)))</f>
        <v/>
      </c>
      <c r="E1106">
        <f>INDEX(FactorTable!$B$2:$Y$301, MATCH(ROUND(MIN(300,MAX(1,D1106)),0), FactorTable!$A$2:$A$301,0), Skills!M9+1)</f>
        <v/>
      </c>
      <c r="F1106">
        <f>IF(Skills!N9=TRUE,(Skills!L9/10)*(E1106/1000),Skills!L9/10)+Skills!O9</f>
        <v/>
      </c>
      <c r="G1106">
        <f>Skills!G9*IF(Skills!H9&gt;0,Skills!I9/Skills!H9,1)</f>
        <v/>
      </c>
      <c r="H1106">
        <f>1-(1-Skills!J9/100)^Skills!K9</f>
        <v/>
      </c>
      <c r="I1106" t="inlineStr">
        <is>
          <t>1</t>
        </is>
      </c>
      <c r="J1106">
        <f>((Inputs!$B$6*(1+Inputs!$B$7/100))+(((Inputs!$B$12*(1+Inputs!$B$13/100))-(Inputs!$B$12*(1+Inputs!$B$13/100)))+0.25*(Inputs!$B$14-Inputs!$B$14))*(1+Inputs!$B$7/100))*(F1106/100)</f>
        <v/>
      </c>
      <c r="K1106">
        <f>J1106*(1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1106)</f>
        <v/>
      </c>
      <c r="L1106">
        <f>K1106*(MIN(Inputs!$B$22+((C1117=TRUE)*(F1117-Calc!F20)),(Inputs!$B$23+0+(IF(ArtifactsInput!$M$15,CHOOSE(ArtifactsInput!$N$15+1,25,30,35,40,45,50)/100*(Inputs!$B$11-Inputs!$B$11),0))))/100+(Inputs!$B$23+0+(IF(ArtifactsInput!$M$15,CHOOSE(ArtifactsInput!$N$15+1,25,30,35,40,45,50)/100*(Inputs!$B$11-Inputs!$B$11),0)))/100)/2</f>
        <v/>
      </c>
      <c r="M1106">
        <f>L1106*(1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6">
        <f>L1106*(1-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1106*(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6">
        <f>(1-Summary!$B$11)*T1106+Summary!$B$11*V1106</f>
        <v/>
      </c>
      <c r="P1106">
        <f>IF(B1132=0,0,O1106/B1132)</f>
        <v/>
      </c>
      <c r="Q1106">
        <f>IFERROR(1/(IF(Inputs!$B$38="pvp",15,MAX(0.1,Skills!D9-IF(Skills!E9=TRUE,Inputs!$B$32,0)))*(1-IF(AND(ArtifactsInput!$M$27,Inputs!$B$4="Chapter Hunt"),CHOOSE(ArtifactsInput!$N$27+1,20,24,28,32,36,40),0)/100)),0)</f>
        <v/>
      </c>
      <c r="R1106">
        <f>IF(AND(Inputs!$B$38&lt;&gt;"pvp",Inputs!$B$43&gt;0),IF(MAX(0,Inputs!$B$43-B1129)&lt;=0,0,(INT(MAX(0,Inputs!$B$43-B1129)/(IF(Inputs!$B$38="pvp",15,MAX(0.1,Skills!D9-IF(Skills!E9=TRUE,Inputs!$B$32,0)))*(1-IF(AND(ArtifactsInput!$M$27,Inputs!$B$4="Chapter Hunt"),CHOOSE(ArtifactsInput!$N$27+1,20,24,28,32,36,40),0)/100)))+1)),0)</f>
        <v/>
      </c>
      <c r="S1106">
        <f>IFERROR(O1106/N1106,0)</f>
        <v/>
      </c>
      <c r="T1106">
        <f>IF(C1106,(H1106*N1106*IF(AND(Inputs!$B$38&lt;&gt;"pvp",Inputs!$B$43&gt;0),((Skills!G9*((R1106-1)*IF(Skills!H9&gt;0,Skills!I9/Skills!H9,1)+IF(Skills!H9&gt;0,MIN(Skills!I9,MAX(0,MAX(0,Inputs!$B$43-B1129)-((R1106-1)*(IF(Inputs!$B$38="pvp",15,MAX(0.1,Skills!D9-IF(Skills!E9=TRUE,Inputs!$B$32,0)))*(1-IF(AND(ArtifactsInput!$M$27,Inputs!$B$4="Chapter Hunt"),CHOOSE(ArtifactsInput!$N$27+1,20,24,28,32,36,40),0)/100)))))/Skills!H9,1)))/Inputs!$B$43),G1106*Q1106)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1106*(1-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1106*(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1106*(1-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1106*(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6">
        <f>IF(C1106,(H1106*N1106*IF(AND(Inputs!$B$38&lt;&gt;"pvp",Inputs!$B$43&gt;0),((Skills!G9*((R1106-1)*IF(Skills!H9&gt;0,Skills!I9/Skills!H9,1)+IF(Skills!H9&gt;0,MIN(Skills!I9,MAX(0,MAX(0,Inputs!$B$43-B1129)-((R1106-1)*(IF(Inputs!$B$38="pvp",15,MAX(0.1,Skills!D9-IF(Skills!E9=TRUE,Inputs!$B$32,0)))*(1-IF(AND(ArtifactsInput!$M$27,Inputs!$B$4="Chapter Hunt"),CHOOSE(ArtifactsInput!$N$27+1,20,24,28,32,36,40),0)/100)))))/Skills!H9,1)))/Inputs!$B$43),G1106*Q1106))*IF(Inputs!$B$38="pvp",1,(1+(Inputs!$B$21+Skills!Q9+(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7">
      <c r="A1107">
        <f>Skills!A10</f>
        <v/>
      </c>
      <c r="B1107">
        <f>Skills!B10</f>
        <v/>
      </c>
      <c r="C1107">
        <f>Inputs!$B$3&gt;=103</f>
        <v/>
      </c>
      <c r="D1107">
        <f>IF(Skills!C10=1,60+Inputs!$B$25+Inputs!$B$29,IF(Skills!C10=2,90+Inputs!$B$26+Inputs!$B$29,IF(Skills!C10=3,120+Inputs!$B$27+Inputs!$B$29,MAX(0,(Inputs!$B$3-100)*3)+Inputs!$B$28+Inputs!$B$29)))</f>
        <v/>
      </c>
      <c r="E1107">
        <f>INDEX(FactorTable!$B$2:$Y$301, MATCH(ROUND(MIN(300,MAX(1,D1107)),0), FactorTable!$A$2:$A$301,0), Skills!M10+1)</f>
        <v/>
      </c>
      <c r="F1107">
        <f>IF(Skills!N10=TRUE,(Skills!L10/10)*(E1107/1000),Skills!L10/10)+Skills!O10</f>
        <v/>
      </c>
      <c r="G1107">
        <f>Skills!G10*IF(Skills!H10&gt;0,Skills!I10/Skills!H10,1)</f>
        <v/>
      </c>
      <c r="H1107">
        <f>1-(1-Skills!J10/100)^Skills!K10</f>
        <v/>
      </c>
      <c r="I1107" t="inlineStr">
        <is>
          <t>1</t>
        </is>
      </c>
      <c r="J1107">
        <f>((Inputs!$B$6*(1+Inputs!$B$7/100))+(((Inputs!$B$12*(1+Inputs!$B$13/100))-(Inputs!$B$12*(1+Inputs!$B$13/100)))+0.25*(Inputs!$B$14-Inputs!$B$14))*(1+Inputs!$B$7/100))*(F1107/100)</f>
        <v/>
      </c>
      <c r="K1107">
        <f>J1107*(1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1107)</f>
        <v/>
      </c>
      <c r="L1107">
        <f>K1107*(MIN(Inputs!$B$22+((C1117=TRUE)*(F1117-Calc!F20)),(Inputs!$B$23+0+(IF(ArtifactsInput!$M$15,CHOOSE(ArtifactsInput!$N$15+1,25,30,35,40,45,50)/100*(Inputs!$B$11-Inputs!$B$11),0))))/100+(Inputs!$B$23+0+(IF(ArtifactsInput!$M$15,CHOOSE(ArtifactsInput!$N$15+1,25,30,35,40,45,50)/100*(Inputs!$B$11-Inputs!$B$11),0)))/100)/2</f>
        <v/>
      </c>
      <c r="M1107">
        <f>L1107*(1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7">
        <f>L1107*(1-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1107*(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7">
        <f>(1-Summary!$B$11)*T1107+Summary!$B$11*V1107</f>
        <v/>
      </c>
      <c r="P1107">
        <f>IF(B1132=0,0,O1107/B1132)</f>
        <v/>
      </c>
      <c r="Q1107">
        <f>IFERROR(1/(IF(Inputs!$B$38="pvp",15,MAX(0.1,Skills!D10-IF(Skills!E10=TRUE,Inputs!$B$32,0)))*(1-IF(AND(ArtifactsInput!$M$27,Inputs!$B$4="Chapter Hunt"),CHOOSE(ArtifactsInput!$N$27+1,20,24,28,32,36,40),0)/100)),0)</f>
        <v/>
      </c>
      <c r="R1107">
        <f>IF(AND(Inputs!$B$38&lt;&gt;"pvp",Inputs!$B$43&gt;0),IF(MAX(0,Inputs!$B$43-B1129)&lt;=0,0,(INT(MAX(0,Inputs!$B$43-B1129)/(IF(Inputs!$B$38="pvp",15,MAX(0.1,Skills!D10-IF(Skills!E10=TRUE,Inputs!$B$32,0)))*(1-IF(AND(ArtifactsInput!$M$27,Inputs!$B$4="Chapter Hunt"),CHOOSE(ArtifactsInput!$N$27+1,20,24,28,32,36,40),0)/100)))+1)),0)</f>
        <v/>
      </c>
      <c r="S1107">
        <f>IFERROR(O1107/N1107,0)</f>
        <v/>
      </c>
      <c r="T1107">
        <f>IF(C1107,(H1107*N1107*IF(AND(Inputs!$B$38&lt;&gt;"pvp",Inputs!$B$43&gt;0),((Skills!G10*((R1107-1)*IF(Skills!H10&gt;0,Skills!I10/Skills!H10,1)+IF(Skills!H10&gt;0,MIN(Skills!I10,MAX(0,MAX(0,Inputs!$B$43-B1129)-((R1107-1)*(IF(Inputs!$B$38="pvp",15,MAX(0.1,Skills!D10-IF(Skills!E10=TRUE,Inputs!$B$32,0)))*(1-IF(AND(ArtifactsInput!$M$27,Inputs!$B$4="Chapter Hunt"),CHOOSE(ArtifactsInput!$N$27+1,20,24,28,32,36,40),0)/100)))))/Skills!H10,1)))/Inputs!$B$43),G1107*Q1107)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1107*(1-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1107*(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1107*(1-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1107*(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7">
        <f>IF(C1107,(H1107*N1107*IF(AND(Inputs!$B$38&lt;&gt;"pvp",Inputs!$B$43&gt;0),((Skills!G10*((R1107-1)*IF(Skills!H10&gt;0,Skills!I10/Skills!H10,1)+IF(Skills!H10&gt;0,MIN(Skills!I10,MAX(0,MAX(0,Inputs!$B$43-B1129)-((R1107-1)*(IF(Inputs!$B$38="pvp",15,MAX(0.1,Skills!D10-IF(Skills!E10=TRUE,Inputs!$B$32,0)))*(1-IF(AND(ArtifactsInput!$M$27,Inputs!$B$4="Chapter Hunt"),CHOOSE(ArtifactsInput!$N$27+1,20,24,28,32,36,40),0)/100)))))/Skills!H10,1)))/Inputs!$B$43),G1107*Q1107))*IF(Inputs!$B$38="pvp",1,(1+(Inputs!$B$21+Skills!Q10+(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8">
      <c r="A1108">
        <f>Skills!A11</f>
        <v/>
      </c>
      <c r="B1108">
        <f>Skills!B11</f>
        <v/>
      </c>
      <c r="C1108">
        <f>Inputs!$B$3&gt;=113</f>
        <v/>
      </c>
      <c r="D1108">
        <f>IF(Skills!C11=1,60+Inputs!$B$25+Inputs!$B$29,IF(Skills!C11=2,90+Inputs!$B$26+Inputs!$B$29,IF(Skills!C11=3,120+Inputs!$B$27+Inputs!$B$29,MAX(0,(Inputs!$B$3-100)*3)+Inputs!$B$28+Inputs!$B$29)))</f>
        <v/>
      </c>
      <c r="E1108">
        <f>INDEX(FactorTable!$B$2:$Y$301, MATCH(ROUND(MIN(300,MAX(1,D1108)),0), FactorTable!$A$2:$A$301,0), Skills!M11+1)</f>
        <v/>
      </c>
      <c r="F1108">
        <f>IF(Skills!N11=TRUE,(Skills!L11/10)*(E1108/1000),Skills!L11/10)+Skills!O11</f>
        <v/>
      </c>
      <c r="G1108">
        <f>Skills!G11*IF(Skills!H11&gt;0,Skills!I11/Skills!H11,1)</f>
        <v/>
      </c>
      <c r="H1108">
        <f>1-(1-Skills!J11/100)^Skills!K11</f>
        <v/>
      </c>
      <c r="I1108" t="inlineStr">
        <is>
          <t>1</t>
        </is>
      </c>
      <c r="J1108">
        <f>((Inputs!$B$6*(1+Inputs!$B$7/100))+(((Inputs!$B$12*(1+Inputs!$B$13/100))-(Inputs!$B$12*(1+Inputs!$B$13/100)))+0.25*(Inputs!$B$14-Inputs!$B$14))*(1+Inputs!$B$7/100))*(F1108/100)</f>
        <v/>
      </c>
      <c r="K1108">
        <f>J1108*(1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1117=TRUE)*(F1117-Calc!F20)),(Inputs!$B$23+0+(IF(ArtifactsInput!$M$15,CHOOSE(ArtifactsInput!$N$15+1,25,30,35,40,45,50)/100*(Inputs!$B$11-Inputs!$B$11),0))))/100+(Inputs!$B$23+0+(IF(ArtifactsInput!$M$15,CHOOSE(ArtifactsInput!$N$15+1,25,30,35,40,45,50)/100*(Inputs!$B$11-Inputs!$B$11),0)))/100)/2</f>
        <v/>
      </c>
      <c r="M1108">
        <f>L1108*(1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IF(B1132=0,0,O1108/B1132)</f>
        <v/>
      </c>
      <c r="Q1108">
        <f>IFERROR(1/(IF(Inputs!$B$38="pvp",15,MAX(0.1,Skills!D11-IF(Skills!E11=TRUE,Inputs!$B$32,0)))*(1-IF(AND(ArtifactsInput!$M$27,Inputs!$B$4="Chapter Hunt"),CHOOSE(ArtifactsInput!$N$27+1,20,24,28,32,36,40),0)/100)),0)</f>
        <v/>
      </c>
      <c r="R1108">
        <f>IF(AND(Inputs!$B$38&lt;&gt;"pvp",Inputs!$B$43&gt;0),IF(MAX(0,Inputs!$B$43-B1129)&lt;=0,0,(INT(MAX(0,Inputs!$B$43-B1129)/(IF(Inputs!$B$38="pvp",15,MAX(0.1,Skills!D11-IF(Skills!E11=TRUE,Inputs!$B$32,0)))*(1-IF(AND(ArtifactsInput!$M$27,Inputs!$B$4="Chapter Hunt"),CHOOSE(ArtifactsInput!$N$27+1,20,24,28,32,36,40),0)/100)))+1)),0)</f>
        <v/>
      </c>
      <c r="S1108">
        <f>IFERROR(O1108/N1108,0)</f>
        <v/>
      </c>
      <c r="T1108">
        <f>IF(C1108,(H1108*N1108*IF(AND(Inputs!$B$38&lt;&gt;"pvp",Inputs!$B$43&gt;0),((Skills!G11*((R1108-1)*IF(Skills!H11&gt;0,Skills!I11/Skills!H11,1)+IF(Skills!H11&gt;0,MIN(Skills!I11,MAX(0,MAX(0,Inputs!$B$43-B1129)-((R1108-1)*(IF(Inputs!$B$38="pvp",15,MAX(0.1,Skills!D11-IF(Skills!E11=TRUE,Inputs!$B$32,0)))*(1-IF(AND(ArtifactsInput!$M$27,Inputs!$B$4="Chapter Hunt"),CHOOSE(ArtifactsInput!$N$27+1,20,24,28,32,36,40),0)/100)))))/Skills!H11,1)))/Inputs!$B$43),G1108*Q1108)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1108*(1-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8">
        <f>IF(C1108,(H1108*N1108*IF(AND(Inputs!$B$38&lt;&gt;"pvp",Inputs!$B$43&gt;0),((Skills!G11*((R1108-1)*IF(Skills!H11&gt;0,Skills!I11/Skills!H11,1)+IF(Skills!H11&gt;0,MIN(Skills!I11,MAX(0,MAX(0,Inputs!$B$43-B1129)-((R1108-1)*(IF(Inputs!$B$38="pvp",15,MAX(0.1,Skills!D11-IF(Skills!E11=TRUE,Inputs!$B$32,0)))*(1-IF(AND(ArtifactsInput!$M$27,Inputs!$B$4="Chapter Hunt"),CHOOSE(ArtifactsInput!$N$27+1,20,24,28,32,36,40),0)/100)))))/Skills!H11,1)))/Inputs!$B$43),G1108*Q1108))*IF(Inputs!$B$38="pvp",1,(1+(Inputs!$B$21+Skills!Q11+(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Skills!A12</f>
        <v/>
      </c>
      <c r="B1109">
        <f>Skills!B12</f>
        <v/>
      </c>
      <c r="C1109">
        <f>Inputs!$B$3&gt;=100</f>
        <v/>
      </c>
      <c r="D1109">
        <f>IF(Skills!C12=1,60+Inputs!$B$25+Inputs!$B$29,IF(Skills!C12=2,90+Inputs!$B$26+Inputs!$B$29,IF(Skills!C12=3,120+Inputs!$B$27+Inputs!$B$29,MAX(0,(Inputs!$B$3-100)*3)+Inputs!$B$28+Inputs!$B$29)))</f>
        <v/>
      </c>
      <c r="E1109">
        <f>INDEX(FactorTable!$B$2:$Y$301, MATCH(ROUND(MIN(300,MAX(1,D1109)),0), FactorTable!$A$2:$A$301,0), Skills!M12+1)</f>
        <v/>
      </c>
      <c r="F1109">
        <f>IF(Skills!N12=TRUE,(Skills!L12/10)*(E1109/1000),Skills!L12/10)+Skills!O12</f>
        <v/>
      </c>
      <c r="G1109" t="inlineStr"/>
      <c r="H1109" t="inlineStr"/>
      <c r="I1109" t="inlineStr">
        <is>
          <t>1</t>
        </is>
      </c>
      <c r="J1109" t="inlineStr"/>
      <c r="K1109" t="inlineStr"/>
      <c r="L1109" t="inlineStr"/>
      <c r="M1109" t="inlineStr"/>
      <c r="N1109" t="inlineStr"/>
      <c r="O1109" t="inlineStr"/>
      <c r="P1109" t="inlineStr"/>
      <c r="Q1109" t="inlineStr"/>
      <c r="R1109" t="inlineStr"/>
      <c r="S1109" t="inlineStr"/>
      <c r="T1109" t="inlineStr"/>
      <c r="V1109" t="inlineStr"/>
    </row>
    <row r="1110">
      <c r="A1110">
        <f>Skills!A13</f>
        <v/>
      </c>
      <c r="B1110">
        <f>Skills!B13</f>
        <v/>
      </c>
      <c r="C1110">
        <f>Inputs!$B$3&gt;=66</f>
        <v/>
      </c>
      <c r="D1110">
        <f>IF(Skills!C13=1,60+Inputs!$B$25+Inputs!$B$29,IF(Skills!C13=2,90+Inputs!$B$26+Inputs!$B$29,IF(Skills!C13=3,120+Inputs!$B$27+Inputs!$B$29,MAX(0,(Inputs!$B$3-100)*3)+Inputs!$B$28+Inputs!$B$29)))</f>
        <v/>
      </c>
      <c r="E1110">
        <f>INDEX(FactorTable!$B$2:$Y$301, MATCH(ROUND(MIN(300,MAX(1,D1110)),0), FactorTable!$A$2:$A$301,0), Skills!M13+1)</f>
        <v/>
      </c>
      <c r="F1110">
        <f>IF(Skills!N13=TRUE,(Skills!L13/10)*(E1110/1000),Skills!L13/10)+Skills!O13</f>
        <v/>
      </c>
      <c r="G1110">
        <f>Skills!G13*IF(Skills!H13&gt;0,Skills!I13/Skills!H13,1)</f>
        <v/>
      </c>
      <c r="H1110">
        <f>1-(1-Skills!J13/100)^Skills!K13</f>
        <v/>
      </c>
      <c r="I1110" t="inlineStr">
        <is>
          <t>1</t>
        </is>
      </c>
      <c r="J1110" t="inlineStr"/>
      <c r="K1110" t="inlineStr"/>
      <c r="L1110" t="inlineStr"/>
      <c r="M1110" t="inlineStr"/>
      <c r="N1110" t="inlineStr"/>
      <c r="O1110">
        <f>(1-Summary!$B$11)*T1110+Summary!$B$11*V1110</f>
        <v/>
      </c>
      <c r="P1110">
        <f>IF(B1132=0,0,O1110/B1132)</f>
        <v/>
      </c>
      <c r="Q1110" t="n">
        <v>0</v>
      </c>
      <c r="R1110" t="n">
        <v>0</v>
      </c>
      <c r="S1110">
        <f>IFERROR(O1110/N1110,0)</f>
        <v/>
      </c>
      <c r="T1110" t="n">
        <v>0</v>
      </c>
      <c r="V1110" t="n">
        <v>0</v>
      </c>
    </row>
    <row r="1111">
      <c r="A1111">
        <f>Skills!A14</f>
        <v/>
      </c>
      <c r="B1111">
        <f>Skills!B14</f>
        <v/>
      </c>
      <c r="C1111">
        <f>Inputs!$B$3&gt;=107</f>
        <v/>
      </c>
      <c r="D1111">
        <f>IF(Skills!C14=1,60+Inputs!$B$25+Inputs!$B$29,IF(Skills!C14=2,90+Inputs!$B$26+Inputs!$B$29,IF(Skills!C14=3,120+Inputs!$B$27+Inputs!$B$29,MAX(0,(Inputs!$B$3-100)*3)+Inputs!$B$28+Inputs!$B$29)))</f>
        <v/>
      </c>
      <c r="E1111">
        <f>INDEX(FactorTable!$B$2:$Y$301, MATCH(ROUND(MIN(300,MAX(1,D1111)),0), FactorTable!$A$2:$A$301,0), Skills!M14+1)</f>
        <v/>
      </c>
      <c r="F1111">
        <f>IF(Skills!N14=TRUE,(Skills!L14/10)*(E1111/1000),Skills!L14/10)+Skills!O14</f>
        <v/>
      </c>
      <c r="G1111">
        <f>Skills!G14*IF(Skills!H14&gt;0,Skills!I14/Skills!H14,1)</f>
        <v/>
      </c>
      <c r="H1111">
        <f>1-(1-Skills!J14/100)^Skills!K14</f>
        <v/>
      </c>
      <c r="I1111" t="inlineStr">
        <is>
          <t>1</t>
        </is>
      </c>
      <c r="J1111" t="inlineStr"/>
      <c r="K1111" t="inlineStr"/>
      <c r="L1111" t="inlineStr"/>
      <c r="M1111" t="inlineStr"/>
      <c r="N1111" t="inlineStr"/>
      <c r="O1111">
        <f>(1-Summary!$B$11)*T1111+Summary!$B$11*V1111</f>
        <v/>
      </c>
      <c r="P1111">
        <f>IF(B1132=0,0,O1111/B1132)</f>
        <v/>
      </c>
      <c r="Q1111" t="n">
        <v>0</v>
      </c>
      <c r="R1111" t="n">
        <v>0</v>
      </c>
      <c r="S1111">
        <f>IFERROR(O1111/N1111,0)</f>
        <v/>
      </c>
      <c r="T1111" t="n">
        <v>0</v>
      </c>
      <c r="V1111" t="n">
        <v>0</v>
      </c>
    </row>
    <row r="1112">
      <c r="A1112">
        <f>Skills!A15</f>
        <v/>
      </c>
      <c r="B1112">
        <f>Skills!B15</f>
        <v/>
      </c>
      <c r="C1112">
        <f>Inputs!$B$3&gt;=115</f>
        <v/>
      </c>
      <c r="D1112">
        <f>IF(Skills!C15=1,60+Inputs!$B$25+Inputs!$B$29,IF(Skills!C15=2,90+Inputs!$B$26+Inputs!$B$29,IF(Skills!C15=3,120+Inputs!$B$27+Inputs!$B$29,MAX(0,(Inputs!$B$3-100)*3)+Inputs!$B$28+Inputs!$B$29)))</f>
        <v/>
      </c>
      <c r="E1112">
        <f>INDEX(FactorTable!$B$2:$Y$301, MATCH(ROUND(MIN(300,MAX(1,D1112)),0), FactorTable!$A$2:$A$301,0), Skills!M15+1)</f>
        <v/>
      </c>
      <c r="F1112">
        <f>IF(Skills!N15=TRUE,(Skills!L15/10)*(E1112/1000),Skills!L15/10)+Skills!O15</f>
        <v/>
      </c>
      <c r="G1112">
        <f>Skills!G15*IF(Skills!H15&gt;0,Skills!I15/Skills!H15,1)</f>
        <v/>
      </c>
      <c r="H1112">
        <f>1-(1-Skills!J15/100)^Skills!K15</f>
        <v/>
      </c>
      <c r="I1112" t="inlineStr">
        <is>
          <t>1</t>
        </is>
      </c>
      <c r="J1112" t="inlineStr"/>
      <c r="K1112" t="inlineStr"/>
      <c r="L1112" t="inlineStr"/>
      <c r="M1112" t="inlineStr"/>
      <c r="N1112" t="inlineStr"/>
      <c r="O1112">
        <f>(1-Summary!$B$11)*T1112+Summary!$B$11*V1112</f>
        <v/>
      </c>
      <c r="P1112">
        <f>IF(B1132=0,0,O1112/B1132)</f>
        <v/>
      </c>
      <c r="Q1112" t="n">
        <v>0</v>
      </c>
      <c r="R1112" t="n">
        <v>0</v>
      </c>
      <c r="S1112">
        <f>IFERROR(O1112/N1112,0)</f>
        <v/>
      </c>
      <c r="T1112" t="n">
        <v>0</v>
      </c>
      <c r="V1112" t="n">
        <v>0</v>
      </c>
    </row>
    <row r="1113">
      <c r="A1113">
        <f>Skills!A16</f>
        <v/>
      </c>
      <c r="B1113">
        <f>Skills!B16</f>
        <v/>
      </c>
      <c r="C1113">
        <f>Inputs!$B$3&gt;=15</f>
        <v/>
      </c>
      <c r="D1113">
        <f>IF(Skills!C16=1,60+Inputs!$B$25+Inputs!$B$29,IF(Skills!C16=2,90+Inputs!$B$26+Inputs!$B$29,IF(Skills!C16=3,120+Inputs!$B$27+Inputs!$B$29,MAX(0,(Inputs!$B$3-100)*3)+Inputs!$B$28+Inputs!$B$29)))</f>
        <v/>
      </c>
      <c r="E1113">
        <f>INDEX(FactorTable!$B$2:$Y$301, MATCH(ROUND(MIN(300,MAX(1,D1113)),0), FactorTable!$A$2:$A$301,0), Skills!M16+1)</f>
        <v/>
      </c>
      <c r="F1113">
        <f>IF(Skills!N16=TRUE,(Skills!L16/10)*(E1113/1000),Skills!L16/10)+Skills!O16</f>
        <v/>
      </c>
      <c r="G1113">
        <f>Skills!G16*IF(Skills!H16&gt;0,Skills!I16/Skills!H16,1)</f>
        <v/>
      </c>
      <c r="H1113">
        <f>1-(1-Skills!J16/100)^Skills!K16</f>
        <v/>
      </c>
      <c r="I1113" t="inlineStr">
        <is>
          <t>1</t>
        </is>
      </c>
      <c r="J1113" t="inlineStr"/>
      <c r="K1113" t="inlineStr"/>
      <c r="L1113" t="inlineStr"/>
      <c r="M1113" t="inlineStr"/>
      <c r="N1113" t="inlineStr"/>
      <c r="O1113">
        <f>(1-Summary!$B$11)*T1113+Summary!$B$11*V1113</f>
        <v/>
      </c>
      <c r="P1113">
        <f>IF(B1132=0,0,O1113/B1132)</f>
        <v/>
      </c>
      <c r="Q1113" t="n">
        <v>0</v>
      </c>
      <c r="R1113" t="n">
        <v>0</v>
      </c>
      <c r="S1113">
        <f>IFERROR(O1113/N1113,0)</f>
        <v/>
      </c>
      <c r="T1113" t="n">
        <v>0</v>
      </c>
      <c r="V1113" t="n">
        <v>0</v>
      </c>
    </row>
    <row r="1114">
      <c r="A1114">
        <f>Skills!A17</f>
        <v/>
      </c>
      <c r="B1114">
        <f>Skills!B17</f>
        <v/>
      </c>
      <c r="C1114">
        <f>Inputs!$B$3&gt;=10</f>
        <v/>
      </c>
      <c r="D1114">
        <f>IF(Skills!C17=1,60+Inputs!$B$25+Inputs!$B$29,IF(Skills!C17=2,90+Inputs!$B$26+Inputs!$B$29,IF(Skills!C17=3,120+Inputs!$B$27+Inputs!$B$29,MAX(0,(Inputs!$B$3-100)*3)+Inputs!$B$28+Inputs!$B$29)))</f>
        <v/>
      </c>
      <c r="E1114">
        <f>INDEX(FactorTable!$B$2:$Y$301, MATCH(ROUND(MIN(300,MAX(1,D1114)),0), FactorTable!$A$2:$A$301,0), Skills!M17+1)</f>
        <v/>
      </c>
      <c r="F1114">
        <f>IF(Skills!N17=TRUE,(Skills!L17/10)*(E1114/1000),Skills!L17/10)+Skills!O17</f>
        <v/>
      </c>
      <c r="G1114">
        <f>Skills!G17*IF(Skills!H17&gt;0,Skills!I17/Skills!H17,1)</f>
        <v/>
      </c>
      <c r="H1114">
        <f>1-(1-Skills!J17/100)^Skills!K17</f>
        <v/>
      </c>
      <c r="I1114" t="inlineStr">
        <is>
          <t>1</t>
        </is>
      </c>
      <c r="J1114" t="inlineStr"/>
      <c r="K1114" t="inlineStr"/>
      <c r="L1114" t="inlineStr"/>
      <c r="M1114" t="inlineStr"/>
      <c r="N1114" t="inlineStr"/>
      <c r="O1114">
        <f>(1-Summary!$B$11)*T1114+Summary!$B$11*V1114</f>
        <v/>
      </c>
      <c r="P1114">
        <f>IF(B1132=0,0,O1114/B1132)</f>
        <v/>
      </c>
      <c r="Q1114" t="n">
        <v>0</v>
      </c>
      <c r="R1114" t="n">
        <v>0</v>
      </c>
      <c r="S1114">
        <f>IFERROR(O1114/N1114,0)</f>
        <v/>
      </c>
      <c r="T1114" t="n">
        <v>0</v>
      </c>
      <c r="V1114" t="n">
        <v>0</v>
      </c>
    </row>
    <row r="1115">
      <c r="A1115">
        <f>Skills!A18</f>
        <v/>
      </c>
      <c r="B1115">
        <f>Skills!B18</f>
        <v/>
      </c>
      <c r="C1115">
        <f>Inputs!$B$3&gt;=33</f>
        <v/>
      </c>
      <c r="D1115">
        <f>IF(Skills!C18=1,60+Inputs!$B$25+Inputs!$B$29,IF(Skills!C18=2,90+Inputs!$B$26+Inputs!$B$29,IF(Skills!C18=3,120+Inputs!$B$27+Inputs!$B$29,MAX(0,(Inputs!$B$3-100)*3)+Inputs!$B$28+Inputs!$B$29)))</f>
        <v/>
      </c>
      <c r="E1115">
        <f>INDEX(FactorTable!$B$2:$Y$301, MATCH(ROUND(MIN(300,MAX(1,D1115)),0), FactorTable!$A$2:$A$301,0), Skills!M18+1)</f>
        <v/>
      </c>
      <c r="F1115">
        <f>IF(Skills!N18=TRUE,(Skills!L18/10)*(E1115/1000),Skills!L18/10)+Skills!O18</f>
        <v/>
      </c>
      <c r="G1115">
        <f>Skills!G18*IF(Skills!H18&gt;0,Skills!I18/Skills!H18,1)</f>
        <v/>
      </c>
      <c r="H1115">
        <f>1-(1-Skills!J18/100)^Skills!K18</f>
        <v/>
      </c>
      <c r="I1115" t="inlineStr">
        <is>
          <t>1</t>
        </is>
      </c>
      <c r="J1115" t="inlineStr"/>
      <c r="K1115" t="inlineStr"/>
      <c r="L1115" t="inlineStr"/>
      <c r="M1115" t="inlineStr"/>
      <c r="N1115" t="inlineStr"/>
      <c r="O1115">
        <f>(1-Summary!$B$11)*T1115+Summary!$B$11*V1115</f>
        <v/>
      </c>
      <c r="P1115">
        <f>IF(B1132=0,0,O1115/B1132)</f>
        <v/>
      </c>
      <c r="Q1115" t="n">
        <v>0</v>
      </c>
      <c r="R1115" t="n">
        <v>0</v>
      </c>
      <c r="S1115">
        <f>IFERROR(O1115/N1115,0)</f>
        <v/>
      </c>
      <c r="T1115" t="n">
        <v>0</v>
      </c>
      <c r="V1115" t="n">
        <v>0</v>
      </c>
    </row>
    <row r="1116">
      <c r="A1116">
        <f>Skills!A19</f>
        <v/>
      </c>
      <c r="B1116">
        <f>Skills!B19</f>
        <v/>
      </c>
      <c r="C1116">
        <f>Inputs!$B$3&gt;=40</f>
        <v/>
      </c>
      <c r="D1116">
        <f>IF(Skills!C19=1,60+Inputs!$B$25+Inputs!$B$29,IF(Skills!C19=2,90+Inputs!$B$26+Inputs!$B$29,IF(Skills!C19=3,120+Inputs!$B$27+Inputs!$B$29,MAX(0,(Inputs!$B$3-100)*3)+Inputs!$B$28+Inputs!$B$29)))</f>
        <v/>
      </c>
      <c r="E1116">
        <f>INDEX(FactorTable!$B$2:$Y$301, MATCH(ROUND(MIN(300,MAX(1,D1116)),0), FactorTable!$A$2:$A$301,0), Skills!M19+1)</f>
        <v/>
      </c>
      <c r="F1116">
        <f>IF(Skills!N19=TRUE,(Skills!L19/10)*(E1116/1000),Skills!L19/10)+Skills!O19</f>
        <v/>
      </c>
      <c r="G1116">
        <f>Skills!G19*IF(Skills!H19&gt;0,Skills!I19/Skills!H19,1)</f>
        <v/>
      </c>
      <c r="H1116">
        <f>1-(1-Skills!J19/100)^Skills!K19</f>
        <v/>
      </c>
      <c r="I1116" t="inlineStr">
        <is>
          <t>1</t>
        </is>
      </c>
      <c r="J1116" t="inlineStr"/>
      <c r="K1116" t="inlineStr"/>
      <c r="L1116" t="inlineStr"/>
      <c r="M1116" t="inlineStr"/>
      <c r="N1116" t="inlineStr"/>
      <c r="O1116">
        <f>(1-Summary!$B$11)*T1116+Summary!$B$11*V1116</f>
        <v/>
      </c>
      <c r="P1116">
        <f>IF(B1132=0,0,O1116/B1132)</f>
        <v/>
      </c>
      <c r="Q1116" t="n">
        <v>0</v>
      </c>
      <c r="R1116" t="n">
        <v>0</v>
      </c>
      <c r="S1116">
        <f>IFERROR(O1116/N1116,0)</f>
        <v/>
      </c>
      <c r="T1116" t="n">
        <v>0</v>
      </c>
      <c r="V1116" t="n">
        <v>0</v>
      </c>
    </row>
    <row r="1117">
      <c r="A1117">
        <f>Skills!A20</f>
        <v/>
      </c>
      <c r="B1117">
        <f>Skills!B20</f>
        <v/>
      </c>
      <c r="C1117">
        <f>Inputs!$B$3&gt;=43</f>
        <v/>
      </c>
      <c r="D1117">
        <f>IF(Skills!C20=1,60+Inputs!$B$25+Inputs!$B$29,IF(Skills!C20=2,90+Inputs!$B$26+Inputs!$B$29,IF(Skills!C20=3,120+Inputs!$B$27+Inputs!$B$29,MAX(0,(Inputs!$B$3-100)*3)+Inputs!$B$28+Inputs!$B$29)))</f>
        <v/>
      </c>
      <c r="E1117">
        <f>INDEX(FactorTable!$B$2:$Y$301, MATCH(ROUND(MIN(300,MAX(1,D1117)),0), FactorTable!$A$2:$A$301,0), Skills!M20+1)</f>
        <v/>
      </c>
      <c r="F1117">
        <f>IF(Skills!N20=TRUE,(Skills!L20/10)*(E1117/1000),Skills!L20/10)+Skills!O20</f>
        <v/>
      </c>
      <c r="G1117">
        <f>Skills!G20*IF(Skills!H20&gt;0,Skills!I20/Skills!H20,1)</f>
        <v/>
      </c>
      <c r="H1117">
        <f>1-(1-Skills!J20/100)^Skills!K20</f>
        <v/>
      </c>
      <c r="I1117" t="inlineStr">
        <is>
          <t>1</t>
        </is>
      </c>
      <c r="J1117" t="inlineStr"/>
      <c r="K1117" t="inlineStr"/>
      <c r="L1117" t="inlineStr"/>
      <c r="M1117" t="inlineStr"/>
      <c r="N1117" t="inlineStr"/>
      <c r="O1117">
        <f>(1-Summary!$B$11)*T1117+Summary!$B$11*V1117</f>
        <v/>
      </c>
      <c r="P1117">
        <f>IF(B1132=0,0,O1117/B1132)</f>
        <v/>
      </c>
      <c r="Q1117" t="n">
        <v>0</v>
      </c>
      <c r="R1117" t="n">
        <v>0</v>
      </c>
      <c r="S1117">
        <f>IFERROR(O1117/N1117,0)</f>
        <v/>
      </c>
      <c r="T1117" t="n">
        <v>0</v>
      </c>
      <c r="V1117" t="n">
        <v>0</v>
      </c>
    </row>
    <row r="1118">
      <c r="A1118">
        <f>Skills!A21</f>
        <v/>
      </c>
      <c r="B1118">
        <f>Skills!B21</f>
        <v/>
      </c>
      <c r="C1118">
        <f>Inputs!$B$3&gt;=38</f>
        <v/>
      </c>
      <c r="D1118">
        <f>IF(Skills!C21=1,60+Inputs!$B$25+Inputs!$B$29,IF(Skills!C21=2,90+Inputs!$B$26+Inputs!$B$29,IF(Skills!C21=3,120+Inputs!$B$27+Inputs!$B$29,MAX(0,(Inputs!$B$3-100)*3)+Inputs!$B$28+Inputs!$B$29)))</f>
        <v/>
      </c>
      <c r="E1118">
        <f>INDEX(FactorTable!$B$2:$Y$301, MATCH(ROUND(MIN(300,MAX(1,D1118)),0), FactorTable!$A$2:$A$301,0), Skills!M21+1)</f>
        <v/>
      </c>
      <c r="F1118">
        <f>IF(Skills!N21=TRUE,(Skills!L21/10)*(E1118/1000),Skills!L21/10)+Skills!O21</f>
        <v/>
      </c>
      <c r="G1118">
        <f>Skills!G21*IF(Skills!H21&gt;0,Skills!I21/Skills!H21,1)</f>
        <v/>
      </c>
      <c r="H1118">
        <f>1-(1-Skills!J21/100)^Skills!K21</f>
        <v/>
      </c>
      <c r="I1118" t="inlineStr">
        <is>
          <t>1</t>
        </is>
      </c>
      <c r="J1118" t="inlineStr"/>
      <c r="K1118" t="inlineStr"/>
      <c r="L1118" t="inlineStr"/>
      <c r="M1118" t="inlineStr"/>
      <c r="N1118" t="inlineStr"/>
      <c r="O1118">
        <f>(1-Summary!$B$11)*T1118+Summary!$B$11*V1118</f>
        <v/>
      </c>
      <c r="P1118">
        <f>IF(B1132=0,0,O1118/B1132)</f>
        <v/>
      </c>
      <c r="Q1118" t="n">
        <v>0</v>
      </c>
      <c r="R1118" t="n">
        <v>0</v>
      </c>
      <c r="S1118">
        <f>IFERROR(O1118/N1118,0)</f>
        <v/>
      </c>
      <c r="T1118" t="n">
        <v>0</v>
      </c>
      <c r="V1118" t="n">
        <v>0</v>
      </c>
    </row>
    <row r="1119">
      <c r="A1119">
        <f>Skills!A22</f>
        <v/>
      </c>
      <c r="B1119">
        <f>Skills!B22</f>
        <v/>
      </c>
      <c r="C1119">
        <f>Inputs!$B$3&gt;=75</f>
        <v/>
      </c>
      <c r="D1119">
        <f>IF(Skills!C22=1,60+Inputs!$B$25+Inputs!$B$29,IF(Skills!C22=2,90+Inputs!$B$26+Inputs!$B$29,IF(Skills!C22=3,120+Inputs!$B$27+Inputs!$B$29,MAX(0,(Inputs!$B$3-100)*3)+Inputs!$B$28+Inputs!$B$29)))</f>
        <v/>
      </c>
      <c r="E1119">
        <f>INDEX(FactorTable!$B$2:$Y$301, MATCH(ROUND(MIN(300,MAX(1,D1119)),0), FactorTable!$A$2:$A$301,0), Skills!M22+1)</f>
        <v/>
      </c>
      <c r="F1119">
        <f>IF(Skills!N22=TRUE,(Skills!L22/10)*(E1119/1000),Skills!L22/10)+Skills!O22</f>
        <v/>
      </c>
      <c r="G1119">
        <f>Skills!G22*IF(Skills!H22&gt;0,Skills!I22/Skills!H22,1)</f>
        <v/>
      </c>
      <c r="H1119">
        <f>1-(1-Skills!J22/100)^Skills!K22</f>
        <v/>
      </c>
      <c r="I1119" t="inlineStr">
        <is>
          <t>1</t>
        </is>
      </c>
      <c r="J1119" t="inlineStr"/>
      <c r="K1119" t="inlineStr"/>
      <c r="L1119" t="inlineStr"/>
      <c r="M1119" t="inlineStr"/>
      <c r="N1119" t="inlineStr"/>
      <c r="O1119">
        <f>(1-Summary!$B$11)*T1119+Summary!$B$11*V1119</f>
        <v/>
      </c>
      <c r="P1119">
        <f>IF(B1132=0,0,O1119/B1132)</f>
        <v/>
      </c>
      <c r="Q1119" t="n">
        <v>0</v>
      </c>
      <c r="R1119" t="n">
        <v>0</v>
      </c>
      <c r="S1119">
        <f>IFERROR(O1119/N1119,0)</f>
        <v/>
      </c>
      <c r="T1119" t="n">
        <v>0</v>
      </c>
      <c r="V1119" t="n">
        <v>0</v>
      </c>
    </row>
    <row r="1121">
      <c r="A1121" t="inlineStr">
        <is>
          <t>Attack% Bucket Multiplier</t>
        </is>
      </c>
      <c r="B1121">
        <f>(1+(((C1110=TRUE)*F1110)+((C1116=TRUE)*(F1116-Calc!F19))+(IF(ArtifactsInput!$M$21,CHOOSE(ArtifactsInput!$N$21+1,25,30,35,40,45,50)*(IF(OR(Inputs!$B$4="Chapter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22">
      <c r="A1122" t="inlineStr">
        <is>
          <t>Global Crit Rate Bonus %</t>
        </is>
      </c>
      <c r="B1122" t="n">
        <v>0</v>
      </c>
    </row>
    <row r="1123">
      <c r="A1123" t="inlineStr">
        <is>
          <t>Attack Speed Buff Bonus % (unused)</t>
        </is>
      </c>
      <c r="B1123" t="n">
        <v>0</v>
      </c>
    </row>
    <row r="1124">
      <c r="A1124" t="inlineStr">
        <is>
          <t>Actions Per Second</t>
        </is>
      </c>
      <c r="B1124">
        <f>1+MIN(150,150*(1-(1-(Inputs!$B$11+((C1114=TRUE)*(F1114-Calc!F17))+((C1115=TRUE)*(F1115-Calc!F18)))/150)*(1-B1123/150)))/100</f>
        <v/>
      </c>
    </row>
    <row r="1125">
      <c r="A1125" t="inlineStr">
        <is>
          <t>Skill + Buff Cast Rate</t>
        </is>
      </c>
      <c r="B1125">
        <f>IF(AND(Inputs!$B$38&lt;&gt;"pvp",Inputs!$B$43&gt;0),SUMPRODUCT((Skills!E2:E22=TRUE)*(C1099:C1119=TRUE)*R1099:R1119*Skills!F2:F22)/Inputs!$B$43,SUMPRODUCT((Skills!E2:E22=TRUE)*(C1099:C1119=TRUE)*Q1099:Q1119*Skills!F2:F22))</f>
        <v/>
      </c>
    </row>
    <row r="1126">
      <c r="A1126" t="inlineStr">
        <is>
          <t>Hook Bomber Casts Per Second</t>
        </is>
      </c>
      <c r="B1126">
        <f>MAX(0,B1124-B1125)</f>
        <v/>
      </c>
    </row>
    <row r="1127">
      <c r="A1127" t="inlineStr">
        <is>
          <t>Global Critical Damage Bonus % (unused)</t>
        </is>
      </c>
      <c r="B1127" t="n">
        <v>0</v>
      </c>
    </row>
    <row r="1128">
      <c r="A1128" t="inlineStr">
        <is>
          <t>Global Final Damage Bonus % (Serpent Scale + Crossbones + Time Leap + Speed Infusion)</t>
        </is>
      </c>
      <c r="B1128">
        <f>((C1102=TRUE)*F1102*((10+IF(Inputs!$B$3&gt;=94,5,0))/((10+IF(Inputs!$B$3&gt;=94,5,0))+5/(B1126*(1+IF(Inputs!$B$3&gt;=104,1,0))))))+((C1111=TRUE)*F1111)+((C1112=TRUE)*F1112)+((Inputs!$B$3&gt;=110)*20*(B1124-1))</f>
        <v/>
      </c>
    </row>
    <row r="1129">
      <c r="A1129" t="inlineStr">
        <is>
          <t>Buff-Casting Startup Delay (s, fixed-duration only)</t>
        </is>
      </c>
      <c r="B1129">
        <f>IF(AND(Inputs!$B$38&lt;&gt;"pvp",Inputs!$B$43&gt;0),SUMPRODUCT((Skills!T2:T22&gt;0)*(Skills!E2:E22=TRUE)*(C1099:C1119=TRUE))/B1124,0)</f>
        <v/>
      </c>
    </row>
    <row r="1130">
      <c r="A1130" t="inlineStr">
        <is>
          <t>Boss-Only Total DPS (this block's swept value)</t>
        </is>
      </c>
      <c r="B1130">
        <f>SUM(T1099:T1119)</f>
        <v/>
      </c>
    </row>
    <row r="1131">
      <c r="A1131" t="inlineStr">
        <is>
          <t>Normal-Only Total DPS (this block's swept value)</t>
        </is>
      </c>
      <c r="B1131">
        <f>SUM(V1099:V1119)</f>
        <v/>
      </c>
    </row>
    <row r="1132">
      <c r="A1132" s="6" t="inlineStr">
        <is>
          <t>TOTAL DPS</t>
        </is>
      </c>
      <c r="B1132" s="6">
        <f>SUM(O1099:O1119)</f>
        <v/>
      </c>
    </row>
    <row r="1135">
      <c r="A1135" s="6" t="inlineStr">
        <is>
          <t>Stat: Shamaness Marble (Equip)</t>
        </is>
      </c>
    </row>
    <row r="1136">
      <c r="A1136" s="5" t="inlineStr">
        <is>
          <t>Key</t>
        </is>
      </c>
      <c r="B1136" s="5" t="inlineStr">
        <is>
          <t>Name</t>
        </is>
      </c>
      <c r="C1136" s="5" t="inlineStr">
        <is>
          <t>Unlocked</t>
        </is>
      </c>
      <c r="D1136" s="5" t="inlineStr">
        <is>
          <t>InputLevel</t>
        </is>
      </c>
      <c r="E1136" s="5" t="inlineStr">
        <is>
          <t>Factor</t>
        </is>
      </c>
      <c r="F1136" s="5" t="inlineStr">
        <is>
          <t>CoefficientPercent</t>
        </is>
      </c>
      <c r="G1136" s="5" t="inlineStr">
        <is>
          <t>EffectiveHits</t>
        </is>
      </c>
      <c r="H1136" s="5" t="inlineStr">
        <is>
          <t>ProcProbability</t>
        </is>
      </c>
      <c r="I1136" s="5" t="inlineStr">
        <is>
          <t>MapleHeroMultiplier</t>
        </is>
      </c>
      <c r="J1136" s="5" t="inlineStr">
        <is>
          <t>BaseDamage</t>
        </is>
      </c>
      <c r="K1136" s="5" t="inlineStr">
        <is>
          <t>BaseHitDamage</t>
        </is>
      </c>
      <c r="L1136" s="5" t="inlineStr">
        <is>
          <t>NonCritAvg</t>
        </is>
      </c>
      <c r="M1136" s="5" t="inlineStr">
        <is>
          <t>CritAvg</t>
        </is>
      </c>
      <c r="N1136" s="5" t="inlineStr">
        <is>
          <t>ExpectedDamage(perHit)</t>
        </is>
      </c>
      <c r="O1136" s="5" t="inlineStr">
        <is>
          <t>DPS</t>
        </is>
      </c>
      <c r="P1136" s="5" t="inlineStr">
        <is>
          <t>% of Total</t>
        </is>
      </c>
      <c r="Q1136" s="5" t="inlineStr">
        <is>
          <t>InvCooldown</t>
        </is>
      </c>
      <c r="R1136" s="5" t="inlineStr">
        <is>
          <t>CastsInFight</t>
        </is>
      </c>
      <c r="S1136" s="5" t="inlineStr">
        <is>
          <t>HitRate(perSec)</t>
        </is>
      </c>
      <c r="U1136" t="inlineStr">
        <is>
          <t>helpers</t>
        </is>
      </c>
    </row>
    <row r="1137">
      <c r="A1137">
        <f>Skills!A2</f>
        <v/>
      </c>
      <c r="B1137">
        <f>Skills!B2</f>
        <v/>
      </c>
      <c r="C1137">
        <f>Inputs!$B$3&gt;=100</f>
        <v/>
      </c>
      <c r="D1137" t="inlineStr"/>
      <c r="E1137" t="inlineStr"/>
      <c r="F1137">
        <f>U1139+Skills!O2</f>
        <v/>
      </c>
      <c r="G1137">
        <f>Skills!G2*IF(Skills!H2&gt;0,Skills!I2/Skills!H2,1)</f>
        <v/>
      </c>
      <c r="H1137">
        <f>1-(1-Skills!J2/100)^Skills!K2</f>
        <v/>
      </c>
      <c r="I1137" t="inlineStr">
        <is>
          <t>1</t>
        </is>
      </c>
      <c r="J1137">
        <f>((Inputs!$B$6*(1+Inputs!$B$7/100))+(((Inputs!$B$12*(1+Inputs!$B$13/100))-(Inputs!$B$12*(1+Inputs!$B$13/100)))+0.25*(Inputs!$B$14-Inputs!$B$14))*(1+Inputs!$B$7/100))*(F1137/100)</f>
        <v/>
      </c>
      <c r="K1137">
        <f>J1137*(1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1137)</f>
        <v/>
      </c>
      <c r="L1137">
        <f>K1137*(MIN(Inputs!$B$22+((C1155=TRUE)*(F1155-Calc!F20)),(Inputs!$B$23+0+(IF(ArtifactsInput!$M$15,CHOOSE(ArtifactsInput!$N$15+1,25,30,35,40,45,50)/100*(Inputs!$B$11-Inputs!$B$11),0))))/100+(Inputs!$B$23+0+(IF(ArtifactsInput!$M$15,CHOOSE(ArtifactsInput!$N$15+1,25,30,35,40,45,50)/100*(Inputs!$B$11-Inputs!$B$11),0)))/100)/2</f>
        <v/>
      </c>
      <c r="M1137">
        <f>L1137*(1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7">
        <f>L1137*(1-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1137*(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7">
        <f>(1-Summary!$B$11)*T1137+Summary!$B$11*V1137</f>
        <v/>
      </c>
      <c r="P1137">
        <f>IF(B1170=0,0,O1137/B1170)</f>
        <v/>
      </c>
      <c r="Q1137" t="n">
        <v>0</v>
      </c>
      <c r="R1137" t="n">
        <v>0</v>
      </c>
      <c r="S1137">
        <f>IFERROR(O1137/N1137,0)</f>
        <v/>
      </c>
      <c r="T1137">
        <f>IF(C1137,(Skills!G2*N1137*B1164)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1137*(1-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1137*(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1137*(1-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1137*(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7">
        <f>MAX(0,(Inputs!$B$3-100)*3)+Inputs!$B$28+Inputs!$B$29</f>
        <v/>
      </c>
      <c r="V1137">
        <f>IF(C1137,(Skills!G2*N1137*B1164)*IF(Inputs!$B$38="pvp",1,(1+(Inputs!$B$21+Skills!Q2+(IF(ArtifactsInput!$M$33,CHOOSE(ArtifactsInput!$N$33+1,30,36,42,48,54,60),0))+(IF(AND(ArtifactsInput!$M$35,Inputs!$B$4&lt;&gt;"Chapter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8">
      <c r="A1138">
        <f>Skills!A3</f>
        <v/>
      </c>
      <c r="B1138">
        <f>Skills!B3</f>
        <v/>
      </c>
      <c r="C1138">
        <f>Inputs!$B$3&gt;=35</f>
        <v/>
      </c>
      <c r="D1138">
        <f>IF(Skills!C3=1,60+Inputs!$B$25+Inputs!$B$29,IF(Skills!C3=2,90+Inputs!$B$26+Inputs!$B$29,IF(Skills!C3=3,120+Inputs!$B$27+Inputs!$B$29,MAX(0,(Inputs!$B$3-100)*3)+Inputs!$B$28+Inputs!$B$29)))</f>
        <v/>
      </c>
      <c r="E1138">
        <f>INDEX(FactorTable!$B$2:$Y$301, MATCH(ROUND(MIN(300,MAX(1,D1138)),0), FactorTable!$A$2:$A$301,0), Skills!M3+1)</f>
        <v/>
      </c>
      <c r="F1138">
        <f>IF(Skills!N3=TRUE,(Skills!L3/10)*(E1138/1000),Skills!L3/10)+Skills!O3</f>
        <v/>
      </c>
      <c r="G1138">
        <f>Skills!G3*IF(Skills!H3&gt;0,Skills!I3/Skills!H3,1)</f>
        <v/>
      </c>
      <c r="H1138">
        <f>1-(1-Skills!J3/100)^Skills!K3</f>
        <v/>
      </c>
      <c r="I1138" t="inlineStr">
        <is>
          <t>1</t>
        </is>
      </c>
      <c r="J1138">
        <f>((Inputs!$B$6*(1+Inputs!$B$7/100))+(((Inputs!$B$12*(1+Inputs!$B$13/100))-(Inputs!$B$12*(1+Inputs!$B$13/100)))+0.25*(Inputs!$B$14-Inputs!$B$14))*(1+Inputs!$B$7/100))*(F1138/100)</f>
        <v/>
      </c>
      <c r="K1138">
        <f>J1138*(1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1138)</f>
        <v/>
      </c>
      <c r="L1138">
        <f>K1138*(MIN(Inputs!$B$22+((C1155=TRUE)*(F1155-Calc!F20)),(Inputs!$B$23+0+(IF(ArtifactsInput!$M$15,CHOOSE(ArtifactsInput!$N$15+1,25,30,35,40,45,50)/100*(Inputs!$B$11-Inputs!$B$11),0))))/100+(Inputs!$B$23+0+(IF(ArtifactsInput!$M$15,CHOOSE(ArtifactsInput!$N$15+1,25,30,35,40,45,50)/100*(Inputs!$B$11-Inputs!$B$11),0)))/100)/2</f>
        <v/>
      </c>
      <c r="M1138">
        <f>L1138*(1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8">
        <f>L1138*(1-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1138*(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8">
        <f>(1-Summary!$B$11)*T1138+Summary!$B$11*V1138</f>
        <v/>
      </c>
      <c r="P1138">
        <f>IF(B1170=0,0,O1138/B1170)</f>
        <v/>
      </c>
      <c r="Q1138" t="n">
        <v>0</v>
      </c>
      <c r="R1138" t="n">
        <v>0</v>
      </c>
      <c r="S1138">
        <f>IFERROR(O1138/N1138,0)</f>
        <v/>
      </c>
      <c r="T1138">
        <f>IF(C1138,(Skills!G3*H1138*N1138*B1164)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1138*(1-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1138*(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1138*(1-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1138*(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8">
        <f>INDEX(FactorTable!$B$2:$Y$301, MATCH(ROUND(MIN(300,MAX(1,U1137)),0), FactorTable!$A$2:$A$301,0), 22)</f>
        <v/>
      </c>
      <c r="V1138">
        <f>IF(C1138,(Skills!G3*H1138*N1138*B1164)*IF(Inputs!$B$38="pvp",1,(1+(Inputs!$B$21+Skills!Q3+(IF(ArtifactsInput!$M$33,CHOOSE(ArtifactsInput!$N$33+1,30,36,42,48,54,60),0))+(IF(AND(ArtifactsInput!$M$35,Inputs!$B$4&lt;&gt;"Chapter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9">
      <c r="A1139">
        <f>Skills!A4</f>
        <v/>
      </c>
      <c r="B1139">
        <f>Skills!B4</f>
        <v/>
      </c>
      <c r="C1139">
        <f>Inputs!$B$3&gt;=60</f>
        <v/>
      </c>
      <c r="D1139">
        <f>IF(Skills!C4=1,60+Inputs!$B$25+Inputs!$B$29,IF(Skills!C4=2,90+Inputs!$B$26+Inputs!$B$29,IF(Skills!C4=3,120+Inputs!$B$27+Inputs!$B$29,MAX(0,(Inputs!$B$3-100)*3)+Inputs!$B$28+Inputs!$B$29)))</f>
        <v/>
      </c>
      <c r="E1139">
        <f>INDEX(FactorTable!$B$2:$Y$301, MATCH(ROUND(MIN(300,MAX(1,D1139)),0), FactorTable!$A$2:$A$301,0), Skills!M4+1)</f>
        <v/>
      </c>
      <c r="F1139">
        <f>IF(Skills!N4=TRUE,(Skills!L4/10)*(E1139/1000),Skills!L4/10)+Skills!O4</f>
        <v/>
      </c>
      <c r="G1139">
        <f>Skills!G4*IF(Skills!H4&gt;0,Skills!I4/Skills!H4,1)</f>
        <v/>
      </c>
      <c r="H1139">
        <f>1-(1-Skills!J4/100)^Skills!K4</f>
        <v/>
      </c>
      <c r="I1139" t="inlineStr">
        <is>
          <t>1</t>
        </is>
      </c>
      <c r="J1139">
        <f>((Inputs!$B$6*(1+Inputs!$B$7/100))+(((Inputs!$B$12*(1+Inputs!$B$13/100))-(Inputs!$B$12*(1+Inputs!$B$13/100)))+0.25*(Inputs!$B$14-Inputs!$B$14))*(1+Inputs!$B$7/100))*(F1139/100)</f>
        <v/>
      </c>
      <c r="K1139">
        <f>J1139*(1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1147=TRUE,F1147,0)/100)*(1+(IF(Skills!A4="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
      </c>
      <c r="L1139">
        <f>K1139*(MIN(Inputs!$B$22+((C1155=TRUE)*(F1155-Calc!F20)),(Inputs!$B$23+0+(IF(ArtifactsInput!$M$15,CHOOSE(ArtifactsInput!$N$15+1,25,30,35,40,45,50)/100*(Inputs!$B$11-Inputs!$B$11),0))))/100+(Inputs!$B$23+0+(IF(ArtifactsInput!$M$15,CHOOSE(ArtifactsInput!$N$15+1,25,30,35,40,45,50)/100*(Inputs!$B$11-Inputs!$B$11),0)))/100)/2</f>
        <v/>
      </c>
      <c r="M1139">
        <f>L1139*(1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9">
        <f>L1139*(1-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9">
        <f>(1-Summary!$B$11)*T1139+Summary!$B$11*V1139</f>
        <v/>
      </c>
      <c r="P1139">
        <f>IF(B1170=0,0,O1139/B1170)</f>
        <v/>
      </c>
      <c r="Q1139" t="n">
        <v>0</v>
      </c>
      <c r="R1139" t="n">
        <v>0</v>
      </c>
      <c r="S1139">
        <f>IFERROR(O1139/N1139,0)</f>
        <v/>
      </c>
      <c r="T1139">
        <f>IF(C1139,(Skills!G4*H1139*N1139*B1164)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1139*(1-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9">
        <f>290*U1138/1000</f>
        <v/>
      </c>
      <c r="V1139">
        <f>IF(C1139,(Skills!G4*H1139*N1139*B1164)*IF(Inputs!$B$38="pvp",1,(1+(Inputs!$B$21+Skills!Q4+(IF(ArtifactsInput!$M$33,CHOOSE(ArtifactsInput!$N$33+1,30,36,42,48,54,60),0))+(IF(AND(ArtifactsInput!$M$35,Inputs!$B$4&lt;&gt;"Chapter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0">
      <c r="A1140">
        <f>Skills!A5</f>
        <v/>
      </c>
      <c r="B1140">
        <f>Skills!B5</f>
        <v/>
      </c>
      <c r="C1140">
        <f>Inputs!$B$3&gt;=60</f>
        <v/>
      </c>
      <c r="D1140">
        <f>IF(Skills!C5=1,60+Inputs!$B$25+Inputs!$B$29,IF(Skills!C5=2,90+Inputs!$B$26+Inputs!$B$29,IF(Skills!C5=3,120+Inputs!$B$27+Inputs!$B$29,MAX(0,(Inputs!$B$3-100)*3)+Inputs!$B$28+Inputs!$B$29)))</f>
        <v/>
      </c>
      <c r="E1140">
        <f>INDEX(FactorTable!$B$2:$Y$301, MATCH(ROUND(MIN(300,MAX(1,D1140)),0), FactorTable!$A$2:$A$301,0), Skills!M5+1)</f>
        <v/>
      </c>
      <c r="F1140">
        <f>IF(Skills!N5=TRUE,(Skills!L5/10)*(E1140/1000),Skills!L5/10)+Skills!O5</f>
        <v/>
      </c>
      <c r="G1140">
        <f>Skills!G5*IF(Skills!H5&gt;0,Skills!I5/Skills!H5,1)</f>
        <v/>
      </c>
      <c r="H1140">
        <f>1-(1-Skills!J5/100)^Skills!K5</f>
        <v/>
      </c>
      <c r="I1140" t="inlineStr">
        <is>
          <t>1</t>
        </is>
      </c>
      <c r="J1140" t="inlineStr"/>
      <c r="K1140" t="inlineStr"/>
      <c r="L1140" t="inlineStr"/>
      <c r="M1140" t="inlineStr"/>
      <c r="N1140" t="inlineStr"/>
      <c r="O1140">
        <f>(1-Summary!$B$11)*T1140+Summary!$B$11*V1140</f>
        <v/>
      </c>
      <c r="P1140">
        <f>IF(B1170=0,0,O1140/B1170)</f>
        <v/>
      </c>
      <c r="Q1140" t="n">
        <v>0</v>
      </c>
      <c r="R1140" t="n">
        <v>0</v>
      </c>
      <c r="S1140">
        <f>IFERROR(O1140/N1140,0)</f>
        <v/>
      </c>
      <c r="T1140" t="n">
        <v>0</v>
      </c>
      <c r="V1140" t="n">
        <v>0</v>
      </c>
    </row>
    <row r="1141">
      <c r="A1141">
        <f>Skills!A6</f>
        <v/>
      </c>
      <c r="B1141">
        <f>Skills!B6</f>
        <v/>
      </c>
      <c r="C1141">
        <f>Inputs!$B$3&gt;=63</f>
        <v/>
      </c>
      <c r="D1141">
        <f>IF(Skills!C6=1,60+Inputs!$B$25+Inputs!$B$29,IF(Skills!C6=2,90+Inputs!$B$26+Inputs!$B$29,IF(Skills!C6=3,120+Inputs!$B$27+Inputs!$B$29,MAX(0,(Inputs!$B$3-100)*3)+Inputs!$B$28+Inputs!$B$29)))</f>
        <v/>
      </c>
      <c r="E1141">
        <f>INDEX(FactorTable!$B$2:$Y$301, MATCH(ROUND(MIN(300,MAX(1,D1141)),0), FactorTable!$A$2:$A$301,0), Skills!M6+1)</f>
        <v/>
      </c>
      <c r="F1141">
        <f>IF(Skills!N6=TRUE,(Skills!L6/10)*(E1141/1000),Skills!L6/10)+Skills!O6</f>
        <v/>
      </c>
      <c r="G1141">
        <f>Skills!G6*IF(Skills!H6&gt;0,Skills!I6/Skills!H6,1)</f>
        <v/>
      </c>
      <c r="H1141">
        <f>1-(1-Skills!J6/100)^Skills!K6</f>
        <v/>
      </c>
      <c r="I1141" t="inlineStr">
        <is>
          <t>1</t>
        </is>
      </c>
      <c r="J1141">
        <f>((Inputs!$B$6*(1+Inputs!$B$7/100))+(((Inputs!$B$12*(1+Inputs!$B$13/100))-(Inputs!$B$12*(1+Inputs!$B$13/100)))+0.25*(Inputs!$B$14-Inputs!$B$14))*(1+Inputs!$B$7/100))*(F1141/100)</f>
        <v/>
      </c>
      <c r="K1141">
        <f>J1141*(1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
      </c>
      <c r="L1141">
        <f>K1141*(MIN(Inputs!$B$22+((C1155=TRUE)*(F1155-Calc!F20)),(Inputs!$B$23+0+(IF(ArtifactsInput!$M$15,CHOOSE(ArtifactsInput!$N$15+1,25,30,35,40,45,50)/100*(Inputs!$B$11-Inputs!$B$11),0))))/100+(Inputs!$B$23+0+(IF(ArtifactsInput!$M$15,CHOOSE(ArtifactsInput!$N$15+1,25,30,35,40,45,50)/100*(Inputs!$B$11-Inputs!$B$11),0)))/100)/2</f>
        <v/>
      </c>
      <c r="M1141">
        <f>L1141*(1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1">
        <f>L1141*(1-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1">
        <f>(1-Summary!$B$11)*T1141+Summary!$B$11*V1141</f>
        <v/>
      </c>
      <c r="P1141">
        <f>IF(B1170=0,0,O1141/B1170)</f>
        <v/>
      </c>
      <c r="Q1141">
        <f>IFERROR(1/(IF(Inputs!$B$38="pvp",15,MAX(0.1,Skills!D6-IF(Skills!E6=TRUE,Inputs!$B$32,0)))*(1-IF(AND(ArtifactsInput!$M$27,Inputs!$B$4="Chapter Hunt"),CHOOSE(ArtifactsInput!$N$27+1,20,24,28,32,36,40),0)/100)),0)</f>
        <v/>
      </c>
      <c r="R1141">
        <f>IF(AND(Inputs!$B$38&lt;&gt;"pvp",Inputs!$B$43&gt;0),IF(MAX(0,Inputs!$B$43-B1167)&lt;=0,0,(INT(MAX(0,Inputs!$B$43-B1167)/(IF(Inputs!$B$38="pvp",15,MAX(0.1,Skills!D6-IF(Skills!E6=TRUE,Inputs!$B$32,0)))*(1-IF(AND(ArtifactsInput!$M$27,Inputs!$B$4="Chapter Hunt"),CHOOSE(ArtifactsInput!$N$27+1,20,24,28,32,36,40),0)/100)))+1)),0)</f>
        <v/>
      </c>
      <c r="S1141">
        <f>IFERROR(O1141/N1141,0)</f>
        <v/>
      </c>
      <c r="T1141">
        <f>IF(C1141,(H1141*N1141*IF(AND(Inputs!$B$38&lt;&gt;"pvp",Inputs!$B$43&gt;0),((Skills!G6*((R1141-1)*IF(Skills!H6&gt;0,Skills!I6/Skills!H6,1)+IF(Skills!H6&gt;0,MIN(Skills!I6,MAX(0,MAX(0,Inputs!$B$43-B1167)-((R1141-1)*(IF(Inputs!$B$38="pvp",15,MAX(0.1,Skills!D6-IF(Skills!E6=TRUE,Inputs!$B$32,0)))*(1-IF(AND(ArtifactsInput!$M$27,Inputs!$B$4="Chapter Hunt"),CHOOSE(ArtifactsInput!$N$27+1,20,24,28,32,36,40),0)/100)))))/Skills!H6,1)))/Inputs!$B$43),G1141*Q1141)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1141*(1-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1">
        <f>IF(C1141,(H1141*N1141*IF(AND(Inputs!$B$38&lt;&gt;"pvp",Inputs!$B$43&gt;0),((Skills!G6*((R1141-1)*IF(Skills!H6&gt;0,Skills!I6/Skills!H6,1)+IF(Skills!H6&gt;0,MIN(Skills!I6,MAX(0,MAX(0,Inputs!$B$43-B1167)-((R1141-1)*(IF(Inputs!$B$38="pvp",15,MAX(0.1,Skills!D6-IF(Skills!E6=TRUE,Inputs!$B$32,0)))*(1-IF(AND(ArtifactsInput!$M$27,Inputs!$B$4="Chapter Hunt"),CHOOSE(ArtifactsInput!$N$27+1,20,24,28,32,36,40),0)/100)))))/Skills!H6,1)))/Inputs!$B$43),G1141*Q1141))*IF(Inputs!$B$38="pvp",1,(1+(Inputs!$B$21+Skills!Q6+(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2">
      <c r="A1142">
        <f>Skills!A7</f>
        <v/>
      </c>
      <c r="B1142">
        <f>Skills!B7</f>
        <v/>
      </c>
      <c r="C1142">
        <f>Inputs!$B$3&gt;=100</f>
        <v/>
      </c>
      <c r="D1142">
        <f>IF(Skills!C7=1,60+Inputs!$B$25+Inputs!$B$29,IF(Skills!C7=2,90+Inputs!$B$26+Inputs!$B$29,IF(Skills!C7=3,120+Inputs!$B$27+Inputs!$B$29,MAX(0,(Inputs!$B$3-100)*3)+Inputs!$B$28+Inputs!$B$29)))</f>
        <v/>
      </c>
      <c r="E1142">
        <f>INDEX(FactorTable!$B$2:$Y$301, MATCH(ROUND(MIN(300,MAX(1,D1142)),0), FactorTable!$A$2:$A$301,0), Skills!M7+1)</f>
        <v/>
      </c>
      <c r="F1142">
        <f>IF(Skills!N7=TRUE,(Skills!L7/10)*(E1142/1000),Skills!L7/10)+Skills!O7</f>
        <v/>
      </c>
      <c r="G1142">
        <f>Skills!G7*IF(Skills!H7&gt;0,Skills!I7/Skills!H7,1)</f>
        <v/>
      </c>
      <c r="H1142">
        <f>1-(1-Skills!J7/100)^Skills!K7</f>
        <v/>
      </c>
      <c r="I1142" t="inlineStr">
        <is>
          <t>1</t>
        </is>
      </c>
      <c r="J1142">
        <f>((Inputs!$B$6*(1+Inputs!$B$7/100))+(((Inputs!$B$12*(1+Inputs!$B$13/100))-(Inputs!$B$12*(1+Inputs!$B$13/100)))+0.25*(Inputs!$B$14-Inputs!$B$14))*(1+Inputs!$B$7/100))*(F1142/100)</f>
        <v/>
      </c>
      <c r="K1142">
        <f>J1142*(1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1142)</f>
        <v/>
      </c>
      <c r="L1142">
        <f>K1142*(MIN(Inputs!$B$22+((C1155=TRUE)*(F1155-Calc!F20)),(Inputs!$B$23+0+(IF(ArtifactsInput!$M$15,CHOOSE(ArtifactsInput!$N$15+1,25,30,35,40,45,50)/100*(Inputs!$B$11-Inputs!$B$11),0))))/100+(Inputs!$B$23+0+(IF(ArtifactsInput!$M$15,CHOOSE(ArtifactsInput!$N$15+1,25,30,35,40,45,50)/100*(Inputs!$B$11-Inputs!$B$11),0)))/100)/2</f>
        <v/>
      </c>
      <c r="M1142">
        <f>L1142*(1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2">
        <f>L1142*(1-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1142*(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2">
        <f>(1-Summary!$B$11)*T1142+Summary!$B$11*V1142</f>
        <v/>
      </c>
      <c r="P1142">
        <f>IF(B1170=0,0,O1142/B1170)</f>
        <v/>
      </c>
      <c r="Q1142">
        <f>IFERROR(1/(IF(Inputs!$B$38="pvp",15,MAX(0.1,Skills!D7-IF(Skills!E7=TRUE,Inputs!$B$32,0)))*(1-IF(AND(ArtifactsInput!$M$27,Inputs!$B$4="Chapter Hunt"),CHOOSE(ArtifactsInput!$N$27+1,20,24,28,32,36,40),0)/100)),0)</f>
        <v/>
      </c>
      <c r="R1142">
        <f>IF(AND(Inputs!$B$38&lt;&gt;"pvp",Inputs!$B$43&gt;0),IF(MAX(0,Inputs!$B$43-B1167)&lt;=0,0,(INT(MAX(0,Inputs!$B$43-B1167)/(IF(Inputs!$B$38="pvp",15,MAX(0.1,Skills!D7-IF(Skills!E7=TRUE,Inputs!$B$32,0)))*(1-IF(AND(ArtifactsInput!$M$27,Inputs!$B$4="Chapter Hunt"),CHOOSE(ArtifactsInput!$N$27+1,20,24,28,32,36,40),0)/100)))+1)),0)</f>
        <v/>
      </c>
      <c r="S1142">
        <f>IFERROR(O1142/N1142,0)</f>
        <v/>
      </c>
      <c r="T1142">
        <f>IF(C1142,(H1142*N1142*IF(AND(Inputs!$B$38&lt;&gt;"pvp",Inputs!$B$43&gt;0),((Skills!G7*((R1142-1)*IF(Skills!H7&gt;0,Skills!I7/Skills!H7,1)+IF(Skills!H7&gt;0,MIN(Skills!I7,MAX(0,MAX(0,Inputs!$B$43-B1167)-((R1142-1)*(IF(Inputs!$B$38="pvp",15,MAX(0.1,Skills!D7-IF(Skills!E7=TRUE,Inputs!$B$32,0)))*(1-IF(AND(ArtifactsInput!$M$27,Inputs!$B$4="Chapter Hunt"),CHOOSE(ArtifactsInput!$N$27+1,20,24,28,32,36,40),0)/100)))))/Skills!H7,1)))/Inputs!$B$43),G1142*Q1142)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1142*(1-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1142*(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1142*(1-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1142*(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2">
        <f>IF(C1142,(H1142*N1142*IF(AND(Inputs!$B$38&lt;&gt;"pvp",Inputs!$B$43&gt;0),((Skills!G7*((R1142-1)*IF(Skills!H7&gt;0,Skills!I7/Skills!H7,1)+IF(Skills!H7&gt;0,MIN(Skills!I7,MAX(0,MAX(0,Inputs!$B$43-B1167)-((R1142-1)*(IF(Inputs!$B$38="pvp",15,MAX(0.1,Skills!D7-IF(Skills!E7=TRUE,Inputs!$B$32,0)))*(1-IF(AND(ArtifactsInput!$M$27,Inputs!$B$4="Chapter Hunt"),CHOOSE(ArtifactsInput!$N$27+1,20,24,28,32,36,40),0)/100)))))/Skills!H7,1)))/Inputs!$B$43),G1142*Q1142))*IF(Inputs!$B$38="pvp",1,(1+(Inputs!$B$21+Skills!Q7+(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3">
      <c r="A1143">
        <f>Skills!A8</f>
        <v/>
      </c>
      <c r="B1143">
        <f>Skills!B8</f>
        <v/>
      </c>
      <c r="C1143">
        <f>Inputs!$B$3&gt;=110</f>
        <v/>
      </c>
      <c r="D1143">
        <f>IF(Skills!C8=1,60+Inputs!$B$25+Inputs!$B$29,IF(Skills!C8=2,90+Inputs!$B$26+Inputs!$B$29,IF(Skills!C8=3,120+Inputs!$B$27+Inputs!$B$29,MAX(0,(Inputs!$B$3-100)*3)+Inputs!$B$28+Inputs!$B$29)))</f>
        <v/>
      </c>
      <c r="E1143">
        <f>INDEX(FactorTable!$B$2:$Y$301, MATCH(ROUND(MIN(300,MAX(1,D1143)),0), FactorTable!$A$2:$A$301,0), Skills!M8+1)</f>
        <v/>
      </c>
      <c r="F1143">
        <f>IF(Skills!N8=TRUE,(Skills!L8/10)*(E1143/1000),Skills!L8/10)+Skills!O8</f>
        <v/>
      </c>
      <c r="G1143">
        <f>Skills!G8*IF(Skills!H8&gt;0,Skills!I8/Skills!H8,1)</f>
        <v/>
      </c>
      <c r="H1143">
        <f>1-(1-Skills!J8/100)^Skills!K8</f>
        <v/>
      </c>
      <c r="I1143" t="inlineStr">
        <is>
          <t>1</t>
        </is>
      </c>
      <c r="J1143">
        <f>((Inputs!$B$6*(1+Inputs!$B$7/100))+(((Inputs!$B$12*(1+Inputs!$B$13/100))-(Inputs!$B$12*(1+Inputs!$B$13/100)))+0.25*(Inputs!$B$14-Inputs!$B$14))*(1+Inputs!$B$7/100))*(F1143/100)</f>
        <v/>
      </c>
      <c r="K1143">
        <f>J1143*(1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1143)</f>
        <v/>
      </c>
      <c r="L1143">
        <f>K1143*(MIN(Inputs!$B$22+((C1155=TRUE)*(F1155-Calc!F20)),(Inputs!$B$23+0+(IF(ArtifactsInput!$M$15,CHOOSE(ArtifactsInput!$N$15+1,25,30,35,40,45,50)/100*(Inputs!$B$11-Inputs!$B$11),0))))/100+(Inputs!$B$23+0+(IF(ArtifactsInput!$M$15,CHOOSE(ArtifactsInput!$N$15+1,25,30,35,40,45,50)/100*(Inputs!$B$11-Inputs!$B$11),0)))/100)/2</f>
        <v/>
      </c>
      <c r="M1143">
        <f>L1143*(1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3">
        <f>L1143*(1-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1143*(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3">
        <f>(1-Summary!$B$11)*T1143+Summary!$B$11*V1143</f>
        <v/>
      </c>
      <c r="P1143">
        <f>IF(B1170=0,0,O1143/B1170)</f>
        <v/>
      </c>
      <c r="Q1143">
        <f>IFERROR(1/(IF(Inputs!$B$38="pvp",15,MAX(0.1,Skills!D8-IF(Skills!E8=TRUE,Inputs!$B$32,0)))*(1-IF(AND(ArtifactsInput!$M$27,Inputs!$B$4="Chapter Hunt"),CHOOSE(ArtifactsInput!$N$27+1,20,24,28,32,36,40),0)/100)),0)</f>
        <v/>
      </c>
      <c r="R1143">
        <f>IF(AND(Inputs!$B$38&lt;&gt;"pvp",Inputs!$B$43&gt;0),IF(MAX(0,Inputs!$B$43-B1167)&lt;=0,0,(INT(MAX(0,Inputs!$B$43-B1167)/(IF(Inputs!$B$38="pvp",15,MAX(0.1,Skills!D8-IF(Skills!E8=TRUE,Inputs!$B$32,0)))*(1-IF(AND(ArtifactsInput!$M$27,Inputs!$B$4="Chapter Hunt"),CHOOSE(ArtifactsInput!$N$27+1,20,24,28,32,36,40),0)/100)))+1)),0)</f>
        <v/>
      </c>
      <c r="S1143">
        <f>IFERROR(O1143/N1143,0)</f>
        <v/>
      </c>
      <c r="T1143">
        <f>IF(C1143,(H1143*N1143*IF(AND(Inputs!$B$38&lt;&gt;"pvp",Inputs!$B$43&gt;0),((Skills!G8*((R1143-1)*IF(Skills!H8&gt;0,Skills!I8/Skills!H8,1)+IF(Skills!H8&gt;0,MIN(Skills!I8,MAX(0,MAX(0,Inputs!$B$43-B1167)-((R1143-1)*(IF(Inputs!$B$38="pvp",15,MAX(0.1,Skills!D8-IF(Skills!E8=TRUE,Inputs!$B$32,0)))*(1-IF(AND(ArtifactsInput!$M$27,Inputs!$B$4="Chapter Hunt"),CHOOSE(ArtifactsInput!$N$27+1,20,24,28,32,36,40),0)/100)))))/Skills!H8,1)))/Inputs!$B$43),G1143*Q1143)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1143*(1-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1143*(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1143*(1-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1143*(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3">
        <f>IF(C1143,(H1143*N1143*IF(AND(Inputs!$B$38&lt;&gt;"pvp",Inputs!$B$43&gt;0),((Skills!G8*((R1143-1)*IF(Skills!H8&gt;0,Skills!I8/Skills!H8,1)+IF(Skills!H8&gt;0,MIN(Skills!I8,MAX(0,MAX(0,Inputs!$B$43-B1167)-((R1143-1)*(IF(Inputs!$B$38="pvp",15,MAX(0.1,Skills!D8-IF(Skills!E8=TRUE,Inputs!$B$32,0)))*(1-IF(AND(ArtifactsInput!$M$27,Inputs!$B$4="Chapter Hunt"),CHOOSE(ArtifactsInput!$N$27+1,20,24,28,32,36,40),0)/100)))))/Skills!H8,1)))/Inputs!$B$43),G1143*Q1143))*IF(Inputs!$B$38="pvp",1,(1+(Inputs!$B$21+Skills!Q8+(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4">
      <c r="A1144">
        <f>Skills!A9</f>
        <v/>
      </c>
      <c r="B1144">
        <f>Skills!B9</f>
        <v/>
      </c>
      <c r="C1144">
        <f>Inputs!$B$3&gt;=110</f>
        <v/>
      </c>
      <c r="D1144">
        <f>IF(Skills!C9=1,60+Inputs!$B$25+Inputs!$B$29,IF(Skills!C9=2,90+Inputs!$B$26+Inputs!$B$29,IF(Skills!C9=3,120+Inputs!$B$27+Inputs!$B$29,MAX(0,(Inputs!$B$3-100)*3)+Inputs!$B$28+Inputs!$B$29)))</f>
        <v/>
      </c>
      <c r="E1144">
        <f>INDEX(FactorTable!$B$2:$Y$301, MATCH(ROUND(MIN(300,MAX(1,D1144)),0), FactorTable!$A$2:$A$301,0), Skills!M9+1)</f>
        <v/>
      </c>
      <c r="F1144">
        <f>IF(Skills!N9=TRUE,(Skills!L9/10)*(E1144/1000),Skills!L9/10)+Skills!O9</f>
        <v/>
      </c>
      <c r="G1144">
        <f>Skills!G9*IF(Skills!H9&gt;0,Skills!I9/Skills!H9,1)</f>
        <v/>
      </c>
      <c r="H1144">
        <f>1-(1-Skills!J9/100)^Skills!K9</f>
        <v/>
      </c>
      <c r="I1144" t="inlineStr">
        <is>
          <t>1</t>
        </is>
      </c>
      <c r="J1144">
        <f>((Inputs!$B$6*(1+Inputs!$B$7/100))+(((Inputs!$B$12*(1+Inputs!$B$13/100))-(Inputs!$B$12*(1+Inputs!$B$13/100)))+0.25*(Inputs!$B$14-Inputs!$B$14))*(1+Inputs!$B$7/100))*(F1144/100)</f>
        <v/>
      </c>
      <c r="K1144">
        <f>J1144*(1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1144)</f>
        <v/>
      </c>
      <c r="L1144">
        <f>K1144*(MIN(Inputs!$B$22+((C1155=TRUE)*(F1155-Calc!F20)),(Inputs!$B$23+0+(IF(ArtifactsInput!$M$15,CHOOSE(ArtifactsInput!$N$15+1,25,30,35,40,45,50)/100*(Inputs!$B$11-Inputs!$B$11),0))))/100+(Inputs!$B$23+0+(IF(ArtifactsInput!$M$15,CHOOSE(ArtifactsInput!$N$15+1,25,30,35,40,45,50)/100*(Inputs!$B$11-Inputs!$B$11),0)))/100)/2</f>
        <v/>
      </c>
      <c r="M1144">
        <f>L1144*(1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4">
        <f>L1144*(1-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1144*(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4">
        <f>(1-Summary!$B$11)*T1144+Summary!$B$11*V1144</f>
        <v/>
      </c>
      <c r="P1144">
        <f>IF(B1170=0,0,O1144/B1170)</f>
        <v/>
      </c>
      <c r="Q1144">
        <f>IFERROR(1/(IF(Inputs!$B$38="pvp",15,MAX(0.1,Skills!D9-IF(Skills!E9=TRUE,Inputs!$B$32,0)))*(1-IF(AND(ArtifactsInput!$M$27,Inputs!$B$4="Chapter Hunt"),CHOOSE(ArtifactsInput!$N$27+1,20,24,28,32,36,40),0)/100)),0)</f>
        <v/>
      </c>
      <c r="R1144">
        <f>IF(AND(Inputs!$B$38&lt;&gt;"pvp",Inputs!$B$43&gt;0),IF(MAX(0,Inputs!$B$43-B1167)&lt;=0,0,(INT(MAX(0,Inputs!$B$43-B1167)/(IF(Inputs!$B$38="pvp",15,MAX(0.1,Skills!D9-IF(Skills!E9=TRUE,Inputs!$B$32,0)))*(1-IF(AND(ArtifactsInput!$M$27,Inputs!$B$4="Chapter Hunt"),CHOOSE(ArtifactsInput!$N$27+1,20,24,28,32,36,40),0)/100)))+1)),0)</f>
        <v/>
      </c>
      <c r="S1144">
        <f>IFERROR(O1144/N1144,0)</f>
        <v/>
      </c>
      <c r="T1144">
        <f>IF(C1144,(H1144*N1144*IF(AND(Inputs!$B$38&lt;&gt;"pvp",Inputs!$B$43&gt;0),((Skills!G9*((R1144-1)*IF(Skills!H9&gt;0,Skills!I9/Skills!H9,1)+IF(Skills!H9&gt;0,MIN(Skills!I9,MAX(0,MAX(0,Inputs!$B$43-B1167)-((R1144-1)*(IF(Inputs!$B$38="pvp",15,MAX(0.1,Skills!D9-IF(Skills!E9=TRUE,Inputs!$B$32,0)))*(1-IF(AND(ArtifactsInput!$M$27,Inputs!$B$4="Chapter Hunt"),CHOOSE(ArtifactsInput!$N$27+1,20,24,28,32,36,40),0)/100)))))/Skills!H9,1)))/Inputs!$B$43),G1144*Q1144)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1144*(1-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1144*(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1144*(1-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1144*(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4">
        <f>IF(C1144,(H1144*N1144*IF(AND(Inputs!$B$38&lt;&gt;"pvp",Inputs!$B$43&gt;0),((Skills!G9*((R1144-1)*IF(Skills!H9&gt;0,Skills!I9/Skills!H9,1)+IF(Skills!H9&gt;0,MIN(Skills!I9,MAX(0,MAX(0,Inputs!$B$43-B1167)-((R1144-1)*(IF(Inputs!$B$38="pvp",15,MAX(0.1,Skills!D9-IF(Skills!E9=TRUE,Inputs!$B$32,0)))*(1-IF(AND(ArtifactsInput!$M$27,Inputs!$B$4="Chapter Hunt"),CHOOSE(ArtifactsInput!$N$27+1,20,24,28,32,36,40),0)/100)))))/Skills!H9,1)))/Inputs!$B$43),G1144*Q1144))*IF(Inputs!$B$38="pvp",1,(1+(Inputs!$B$21+Skills!Q9+(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5">
      <c r="A1145">
        <f>Skills!A10</f>
        <v/>
      </c>
      <c r="B1145">
        <f>Skills!B10</f>
        <v/>
      </c>
      <c r="C1145">
        <f>Inputs!$B$3&gt;=103</f>
        <v/>
      </c>
      <c r="D1145">
        <f>IF(Skills!C10=1,60+Inputs!$B$25+Inputs!$B$29,IF(Skills!C10=2,90+Inputs!$B$26+Inputs!$B$29,IF(Skills!C10=3,120+Inputs!$B$27+Inputs!$B$29,MAX(0,(Inputs!$B$3-100)*3)+Inputs!$B$28+Inputs!$B$29)))</f>
        <v/>
      </c>
      <c r="E1145">
        <f>INDEX(FactorTable!$B$2:$Y$301, MATCH(ROUND(MIN(300,MAX(1,D1145)),0), FactorTable!$A$2:$A$301,0), Skills!M10+1)</f>
        <v/>
      </c>
      <c r="F1145">
        <f>IF(Skills!N10=TRUE,(Skills!L10/10)*(E1145/1000),Skills!L10/10)+Skills!O10</f>
        <v/>
      </c>
      <c r="G1145">
        <f>Skills!G10*IF(Skills!H10&gt;0,Skills!I10/Skills!H10,1)</f>
        <v/>
      </c>
      <c r="H1145">
        <f>1-(1-Skills!J10/100)^Skills!K10</f>
        <v/>
      </c>
      <c r="I1145" t="inlineStr">
        <is>
          <t>1</t>
        </is>
      </c>
      <c r="J1145">
        <f>((Inputs!$B$6*(1+Inputs!$B$7/100))+(((Inputs!$B$12*(1+Inputs!$B$13/100))-(Inputs!$B$12*(1+Inputs!$B$13/100)))+0.25*(Inputs!$B$14-Inputs!$B$14))*(1+Inputs!$B$7/100))*(F1145/100)</f>
        <v/>
      </c>
      <c r="K1145">
        <f>J1145*(1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1145)</f>
        <v/>
      </c>
      <c r="L1145">
        <f>K1145*(MIN(Inputs!$B$22+((C1155=TRUE)*(F1155-Calc!F20)),(Inputs!$B$23+0+(IF(ArtifactsInput!$M$15,CHOOSE(ArtifactsInput!$N$15+1,25,30,35,40,45,50)/100*(Inputs!$B$11-Inputs!$B$11),0))))/100+(Inputs!$B$23+0+(IF(ArtifactsInput!$M$15,CHOOSE(ArtifactsInput!$N$15+1,25,30,35,40,45,50)/100*(Inputs!$B$11-Inputs!$B$11),0)))/100)/2</f>
        <v/>
      </c>
      <c r="M1145">
        <f>L1145*(1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5">
        <f>L1145*(1-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1145*(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5">
        <f>(1-Summary!$B$11)*T1145+Summary!$B$11*V1145</f>
        <v/>
      </c>
      <c r="P1145">
        <f>IF(B1170=0,0,O1145/B1170)</f>
        <v/>
      </c>
      <c r="Q1145">
        <f>IFERROR(1/(IF(Inputs!$B$38="pvp",15,MAX(0.1,Skills!D10-IF(Skills!E10=TRUE,Inputs!$B$32,0)))*(1-IF(AND(ArtifactsInput!$M$27,Inputs!$B$4="Chapter Hunt"),CHOOSE(ArtifactsInput!$N$27+1,20,24,28,32,36,40),0)/100)),0)</f>
        <v/>
      </c>
      <c r="R1145">
        <f>IF(AND(Inputs!$B$38&lt;&gt;"pvp",Inputs!$B$43&gt;0),IF(MAX(0,Inputs!$B$43-B1167)&lt;=0,0,(INT(MAX(0,Inputs!$B$43-B1167)/(IF(Inputs!$B$38="pvp",15,MAX(0.1,Skills!D10-IF(Skills!E10=TRUE,Inputs!$B$32,0)))*(1-IF(AND(ArtifactsInput!$M$27,Inputs!$B$4="Chapter Hunt"),CHOOSE(ArtifactsInput!$N$27+1,20,24,28,32,36,40),0)/100)))+1)),0)</f>
        <v/>
      </c>
      <c r="S1145">
        <f>IFERROR(O1145/N1145,0)</f>
        <v/>
      </c>
      <c r="T1145">
        <f>IF(C1145,(H1145*N1145*IF(AND(Inputs!$B$38&lt;&gt;"pvp",Inputs!$B$43&gt;0),((Skills!G10*((R1145-1)*IF(Skills!H10&gt;0,Skills!I10/Skills!H10,1)+IF(Skills!H10&gt;0,MIN(Skills!I10,MAX(0,MAX(0,Inputs!$B$43-B1167)-((R1145-1)*(IF(Inputs!$B$38="pvp",15,MAX(0.1,Skills!D10-IF(Skills!E10=TRUE,Inputs!$B$32,0)))*(1-IF(AND(ArtifactsInput!$M$27,Inputs!$B$4="Chapter Hunt"),CHOOSE(ArtifactsInput!$N$27+1,20,24,28,32,36,40),0)/100)))))/Skills!H10,1)))/Inputs!$B$43),G1145*Q1145)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1145*(1-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1145*(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1145*(1-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1145*(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5">
        <f>IF(C1145,(H1145*N1145*IF(AND(Inputs!$B$38&lt;&gt;"pvp",Inputs!$B$43&gt;0),((Skills!G10*((R1145-1)*IF(Skills!H10&gt;0,Skills!I10/Skills!H10,1)+IF(Skills!H10&gt;0,MIN(Skills!I10,MAX(0,MAX(0,Inputs!$B$43-B1167)-((R1145-1)*(IF(Inputs!$B$38="pvp",15,MAX(0.1,Skills!D10-IF(Skills!E10=TRUE,Inputs!$B$32,0)))*(1-IF(AND(ArtifactsInput!$M$27,Inputs!$B$4="Chapter Hunt"),CHOOSE(ArtifactsInput!$N$27+1,20,24,28,32,36,40),0)/100)))))/Skills!H10,1)))/Inputs!$B$43),G1145*Q1145))*IF(Inputs!$B$38="pvp",1,(1+(Inputs!$B$21+Skills!Q10+(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6">
      <c r="A1146">
        <f>Skills!A11</f>
        <v/>
      </c>
      <c r="B1146">
        <f>Skills!B11</f>
        <v/>
      </c>
      <c r="C1146">
        <f>Inputs!$B$3&gt;=113</f>
        <v/>
      </c>
      <c r="D1146">
        <f>IF(Skills!C11=1,60+Inputs!$B$25+Inputs!$B$29,IF(Skills!C11=2,90+Inputs!$B$26+Inputs!$B$29,IF(Skills!C11=3,120+Inputs!$B$27+Inputs!$B$29,MAX(0,(Inputs!$B$3-100)*3)+Inputs!$B$28+Inputs!$B$29)))</f>
        <v/>
      </c>
      <c r="E1146">
        <f>INDEX(FactorTable!$B$2:$Y$301, MATCH(ROUND(MIN(300,MAX(1,D1146)),0), FactorTable!$A$2:$A$301,0), Skills!M11+1)</f>
        <v/>
      </c>
      <c r="F1146">
        <f>IF(Skills!N11=TRUE,(Skills!L11/10)*(E1146/1000),Skills!L11/10)+Skills!O11</f>
        <v/>
      </c>
      <c r="G1146">
        <f>Skills!G11*IF(Skills!H11&gt;0,Skills!I11/Skills!H11,1)</f>
        <v/>
      </c>
      <c r="H1146">
        <f>1-(1-Skills!J11/100)^Skills!K11</f>
        <v/>
      </c>
      <c r="I1146" t="inlineStr">
        <is>
          <t>1</t>
        </is>
      </c>
      <c r="J1146">
        <f>((Inputs!$B$6*(1+Inputs!$B$7/100))+(((Inputs!$B$12*(1+Inputs!$B$13/100))-(Inputs!$B$12*(1+Inputs!$B$13/100)))+0.25*(Inputs!$B$14-Inputs!$B$14))*(1+Inputs!$B$7/100))*(F1146/100)</f>
        <v/>
      </c>
      <c r="K1146">
        <f>J1146*(1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1146)</f>
        <v/>
      </c>
      <c r="L1146">
        <f>K1146*(MIN(Inputs!$B$22+((C1155=TRUE)*(F1155-Calc!F20)),(Inputs!$B$23+0+(IF(ArtifactsInput!$M$15,CHOOSE(ArtifactsInput!$N$15+1,25,30,35,40,45,50)/100*(Inputs!$B$11-Inputs!$B$11),0))))/100+(Inputs!$B$23+0+(IF(ArtifactsInput!$M$15,CHOOSE(ArtifactsInput!$N$15+1,25,30,35,40,45,50)/100*(Inputs!$B$11-Inputs!$B$11),0)))/100)/2</f>
        <v/>
      </c>
      <c r="M1146">
        <f>L1146*(1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6">
        <f>L1146*(1-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1146*(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6">
        <f>(1-Summary!$B$11)*T1146+Summary!$B$11*V1146</f>
        <v/>
      </c>
      <c r="P1146">
        <f>IF(B1170=0,0,O1146/B1170)</f>
        <v/>
      </c>
      <c r="Q1146">
        <f>IFERROR(1/(IF(Inputs!$B$38="pvp",15,MAX(0.1,Skills!D11-IF(Skills!E11=TRUE,Inputs!$B$32,0)))*(1-IF(AND(ArtifactsInput!$M$27,Inputs!$B$4="Chapter Hunt"),CHOOSE(ArtifactsInput!$N$27+1,20,24,28,32,36,40),0)/100)),0)</f>
        <v/>
      </c>
      <c r="R1146">
        <f>IF(AND(Inputs!$B$38&lt;&gt;"pvp",Inputs!$B$43&gt;0),IF(MAX(0,Inputs!$B$43-B1167)&lt;=0,0,(INT(MAX(0,Inputs!$B$43-B1167)/(IF(Inputs!$B$38="pvp",15,MAX(0.1,Skills!D11-IF(Skills!E11=TRUE,Inputs!$B$32,0)))*(1-IF(AND(ArtifactsInput!$M$27,Inputs!$B$4="Chapter Hunt"),CHOOSE(ArtifactsInput!$N$27+1,20,24,28,32,36,40),0)/100)))+1)),0)</f>
        <v/>
      </c>
      <c r="S1146">
        <f>IFERROR(O1146/N1146,0)</f>
        <v/>
      </c>
      <c r="T1146">
        <f>IF(C1146,(H1146*N1146*IF(AND(Inputs!$B$38&lt;&gt;"pvp",Inputs!$B$43&gt;0),((Skills!G11*((R1146-1)*IF(Skills!H11&gt;0,Skills!I11/Skills!H11,1)+IF(Skills!H11&gt;0,MIN(Skills!I11,MAX(0,MAX(0,Inputs!$B$43-B1167)-((R1146-1)*(IF(Inputs!$B$38="pvp",15,MAX(0.1,Skills!D11-IF(Skills!E11=TRUE,Inputs!$B$32,0)))*(1-IF(AND(ArtifactsInput!$M$27,Inputs!$B$4="Chapter Hunt"),CHOOSE(ArtifactsInput!$N$27+1,20,24,28,32,36,40),0)/100)))))/Skills!H11,1)))/Inputs!$B$43),G1146*Q1146)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1146*(1-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1146*(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1146*(1-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1146*(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6">
        <f>IF(C1146,(H1146*N1146*IF(AND(Inputs!$B$38&lt;&gt;"pvp",Inputs!$B$43&gt;0),((Skills!G11*((R1146-1)*IF(Skills!H11&gt;0,Skills!I11/Skills!H11,1)+IF(Skills!H11&gt;0,MIN(Skills!I11,MAX(0,MAX(0,Inputs!$B$43-B1167)-((R1146-1)*(IF(Inputs!$B$38="pvp",15,MAX(0.1,Skills!D11-IF(Skills!E11=TRUE,Inputs!$B$32,0)))*(1-IF(AND(ArtifactsInput!$M$27,Inputs!$B$4="Chapter Hunt"),CHOOSE(ArtifactsInput!$N$27+1,20,24,28,32,36,40),0)/100)))))/Skills!H11,1)))/Inputs!$B$43),G1146*Q1146))*IF(Inputs!$B$38="pvp",1,(1+(Inputs!$B$21+Skills!Q11+(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7">
      <c r="A1147">
        <f>Skills!A12</f>
        <v/>
      </c>
      <c r="B1147">
        <f>Skills!B12</f>
        <v/>
      </c>
      <c r="C1147">
        <f>Inputs!$B$3&gt;=100</f>
        <v/>
      </c>
      <c r="D1147">
        <f>IF(Skills!C12=1,60+Inputs!$B$25+Inputs!$B$29,IF(Skills!C12=2,90+Inputs!$B$26+Inputs!$B$29,IF(Skills!C12=3,120+Inputs!$B$27+Inputs!$B$29,MAX(0,(Inputs!$B$3-100)*3)+Inputs!$B$28+Inputs!$B$29)))</f>
        <v/>
      </c>
      <c r="E1147">
        <f>INDEX(FactorTable!$B$2:$Y$301, MATCH(ROUND(MIN(300,MAX(1,D1147)),0), FactorTable!$A$2:$A$301,0), Skills!M12+1)</f>
        <v/>
      </c>
      <c r="F1147">
        <f>IF(Skills!N12=TRUE,(Skills!L12/10)*(E1147/1000),Skills!L12/10)+Skills!O12</f>
        <v/>
      </c>
      <c r="G1147" t="inlineStr"/>
      <c r="H1147" t="inlineStr"/>
      <c r="I1147" t="inlineStr">
        <is>
          <t>1</t>
        </is>
      </c>
      <c r="J1147" t="inlineStr"/>
      <c r="K1147" t="inlineStr"/>
      <c r="L1147" t="inlineStr"/>
      <c r="M1147" t="inlineStr"/>
      <c r="N1147" t="inlineStr"/>
      <c r="O1147" t="inlineStr"/>
      <c r="P1147" t="inlineStr"/>
      <c r="Q1147" t="inlineStr"/>
      <c r="R1147" t="inlineStr"/>
      <c r="S1147" t="inlineStr"/>
      <c r="T1147" t="inlineStr"/>
      <c r="V1147" t="inlineStr"/>
    </row>
    <row r="1148">
      <c r="A1148">
        <f>Skills!A13</f>
        <v/>
      </c>
      <c r="B1148">
        <f>Skills!B13</f>
        <v/>
      </c>
      <c r="C1148">
        <f>Inputs!$B$3&gt;=66</f>
        <v/>
      </c>
      <c r="D1148">
        <f>IF(Skills!C13=1,60+Inputs!$B$25+Inputs!$B$29,IF(Skills!C13=2,90+Inputs!$B$26+Inputs!$B$29,IF(Skills!C13=3,120+Inputs!$B$27+Inputs!$B$29,MAX(0,(Inputs!$B$3-100)*3)+Inputs!$B$28+Inputs!$B$29)))</f>
        <v/>
      </c>
      <c r="E1148">
        <f>INDEX(FactorTable!$B$2:$Y$301, MATCH(ROUND(MIN(300,MAX(1,D1148)),0), FactorTable!$A$2:$A$301,0), Skills!M13+1)</f>
        <v/>
      </c>
      <c r="F1148">
        <f>IF(Skills!N13=TRUE,(Skills!L13/10)*(E1148/1000),Skills!L13/10)+Skills!O13</f>
        <v/>
      </c>
      <c r="G1148">
        <f>Skills!G13*IF(Skills!H13&gt;0,Skills!I13/Skills!H13,1)</f>
        <v/>
      </c>
      <c r="H1148">
        <f>1-(1-Skills!J13/100)^Skills!K13</f>
        <v/>
      </c>
      <c r="I1148" t="inlineStr">
        <is>
          <t>1</t>
        </is>
      </c>
      <c r="J1148" t="inlineStr"/>
      <c r="K1148" t="inlineStr"/>
      <c r="L1148" t="inlineStr"/>
      <c r="M1148" t="inlineStr"/>
      <c r="N1148" t="inlineStr"/>
      <c r="O1148">
        <f>(1-Summary!$B$11)*T1148+Summary!$B$11*V1148</f>
        <v/>
      </c>
      <c r="P1148">
        <f>IF(B1170=0,0,O1148/B1170)</f>
        <v/>
      </c>
      <c r="Q1148" t="n">
        <v>0</v>
      </c>
      <c r="R1148" t="n">
        <v>0</v>
      </c>
      <c r="S1148">
        <f>IFERROR(O1148/N1148,0)</f>
        <v/>
      </c>
      <c r="T1148" t="n">
        <v>0</v>
      </c>
      <c r="V1148" t="n">
        <v>0</v>
      </c>
    </row>
    <row r="1149">
      <c r="A1149">
        <f>Skills!A14</f>
        <v/>
      </c>
      <c r="B1149">
        <f>Skills!B14</f>
        <v/>
      </c>
      <c r="C1149">
        <f>Inputs!$B$3&gt;=107</f>
        <v/>
      </c>
      <c r="D1149">
        <f>IF(Skills!C14=1,60+Inputs!$B$25+Inputs!$B$29,IF(Skills!C14=2,90+Inputs!$B$26+Inputs!$B$29,IF(Skills!C14=3,120+Inputs!$B$27+Inputs!$B$29,MAX(0,(Inputs!$B$3-100)*3)+Inputs!$B$28+Inputs!$B$29)))</f>
        <v/>
      </c>
      <c r="E1149">
        <f>INDEX(FactorTable!$B$2:$Y$301, MATCH(ROUND(MIN(300,MAX(1,D1149)),0), FactorTable!$A$2:$A$301,0), Skills!M14+1)</f>
        <v/>
      </c>
      <c r="F1149">
        <f>IF(Skills!N14=TRUE,(Skills!L14/10)*(E1149/1000),Skills!L14/10)+Skills!O14</f>
        <v/>
      </c>
      <c r="G1149">
        <f>Skills!G14*IF(Skills!H14&gt;0,Skills!I14/Skills!H14,1)</f>
        <v/>
      </c>
      <c r="H1149">
        <f>1-(1-Skills!J14/100)^Skills!K14</f>
        <v/>
      </c>
      <c r="I1149" t="inlineStr">
        <is>
          <t>1</t>
        </is>
      </c>
      <c r="J1149" t="inlineStr"/>
      <c r="K1149" t="inlineStr"/>
      <c r="L1149" t="inlineStr"/>
      <c r="M1149" t="inlineStr"/>
      <c r="N1149" t="inlineStr"/>
      <c r="O1149">
        <f>(1-Summary!$B$11)*T1149+Summary!$B$11*V1149</f>
        <v/>
      </c>
      <c r="P1149">
        <f>IF(B1170=0,0,O1149/B1170)</f>
        <v/>
      </c>
      <c r="Q1149" t="n">
        <v>0</v>
      </c>
      <c r="R1149" t="n">
        <v>0</v>
      </c>
      <c r="S1149">
        <f>IFERROR(O1149/N1149,0)</f>
        <v/>
      </c>
      <c r="T1149" t="n">
        <v>0</v>
      </c>
      <c r="V1149" t="n">
        <v>0</v>
      </c>
    </row>
    <row r="1150">
      <c r="A1150">
        <f>Skills!A15</f>
        <v/>
      </c>
      <c r="B1150">
        <f>Skills!B15</f>
        <v/>
      </c>
      <c r="C1150">
        <f>Inputs!$B$3&gt;=115</f>
        <v/>
      </c>
      <c r="D1150">
        <f>IF(Skills!C15=1,60+Inputs!$B$25+Inputs!$B$29,IF(Skills!C15=2,90+Inputs!$B$26+Inputs!$B$29,IF(Skills!C15=3,120+Inputs!$B$27+Inputs!$B$29,MAX(0,(Inputs!$B$3-100)*3)+Inputs!$B$28+Inputs!$B$29)))</f>
        <v/>
      </c>
      <c r="E1150">
        <f>INDEX(FactorTable!$B$2:$Y$301, MATCH(ROUND(MIN(300,MAX(1,D1150)),0), FactorTable!$A$2:$A$301,0), Skills!M15+1)</f>
        <v/>
      </c>
      <c r="F1150">
        <f>IF(Skills!N15=TRUE,(Skills!L15/10)*(E1150/1000),Skills!L15/10)+Skills!O15</f>
        <v/>
      </c>
      <c r="G1150">
        <f>Skills!G15*IF(Skills!H15&gt;0,Skills!I15/Skills!H15,1)</f>
        <v/>
      </c>
      <c r="H1150">
        <f>1-(1-Skills!J15/100)^Skills!K15</f>
        <v/>
      </c>
      <c r="I1150" t="inlineStr">
        <is>
          <t>1</t>
        </is>
      </c>
      <c r="J1150" t="inlineStr"/>
      <c r="K1150" t="inlineStr"/>
      <c r="L1150" t="inlineStr"/>
      <c r="M1150" t="inlineStr"/>
      <c r="N1150" t="inlineStr"/>
      <c r="O1150">
        <f>(1-Summary!$B$11)*T1150+Summary!$B$11*V1150</f>
        <v/>
      </c>
      <c r="P1150">
        <f>IF(B1170=0,0,O1150/B1170)</f>
        <v/>
      </c>
      <c r="Q1150" t="n">
        <v>0</v>
      </c>
      <c r="R1150" t="n">
        <v>0</v>
      </c>
      <c r="S1150">
        <f>IFERROR(O1150/N1150,0)</f>
        <v/>
      </c>
      <c r="T1150" t="n">
        <v>0</v>
      </c>
      <c r="V1150" t="n">
        <v>0</v>
      </c>
    </row>
    <row r="1151">
      <c r="A1151">
        <f>Skills!A16</f>
        <v/>
      </c>
      <c r="B1151">
        <f>Skills!B16</f>
        <v/>
      </c>
      <c r="C1151">
        <f>Inputs!$B$3&gt;=15</f>
        <v/>
      </c>
      <c r="D1151">
        <f>IF(Skills!C16=1,60+Inputs!$B$25+Inputs!$B$29,IF(Skills!C16=2,90+Inputs!$B$26+Inputs!$B$29,IF(Skills!C16=3,120+Inputs!$B$27+Inputs!$B$29,MAX(0,(Inputs!$B$3-100)*3)+Inputs!$B$28+Inputs!$B$29)))</f>
        <v/>
      </c>
      <c r="E1151">
        <f>INDEX(FactorTable!$B$2:$Y$301, MATCH(ROUND(MIN(300,MAX(1,D1151)),0), FactorTable!$A$2:$A$301,0), Skills!M16+1)</f>
        <v/>
      </c>
      <c r="F1151">
        <f>IF(Skills!N16=TRUE,(Skills!L16/10)*(E1151/1000),Skills!L16/10)+Skills!O16</f>
        <v/>
      </c>
      <c r="G1151">
        <f>Skills!G16*IF(Skills!H16&gt;0,Skills!I16/Skills!H16,1)</f>
        <v/>
      </c>
      <c r="H1151">
        <f>1-(1-Skills!J16/100)^Skills!K16</f>
        <v/>
      </c>
      <c r="I1151" t="inlineStr">
        <is>
          <t>1</t>
        </is>
      </c>
      <c r="J1151" t="inlineStr"/>
      <c r="K1151" t="inlineStr"/>
      <c r="L1151" t="inlineStr"/>
      <c r="M1151" t="inlineStr"/>
      <c r="N1151" t="inlineStr"/>
      <c r="O1151">
        <f>(1-Summary!$B$11)*T1151+Summary!$B$11*V1151</f>
        <v/>
      </c>
      <c r="P1151">
        <f>IF(B1170=0,0,O1151/B1170)</f>
        <v/>
      </c>
      <c r="Q1151" t="n">
        <v>0</v>
      </c>
      <c r="R1151" t="n">
        <v>0</v>
      </c>
      <c r="S1151">
        <f>IFERROR(O1151/N1151,0)</f>
        <v/>
      </c>
      <c r="T1151" t="n">
        <v>0</v>
      </c>
      <c r="V1151" t="n">
        <v>0</v>
      </c>
    </row>
    <row r="1152">
      <c r="A1152">
        <f>Skills!A17</f>
        <v/>
      </c>
      <c r="B1152">
        <f>Skills!B17</f>
        <v/>
      </c>
      <c r="C1152">
        <f>Inputs!$B$3&gt;=10</f>
        <v/>
      </c>
      <c r="D1152">
        <f>IF(Skills!C17=1,60+Inputs!$B$25+Inputs!$B$29,IF(Skills!C17=2,90+Inputs!$B$26+Inputs!$B$29,IF(Skills!C17=3,120+Inputs!$B$27+Inputs!$B$29,MAX(0,(Inputs!$B$3-100)*3)+Inputs!$B$28+Inputs!$B$29)))</f>
        <v/>
      </c>
      <c r="E1152">
        <f>INDEX(FactorTable!$B$2:$Y$301, MATCH(ROUND(MIN(300,MAX(1,D1152)),0), FactorTable!$A$2:$A$301,0), Skills!M17+1)</f>
        <v/>
      </c>
      <c r="F1152">
        <f>IF(Skills!N17=TRUE,(Skills!L17/10)*(E1152/1000),Skills!L17/10)+Skills!O17</f>
        <v/>
      </c>
      <c r="G1152">
        <f>Skills!G17*IF(Skills!H17&gt;0,Skills!I17/Skills!H17,1)</f>
        <v/>
      </c>
      <c r="H1152">
        <f>1-(1-Skills!J17/100)^Skills!K17</f>
        <v/>
      </c>
      <c r="I1152" t="inlineStr">
        <is>
          <t>1</t>
        </is>
      </c>
      <c r="J1152" t="inlineStr"/>
      <c r="K1152" t="inlineStr"/>
      <c r="L1152" t="inlineStr"/>
      <c r="M1152" t="inlineStr"/>
      <c r="N1152" t="inlineStr"/>
      <c r="O1152">
        <f>(1-Summary!$B$11)*T1152+Summary!$B$11*V1152</f>
        <v/>
      </c>
      <c r="P1152">
        <f>IF(B1170=0,0,O1152/B1170)</f>
        <v/>
      </c>
      <c r="Q1152" t="n">
        <v>0</v>
      </c>
      <c r="R1152" t="n">
        <v>0</v>
      </c>
      <c r="S1152">
        <f>IFERROR(O1152/N1152,0)</f>
        <v/>
      </c>
      <c r="T1152" t="n">
        <v>0</v>
      </c>
      <c r="V1152" t="n">
        <v>0</v>
      </c>
    </row>
    <row r="1153">
      <c r="A1153">
        <f>Skills!A18</f>
        <v/>
      </c>
      <c r="B1153">
        <f>Skills!B18</f>
        <v/>
      </c>
      <c r="C1153">
        <f>Inputs!$B$3&gt;=33</f>
        <v/>
      </c>
      <c r="D1153">
        <f>IF(Skills!C18=1,60+Inputs!$B$25+Inputs!$B$29,IF(Skills!C18=2,90+Inputs!$B$26+Inputs!$B$29,IF(Skills!C18=3,120+Inputs!$B$27+Inputs!$B$29,MAX(0,(Inputs!$B$3-100)*3)+Inputs!$B$28+Inputs!$B$29)))</f>
        <v/>
      </c>
      <c r="E1153">
        <f>INDEX(FactorTable!$B$2:$Y$301, MATCH(ROUND(MIN(300,MAX(1,D1153)),0), FactorTable!$A$2:$A$301,0), Skills!M18+1)</f>
        <v/>
      </c>
      <c r="F1153">
        <f>IF(Skills!N18=TRUE,(Skills!L18/10)*(E1153/1000),Skills!L18/10)+Skills!O18</f>
        <v/>
      </c>
      <c r="G1153">
        <f>Skills!G18*IF(Skills!H18&gt;0,Skills!I18/Skills!H18,1)</f>
        <v/>
      </c>
      <c r="H1153">
        <f>1-(1-Skills!J18/100)^Skills!K18</f>
        <v/>
      </c>
      <c r="I1153" t="inlineStr">
        <is>
          <t>1</t>
        </is>
      </c>
      <c r="J1153" t="inlineStr"/>
      <c r="K1153" t="inlineStr"/>
      <c r="L1153" t="inlineStr"/>
      <c r="M1153" t="inlineStr"/>
      <c r="N1153" t="inlineStr"/>
      <c r="O1153">
        <f>(1-Summary!$B$11)*T1153+Summary!$B$11*V1153</f>
        <v/>
      </c>
      <c r="P1153">
        <f>IF(B1170=0,0,O1153/B1170)</f>
        <v/>
      </c>
      <c r="Q1153" t="n">
        <v>0</v>
      </c>
      <c r="R1153" t="n">
        <v>0</v>
      </c>
      <c r="S1153">
        <f>IFERROR(O1153/N1153,0)</f>
        <v/>
      </c>
      <c r="T1153" t="n">
        <v>0</v>
      </c>
      <c r="V1153" t="n">
        <v>0</v>
      </c>
    </row>
    <row r="1154">
      <c r="A1154">
        <f>Skills!A19</f>
        <v/>
      </c>
      <c r="B1154">
        <f>Skills!B19</f>
        <v/>
      </c>
      <c r="C1154">
        <f>Inputs!$B$3&gt;=40</f>
        <v/>
      </c>
      <c r="D1154">
        <f>IF(Skills!C19=1,60+Inputs!$B$25+Inputs!$B$29,IF(Skills!C19=2,90+Inputs!$B$26+Inputs!$B$29,IF(Skills!C19=3,120+Inputs!$B$27+Inputs!$B$29,MAX(0,(Inputs!$B$3-100)*3)+Inputs!$B$28+Inputs!$B$29)))</f>
        <v/>
      </c>
      <c r="E1154">
        <f>INDEX(FactorTable!$B$2:$Y$301, MATCH(ROUND(MIN(300,MAX(1,D1154)),0), FactorTable!$A$2:$A$301,0), Skills!M19+1)</f>
        <v/>
      </c>
      <c r="F1154">
        <f>IF(Skills!N19=TRUE,(Skills!L19/10)*(E1154/1000),Skills!L19/10)+Skills!O19</f>
        <v/>
      </c>
      <c r="G1154">
        <f>Skills!G19*IF(Skills!H19&gt;0,Skills!I19/Skills!H19,1)</f>
        <v/>
      </c>
      <c r="H1154">
        <f>1-(1-Skills!J19/100)^Skills!K19</f>
        <v/>
      </c>
      <c r="I1154" t="inlineStr">
        <is>
          <t>1</t>
        </is>
      </c>
      <c r="J1154" t="inlineStr"/>
      <c r="K1154" t="inlineStr"/>
      <c r="L1154" t="inlineStr"/>
      <c r="M1154" t="inlineStr"/>
      <c r="N1154" t="inlineStr"/>
      <c r="O1154">
        <f>(1-Summary!$B$11)*T1154+Summary!$B$11*V1154</f>
        <v/>
      </c>
      <c r="P1154">
        <f>IF(B1170=0,0,O1154/B1170)</f>
        <v/>
      </c>
      <c r="Q1154" t="n">
        <v>0</v>
      </c>
      <c r="R1154" t="n">
        <v>0</v>
      </c>
      <c r="S1154">
        <f>IFERROR(O1154/N1154,0)</f>
        <v/>
      </c>
      <c r="T1154" t="n">
        <v>0</v>
      </c>
      <c r="V1154" t="n">
        <v>0</v>
      </c>
    </row>
    <row r="1155">
      <c r="A1155">
        <f>Skills!A20</f>
        <v/>
      </c>
      <c r="B1155">
        <f>Skills!B20</f>
        <v/>
      </c>
      <c r="C1155">
        <f>Inputs!$B$3&gt;=43</f>
        <v/>
      </c>
      <c r="D1155">
        <f>IF(Skills!C20=1,60+Inputs!$B$25+Inputs!$B$29,IF(Skills!C20=2,90+Inputs!$B$26+Inputs!$B$29,IF(Skills!C20=3,120+Inputs!$B$27+Inputs!$B$29,MAX(0,(Inputs!$B$3-100)*3)+Inputs!$B$28+Inputs!$B$29)))</f>
        <v/>
      </c>
      <c r="E1155">
        <f>INDEX(FactorTable!$B$2:$Y$301, MATCH(ROUND(MIN(300,MAX(1,D1155)),0), FactorTable!$A$2:$A$301,0), Skills!M20+1)</f>
        <v/>
      </c>
      <c r="F1155">
        <f>IF(Skills!N20=TRUE,(Skills!L20/10)*(E1155/1000),Skills!L20/10)+Skills!O20</f>
        <v/>
      </c>
      <c r="G1155">
        <f>Skills!G20*IF(Skills!H20&gt;0,Skills!I20/Skills!H20,1)</f>
        <v/>
      </c>
      <c r="H1155">
        <f>1-(1-Skills!J20/100)^Skills!K20</f>
        <v/>
      </c>
      <c r="I1155" t="inlineStr">
        <is>
          <t>1</t>
        </is>
      </c>
      <c r="J1155" t="inlineStr"/>
      <c r="K1155" t="inlineStr"/>
      <c r="L1155" t="inlineStr"/>
      <c r="M1155" t="inlineStr"/>
      <c r="N1155" t="inlineStr"/>
      <c r="O1155">
        <f>(1-Summary!$B$11)*T1155+Summary!$B$11*V1155</f>
        <v/>
      </c>
      <c r="P1155">
        <f>IF(B1170=0,0,O1155/B1170)</f>
        <v/>
      </c>
      <c r="Q1155" t="n">
        <v>0</v>
      </c>
      <c r="R1155" t="n">
        <v>0</v>
      </c>
      <c r="S1155">
        <f>IFERROR(O1155/N1155,0)</f>
        <v/>
      </c>
      <c r="T1155" t="n">
        <v>0</v>
      </c>
      <c r="V1155" t="n">
        <v>0</v>
      </c>
    </row>
    <row r="1156">
      <c r="A1156">
        <f>Skills!A21</f>
        <v/>
      </c>
      <c r="B1156">
        <f>Skills!B21</f>
        <v/>
      </c>
      <c r="C1156">
        <f>Inputs!$B$3&gt;=38</f>
        <v/>
      </c>
      <c r="D1156">
        <f>IF(Skills!C21=1,60+Inputs!$B$25+Inputs!$B$29,IF(Skills!C21=2,90+Inputs!$B$26+Inputs!$B$29,IF(Skills!C21=3,120+Inputs!$B$27+Inputs!$B$29,MAX(0,(Inputs!$B$3-100)*3)+Inputs!$B$28+Inputs!$B$29)))</f>
        <v/>
      </c>
      <c r="E1156">
        <f>INDEX(FactorTable!$B$2:$Y$301, MATCH(ROUND(MIN(300,MAX(1,D1156)),0), FactorTable!$A$2:$A$301,0), Skills!M21+1)</f>
        <v/>
      </c>
      <c r="F1156">
        <f>IF(Skills!N21=TRUE,(Skills!L21/10)*(E1156/1000),Skills!L21/10)+Skills!O21</f>
        <v/>
      </c>
      <c r="G1156">
        <f>Skills!G21*IF(Skills!H21&gt;0,Skills!I21/Skills!H21,1)</f>
        <v/>
      </c>
      <c r="H1156">
        <f>1-(1-Skills!J21/100)^Skills!K21</f>
        <v/>
      </c>
      <c r="I1156" t="inlineStr">
        <is>
          <t>1</t>
        </is>
      </c>
      <c r="J1156" t="inlineStr"/>
      <c r="K1156" t="inlineStr"/>
      <c r="L1156" t="inlineStr"/>
      <c r="M1156" t="inlineStr"/>
      <c r="N1156" t="inlineStr"/>
      <c r="O1156">
        <f>(1-Summary!$B$11)*T1156+Summary!$B$11*V1156</f>
        <v/>
      </c>
      <c r="P1156">
        <f>IF(B1170=0,0,O1156/B1170)</f>
        <v/>
      </c>
      <c r="Q1156" t="n">
        <v>0</v>
      </c>
      <c r="R1156" t="n">
        <v>0</v>
      </c>
      <c r="S1156">
        <f>IFERROR(O1156/N1156,0)</f>
        <v/>
      </c>
      <c r="T1156" t="n">
        <v>0</v>
      </c>
      <c r="V1156" t="n">
        <v>0</v>
      </c>
    </row>
    <row r="1157">
      <c r="A1157">
        <f>Skills!A22</f>
        <v/>
      </c>
      <c r="B1157">
        <f>Skills!B22</f>
        <v/>
      </c>
      <c r="C1157">
        <f>Inputs!$B$3&gt;=75</f>
        <v/>
      </c>
      <c r="D1157">
        <f>IF(Skills!C22=1,60+Inputs!$B$25+Inputs!$B$29,IF(Skills!C22=2,90+Inputs!$B$26+Inputs!$B$29,IF(Skills!C22=3,120+Inputs!$B$27+Inputs!$B$29,MAX(0,(Inputs!$B$3-100)*3)+Inputs!$B$28+Inputs!$B$29)))</f>
        <v/>
      </c>
      <c r="E1157">
        <f>INDEX(FactorTable!$B$2:$Y$301, MATCH(ROUND(MIN(300,MAX(1,D1157)),0), FactorTable!$A$2:$A$301,0), Skills!M22+1)</f>
        <v/>
      </c>
      <c r="F1157">
        <f>IF(Skills!N22=TRUE,(Skills!L22/10)*(E1157/1000),Skills!L22/10)+Skills!O22</f>
        <v/>
      </c>
      <c r="G1157">
        <f>Skills!G22*IF(Skills!H22&gt;0,Skills!I22/Skills!H22,1)</f>
        <v/>
      </c>
      <c r="H1157">
        <f>1-(1-Skills!J22/100)^Skills!K22</f>
        <v/>
      </c>
      <c r="I1157" t="inlineStr">
        <is>
          <t>1</t>
        </is>
      </c>
      <c r="J1157" t="inlineStr"/>
      <c r="K1157" t="inlineStr"/>
      <c r="L1157" t="inlineStr"/>
      <c r="M1157" t="inlineStr"/>
      <c r="N1157" t="inlineStr"/>
      <c r="O1157">
        <f>(1-Summary!$B$11)*T1157+Summary!$B$11*V1157</f>
        <v/>
      </c>
      <c r="P1157">
        <f>IF(B1170=0,0,O1157/B1170)</f>
        <v/>
      </c>
      <c r="Q1157" t="n">
        <v>0</v>
      </c>
      <c r="R1157" t="n">
        <v>0</v>
      </c>
      <c r="S1157">
        <f>IFERROR(O1157/N1157,0)</f>
        <v/>
      </c>
      <c r="T1157" t="n">
        <v>0</v>
      </c>
      <c r="V1157" t="n">
        <v>0</v>
      </c>
    </row>
    <row r="1159">
      <c r="A1159" t="inlineStr">
        <is>
          <t>Attack% Bucket Multiplier</t>
        </is>
      </c>
      <c r="B1159">
        <f>(1+(((C1148=TRUE)*F1148)+((C1154=TRUE)*(F1154-Calc!F19))+(IF(ArtifactsInput!$M$21,CHOOSE(ArtifactsInput!$N$21+1,25,30,35,40,45,50)*(IF(OR(Inputs!$B$4="Chapter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60">
      <c r="A1160" t="inlineStr">
        <is>
          <t>Global Crit Rate Bonus %</t>
        </is>
      </c>
      <c r="B1160" t="n">
        <v>0</v>
      </c>
    </row>
    <row r="1161">
      <c r="A1161" t="inlineStr">
        <is>
          <t>Attack Speed Buff Bonus % (unused)</t>
        </is>
      </c>
      <c r="B1161" t="n">
        <v>0</v>
      </c>
    </row>
    <row r="1162">
      <c r="A1162" t="inlineStr">
        <is>
          <t>Actions Per Second</t>
        </is>
      </c>
      <c r="B1162">
        <f>1+MIN(150,150*(1-(1-(Inputs!$B$11+((C1152=TRUE)*(F1152-Calc!F17))+((C1153=TRUE)*(F1153-Calc!F18)))/150)*(1-B1161/150)))/100</f>
        <v/>
      </c>
    </row>
    <row r="1163">
      <c r="A1163" t="inlineStr">
        <is>
          <t>Skill + Buff Cast Rate</t>
        </is>
      </c>
      <c r="B1163">
        <f>IF(AND(Inputs!$B$38&lt;&gt;"pvp",Inputs!$B$43&gt;0),SUMPRODUCT((Skills!E2:E22=TRUE)*(C1137:C1157=TRUE)*R1137:R1157*Skills!F2:F22)/Inputs!$B$43,SUMPRODUCT((Skills!E2:E22=TRUE)*(C1137:C1157=TRUE)*Q1137:Q1157*Skills!F2:F22))</f>
        <v/>
      </c>
    </row>
    <row r="1164">
      <c r="A1164" t="inlineStr">
        <is>
          <t>Hook Bomber Casts Per Second</t>
        </is>
      </c>
      <c r="B1164">
        <f>MAX(0,B1162-B1163)</f>
        <v/>
      </c>
    </row>
    <row r="1165">
      <c r="A1165" t="inlineStr">
        <is>
          <t>Global Critical Damage Bonus % (unused)</t>
        </is>
      </c>
      <c r="B1165" t="n">
        <v>0</v>
      </c>
    </row>
    <row r="1166">
      <c r="A1166" t="inlineStr">
        <is>
          <t>Global Final Damage Bonus % (Serpent Scale + Crossbones + Time Leap + Speed Infusion)</t>
        </is>
      </c>
      <c r="B1166">
        <f>((C1140=TRUE)*F1140*((10+IF(Inputs!$B$3&gt;=94,5,0))/((10+IF(Inputs!$B$3&gt;=94,5,0))+5/(B1164*(1+IF(Inputs!$B$3&gt;=104,1,0))))))+((C1149=TRUE)*F1149)+((C1150=TRUE)*F1150)+((Inputs!$B$3&gt;=110)*20*(B1162-1))</f>
        <v/>
      </c>
    </row>
    <row r="1167">
      <c r="A1167" t="inlineStr">
        <is>
          <t>Buff-Casting Startup Delay (s, fixed-duration only)</t>
        </is>
      </c>
      <c r="B1167">
        <f>IF(AND(Inputs!$B$38&lt;&gt;"pvp",Inputs!$B$43&gt;0),SUMPRODUCT((Skills!T2:T22&gt;0)*(Skills!E2:E22=TRUE)*(C1137:C1157=TRUE))/B1162,0)</f>
        <v/>
      </c>
    </row>
    <row r="1168">
      <c r="A1168" t="inlineStr">
        <is>
          <t>Boss-Only Total DPS (this block's swept value)</t>
        </is>
      </c>
      <c r="B1168">
        <f>SUM(T1137:T1157)</f>
        <v/>
      </c>
    </row>
    <row r="1169">
      <c r="A1169" t="inlineStr">
        <is>
          <t>Normal-Only Total DPS (this block's swept value)</t>
        </is>
      </c>
      <c r="B1169">
        <f>SUM(V1137:V1157)</f>
        <v/>
      </c>
    </row>
    <row r="1170">
      <c r="A1170" s="6" t="inlineStr">
        <is>
          <t>TOTAL DPS</t>
        </is>
      </c>
      <c r="B1170" s="6">
        <f>SUM(O1137:O1157)</f>
        <v/>
      </c>
    </row>
    <row r="1173">
      <c r="A1173" s="6" t="inlineStr">
        <is>
          <t>Stat: The Contract of Darkness (Equip)</t>
        </is>
      </c>
    </row>
    <row r="1174">
      <c r="A1174" s="5" t="inlineStr">
        <is>
          <t>Key</t>
        </is>
      </c>
      <c r="B1174" s="5" t="inlineStr">
        <is>
          <t>Name</t>
        </is>
      </c>
      <c r="C1174" s="5" t="inlineStr">
        <is>
          <t>Unlocked</t>
        </is>
      </c>
      <c r="D1174" s="5" t="inlineStr">
        <is>
          <t>InputLevel</t>
        </is>
      </c>
      <c r="E1174" s="5" t="inlineStr">
        <is>
          <t>Factor</t>
        </is>
      </c>
      <c r="F1174" s="5" t="inlineStr">
        <is>
          <t>CoefficientPercent</t>
        </is>
      </c>
      <c r="G1174" s="5" t="inlineStr">
        <is>
          <t>EffectiveHits</t>
        </is>
      </c>
      <c r="H1174" s="5" t="inlineStr">
        <is>
          <t>ProcProbability</t>
        </is>
      </c>
      <c r="I1174" s="5" t="inlineStr">
        <is>
          <t>MapleHeroMultiplier</t>
        </is>
      </c>
      <c r="J1174" s="5" t="inlineStr">
        <is>
          <t>BaseDamage</t>
        </is>
      </c>
      <c r="K1174" s="5" t="inlineStr">
        <is>
          <t>BaseHitDamage</t>
        </is>
      </c>
      <c r="L1174" s="5" t="inlineStr">
        <is>
          <t>NonCritAvg</t>
        </is>
      </c>
      <c r="M1174" s="5" t="inlineStr">
        <is>
          <t>CritAvg</t>
        </is>
      </c>
      <c r="N1174" s="5" t="inlineStr">
        <is>
          <t>ExpectedDamage(perHit)</t>
        </is>
      </c>
      <c r="O1174" s="5" t="inlineStr">
        <is>
          <t>DPS</t>
        </is>
      </c>
      <c r="P1174" s="5" t="inlineStr">
        <is>
          <t>% of Total</t>
        </is>
      </c>
      <c r="Q1174" s="5" t="inlineStr">
        <is>
          <t>InvCooldown</t>
        </is>
      </c>
      <c r="R1174" s="5" t="inlineStr">
        <is>
          <t>CastsInFight</t>
        </is>
      </c>
      <c r="S1174" s="5" t="inlineStr">
        <is>
          <t>HitRate(perSec)</t>
        </is>
      </c>
      <c r="U1174" t="inlineStr">
        <is>
          <t>helpers</t>
        </is>
      </c>
    </row>
    <row r="1175">
      <c r="A1175">
        <f>Skills!A2</f>
        <v/>
      </c>
      <c r="B1175">
        <f>Skills!B2</f>
        <v/>
      </c>
      <c r="C1175">
        <f>Inputs!$B$3&gt;=100</f>
        <v/>
      </c>
      <c r="D1175" t="inlineStr"/>
      <c r="E1175" t="inlineStr"/>
      <c r="F1175">
        <f>U1177+Skills!O2</f>
        <v/>
      </c>
      <c r="G1175">
        <f>Skills!G2*IF(Skills!H2&gt;0,Skills!I2/Skills!H2,1)</f>
        <v/>
      </c>
      <c r="H1175">
        <f>1-(1-Skills!J2/100)^Skills!K2</f>
        <v/>
      </c>
      <c r="I1175" t="inlineStr">
        <is>
          <t>1</t>
        </is>
      </c>
      <c r="J1175">
        <f>((Inputs!$B$6*(1+Inputs!$B$7/100))+(((Inputs!$B$12*(1+Inputs!$B$13/100))-(Inputs!$B$12*(1+Inputs!$B$13/100)))+0.25*(Inputs!$B$14-Inputs!$B$14))*(1+Inputs!$B$7/100))*(F1175/100)</f>
        <v/>
      </c>
      <c r="K1175">
        <f>J1175*(1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1175)</f>
        <v/>
      </c>
      <c r="L1175">
        <f>K1175*(MIN(Inputs!$B$22+((C1193=TRUE)*(F1193-Calc!F20)),(Inputs!$B$23+0+(IF(ArtifactsInput!$M$15,CHOOSE(ArtifactsInput!$N$15+1,25,30,35,40,45,50)/100*(Inputs!$B$11-Inputs!$B$11),0))))/100+(Inputs!$B$23+0+(IF(ArtifactsInput!$M$15,CHOOSE(ArtifactsInput!$N$15+1,25,30,35,40,45,50)/100*(Inputs!$B$11-Inputs!$B$11),0)))/100)/2</f>
        <v/>
      </c>
      <c r="M1175">
        <f>L1175*(1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5">
        <f>L1175*(1-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1175*(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5">
        <f>(1-Summary!$B$11)*T1175+Summary!$B$11*V1175</f>
        <v/>
      </c>
      <c r="P1175">
        <f>IF(B1208=0,0,O1175/B1208)</f>
        <v/>
      </c>
      <c r="Q1175" t="n">
        <v>0</v>
      </c>
      <c r="R1175" t="n">
        <v>0</v>
      </c>
      <c r="S1175">
        <f>IFERROR(O1175/N1175,0)</f>
        <v/>
      </c>
      <c r="T1175">
        <f>IF(C1175,(Skills!G2*N1175*B1202)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1175*(1-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1175*(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1175*(1-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1175*(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5">
        <f>MAX(0,(Inputs!$B$3-100)*3)+Inputs!$B$28+Inputs!$B$29</f>
        <v/>
      </c>
      <c r="V1175">
        <f>IF(C1175,(Skills!G2*N1175*B1202)*IF(Inputs!$B$38="pvp",1,(1+(Inputs!$B$21+Skills!Q2+(IF(ArtifactsInput!$M$33,CHOOSE(ArtifactsInput!$N$33+1,30,36,42,48,54,60),0))+(IF(AND(ArtifactsInput!$M$35,Inputs!$B$4&lt;&gt;"Chapter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6">
      <c r="A1176">
        <f>Skills!A3</f>
        <v/>
      </c>
      <c r="B1176">
        <f>Skills!B3</f>
        <v/>
      </c>
      <c r="C1176">
        <f>Inputs!$B$3&gt;=35</f>
        <v/>
      </c>
      <c r="D1176">
        <f>IF(Skills!C3=1,60+Inputs!$B$25+Inputs!$B$29,IF(Skills!C3=2,90+Inputs!$B$26+Inputs!$B$29,IF(Skills!C3=3,120+Inputs!$B$27+Inputs!$B$29,MAX(0,(Inputs!$B$3-100)*3)+Inputs!$B$28+Inputs!$B$29)))</f>
        <v/>
      </c>
      <c r="E1176">
        <f>INDEX(FactorTable!$B$2:$Y$301, MATCH(ROUND(MIN(300,MAX(1,D1176)),0), FactorTable!$A$2:$A$301,0), Skills!M3+1)</f>
        <v/>
      </c>
      <c r="F1176">
        <f>IF(Skills!N3=TRUE,(Skills!L3/10)*(E1176/1000),Skills!L3/10)+Skills!O3</f>
        <v/>
      </c>
      <c r="G1176">
        <f>Skills!G3*IF(Skills!H3&gt;0,Skills!I3/Skills!H3,1)</f>
        <v/>
      </c>
      <c r="H1176">
        <f>1-(1-Skills!J3/100)^Skills!K3</f>
        <v/>
      </c>
      <c r="I1176" t="inlineStr">
        <is>
          <t>1</t>
        </is>
      </c>
      <c r="J1176">
        <f>((Inputs!$B$6*(1+Inputs!$B$7/100))+(((Inputs!$B$12*(1+Inputs!$B$13/100))-(Inputs!$B$12*(1+Inputs!$B$13/100)))+0.25*(Inputs!$B$14-Inputs!$B$14))*(1+Inputs!$B$7/100))*(F1176/100)</f>
        <v/>
      </c>
      <c r="K1176">
        <f>J1176*(1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1176)</f>
        <v/>
      </c>
      <c r="L1176">
        <f>K1176*(MIN(Inputs!$B$22+((C1193=TRUE)*(F1193-Calc!F20)),(Inputs!$B$23+0+(IF(ArtifactsInput!$M$15,CHOOSE(ArtifactsInput!$N$15+1,25,30,35,40,45,50)/100*(Inputs!$B$11-Inputs!$B$11),0))))/100+(Inputs!$B$23+0+(IF(ArtifactsInput!$M$15,CHOOSE(ArtifactsInput!$N$15+1,25,30,35,40,45,50)/100*(Inputs!$B$11-Inputs!$B$11),0)))/100)/2</f>
        <v/>
      </c>
      <c r="M1176">
        <f>L1176*(1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6">
        <f>L1176*(1-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1176*(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6">
        <f>(1-Summary!$B$11)*T1176+Summary!$B$11*V1176</f>
        <v/>
      </c>
      <c r="P1176">
        <f>IF(B1208=0,0,O1176/B1208)</f>
        <v/>
      </c>
      <c r="Q1176" t="n">
        <v>0</v>
      </c>
      <c r="R1176" t="n">
        <v>0</v>
      </c>
      <c r="S1176">
        <f>IFERROR(O1176/N1176,0)</f>
        <v/>
      </c>
      <c r="T1176">
        <f>IF(C1176,(Skills!G3*H1176*N1176*B1202)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1176*(1-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1176*(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1176*(1-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1176*(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6">
        <f>INDEX(FactorTable!$B$2:$Y$301, MATCH(ROUND(MIN(300,MAX(1,U1175)),0), FactorTable!$A$2:$A$301,0), 22)</f>
        <v/>
      </c>
      <c r="V1176">
        <f>IF(C1176,(Skills!G3*H1176*N1176*B1202)*IF(Inputs!$B$38="pvp",1,(1+(Inputs!$B$21+Skills!Q3+(IF(ArtifactsInput!$M$33,CHOOSE(ArtifactsInput!$N$33+1,30,36,42,48,54,60),0))+(IF(AND(ArtifactsInput!$M$35,Inputs!$B$4&lt;&gt;"Chapter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7">
      <c r="A1177">
        <f>Skills!A4</f>
        <v/>
      </c>
      <c r="B1177">
        <f>Skills!B4</f>
        <v/>
      </c>
      <c r="C1177">
        <f>Inputs!$B$3&gt;=60</f>
        <v/>
      </c>
      <c r="D1177">
        <f>IF(Skills!C4=1,60+Inputs!$B$25+Inputs!$B$29,IF(Skills!C4=2,90+Inputs!$B$26+Inputs!$B$29,IF(Skills!C4=3,120+Inputs!$B$27+Inputs!$B$29,MAX(0,(Inputs!$B$3-100)*3)+Inputs!$B$28+Inputs!$B$29)))</f>
        <v/>
      </c>
      <c r="E1177">
        <f>INDEX(FactorTable!$B$2:$Y$301, MATCH(ROUND(MIN(300,MAX(1,D1177)),0), FactorTable!$A$2:$A$301,0), Skills!M4+1)</f>
        <v/>
      </c>
      <c r="F1177">
        <f>IF(Skills!N4=TRUE,(Skills!L4/10)*(E1177/1000),Skills!L4/10)+Skills!O4</f>
        <v/>
      </c>
      <c r="G1177">
        <f>Skills!G4*IF(Skills!H4&gt;0,Skills!I4/Skills!H4,1)</f>
        <v/>
      </c>
      <c r="H1177">
        <f>1-(1-Skills!J4/100)^Skills!K4</f>
        <v/>
      </c>
      <c r="I1177" t="inlineStr">
        <is>
          <t>1</t>
        </is>
      </c>
      <c r="J1177">
        <f>((Inputs!$B$6*(1+Inputs!$B$7/100))+(((Inputs!$B$12*(1+Inputs!$B$13/100))-(Inputs!$B$12*(1+Inputs!$B$13/100)))+0.25*(Inputs!$B$14-Inputs!$B$14))*(1+Inputs!$B$7/100))*(F1177/100)</f>
        <v/>
      </c>
      <c r="K1177">
        <f>J1177*(1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1185=TRUE,F1185,0)/100)*(1+(IF(Skills!A4="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C1193=TRUE)*(F1193-Calc!F20)),(Inputs!$B$23+0+(IF(ArtifactsInput!$M$15,CHOOSE(ArtifactsInput!$N$15+1,25,30,35,40,45,50)/100*(Inputs!$B$11-Inputs!$B$11),0))))/100+(Inputs!$B$23+0+(IF(ArtifactsInput!$M$15,CHOOSE(ArtifactsInput!$N$15+1,25,30,35,40,45,50)/100*(Inputs!$B$11-Inputs!$B$11),0)))/100)/2</f>
        <v/>
      </c>
      <c r="M1177">
        <f>L1177*(1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(1-Summary!$B$11)*T1177+Summary!$B$11*V1177</f>
        <v/>
      </c>
      <c r="P1177">
        <f>IF(B1208=0,0,O1177/B1208)</f>
        <v/>
      </c>
      <c r="Q1177" t="n">
        <v>0</v>
      </c>
      <c r="R1177" t="n">
        <v>0</v>
      </c>
      <c r="S1177">
        <f>IFERROR(O1177/N1177,0)</f>
        <v/>
      </c>
      <c r="T1177">
        <f>IF(C1177,(Skills!G4*H1177*N1177*B1202)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1177*(1-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1177*(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1177*(1-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7">
        <f>290*U1176/1000</f>
        <v/>
      </c>
      <c r="V1177">
        <f>IF(C1177,(Skills!G4*H1177*N1177*B1202)*IF(Inputs!$B$38="pvp",1,(1+(Inputs!$B$21+Skills!Q4+(IF(ArtifactsInput!$M$33,CHOOSE(ArtifactsInput!$N$33+1,30,36,42,48,54,60),0))+(IF(AND(ArtifactsInput!$M$35,Inputs!$B$4&lt;&gt;"Chapter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Skills!A5</f>
        <v/>
      </c>
      <c r="B1178">
        <f>Skills!B5</f>
        <v/>
      </c>
      <c r="C1178">
        <f>Inputs!$B$3&gt;=60</f>
        <v/>
      </c>
      <c r="D1178">
        <f>IF(Skills!C5=1,60+Inputs!$B$25+Inputs!$B$29,IF(Skills!C5=2,90+Inputs!$B$26+Inputs!$B$29,IF(Skills!C5=3,120+Inputs!$B$27+Inputs!$B$29,MAX(0,(Inputs!$B$3-100)*3)+Inputs!$B$28+Inputs!$B$29)))</f>
        <v/>
      </c>
      <c r="E1178">
        <f>INDEX(FactorTable!$B$2:$Y$301, MATCH(ROUND(MIN(300,MAX(1,D1178)),0), FactorTable!$A$2:$A$301,0), Skills!M5+1)</f>
        <v/>
      </c>
      <c r="F1178">
        <f>IF(Skills!N5=TRUE,(Skills!L5/10)*(E1178/1000),Skills!L5/10)+Skills!O5</f>
        <v/>
      </c>
      <c r="G1178">
        <f>Skills!G5*IF(Skills!H5&gt;0,Skills!I5/Skills!H5,1)</f>
        <v/>
      </c>
      <c r="H1178">
        <f>1-(1-Skills!J5/100)^Skills!K5</f>
        <v/>
      </c>
      <c r="I1178" t="inlineStr">
        <is>
          <t>1</t>
        </is>
      </c>
      <c r="J1178" t="inlineStr"/>
      <c r="K1178" t="inlineStr"/>
      <c r="L1178" t="inlineStr"/>
      <c r="M1178" t="inlineStr"/>
      <c r="N1178" t="inlineStr"/>
      <c r="O1178">
        <f>(1-Summary!$B$11)*T1178+Summary!$B$11*V1178</f>
        <v/>
      </c>
      <c r="P1178">
        <f>IF(B1208=0,0,O1178/B1208)</f>
        <v/>
      </c>
      <c r="Q1178" t="n">
        <v>0</v>
      </c>
      <c r="R1178" t="n">
        <v>0</v>
      </c>
      <c r="S1178">
        <f>IFERROR(O1178/N1178,0)</f>
        <v/>
      </c>
      <c r="T1178" t="n">
        <v>0</v>
      </c>
      <c r="V1178" t="n">
        <v>0</v>
      </c>
    </row>
    <row r="1179">
      <c r="A1179">
        <f>Skills!A6</f>
        <v/>
      </c>
      <c r="B1179">
        <f>Skills!B6</f>
        <v/>
      </c>
      <c r="C1179">
        <f>Inputs!$B$3&gt;=63</f>
        <v/>
      </c>
      <c r="D1179">
        <f>IF(Skills!C6=1,60+Inputs!$B$25+Inputs!$B$29,IF(Skills!C6=2,90+Inputs!$B$26+Inputs!$B$29,IF(Skills!C6=3,120+Inputs!$B$27+Inputs!$B$29,MAX(0,(Inputs!$B$3-100)*3)+Inputs!$B$28+Inputs!$B$29)))</f>
        <v/>
      </c>
      <c r="E1179">
        <f>INDEX(FactorTable!$B$2:$Y$301, MATCH(ROUND(MIN(300,MAX(1,D1179)),0), FactorTable!$A$2:$A$301,0), Skills!M6+1)</f>
        <v/>
      </c>
      <c r="F1179">
        <f>IF(Skills!N6=TRUE,(Skills!L6/10)*(E1179/1000),Skills!L6/10)+Skills!O6</f>
        <v/>
      </c>
      <c r="G1179">
        <f>Skills!G6*IF(Skills!H6&gt;0,Skills!I6/Skills!H6,1)</f>
        <v/>
      </c>
      <c r="H1179">
        <f>1-(1-Skills!J6/100)^Skills!K6</f>
        <v/>
      </c>
      <c r="I1179" t="inlineStr">
        <is>
          <t>1</t>
        </is>
      </c>
      <c r="J1179">
        <f>((Inputs!$B$6*(1+Inputs!$B$7/100))+(((Inputs!$B$12*(1+Inputs!$B$13/100))-(Inputs!$B$12*(1+Inputs!$B$13/100)))+0.25*(Inputs!$B$14-Inputs!$B$14))*(1+Inputs!$B$7/100))*(F1179/100)</f>
        <v/>
      </c>
      <c r="K1179">
        <f>J1179*(1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
      </c>
      <c r="L1179">
        <f>K1179*(MIN(Inputs!$B$22+((C1193=TRUE)*(F1193-Calc!F20)),(Inputs!$B$23+0+(IF(ArtifactsInput!$M$15,CHOOSE(ArtifactsInput!$N$15+1,25,30,35,40,45,50)/100*(Inputs!$B$11-Inputs!$B$11),0))))/100+(Inputs!$B$23+0+(IF(ArtifactsInput!$M$15,CHOOSE(ArtifactsInput!$N$15+1,25,30,35,40,45,50)/100*(Inputs!$B$11-Inputs!$B$11),0)))/100)/2</f>
        <v/>
      </c>
      <c r="M1179">
        <f>L1179*(1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9">
        <f>L1179*(1-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9">
        <f>(1-Summary!$B$11)*T1179+Summary!$B$11*V1179</f>
        <v/>
      </c>
      <c r="P1179">
        <f>IF(B1208=0,0,O1179/B1208)</f>
        <v/>
      </c>
      <c r="Q1179">
        <f>IFERROR(1/(IF(Inputs!$B$38="pvp",15,MAX(0.1,Skills!D6-IF(Skills!E6=TRUE,Inputs!$B$32,0)))*(1-IF(AND(ArtifactsInput!$M$27,Inputs!$B$4="Chapter Hunt"),CHOOSE(ArtifactsInput!$N$27+1,20,24,28,32,36,40),0)/100)),0)</f>
        <v/>
      </c>
      <c r="R1179">
        <f>IF(AND(Inputs!$B$38&lt;&gt;"pvp",Inputs!$B$43&gt;0),IF(MAX(0,Inputs!$B$43-B1205)&lt;=0,0,(INT(MAX(0,Inputs!$B$43-B1205)/(IF(Inputs!$B$38="pvp",15,MAX(0.1,Skills!D6-IF(Skills!E6=TRUE,Inputs!$B$32,0)))*(1-IF(AND(ArtifactsInput!$M$27,Inputs!$B$4="Chapter Hunt"),CHOOSE(ArtifactsInput!$N$27+1,20,24,28,32,36,40),0)/100)))+1)),0)</f>
        <v/>
      </c>
      <c r="S1179">
        <f>IFERROR(O1179/N1179,0)</f>
        <v/>
      </c>
      <c r="T1179">
        <f>IF(C1179,(H1179*N1179*IF(AND(Inputs!$B$38&lt;&gt;"pvp",Inputs!$B$43&gt;0),((Skills!G6*((R1179-1)*IF(Skills!H6&gt;0,Skills!I6/Skills!H6,1)+IF(Skills!H6&gt;0,MIN(Skills!I6,MAX(0,MAX(0,Inputs!$B$43-B1205)-((R1179-1)*(IF(Inputs!$B$38="pvp",15,MAX(0.1,Skills!D6-IF(Skills!E6=TRUE,Inputs!$B$32,0)))*(1-IF(AND(ArtifactsInput!$M$27,Inputs!$B$4="Chapter Hunt"),CHOOSE(ArtifactsInput!$N$27+1,20,24,28,32,36,40),0)/100)))))/Skills!H6,1)))/Inputs!$B$43),G1179*Q1179)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1179*(1-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1179*(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1179*(1-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9">
        <f>IF(C1179,(H1179*N1179*IF(AND(Inputs!$B$38&lt;&gt;"pvp",Inputs!$B$43&gt;0),((Skills!G6*((R1179-1)*IF(Skills!H6&gt;0,Skills!I6/Skills!H6,1)+IF(Skills!H6&gt;0,MIN(Skills!I6,MAX(0,MAX(0,Inputs!$B$43-B1205)-((R1179-1)*(IF(Inputs!$B$38="pvp",15,MAX(0.1,Skills!D6-IF(Skills!E6=TRUE,Inputs!$B$32,0)))*(1-IF(AND(ArtifactsInput!$M$27,Inputs!$B$4="Chapter Hunt"),CHOOSE(ArtifactsInput!$N$27+1,20,24,28,32,36,40),0)/100)))))/Skills!H6,1)))/Inputs!$B$43),G1179*Q1179))*IF(Inputs!$B$38="pvp",1,(1+(Inputs!$B$21+Skills!Q6+(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0">
      <c r="A1180">
        <f>Skills!A7</f>
        <v/>
      </c>
      <c r="B1180">
        <f>Skills!B7</f>
        <v/>
      </c>
      <c r="C1180">
        <f>Inputs!$B$3&gt;=100</f>
        <v/>
      </c>
      <c r="D1180">
        <f>IF(Skills!C7=1,60+Inputs!$B$25+Inputs!$B$29,IF(Skills!C7=2,90+Inputs!$B$26+Inputs!$B$29,IF(Skills!C7=3,120+Inputs!$B$27+Inputs!$B$29,MAX(0,(Inputs!$B$3-100)*3)+Inputs!$B$28+Inputs!$B$29)))</f>
        <v/>
      </c>
      <c r="E1180">
        <f>INDEX(FactorTable!$B$2:$Y$301, MATCH(ROUND(MIN(300,MAX(1,D1180)),0), FactorTable!$A$2:$A$301,0), Skills!M7+1)</f>
        <v/>
      </c>
      <c r="F1180">
        <f>IF(Skills!N7=TRUE,(Skills!L7/10)*(E1180/1000),Skills!L7/10)+Skills!O7</f>
        <v/>
      </c>
      <c r="G1180">
        <f>Skills!G7*IF(Skills!H7&gt;0,Skills!I7/Skills!H7,1)</f>
        <v/>
      </c>
      <c r="H1180">
        <f>1-(1-Skills!J7/100)^Skills!K7</f>
        <v/>
      </c>
      <c r="I1180" t="inlineStr">
        <is>
          <t>1</t>
        </is>
      </c>
      <c r="J1180">
        <f>((Inputs!$B$6*(1+Inputs!$B$7/100))+(((Inputs!$B$12*(1+Inputs!$B$13/100))-(Inputs!$B$12*(1+Inputs!$B$13/100)))+0.25*(Inputs!$B$14-Inputs!$B$14))*(1+Inputs!$B$7/100))*(F1180/100)</f>
        <v/>
      </c>
      <c r="K1180">
        <f>J1180*(1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C1193=TRUE)*(F1193-Calc!F20)),(Inputs!$B$23+0+(IF(ArtifactsInput!$M$15,CHOOSE(ArtifactsInput!$N$15+1,25,30,35,40,45,50)/100*(Inputs!$B$11-Inputs!$B$11),0))))/100+(Inputs!$B$23+0+(IF(ArtifactsInput!$M$15,CHOOSE(ArtifactsInput!$N$15+1,25,30,35,40,45,50)/100*(Inputs!$B$11-Inputs!$B$11),0)))/100)/2</f>
        <v/>
      </c>
      <c r="M1180">
        <f>L1180*(1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(1-Summary!$B$11)*T1180+Summary!$B$11*V1180</f>
        <v/>
      </c>
      <c r="P1180">
        <f>IF(B1208=0,0,O1180/B1208)</f>
        <v/>
      </c>
      <c r="Q1180">
        <f>IFERROR(1/(IF(Inputs!$B$38="pvp",15,MAX(0.1,Skills!D7-IF(Skills!E7=TRUE,Inputs!$B$32,0)))*(1-IF(AND(ArtifactsInput!$M$27,Inputs!$B$4="Chapter Hunt"),CHOOSE(ArtifactsInput!$N$27+1,20,24,28,32,36,40),0)/100)),0)</f>
        <v/>
      </c>
      <c r="R1180">
        <f>IF(AND(Inputs!$B$38&lt;&gt;"pvp",Inputs!$B$43&gt;0),IF(MAX(0,Inputs!$B$43-B1205)&lt;=0,0,(INT(MAX(0,Inputs!$B$43-B1205)/(IF(Inputs!$B$38="pvp",15,MAX(0.1,Skills!D7-IF(Skills!E7=TRUE,Inputs!$B$32,0)))*(1-IF(AND(ArtifactsInput!$M$27,Inputs!$B$4="Chapter Hunt"),CHOOSE(ArtifactsInput!$N$27+1,20,24,28,32,36,40),0)/100)))+1)),0)</f>
        <v/>
      </c>
      <c r="S1180">
        <f>IFERROR(O1180/N1180,0)</f>
        <v/>
      </c>
      <c r="T1180">
        <f>IF(C1180,(H1180*N1180*IF(AND(Inputs!$B$38&lt;&gt;"pvp",Inputs!$B$43&gt;0),((Skills!G7*((R1180-1)*IF(Skills!H7&gt;0,Skills!I7/Skills!H7,1)+IF(Skills!H7&gt;0,MIN(Skills!I7,MAX(0,MAX(0,Inputs!$B$43-B1205)-((R1180-1)*(IF(Inputs!$B$38="pvp",15,MAX(0.1,Skills!D7-IF(Skills!E7=TRUE,Inputs!$B$32,0)))*(1-IF(AND(ArtifactsInput!$M$27,Inputs!$B$4="Chapter Hunt"),CHOOSE(ArtifactsInput!$N$27+1,20,24,28,32,36,40),0)/100)))))/Skills!H7,1)))/Inputs!$B$43),G1180*Q1180)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1180*(1-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1180*(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1180*(1-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0">
        <f>IF(C1180,(H1180*N1180*IF(AND(Inputs!$B$38&lt;&gt;"pvp",Inputs!$B$43&gt;0),((Skills!G7*((R1180-1)*IF(Skills!H7&gt;0,Skills!I7/Skills!H7,1)+IF(Skills!H7&gt;0,MIN(Skills!I7,MAX(0,MAX(0,Inputs!$B$43-B1205)-((R1180-1)*(IF(Inputs!$B$38="pvp",15,MAX(0.1,Skills!D7-IF(Skills!E7=TRUE,Inputs!$B$32,0)))*(1-IF(AND(ArtifactsInput!$M$27,Inputs!$B$4="Chapter Hunt"),CHOOSE(ArtifactsInput!$N$27+1,20,24,28,32,36,40),0)/100)))))/Skills!H7,1)))/Inputs!$B$43),G1180*Q1180))*IF(Inputs!$B$38="pvp",1,(1+(Inputs!$B$21+Skills!Q7+(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Skills!A8</f>
        <v/>
      </c>
      <c r="B1181">
        <f>Skills!B8</f>
        <v/>
      </c>
      <c r="C1181">
        <f>Inputs!$B$3&gt;=110</f>
        <v/>
      </c>
      <c r="D1181">
        <f>IF(Skills!C8=1,60+Inputs!$B$25+Inputs!$B$29,IF(Skills!C8=2,90+Inputs!$B$26+Inputs!$B$29,IF(Skills!C8=3,120+Inputs!$B$27+Inputs!$B$29,MAX(0,(Inputs!$B$3-100)*3)+Inputs!$B$28+Inputs!$B$29)))</f>
        <v/>
      </c>
      <c r="E1181">
        <f>INDEX(FactorTable!$B$2:$Y$301, MATCH(ROUND(MIN(300,MAX(1,D1181)),0), FactorTable!$A$2:$A$301,0), Skills!M8+1)</f>
        <v/>
      </c>
      <c r="F1181">
        <f>IF(Skills!N8=TRUE,(Skills!L8/10)*(E1181/1000),Skills!L8/10)+Skills!O8</f>
        <v/>
      </c>
      <c r="G1181">
        <f>Skills!G8*IF(Skills!H8&gt;0,Skills!I8/Skills!H8,1)</f>
        <v/>
      </c>
      <c r="H1181">
        <f>1-(1-Skills!J8/100)^Skills!K8</f>
        <v/>
      </c>
      <c r="I1181" t="inlineStr">
        <is>
          <t>1</t>
        </is>
      </c>
      <c r="J1181">
        <f>((Inputs!$B$6*(1+Inputs!$B$7/100))+(((Inputs!$B$12*(1+Inputs!$B$13/100))-(Inputs!$B$12*(1+Inputs!$B$13/100)))+0.25*(Inputs!$B$14-Inputs!$B$14))*(1+Inputs!$B$7/100))*(F1181/100)</f>
        <v/>
      </c>
      <c r="K1181">
        <f>J1181*(1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1181)</f>
        <v/>
      </c>
      <c r="L1181">
        <f>K1181*(MIN(Inputs!$B$22+((C1193=TRUE)*(F1193-Calc!F20)),(Inputs!$B$23+0+(IF(ArtifactsInput!$M$15,CHOOSE(ArtifactsInput!$N$15+1,25,30,35,40,45,50)/100*(Inputs!$B$11-Inputs!$B$11),0))))/100+(Inputs!$B$23+0+(IF(ArtifactsInput!$M$15,CHOOSE(ArtifactsInput!$N$15+1,25,30,35,40,45,50)/100*(Inputs!$B$11-Inputs!$B$11),0)))/100)/2</f>
        <v/>
      </c>
      <c r="M1181">
        <f>L1181*(1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1">
        <f>L1181*(1-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1">
        <f>(1-Summary!$B$11)*T1181+Summary!$B$11*V1181</f>
        <v/>
      </c>
      <c r="P1181">
        <f>IF(B1208=0,0,O1181/B1208)</f>
        <v/>
      </c>
      <c r="Q1181">
        <f>IFERROR(1/(IF(Inputs!$B$38="pvp",15,MAX(0.1,Skills!D8-IF(Skills!E8=TRUE,Inputs!$B$32,0)))*(1-IF(AND(ArtifactsInput!$M$27,Inputs!$B$4="Chapter Hunt"),CHOOSE(ArtifactsInput!$N$27+1,20,24,28,32,36,40),0)/100)),0)</f>
        <v/>
      </c>
      <c r="R1181">
        <f>IF(AND(Inputs!$B$38&lt;&gt;"pvp",Inputs!$B$43&gt;0),IF(MAX(0,Inputs!$B$43-B1205)&lt;=0,0,(INT(MAX(0,Inputs!$B$43-B1205)/(IF(Inputs!$B$38="pvp",15,MAX(0.1,Skills!D8-IF(Skills!E8=TRUE,Inputs!$B$32,0)))*(1-IF(AND(ArtifactsInput!$M$27,Inputs!$B$4="Chapter Hunt"),CHOOSE(ArtifactsInput!$N$27+1,20,24,28,32,36,40),0)/100)))+1)),0)</f>
        <v/>
      </c>
      <c r="S1181">
        <f>IFERROR(O1181/N1181,0)</f>
        <v/>
      </c>
      <c r="T1181">
        <f>IF(C1181,(H1181*N1181*IF(AND(Inputs!$B$38&lt;&gt;"pvp",Inputs!$B$43&gt;0),((Skills!G8*((R1181-1)*IF(Skills!H8&gt;0,Skills!I8/Skills!H8,1)+IF(Skills!H8&gt;0,MIN(Skills!I8,MAX(0,MAX(0,Inputs!$B$43-B1205)-((R1181-1)*(IF(Inputs!$B$38="pvp",15,MAX(0.1,Skills!D8-IF(Skills!E8=TRUE,Inputs!$B$32,0)))*(1-IF(AND(ArtifactsInput!$M$27,Inputs!$B$4="Chapter Hunt"),CHOOSE(ArtifactsInput!$N$27+1,20,24,28,32,36,40),0)/100)))))/Skills!H8,1)))/Inputs!$B$43),G1181*Q1181)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1181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1181*(1-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1">
        <f>IF(C1181,(H1181*N1181*IF(AND(Inputs!$B$38&lt;&gt;"pvp",Inputs!$B$43&gt;0),((Skills!G8*((R1181-1)*IF(Skills!H8&gt;0,Skills!I8/Skills!H8,1)+IF(Skills!H8&gt;0,MIN(Skills!I8,MAX(0,MAX(0,Inputs!$B$43-B1205)-((R1181-1)*(IF(Inputs!$B$38="pvp",15,MAX(0.1,Skills!D8-IF(Skills!E8=TRUE,Inputs!$B$32,0)))*(1-IF(AND(ArtifactsInput!$M$27,Inputs!$B$4="Chapter Hunt"),CHOOSE(ArtifactsInput!$N$27+1,20,24,28,32,36,40),0)/100)))))/Skills!H8,1)))/Inputs!$B$43),G1181*Q1181))*IF(Inputs!$B$38="pvp",1,(1+(Inputs!$B$21+Skills!Q8+(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2">
      <c r="A1182">
        <f>Skills!A9</f>
        <v/>
      </c>
      <c r="B1182">
        <f>Skills!B9</f>
        <v/>
      </c>
      <c r="C1182">
        <f>Inputs!$B$3&gt;=110</f>
        <v/>
      </c>
      <c r="D1182">
        <f>IF(Skills!C9=1,60+Inputs!$B$25+Inputs!$B$29,IF(Skills!C9=2,90+Inputs!$B$26+Inputs!$B$29,IF(Skills!C9=3,120+Inputs!$B$27+Inputs!$B$29,MAX(0,(Inputs!$B$3-100)*3)+Inputs!$B$28+Inputs!$B$29)))</f>
        <v/>
      </c>
      <c r="E1182">
        <f>INDEX(FactorTable!$B$2:$Y$301, MATCH(ROUND(MIN(300,MAX(1,D1182)),0), FactorTable!$A$2:$A$301,0), Skills!M9+1)</f>
        <v/>
      </c>
      <c r="F1182">
        <f>IF(Skills!N9=TRUE,(Skills!L9/10)*(E1182/1000),Skills!L9/10)+Skills!O9</f>
        <v/>
      </c>
      <c r="G1182">
        <f>Skills!G9*IF(Skills!H9&gt;0,Skills!I9/Skills!H9,1)</f>
        <v/>
      </c>
      <c r="H1182">
        <f>1-(1-Skills!J9/100)^Skills!K9</f>
        <v/>
      </c>
      <c r="I1182" t="inlineStr">
        <is>
          <t>1</t>
        </is>
      </c>
      <c r="J1182">
        <f>((Inputs!$B$6*(1+Inputs!$B$7/100))+(((Inputs!$B$12*(1+Inputs!$B$13/100))-(Inputs!$B$12*(1+Inputs!$B$13/100)))+0.25*(Inputs!$B$14-Inputs!$B$14))*(1+Inputs!$B$7/100))*(F1182/100)</f>
        <v/>
      </c>
      <c r="K1182">
        <f>J1182*(1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1182)</f>
        <v/>
      </c>
      <c r="L1182">
        <f>K1182*(MIN(Inputs!$B$22+((C1193=TRUE)*(F1193-Calc!F20)),(Inputs!$B$23+0+(IF(ArtifactsInput!$M$15,CHOOSE(ArtifactsInput!$N$15+1,25,30,35,40,45,50)/100*(Inputs!$B$11-Inputs!$B$11),0))))/100+(Inputs!$B$23+0+(IF(ArtifactsInput!$M$15,CHOOSE(ArtifactsInput!$N$15+1,25,30,35,40,45,50)/100*(Inputs!$B$11-Inputs!$B$11),0)))/100)/2</f>
        <v/>
      </c>
      <c r="M1182">
        <f>L1182*(1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2">
        <f>L1182*(1-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1182*(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2">
        <f>(1-Summary!$B$11)*T1182+Summary!$B$11*V1182</f>
        <v/>
      </c>
      <c r="P1182">
        <f>IF(B1208=0,0,O1182/B1208)</f>
        <v/>
      </c>
      <c r="Q1182">
        <f>IFERROR(1/(IF(Inputs!$B$38="pvp",15,MAX(0.1,Skills!D9-IF(Skills!E9=TRUE,Inputs!$B$32,0)))*(1-IF(AND(ArtifactsInput!$M$27,Inputs!$B$4="Chapter Hunt"),CHOOSE(ArtifactsInput!$N$27+1,20,24,28,32,36,40),0)/100)),0)</f>
        <v/>
      </c>
      <c r="R1182">
        <f>IF(AND(Inputs!$B$38&lt;&gt;"pvp",Inputs!$B$43&gt;0),IF(MAX(0,Inputs!$B$43-B1205)&lt;=0,0,(INT(MAX(0,Inputs!$B$43-B1205)/(IF(Inputs!$B$38="pvp",15,MAX(0.1,Skills!D9-IF(Skills!E9=TRUE,Inputs!$B$32,0)))*(1-IF(AND(ArtifactsInput!$M$27,Inputs!$B$4="Chapter Hunt"),CHOOSE(ArtifactsInput!$N$27+1,20,24,28,32,36,40),0)/100)))+1)),0)</f>
        <v/>
      </c>
      <c r="S1182">
        <f>IFERROR(O1182/N1182,0)</f>
        <v/>
      </c>
      <c r="T1182">
        <f>IF(C1182,(H1182*N1182*IF(AND(Inputs!$B$38&lt;&gt;"pvp",Inputs!$B$43&gt;0),((Skills!G9*((R1182-1)*IF(Skills!H9&gt;0,Skills!I9/Skills!H9,1)+IF(Skills!H9&gt;0,MIN(Skills!I9,MAX(0,MAX(0,Inputs!$B$43-B1205)-((R1182-1)*(IF(Inputs!$B$38="pvp",15,MAX(0.1,Skills!D9-IF(Skills!E9=TRUE,Inputs!$B$32,0)))*(1-IF(AND(ArtifactsInput!$M$27,Inputs!$B$4="Chapter Hunt"),CHOOSE(ArtifactsInput!$N$27+1,20,24,28,32,36,40),0)/100)))))/Skills!H9,1)))/Inputs!$B$43),G1182*Q1182)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1182*(1-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1182*(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1182*(1-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1182*(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2">
        <f>IF(C1182,(H1182*N1182*IF(AND(Inputs!$B$38&lt;&gt;"pvp",Inputs!$B$43&gt;0),((Skills!G9*((R1182-1)*IF(Skills!H9&gt;0,Skills!I9/Skills!H9,1)+IF(Skills!H9&gt;0,MIN(Skills!I9,MAX(0,MAX(0,Inputs!$B$43-B1205)-((R1182-1)*(IF(Inputs!$B$38="pvp",15,MAX(0.1,Skills!D9-IF(Skills!E9=TRUE,Inputs!$B$32,0)))*(1-IF(AND(ArtifactsInput!$M$27,Inputs!$B$4="Chapter Hunt"),CHOOSE(ArtifactsInput!$N$27+1,20,24,28,32,36,40),0)/100)))))/Skills!H9,1)))/Inputs!$B$43),G1182*Q1182))*IF(Inputs!$B$38="pvp",1,(1+(Inputs!$B$21+Skills!Q9+(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3">
      <c r="A1183">
        <f>Skills!A10</f>
        <v/>
      </c>
      <c r="B1183">
        <f>Skills!B10</f>
        <v/>
      </c>
      <c r="C1183">
        <f>Inputs!$B$3&gt;=103</f>
        <v/>
      </c>
      <c r="D1183">
        <f>IF(Skills!C10=1,60+Inputs!$B$25+Inputs!$B$29,IF(Skills!C10=2,90+Inputs!$B$26+Inputs!$B$29,IF(Skills!C10=3,120+Inputs!$B$27+Inputs!$B$29,MAX(0,(Inputs!$B$3-100)*3)+Inputs!$B$28+Inputs!$B$29)))</f>
        <v/>
      </c>
      <c r="E1183">
        <f>INDEX(FactorTable!$B$2:$Y$301, MATCH(ROUND(MIN(300,MAX(1,D1183)),0), FactorTable!$A$2:$A$301,0), Skills!M10+1)</f>
        <v/>
      </c>
      <c r="F1183">
        <f>IF(Skills!N10=TRUE,(Skills!L10/10)*(E1183/1000),Skills!L10/10)+Skills!O10</f>
        <v/>
      </c>
      <c r="G1183">
        <f>Skills!G10*IF(Skills!H10&gt;0,Skills!I10/Skills!H10,1)</f>
        <v/>
      </c>
      <c r="H1183">
        <f>1-(1-Skills!J10/100)^Skills!K10</f>
        <v/>
      </c>
      <c r="I1183" t="inlineStr">
        <is>
          <t>1</t>
        </is>
      </c>
      <c r="J1183">
        <f>((Inputs!$B$6*(1+Inputs!$B$7/100))+(((Inputs!$B$12*(1+Inputs!$B$13/100))-(Inputs!$B$12*(1+Inputs!$B$13/100)))+0.25*(Inputs!$B$14-Inputs!$B$14))*(1+Inputs!$B$7/100))*(F1183/100)</f>
        <v/>
      </c>
      <c r="K1183">
        <f>J1183*(1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C1193=TRUE)*(F1193-Calc!F20)),(Inputs!$B$23+0+(IF(ArtifactsInput!$M$15,CHOOSE(ArtifactsInput!$N$15+1,25,30,35,40,45,50)/100*(Inputs!$B$11-Inputs!$B$11),0))))/100+(Inputs!$B$23+0+(IF(ArtifactsInput!$M$15,CHOOSE(ArtifactsInput!$N$15+1,25,30,35,40,45,50)/100*(Inputs!$B$11-Inputs!$B$11),0)))/100)/2</f>
        <v/>
      </c>
      <c r="M1183">
        <f>L1183*(1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(1-Summary!$B$11)*T1183+Summary!$B$11*V1183</f>
        <v/>
      </c>
      <c r="P1183">
        <f>IF(B1208=0,0,O1183/B1208)</f>
        <v/>
      </c>
      <c r="Q1183">
        <f>IFERROR(1/(IF(Inputs!$B$38="pvp",15,MAX(0.1,Skills!D10-IF(Skills!E10=TRUE,Inputs!$B$32,0)))*(1-IF(AND(ArtifactsInput!$M$27,Inputs!$B$4="Chapter Hunt"),CHOOSE(ArtifactsInput!$N$27+1,20,24,28,32,36,40),0)/100)),0)</f>
        <v/>
      </c>
      <c r="R1183">
        <f>IF(AND(Inputs!$B$38&lt;&gt;"pvp",Inputs!$B$43&gt;0),IF(MAX(0,Inputs!$B$43-B1205)&lt;=0,0,(INT(MAX(0,Inputs!$B$43-B1205)/(IF(Inputs!$B$38="pvp",15,MAX(0.1,Skills!D10-IF(Skills!E10=TRUE,Inputs!$B$32,0)))*(1-IF(AND(ArtifactsInput!$M$27,Inputs!$B$4="Chapter Hunt"),CHOOSE(ArtifactsInput!$N$27+1,20,24,28,32,36,40),0)/100)))+1)),0)</f>
        <v/>
      </c>
      <c r="S1183">
        <f>IFERROR(O1183/N1183,0)</f>
        <v/>
      </c>
      <c r="T1183">
        <f>IF(C1183,(H1183*N1183*IF(AND(Inputs!$B$38&lt;&gt;"pvp",Inputs!$B$43&gt;0),((Skills!G10*((R1183-1)*IF(Skills!H10&gt;0,Skills!I10/Skills!H10,1)+IF(Skills!H10&gt;0,MIN(Skills!I10,MAX(0,MAX(0,Inputs!$B$43-B1205)-((R1183-1)*(IF(Inputs!$B$38="pvp",15,MAX(0.1,Skills!D10-IF(Skills!E10=TRUE,Inputs!$B$32,0)))*(1-IF(AND(ArtifactsInput!$M$27,Inputs!$B$4="Chapter Hunt"),CHOOSE(ArtifactsInput!$N$27+1,20,24,28,32,36,40),0)/100)))))/Skills!H10,1)))/Inputs!$B$43),G1183*Q1183)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1183*(1-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1183*(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1183*(1-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3">
        <f>IF(C1183,(H1183*N1183*IF(AND(Inputs!$B$38&lt;&gt;"pvp",Inputs!$B$43&gt;0),((Skills!G10*((R1183-1)*IF(Skills!H10&gt;0,Skills!I10/Skills!H10,1)+IF(Skills!H10&gt;0,MIN(Skills!I10,MAX(0,MAX(0,Inputs!$B$43-B1205)-((R1183-1)*(IF(Inputs!$B$38="pvp",15,MAX(0.1,Skills!D10-IF(Skills!E10=TRUE,Inputs!$B$32,0)))*(1-IF(AND(ArtifactsInput!$M$27,Inputs!$B$4="Chapter Hunt"),CHOOSE(ArtifactsInput!$N$27+1,20,24,28,32,36,40),0)/100)))))/Skills!H10,1)))/Inputs!$B$43),G1183*Q1183))*IF(Inputs!$B$38="pvp",1,(1+(Inputs!$B$21+Skills!Q10+(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Skills!A11</f>
        <v/>
      </c>
      <c r="B1184">
        <f>Skills!B11</f>
        <v/>
      </c>
      <c r="C1184">
        <f>Inputs!$B$3&gt;=113</f>
        <v/>
      </c>
      <c r="D1184">
        <f>IF(Skills!C11=1,60+Inputs!$B$25+Inputs!$B$29,IF(Skills!C11=2,90+Inputs!$B$26+Inputs!$B$29,IF(Skills!C11=3,120+Inputs!$B$27+Inputs!$B$29,MAX(0,(Inputs!$B$3-100)*3)+Inputs!$B$28+Inputs!$B$29)))</f>
        <v/>
      </c>
      <c r="E1184">
        <f>INDEX(FactorTable!$B$2:$Y$301, MATCH(ROUND(MIN(300,MAX(1,D1184)),0), FactorTable!$A$2:$A$301,0), Skills!M11+1)</f>
        <v/>
      </c>
      <c r="F1184">
        <f>IF(Skills!N11=TRUE,(Skills!L11/10)*(E1184/1000),Skills!L11/10)+Skills!O11</f>
        <v/>
      </c>
      <c r="G1184">
        <f>Skills!G11*IF(Skills!H11&gt;0,Skills!I11/Skills!H11,1)</f>
        <v/>
      </c>
      <c r="H1184">
        <f>1-(1-Skills!J11/100)^Skills!K11</f>
        <v/>
      </c>
      <c r="I1184" t="inlineStr">
        <is>
          <t>1</t>
        </is>
      </c>
      <c r="J1184">
        <f>((Inputs!$B$6*(1+Inputs!$B$7/100))+(((Inputs!$B$12*(1+Inputs!$B$13/100))-(Inputs!$B$12*(1+Inputs!$B$13/100)))+0.25*(Inputs!$B$14-Inputs!$B$14))*(1+Inputs!$B$7/100))*(F1184/100)</f>
        <v/>
      </c>
      <c r="K1184">
        <f>J1184*(1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C1193=TRUE)*(F1193-Calc!F20)),(Inputs!$B$23+0+(IF(ArtifactsInput!$M$15,CHOOSE(ArtifactsInput!$N$15+1,25,30,35,40,45,50)/100*(Inputs!$B$11-Inputs!$B$11),0))))/100+(Inputs!$B$23+0+(IF(ArtifactsInput!$M$15,CHOOSE(ArtifactsInput!$N$15+1,25,30,35,40,45,50)/100*(Inputs!$B$11-Inputs!$B$11),0)))/100)/2</f>
        <v/>
      </c>
      <c r="M1184">
        <f>L1184*(1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(1-Summary!$B$11)*T1184+Summary!$B$11*V1184</f>
        <v/>
      </c>
      <c r="P1184">
        <f>IF(B1208=0,0,O1184/B1208)</f>
        <v/>
      </c>
      <c r="Q1184">
        <f>IFERROR(1/(IF(Inputs!$B$38="pvp",15,MAX(0.1,Skills!D11-IF(Skills!E11=TRUE,Inputs!$B$32,0)))*(1-IF(AND(ArtifactsInput!$M$27,Inputs!$B$4="Chapter Hunt"),CHOOSE(ArtifactsInput!$N$27+1,20,24,28,32,36,40),0)/100)),0)</f>
        <v/>
      </c>
      <c r="R1184">
        <f>IF(AND(Inputs!$B$38&lt;&gt;"pvp",Inputs!$B$43&gt;0),IF(MAX(0,Inputs!$B$43-B1205)&lt;=0,0,(INT(MAX(0,Inputs!$B$43-B1205)/(IF(Inputs!$B$38="pvp",15,MAX(0.1,Skills!D11-IF(Skills!E11=TRUE,Inputs!$B$32,0)))*(1-IF(AND(ArtifactsInput!$M$27,Inputs!$B$4="Chapter Hunt"),CHOOSE(ArtifactsInput!$N$27+1,20,24,28,32,36,40),0)/100)))+1)),0)</f>
        <v/>
      </c>
      <c r="S1184">
        <f>IFERROR(O1184/N1184,0)</f>
        <v/>
      </c>
      <c r="T1184">
        <f>IF(C1184,(H1184*N1184*IF(AND(Inputs!$B$38&lt;&gt;"pvp",Inputs!$B$43&gt;0),((Skills!G11*((R1184-1)*IF(Skills!H11&gt;0,Skills!I11/Skills!H11,1)+IF(Skills!H11&gt;0,MIN(Skills!I11,MAX(0,MAX(0,Inputs!$B$43-B1205)-((R1184-1)*(IF(Inputs!$B$38="pvp",15,MAX(0.1,Skills!D11-IF(Skills!E11=TRUE,Inputs!$B$32,0)))*(1-IF(AND(ArtifactsInput!$M$27,Inputs!$B$4="Chapter Hunt"),CHOOSE(ArtifactsInput!$N$27+1,20,24,28,32,36,40),0)/100)))))/Skills!H11,1)))/Inputs!$B$43),G1184*Q1184)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1184*(1-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1184*(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1184*(1-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4">
        <f>IF(C1184,(H1184*N1184*IF(AND(Inputs!$B$38&lt;&gt;"pvp",Inputs!$B$43&gt;0),((Skills!G11*((R1184-1)*IF(Skills!H11&gt;0,Skills!I11/Skills!H11,1)+IF(Skills!H11&gt;0,MIN(Skills!I11,MAX(0,MAX(0,Inputs!$B$43-B1205)-((R1184-1)*(IF(Inputs!$B$38="pvp",15,MAX(0.1,Skills!D11-IF(Skills!E11=TRUE,Inputs!$B$32,0)))*(1-IF(AND(ArtifactsInput!$M$27,Inputs!$B$4="Chapter Hunt"),CHOOSE(ArtifactsInput!$N$27+1,20,24,28,32,36,40),0)/100)))))/Skills!H11,1)))/Inputs!$B$43),G1184*Q1184))*IF(Inputs!$B$38="pvp",1,(1+(Inputs!$B$21+Skills!Q11+(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Skills!A12</f>
        <v/>
      </c>
      <c r="B1185">
        <f>Skills!B12</f>
        <v/>
      </c>
      <c r="C1185">
        <f>Inputs!$B$3&gt;=100</f>
        <v/>
      </c>
      <c r="D1185">
        <f>IF(Skills!C12=1,60+Inputs!$B$25+Inputs!$B$29,IF(Skills!C12=2,90+Inputs!$B$26+Inputs!$B$29,IF(Skills!C12=3,120+Inputs!$B$27+Inputs!$B$29,MAX(0,(Inputs!$B$3-100)*3)+Inputs!$B$28+Inputs!$B$29)))</f>
        <v/>
      </c>
      <c r="E1185">
        <f>INDEX(FactorTable!$B$2:$Y$301, MATCH(ROUND(MIN(300,MAX(1,D1185)),0), FactorTable!$A$2:$A$301,0), Skills!M12+1)</f>
        <v/>
      </c>
      <c r="F1185">
        <f>IF(Skills!N12=TRUE,(Skills!L12/10)*(E1185/1000),Skills!L12/10)+Skills!O12</f>
        <v/>
      </c>
      <c r="G1185" t="inlineStr"/>
      <c r="H1185" t="inlineStr"/>
      <c r="I1185" t="inlineStr">
        <is>
          <t>1</t>
        </is>
      </c>
      <c r="J1185" t="inlineStr"/>
      <c r="K1185" t="inlineStr"/>
      <c r="L1185" t="inlineStr"/>
      <c r="M1185" t="inlineStr"/>
      <c r="N1185" t="inlineStr"/>
      <c r="O1185" t="inlineStr"/>
      <c r="P1185" t="inlineStr"/>
      <c r="Q1185" t="inlineStr"/>
      <c r="R1185" t="inlineStr"/>
      <c r="S1185" t="inlineStr"/>
      <c r="T1185" t="inlineStr"/>
      <c r="V1185" t="inlineStr"/>
    </row>
    <row r="1186">
      <c r="A1186">
        <f>Skills!A13</f>
        <v/>
      </c>
      <c r="B1186">
        <f>Skills!B13</f>
        <v/>
      </c>
      <c r="C1186">
        <f>Inputs!$B$3&gt;=66</f>
        <v/>
      </c>
      <c r="D1186">
        <f>IF(Skills!C13=1,60+Inputs!$B$25+Inputs!$B$29,IF(Skills!C13=2,90+Inputs!$B$26+Inputs!$B$29,IF(Skills!C13=3,120+Inputs!$B$27+Inputs!$B$29,MAX(0,(Inputs!$B$3-100)*3)+Inputs!$B$28+Inputs!$B$29)))</f>
        <v/>
      </c>
      <c r="E1186">
        <f>INDEX(FactorTable!$B$2:$Y$301, MATCH(ROUND(MIN(300,MAX(1,D1186)),0), FactorTable!$A$2:$A$301,0), Skills!M13+1)</f>
        <v/>
      </c>
      <c r="F1186">
        <f>IF(Skills!N13=TRUE,(Skills!L13/10)*(E1186/1000),Skills!L13/10)+Skills!O13</f>
        <v/>
      </c>
      <c r="G1186">
        <f>Skills!G13*IF(Skills!H13&gt;0,Skills!I13/Skills!H13,1)</f>
        <v/>
      </c>
      <c r="H1186">
        <f>1-(1-Skills!J13/100)^Skills!K13</f>
        <v/>
      </c>
      <c r="I1186" t="inlineStr">
        <is>
          <t>1</t>
        </is>
      </c>
      <c r="J1186" t="inlineStr"/>
      <c r="K1186" t="inlineStr"/>
      <c r="L1186" t="inlineStr"/>
      <c r="M1186" t="inlineStr"/>
      <c r="N1186" t="inlineStr"/>
      <c r="O1186">
        <f>(1-Summary!$B$11)*T1186+Summary!$B$11*V1186</f>
        <v/>
      </c>
      <c r="P1186">
        <f>IF(B1208=0,0,O1186/B1208)</f>
        <v/>
      </c>
      <c r="Q1186" t="n">
        <v>0</v>
      </c>
      <c r="R1186" t="n">
        <v>0</v>
      </c>
      <c r="S1186">
        <f>IFERROR(O1186/N1186,0)</f>
        <v/>
      </c>
      <c r="T1186" t="n">
        <v>0</v>
      </c>
      <c r="V1186" t="n">
        <v>0</v>
      </c>
    </row>
    <row r="1187">
      <c r="A1187">
        <f>Skills!A14</f>
        <v/>
      </c>
      <c r="B1187">
        <f>Skills!B14</f>
        <v/>
      </c>
      <c r="C1187">
        <f>Inputs!$B$3&gt;=107</f>
        <v/>
      </c>
      <c r="D1187">
        <f>IF(Skills!C14=1,60+Inputs!$B$25+Inputs!$B$29,IF(Skills!C14=2,90+Inputs!$B$26+Inputs!$B$29,IF(Skills!C14=3,120+Inputs!$B$27+Inputs!$B$29,MAX(0,(Inputs!$B$3-100)*3)+Inputs!$B$28+Inputs!$B$29)))</f>
        <v/>
      </c>
      <c r="E1187">
        <f>INDEX(FactorTable!$B$2:$Y$301, MATCH(ROUND(MIN(300,MAX(1,D1187)),0), FactorTable!$A$2:$A$301,0), Skills!M14+1)</f>
        <v/>
      </c>
      <c r="F1187">
        <f>IF(Skills!N14=TRUE,(Skills!L14/10)*(E1187/1000),Skills!L14/10)+Skills!O14</f>
        <v/>
      </c>
      <c r="G1187">
        <f>Skills!G14*IF(Skills!H14&gt;0,Skills!I14/Skills!H14,1)</f>
        <v/>
      </c>
      <c r="H1187">
        <f>1-(1-Skills!J14/100)^Skills!K14</f>
        <v/>
      </c>
      <c r="I1187" t="inlineStr">
        <is>
          <t>1</t>
        </is>
      </c>
      <c r="J1187" t="inlineStr"/>
      <c r="K1187" t="inlineStr"/>
      <c r="L1187" t="inlineStr"/>
      <c r="M1187" t="inlineStr"/>
      <c r="N1187" t="inlineStr"/>
      <c r="O1187">
        <f>(1-Summary!$B$11)*T1187+Summary!$B$11*V1187</f>
        <v/>
      </c>
      <c r="P1187">
        <f>IF(B1208=0,0,O1187/B1208)</f>
        <v/>
      </c>
      <c r="Q1187" t="n">
        <v>0</v>
      </c>
      <c r="R1187" t="n">
        <v>0</v>
      </c>
      <c r="S1187">
        <f>IFERROR(O1187/N1187,0)</f>
        <v/>
      </c>
      <c r="T1187" t="n">
        <v>0</v>
      </c>
      <c r="V1187" t="n">
        <v>0</v>
      </c>
    </row>
    <row r="1188">
      <c r="A1188">
        <f>Skills!A15</f>
        <v/>
      </c>
      <c r="B1188">
        <f>Skills!B15</f>
        <v/>
      </c>
      <c r="C1188">
        <f>Inputs!$B$3&gt;=115</f>
        <v/>
      </c>
      <c r="D1188">
        <f>IF(Skills!C15=1,60+Inputs!$B$25+Inputs!$B$29,IF(Skills!C15=2,90+Inputs!$B$26+Inputs!$B$29,IF(Skills!C15=3,120+Inputs!$B$27+Inputs!$B$29,MAX(0,(Inputs!$B$3-100)*3)+Inputs!$B$28+Inputs!$B$29)))</f>
        <v/>
      </c>
      <c r="E1188">
        <f>INDEX(FactorTable!$B$2:$Y$301, MATCH(ROUND(MIN(300,MAX(1,D1188)),0), FactorTable!$A$2:$A$301,0), Skills!M15+1)</f>
        <v/>
      </c>
      <c r="F1188">
        <f>IF(Skills!N15=TRUE,(Skills!L15/10)*(E1188/1000),Skills!L15/10)+Skills!O15</f>
        <v/>
      </c>
      <c r="G1188">
        <f>Skills!G15*IF(Skills!H15&gt;0,Skills!I15/Skills!H15,1)</f>
        <v/>
      </c>
      <c r="H1188">
        <f>1-(1-Skills!J15/100)^Skills!K15</f>
        <v/>
      </c>
      <c r="I1188" t="inlineStr">
        <is>
          <t>1</t>
        </is>
      </c>
      <c r="J1188" t="inlineStr"/>
      <c r="K1188" t="inlineStr"/>
      <c r="L1188" t="inlineStr"/>
      <c r="M1188" t="inlineStr"/>
      <c r="N1188" t="inlineStr"/>
      <c r="O1188">
        <f>(1-Summary!$B$11)*T1188+Summary!$B$11*V1188</f>
        <v/>
      </c>
      <c r="P1188">
        <f>IF(B1208=0,0,O1188/B1208)</f>
        <v/>
      </c>
      <c r="Q1188" t="n">
        <v>0</v>
      </c>
      <c r="R1188" t="n">
        <v>0</v>
      </c>
      <c r="S1188">
        <f>IFERROR(O1188/N1188,0)</f>
        <v/>
      </c>
      <c r="T1188" t="n">
        <v>0</v>
      </c>
      <c r="V1188" t="n">
        <v>0</v>
      </c>
    </row>
    <row r="1189">
      <c r="A1189">
        <f>Skills!A16</f>
        <v/>
      </c>
      <c r="B1189">
        <f>Skills!B16</f>
        <v/>
      </c>
      <c r="C1189">
        <f>Inputs!$B$3&gt;=15</f>
        <v/>
      </c>
      <c r="D1189">
        <f>IF(Skills!C16=1,60+Inputs!$B$25+Inputs!$B$29,IF(Skills!C16=2,90+Inputs!$B$26+Inputs!$B$29,IF(Skills!C16=3,120+Inputs!$B$27+Inputs!$B$29,MAX(0,(Inputs!$B$3-100)*3)+Inputs!$B$28+Inputs!$B$29)))</f>
        <v/>
      </c>
      <c r="E1189">
        <f>INDEX(FactorTable!$B$2:$Y$301, MATCH(ROUND(MIN(300,MAX(1,D1189)),0), FactorTable!$A$2:$A$301,0), Skills!M16+1)</f>
        <v/>
      </c>
      <c r="F1189">
        <f>IF(Skills!N16=TRUE,(Skills!L16/10)*(E1189/1000),Skills!L16/10)+Skills!O16</f>
        <v/>
      </c>
      <c r="G1189">
        <f>Skills!G16*IF(Skills!H16&gt;0,Skills!I16/Skills!H16,1)</f>
        <v/>
      </c>
      <c r="H1189">
        <f>1-(1-Skills!J16/100)^Skills!K16</f>
        <v/>
      </c>
      <c r="I1189" t="inlineStr">
        <is>
          <t>1</t>
        </is>
      </c>
      <c r="J1189" t="inlineStr"/>
      <c r="K1189" t="inlineStr"/>
      <c r="L1189" t="inlineStr"/>
      <c r="M1189" t="inlineStr"/>
      <c r="N1189" t="inlineStr"/>
      <c r="O1189">
        <f>(1-Summary!$B$11)*T1189+Summary!$B$11*V1189</f>
        <v/>
      </c>
      <c r="P1189">
        <f>IF(B1208=0,0,O1189/B1208)</f>
        <v/>
      </c>
      <c r="Q1189" t="n">
        <v>0</v>
      </c>
      <c r="R1189" t="n">
        <v>0</v>
      </c>
      <c r="S1189">
        <f>IFERROR(O1189/N1189,0)</f>
        <v/>
      </c>
      <c r="T1189" t="n">
        <v>0</v>
      </c>
      <c r="V1189" t="n">
        <v>0</v>
      </c>
    </row>
    <row r="1190">
      <c r="A1190">
        <f>Skills!A17</f>
        <v/>
      </c>
      <c r="B1190">
        <f>Skills!B17</f>
        <v/>
      </c>
      <c r="C1190">
        <f>Inputs!$B$3&gt;=10</f>
        <v/>
      </c>
      <c r="D1190">
        <f>IF(Skills!C17=1,60+Inputs!$B$25+Inputs!$B$29,IF(Skills!C17=2,90+Inputs!$B$26+Inputs!$B$29,IF(Skills!C17=3,120+Inputs!$B$27+Inputs!$B$29,MAX(0,(Inputs!$B$3-100)*3)+Inputs!$B$28+Inputs!$B$29)))</f>
        <v/>
      </c>
      <c r="E1190">
        <f>INDEX(FactorTable!$B$2:$Y$301, MATCH(ROUND(MIN(300,MAX(1,D1190)),0), FactorTable!$A$2:$A$301,0), Skills!M17+1)</f>
        <v/>
      </c>
      <c r="F1190">
        <f>IF(Skills!N17=TRUE,(Skills!L17/10)*(E1190/1000),Skills!L17/10)+Skills!O17</f>
        <v/>
      </c>
      <c r="G1190">
        <f>Skills!G17*IF(Skills!H17&gt;0,Skills!I17/Skills!H17,1)</f>
        <v/>
      </c>
      <c r="H1190">
        <f>1-(1-Skills!J17/100)^Skills!K17</f>
        <v/>
      </c>
      <c r="I1190" t="inlineStr">
        <is>
          <t>1</t>
        </is>
      </c>
      <c r="J1190" t="inlineStr"/>
      <c r="K1190" t="inlineStr"/>
      <c r="L1190" t="inlineStr"/>
      <c r="M1190" t="inlineStr"/>
      <c r="N1190" t="inlineStr"/>
      <c r="O1190">
        <f>(1-Summary!$B$11)*T1190+Summary!$B$11*V1190</f>
        <v/>
      </c>
      <c r="P1190">
        <f>IF(B1208=0,0,O1190/B1208)</f>
        <v/>
      </c>
      <c r="Q1190" t="n">
        <v>0</v>
      </c>
      <c r="R1190" t="n">
        <v>0</v>
      </c>
      <c r="S1190">
        <f>IFERROR(O1190/N1190,0)</f>
        <v/>
      </c>
      <c r="T1190" t="n">
        <v>0</v>
      </c>
      <c r="V1190" t="n">
        <v>0</v>
      </c>
    </row>
    <row r="1191">
      <c r="A1191">
        <f>Skills!A18</f>
        <v/>
      </c>
      <c r="B1191">
        <f>Skills!B18</f>
        <v/>
      </c>
      <c r="C1191">
        <f>Inputs!$B$3&gt;=33</f>
        <v/>
      </c>
      <c r="D1191">
        <f>IF(Skills!C18=1,60+Inputs!$B$25+Inputs!$B$29,IF(Skills!C18=2,90+Inputs!$B$26+Inputs!$B$29,IF(Skills!C18=3,120+Inputs!$B$27+Inputs!$B$29,MAX(0,(Inputs!$B$3-100)*3)+Inputs!$B$28+Inputs!$B$29)))</f>
        <v/>
      </c>
      <c r="E1191">
        <f>INDEX(FactorTable!$B$2:$Y$301, MATCH(ROUND(MIN(300,MAX(1,D1191)),0), FactorTable!$A$2:$A$301,0), Skills!M18+1)</f>
        <v/>
      </c>
      <c r="F1191">
        <f>IF(Skills!N18=TRUE,(Skills!L18/10)*(E1191/1000),Skills!L18/10)+Skills!O18</f>
        <v/>
      </c>
      <c r="G1191">
        <f>Skills!G18*IF(Skills!H18&gt;0,Skills!I18/Skills!H18,1)</f>
        <v/>
      </c>
      <c r="H1191">
        <f>1-(1-Skills!J18/100)^Skills!K18</f>
        <v/>
      </c>
      <c r="I1191" t="inlineStr">
        <is>
          <t>1</t>
        </is>
      </c>
      <c r="J1191" t="inlineStr"/>
      <c r="K1191" t="inlineStr"/>
      <c r="L1191" t="inlineStr"/>
      <c r="M1191" t="inlineStr"/>
      <c r="N1191" t="inlineStr"/>
      <c r="O1191">
        <f>(1-Summary!$B$11)*T1191+Summary!$B$11*V1191</f>
        <v/>
      </c>
      <c r="P1191">
        <f>IF(B1208=0,0,O1191/B1208)</f>
        <v/>
      </c>
      <c r="Q1191" t="n">
        <v>0</v>
      </c>
      <c r="R1191" t="n">
        <v>0</v>
      </c>
      <c r="S1191">
        <f>IFERROR(O1191/N1191,0)</f>
        <v/>
      </c>
      <c r="T1191" t="n">
        <v>0</v>
      </c>
      <c r="V1191" t="n">
        <v>0</v>
      </c>
    </row>
    <row r="1192">
      <c r="A1192">
        <f>Skills!A19</f>
        <v/>
      </c>
      <c r="B1192">
        <f>Skills!B19</f>
        <v/>
      </c>
      <c r="C1192">
        <f>Inputs!$B$3&gt;=40</f>
        <v/>
      </c>
      <c r="D1192">
        <f>IF(Skills!C19=1,60+Inputs!$B$25+Inputs!$B$29,IF(Skills!C19=2,90+Inputs!$B$26+Inputs!$B$29,IF(Skills!C19=3,120+Inputs!$B$27+Inputs!$B$29,MAX(0,(Inputs!$B$3-100)*3)+Inputs!$B$28+Inputs!$B$29)))</f>
        <v/>
      </c>
      <c r="E1192">
        <f>INDEX(FactorTable!$B$2:$Y$301, MATCH(ROUND(MIN(300,MAX(1,D1192)),0), FactorTable!$A$2:$A$301,0), Skills!M19+1)</f>
        <v/>
      </c>
      <c r="F1192">
        <f>IF(Skills!N19=TRUE,(Skills!L19/10)*(E1192/1000),Skills!L19/10)+Skills!O19</f>
        <v/>
      </c>
      <c r="G1192">
        <f>Skills!G19*IF(Skills!H19&gt;0,Skills!I19/Skills!H19,1)</f>
        <v/>
      </c>
      <c r="H1192">
        <f>1-(1-Skills!J19/100)^Skills!K19</f>
        <v/>
      </c>
      <c r="I1192" t="inlineStr">
        <is>
          <t>1</t>
        </is>
      </c>
      <c r="J1192" t="inlineStr"/>
      <c r="K1192" t="inlineStr"/>
      <c r="L1192" t="inlineStr"/>
      <c r="M1192" t="inlineStr"/>
      <c r="N1192" t="inlineStr"/>
      <c r="O1192">
        <f>(1-Summary!$B$11)*T1192+Summary!$B$11*V1192</f>
        <v/>
      </c>
      <c r="P1192">
        <f>IF(B1208=0,0,O1192/B1208)</f>
        <v/>
      </c>
      <c r="Q1192" t="n">
        <v>0</v>
      </c>
      <c r="R1192" t="n">
        <v>0</v>
      </c>
      <c r="S1192">
        <f>IFERROR(O1192/N1192,0)</f>
        <v/>
      </c>
      <c r="T1192" t="n">
        <v>0</v>
      </c>
      <c r="V1192" t="n">
        <v>0</v>
      </c>
    </row>
    <row r="1193">
      <c r="A1193">
        <f>Skills!A20</f>
        <v/>
      </c>
      <c r="B1193">
        <f>Skills!B20</f>
        <v/>
      </c>
      <c r="C1193">
        <f>Inputs!$B$3&gt;=43</f>
        <v/>
      </c>
      <c r="D1193">
        <f>IF(Skills!C20=1,60+Inputs!$B$25+Inputs!$B$29,IF(Skills!C20=2,90+Inputs!$B$26+Inputs!$B$29,IF(Skills!C20=3,120+Inputs!$B$27+Inputs!$B$29,MAX(0,(Inputs!$B$3-100)*3)+Inputs!$B$28+Inputs!$B$29)))</f>
        <v/>
      </c>
      <c r="E1193">
        <f>INDEX(FactorTable!$B$2:$Y$301, MATCH(ROUND(MIN(300,MAX(1,D1193)),0), FactorTable!$A$2:$A$301,0), Skills!M20+1)</f>
        <v/>
      </c>
      <c r="F1193">
        <f>IF(Skills!N20=TRUE,(Skills!L20/10)*(E1193/1000),Skills!L20/10)+Skills!O20</f>
        <v/>
      </c>
      <c r="G1193">
        <f>Skills!G20*IF(Skills!H20&gt;0,Skills!I20/Skills!H20,1)</f>
        <v/>
      </c>
      <c r="H1193">
        <f>1-(1-Skills!J20/100)^Skills!K20</f>
        <v/>
      </c>
      <c r="I1193" t="inlineStr">
        <is>
          <t>1</t>
        </is>
      </c>
      <c r="J1193" t="inlineStr"/>
      <c r="K1193" t="inlineStr"/>
      <c r="L1193" t="inlineStr"/>
      <c r="M1193" t="inlineStr"/>
      <c r="N1193" t="inlineStr"/>
      <c r="O1193">
        <f>(1-Summary!$B$11)*T1193+Summary!$B$11*V1193</f>
        <v/>
      </c>
      <c r="P1193">
        <f>IF(B1208=0,0,O1193/B1208)</f>
        <v/>
      </c>
      <c r="Q1193" t="n">
        <v>0</v>
      </c>
      <c r="R1193" t="n">
        <v>0</v>
      </c>
      <c r="S1193">
        <f>IFERROR(O1193/N1193,0)</f>
        <v/>
      </c>
      <c r="T1193" t="n">
        <v>0</v>
      </c>
      <c r="V1193" t="n">
        <v>0</v>
      </c>
    </row>
    <row r="1194">
      <c r="A1194">
        <f>Skills!A21</f>
        <v/>
      </c>
      <c r="B1194">
        <f>Skills!B21</f>
        <v/>
      </c>
      <c r="C1194">
        <f>Inputs!$B$3&gt;=38</f>
        <v/>
      </c>
      <c r="D1194">
        <f>IF(Skills!C21=1,60+Inputs!$B$25+Inputs!$B$29,IF(Skills!C21=2,90+Inputs!$B$26+Inputs!$B$29,IF(Skills!C21=3,120+Inputs!$B$27+Inputs!$B$29,MAX(0,(Inputs!$B$3-100)*3)+Inputs!$B$28+Inputs!$B$29)))</f>
        <v/>
      </c>
      <c r="E1194">
        <f>INDEX(FactorTable!$B$2:$Y$301, MATCH(ROUND(MIN(300,MAX(1,D1194)),0), FactorTable!$A$2:$A$301,0), Skills!M21+1)</f>
        <v/>
      </c>
      <c r="F1194">
        <f>IF(Skills!N21=TRUE,(Skills!L21/10)*(E1194/1000),Skills!L21/10)+Skills!O21</f>
        <v/>
      </c>
      <c r="G1194">
        <f>Skills!G21*IF(Skills!H21&gt;0,Skills!I21/Skills!H21,1)</f>
        <v/>
      </c>
      <c r="H1194">
        <f>1-(1-Skills!J21/100)^Skills!K21</f>
        <v/>
      </c>
      <c r="I1194" t="inlineStr">
        <is>
          <t>1</t>
        </is>
      </c>
      <c r="J1194" t="inlineStr"/>
      <c r="K1194" t="inlineStr"/>
      <c r="L1194" t="inlineStr"/>
      <c r="M1194" t="inlineStr"/>
      <c r="N1194" t="inlineStr"/>
      <c r="O1194">
        <f>(1-Summary!$B$11)*T1194+Summary!$B$11*V1194</f>
        <v/>
      </c>
      <c r="P1194">
        <f>IF(B1208=0,0,O1194/B1208)</f>
        <v/>
      </c>
      <c r="Q1194" t="n">
        <v>0</v>
      </c>
      <c r="R1194" t="n">
        <v>0</v>
      </c>
      <c r="S1194">
        <f>IFERROR(O1194/N1194,0)</f>
        <v/>
      </c>
      <c r="T1194" t="n">
        <v>0</v>
      </c>
      <c r="V1194" t="n">
        <v>0</v>
      </c>
    </row>
    <row r="1195">
      <c r="A1195">
        <f>Skills!A22</f>
        <v/>
      </c>
      <c r="B1195">
        <f>Skills!B22</f>
        <v/>
      </c>
      <c r="C1195">
        <f>Inputs!$B$3&gt;=75</f>
        <v/>
      </c>
      <c r="D1195">
        <f>IF(Skills!C22=1,60+Inputs!$B$25+Inputs!$B$29,IF(Skills!C22=2,90+Inputs!$B$26+Inputs!$B$29,IF(Skills!C22=3,120+Inputs!$B$27+Inputs!$B$29,MAX(0,(Inputs!$B$3-100)*3)+Inputs!$B$28+Inputs!$B$29)))</f>
        <v/>
      </c>
      <c r="E1195">
        <f>INDEX(FactorTable!$B$2:$Y$301, MATCH(ROUND(MIN(300,MAX(1,D1195)),0), FactorTable!$A$2:$A$301,0), Skills!M22+1)</f>
        <v/>
      </c>
      <c r="F1195">
        <f>IF(Skills!N22=TRUE,(Skills!L22/10)*(E1195/1000),Skills!L22/10)+Skills!O22</f>
        <v/>
      </c>
      <c r="G1195">
        <f>Skills!G22*IF(Skills!H22&gt;0,Skills!I22/Skills!H22,1)</f>
        <v/>
      </c>
      <c r="H1195">
        <f>1-(1-Skills!J22/100)^Skills!K22</f>
        <v/>
      </c>
      <c r="I1195" t="inlineStr">
        <is>
          <t>1</t>
        </is>
      </c>
      <c r="J1195" t="inlineStr"/>
      <c r="K1195" t="inlineStr"/>
      <c r="L1195" t="inlineStr"/>
      <c r="M1195" t="inlineStr"/>
      <c r="N1195" t="inlineStr"/>
      <c r="O1195">
        <f>(1-Summary!$B$11)*T1195+Summary!$B$11*V1195</f>
        <v/>
      </c>
      <c r="P1195">
        <f>IF(B1208=0,0,O1195/B1208)</f>
        <v/>
      </c>
      <c r="Q1195" t="n">
        <v>0</v>
      </c>
      <c r="R1195" t="n">
        <v>0</v>
      </c>
      <c r="S1195">
        <f>IFERROR(O1195/N1195,0)</f>
        <v/>
      </c>
      <c r="T1195" t="n">
        <v>0</v>
      </c>
      <c r="V1195" t="n">
        <v>0</v>
      </c>
    </row>
    <row r="1197">
      <c r="A1197" t="inlineStr">
        <is>
          <t>Attack% Bucket Multiplier</t>
        </is>
      </c>
      <c r="B1197">
        <f>(1+(((C1186=TRUE)*F1186)+((C1192=TRUE)*(F1192-Calc!F19))+(IF(ArtifactsInput!$M$21,CHOOSE(ArtifactsInput!$N$21+1,25,30,35,40,45,50)*(IF(OR(Inputs!$B$4="Chapter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98">
      <c r="A1198" t="inlineStr">
        <is>
          <t>Global Crit Rate Bonus %</t>
        </is>
      </c>
      <c r="B1198" t="n">
        <v>0</v>
      </c>
    </row>
    <row r="1199">
      <c r="A1199" t="inlineStr">
        <is>
          <t>Attack Speed Buff Bonus % (unused)</t>
        </is>
      </c>
      <c r="B1199" t="n">
        <v>0</v>
      </c>
    </row>
    <row r="1200">
      <c r="A1200" t="inlineStr">
        <is>
          <t>Actions Per Second</t>
        </is>
      </c>
      <c r="B1200">
        <f>1+MIN(150,150*(1-(1-(Inputs!$B$11+((C1190=TRUE)*(F1190-Calc!F17))+((C1191=TRUE)*(F1191-Calc!F18)))/150)*(1-B1199/150)))/100</f>
        <v/>
      </c>
    </row>
    <row r="1201">
      <c r="A1201" t="inlineStr">
        <is>
          <t>Skill + Buff Cast Rate</t>
        </is>
      </c>
      <c r="B1201">
        <f>IF(AND(Inputs!$B$38&lt;&gt;"pvp",Inputs!$B$43&gt;0),SUMPRODUCT((Skills!E2:E22=TRUE)*(C1175:C1195=TRUE)*R1175:R1195*Skills!F2:F22)/Inputs!$B$43,SUMPRODUCT((Skills!E2:E22=TRUE)*(C1175:C1195=TRUE)*Q1175:Q1195*Skills!F2:F22))</f>
        <v/>
      </c>
    </row>
    <row r="1202">
      <c r="A1202" t="inlineStr">
        <is>
          <t>Hook Bomber Casts Per Second</t>
        </is>
      </c>
      <c r="B1202">
        <f>MAX(0,B1200-B1201)</f>
        <v/>
      </c>
    </row>
    <row r="1203">
      <c r="A1203" t="inlineStr">
        <is>
          <t>Global Critical Damage Bonus % (unused)</t>
        </is>
      </c>
      <c r="B1203" t="n">
        <v>0</v>
      </c>
    </row>
    <row r="1204">
      <c r="A1204" t="inlineStr">
        <is>
          <t>Global Final Damage Bonus % (Serpent Scale + Crossbones + Time Leap + Speed Infusion)</t>
        </is>
      </c>
      <c r="B1204">
        <f>((C1178=TRUE)*F1178*((10+IF(Inputs!$B$3&gt;=94,5,0))/((10+IF(Inputs!$B$3&gt;=94,5,0))+5/(B1202*(1+IF(Inputs!$B$3&gt;=104,1,0))))))+((C1187=TRUE)*F1187)+((C1188=TRUE)*F1188)+((Inputs!$B$3&gt;=110)*20*(B1200-1))</f>
        <v/>
      </c>
    </row>
    <row r="1205">
      <c r="A1205" t="inlineStr">
        <is>
          <t>Buff-Casting Startup Delay (s, fixed-duration only)</t>
        </is>
      </c>
      <c r="B1205">
        <f>IF(AND(Inputs!$B$38&lt;&gt;"pvp",Inputs!$B$43&gt;0),SUMPRODUCT((Skills!T2:T22&gt;0)*(Skills!E2:E22=TRUE)*(C1175:C1195=TRUE))/B1200,0)</f>
        <v/>
      </c>
    </row>
    <row r="1206">
      <c r="A1206" t="inlineStr">
        <is>
          <t>Boss-Only Total DPS (this block's swept value)</t>
        </is>
      </c>
      <c r="B1206">
        <f>SUM(T1175:T1195)</f>
        <v/>
      </c>
    </row>
    <row r="1207">
      <c r="A1207" t="inlineStr">
        <is>
          <t>Normal-Only Total DPS (this block's swept value)</t>
        </is>
      </c>
      <c r="B1207">
        <f>SUM(V1175:V1195)</f>
        <v/>
      </c>
    </row>
    <row r="1208">
      <c r="A1208" s="6" t="inlineStr">
        <is>
          <t>TOTAL DPS</t>
        </is>
      </c>
      <c r="B1208" s="6">
        <f>SUM(O1175:O1195)</f>
        <v/>
      </c>
    </row>
    <row r="1211">
      <c r="A1211" s="6" t="inlineStr">
        <is>
          <t>Stat: Rainbow-colored Snail Shell (Equip)</t>
        </is>
      </c>
    </row>
    <row r="1212">
      <c r="A1212" s="5" t="inlineStr">
        <is>
          <t>Key</t>
        </is>
      </c>
      <c r="B1212" s="5" t="inlineStr">
        <is>
          <t>Name</t>
        </is>
      </c>
      <c r="C1212" s="5" t="inlineStr">
        <is>
          <t>Unlocked</t>
        </is>
      </c>
      <c r="D1212" s="5" t="inlineStr">
        <is>
          <t>InputLevel</t>
        </is>
      </c>
      <c r="E1212" s="5" t="inlineStr">
        <is>
          <t>Factor</t>
        </is>
      </c>
      <c r="F1212" s="5" t="inlineStr">
        <is>
          <t>CoefficientPercent</t>
        </is>
      </c>
      <c r="G1212" s="5" t="inlineStr">
        <is>
          <t>EffectiveHits</t>
        </is>
      </c>
      <c r="H1212" s="5" t="inlineStr">
        <is>
          <t>ProcProbability</t>
        </is>
      </c>
      <c r="I1212" s="5" t="inlineStr">
        <is>
          <t>MapleHeroMultiplier</t>
        </is>
      </c>
      <c r="J1212" s="5" t="inlineStr">
        <is>
          <t>BaseDamage</t>
        </is>
      </c>
      <c r="K1212" s="5" t="inlineStr">
        <is>
          <t>BaseHitDamage</t>
        </is>
      </c>
      <c r="L1212" s="5" t="inlineStr">
        <is>
          <t>NonCritAvg</t>
        </is>
      </c>
      <c r="M1212" s="5" t="inlineStr">
        <is>
          <t>CritAvg</t>
        </is>
      </c>
      <c r="N1212" s="5" t="inlineStr">
        <is>
          <t>ExpectedDamage(perHit)</t>
        </is>
      </c>
      <c r="O1212" s="5" t="inlineStr">
        <is>
          <t>DPS</t>
        </is>
      </c>
      <c r="P1212" s="5" t="inlineStr">
        <is>
          <t>% of Total</t>
        </is>
      </c>
      <c r="Q1212" s="5" t="inlineStr">
        <is>
          <t>InvCooldown</t>
        </is>
      </c>
      <c r="R1212" s="5" t="inlineStr">
        <is>
          <t>CastsInFight</t>
        </is>
      </c>
      <c r="S1212" s="5" t="inlineStr">
        <is>
          <t>HitRate(perSec)</t>
        </is>
      </c>
      <c r="U1212" t="inlineStr">
        <is>
          <t>helpers</t>
        </is>
      </c>
    </row>
    <row r="1213">
      <c r="A1213">
        <f>Skills!A2</f>
        <v/>
      </c>
      <c r="B1213">
        <f>Skills!B2</f>
        <v/>
      </c>
      <c r="C1213">
        <f>Inputs!$B$3&gt;=100</f>
        <v/>
      </c>
      <c r="D1213" t="inlineStr"/>
      <c r="E1213" t="inlineStr"/>
      <c r="F1213">
        <f>U1215+Skills!O2</f>
        <v/>
      </c>
      <c r="G1213">
        <f>Skills!G2*IF(Skills!H2&gt;0,Skills!I2/Skills!H2,1)</f>
        <v/>
      </c>
      <c r="H1213">
        <f>1-(1-Skills!J2/100)^Skills!K2</f>
        <v/>
      </c>
      <c r="I1213" t="inlineStr">
        <is>
          <t>1</t>
        </is>
      </c>
      <c r="J1213">
        <f>((Inputs!$B$6*(1+Inputs!$B$7/100))+(((Inputs!$B$12*(1+Inputs!$B$13/100))-(Inputs!$B$12*(1+Inputs!$B$13/100)))+0.25*(Inputs!$B$14-Inputs!$B$14))*(1+Inputs!$B$7/100))*(F1213/100)</f>
        <v/>
      </c>
      <c r="K1213">
        <f>J1213*(1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1213)</f>
        <v/>
      </c>
      <c r="L1213">
        <f>K1213*(MIN(Inputs!$B$22+((C1231=TRUE)*(F1231-Calc!F20)),(Inputs!$B$23+0+(IF(ArtifactsInput!$M$15,CHOOSE(ArtifactsInput!$N$15+1,25,30,35,40,45,50)/100*(Inputs!$B$11-Inputs!$B$11),0))))/100+(Inputs!$B$23+0+(IF(ArtifactsInput!$M$15,CHOOSE(ArtifactsInput!$N$15+1,25,30,35,40,45,50)/100*(Inputs!$B$11-Inputs!$B$11),0)))/100)/2</f>
        <v/>
      </c>
      <c r="M1213">
        <f>L1213*(1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3">
        <f>L1213*(1-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1213*(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3">
        <f>(1-Summary!$B$11)*T1213+Summary!$B$11*V1213</f>
        <v/>
      </c>
      <c r="P1213">
        <f>IF(B1246=0,0,O1213/B1246)</f>
        <v/>
      </c>
      <c r="Q1213" t="n">
        <v>0</v>
      </c>
      <c r="R1213" t="n">
        <v>0</v>
      </c>
      <c r="S1213">
        <f>IFERROR(O1213/N1213,0)</f>
        <v/>
      </c>
      <c r="T1213">
        <f>IF(C1213,(Skills!G2*N1213*B1240)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1213*(1-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1213*(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1213*(1-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1213*(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3">
        <f>MAX(0,(Inputs!$B$3-100)*3)+Inputs!$B$28+Inputs!$B$29</f>
        <v/>
      </c>
      <c r="V1213">
        <f>IF(C1213,(Skills!G2*N1213*B1240)*IF(Inputs!$B$38="pvp",1,(1+(Inputs!$B$21+Skills!Q2+(IF(ArtifactsInput!$M$33,CHOOSE(ArtifactsInput!$N$33+1,30,36,42,48,54,60),0))+(IF(AND(ArtifactsInput!$M$35,Inputs!$B$4&lt;&gt;"Chapter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Skills!A3</f>
        <v/>
      </c>
      <c r="B1214">
        <f>Skills!B3</f>
        <v/>
      </c>
      <c r="C1214">
        <f>Inputs!$B$3&gt;=35</f>
        <v/>
      </c>
      <c r="D1214">
        <f>IF(Skills!C3=1,60+Inputs!$B$25+Inputs!$B$29,IF(Skills!C3=2,90+Inputs!$B$26+Inputs!$B$29,IF(Skills!C3=3,120+Inputs!$B$27+Inputs!$B$29,MAX(0,(Inputs!$B$3-100)*3)+Inputs!$B$28+Inputs!$B$29)))</f>
        <v/>
      </c>
      <c r="E1214">
        <f>INDEX(FactorTable!$B$2:$Y$301, MATCH(ROUND(MIN(300,MAX(1,D1214)),0), FactorTable!$A$2:$A$301,0), Skills!M3+1)</f>
        <v/>
      </c>
      <c r="F1214">
        <f>IF(Skills!N3=TRUE,(Skills!L3/10)*(E1214/1000),Skills!L3/10)+Skills!O3</f>
        <v/>
      </c>
      <c r="G1214">
        <f>Skills!G3*IF(Skills!H3&gt;0,Skills!I3/Skills!H3,1)</f>
        <v/>
      </c>
      <c r="H1214">
        <f>1-(1-Skills!J3/100)^Skills!K3</f>
        <v/>
      </c>
      <c r="I1214" t="inlineStr">
        <is>
          <t>1</t>
        </is>
      </c>
      <c r="J1214">
        <f>((Inputs!$B$6*(1+Inputs!$B$7/100))+(((Inputs!$B$12*(1+Inputs!$B$13/100))-(Inputs!$B$12*(1+Inputs!$B$13/100)))+0.25*(Inputs!$B$14-Inputs!$B$14))*(1+Inputs!$B$7/100))*(F1214/100)</f>
        <v/>
      </c>
      <c r="K1214">
        <f>J1214*(1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1214)</f>
        <v/>
      </c>
      <c r="L1214">
        <f>K1214*(MIN(Inputs!$B$22+((C1231=TRUE)*(F1231-Calc!F20)),(Inputs!$B$23+0+(IF(ArtifactsInput!$M$15,CHOOSE(ArtifactsInput!$N$15+1,25,30,35,40,45,50)/100*(Inputs!$B$11-Inputs!$B$11),0))))/100+(Inputs!$B$23+0+(IF(ArtifactsInput!$M$15,CHOOSE(ArtifactsInput!$N$15+1,25,30,35,40,45,50)/100*(Inputs!$B$11-Inputs!$B$11),0)))/100)/2</f>
        <v/>
      </c>
      <c r="M1214">
        <f>L1214*(1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4">
        <f>L1214*(1-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1214*(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4">
        <f>(1-Summary!$B$11)*T1214+Summary!$B$11*V1214</f>
        <v/>
      </c>
      <c r="P1214">
        <f>IF(B1246=0,0,O1214/B1246)</f>
        <v/>
      </c>
      <c r="Q1214" t="n">
        <v>0</v>
      </c>
      <c r="R1214" t="n">
        <v>0</v>
      </c>
      <c r="S1214">
        <f>IFERROR(O1214/N1214,0)</f>
        <v/>
      </c>
      <c r="T1214">
        <f>IF(C1214,(Skills!G3*H1214*N1214*B1240)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1214*(1-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1214*(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1214*(1-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1214*(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4">
        <f>INDEX(FactorTable!$B$2:$Y$301, MATCH(ROUND(MIN(300,MAX(1,U1213)),0), FactorTable!$A$2:$A$301,0), 22)</f>
        <v/>
      </c>
      <c r="V1214">
        <f>IF(C1214,(Skills!G3*H1214*N1214*B1240)*IF(Inputs!$B$38="pvp",1,(1+(Inputs!$B$21+Skills!Q3+(IF(ArtifactsInput!$M$33,CHOOSE(ArtifactsInput!$N$33+1,30,36,42,48,54,60),0))+(IF(AND(ArtifactsInput!$M$35,Inputs!$B$4&lt;&gt;"Chapter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5">
      <c r="A1215">
        <f>Skills!A4</f>
        <v/>
      </c>
      <c r="B1215">
        <f>Skills!B4</f>
        <v/>
      </c>
      <c r="C1215">
        <f>Inputs!$B$3&gt;=60</f>
        <v/>
      </c>
      <c r="D1215">
        <f>IF(Skills!C4=1,60+Inputs!$B$25+Inputs!$B$29,IF(Skills!C4=2,90+Inputs!$B$26+Inputs!$B$29,IF(Skills!C4=3,120+Inputs!$B$27+Inputs!$B$29,MAX(0,(Inputs!$B$3-100)*3)+Inputs!$B$28+Inputs!$B$29)))</f>
        <v/>
      </c>
      <c r="E1215">
        <f>INDEX(FactorTable!$B$2:$Y$301, MATCH(ROUND(MIN(300,MAX(1,D1215)),0), FactorTable!$A$2:$A$301,0), Skills!M4+1)</f>
        <v/>
      </c>
      <c r="F1215">
        <f>IF(Skills!N4=TRUE,(Skills!L4/10)*(E1215/1000),Skills!L4/10)+Skills!O4</f>
        <v/>
      </c>
      <c r="G1215">
        <f>Skills!G4*IF(Skills!H4&gt;0,Skills!I4/Skills!H4,1)</f>
        <v/>
      </c>
      <c r="H1215">
        <f>1-(1-Skills!J4/100)^Skills!K4</f>
        <v/>
      </c>
      <c r="I1215" t="inlineStr">
        <is>
          <t>1</t>
        </is>
      </c>
      <c r="J1215">
        <f>((Inputs!$B$6*(1+Inputs!$B$7/100))+(((Inputs!$B$12*(1+Inputs!$B$13/100))-(Inputs!$B$12*(1+Inputs!$B$13/100)))+0.25*(Inputs!$B$14-Inputs!$B$14))*(1+Inputs!$B$7/100))*(F1215/100)</f>
        <v/>
      </c>
      <c r="K1215">
        <f>J1215*(1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1223=TRUE,F1223,0)/100)*(1+(IF(Skills!A4="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1215)</f>
        <v/>
      </c>
      <c r="L1215">
        <f>K1215*(MIN(Inputs!$B$22+((C1231=TRUE)*(F1231-Calc!F20)),(Inputs!$B$23+0+(IF(ArtifactsInput!$M$15,CHOOSE(ArtifactsInput!$N$15+1,25,30,35,40,45,50)/100*(Inputs!$B$11-Inputs!$B$11),0))))/100+(Inputs!$B$23+0+(IF(ArtifactsInput!$M$15,CHOOSE(ArtifactsInput!$N$15+1,25,30,35,40,45,50)/100*(Inputs!$B$11-Inputs!$B$11),0)))/100)/2</f>
        <v/>
      </c>
      <c r="M1215">
        <f>L1215*(1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5">
        <f>L1215*(1-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1215*(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5">
        <f>(1-Summary!$B$11)*T1215+Summary!$B$11*V1215</f>
        <v/>
      </c>
      <c r="P1215">
        <f>IF(B1246=0,0,O1215/B1246)</f>
        <v/>
      </c>
      <c r="Q1215" t="n">
        <v>0</v>
      </c>
      <c r="R1215" t="n">
        <v>0</v>
      </c>
      <c r="S1215">
        <f>IFERROR(O1215/N1215,0)</f>
        <v/>
      </c>
      <c r="T1215">
        <f>IF(C1215,(Skills!G4*H1215*N1215*B1240)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1215*(1-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1215*(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1215*(1-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1215*(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5">
        <f>290*U1214/1000</f>
        <v/>
      </c>
      <c r="V1215">
        <f>IF(C1215,(Skills!G4*H1215*N1215*B1240)*IF(Inputs!$B$38="pvp",1,(1+(Inputs!$B$21+Skills!Q4+(IF(ArtifactsInput!$M$33,CHOOSE(ArtifactsInput!$N$33+1,30,36,42,48,54,60),0))+(IF(AND(ArtifactsInput!$M$35,Inputs!$B$4&lt;&gt;"Chapter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6">
      <c r="A1216">
        <f>Skills!A5</f>
        <v/>
      </c>
      <c r="B1216">
        <f>Skills!B5</f>
        <v/>
      </c>
      <c r="C1216">
        <f>Inputs!$B$3&gt;=60</f>
        <v/>
      </c>
      <c r="D1216">
        <f>IF(Skills!C5=1,60+Inputs!$B$25+Inputs!$B$29,IF(Skills!C5=2,90+Inputs!$B$26+Inputs!$B$29,IF(Skills!C5=3,120+Inputs!$B$27+Inputs!$B$29,MAX(0,(Inputs!$B$3-100)*3)+Inputs!$B$28+Inputs!$B$29)))</f>
        <v/>
      </c>
      <c r="E1216">
        <f>INDEX(FactorTable!$B$2:$Y$301, MATCH(ROUND(MIN(300,MAX(1,D1216)),0), FactorTable!$A$2:$A$301,0), Skills!M5+1)</f>
        <v/>
      </c>
      <c r="F1216">
        <f>IF(Skills!N5=TRUE,(Skills!L5/10)*(E1216/1000),Skills!L5/10)+Skills!O5</f>
        <v/>
      </c>
      <c r="G1216">
        <f>Skills!G5*IF(Skills!H5&gt;0,Skills!I5/Skills!H5,1)</f>
        <v/>
      </c>
      <c r="H1216">
        <f>1-(1-Skills!J5/100)^Skills!K5</f>
        <v/>
      </c>
      <c r="I1216" t="inlineStr">
        <is>
          <t>1</t>
        </is>
      </c>
      <c r="J1216" t="inlineStr"/>
      <c r="K1216" t="inlineStr"/>
      <c r="L1216" t="inlineStr"/>
      <c r="M1216" t="inlineStr"/>
      <c r="N1216" t="inlineStr"/>
      <c r="O1216">
        <f>(1-Summary!$B$11)*T1216+Summary!$B$11*V1216</f>
        <v/>
      </c>
      <c r="P1216">
        <f>IF(B1246=0,0,O1216/B1246)</f>
        <v/>
      </c>
      <c r="Q1216" t="n">
        <v>0</v>
      </c>
      <c r="R1216" t="n">
        <v>0</v>
      </c>
      <c r="S1216">
        <f>IFERROR(O1216/N1216,0)</f>
        <v/>
      </c>
      <c r="T1216" t="n">
        <v>0</v>
      </c>
      <c r="V1216" t="n">
        <v>0</v>
      </c>
    </row>
    <row r="1217">
      <c r="A1217">
        <f>Skills!A6</f>
        <v/>
      </c>
      <c r="B1217">
        <f>Skills!B6</f>
        <v/>
      </c>
      <c r="C1217">
        <f>Inputs!$B$3&gt;=63</f>
        <v/>
      </c>
      <c r="D1217">
        <f>IF(Skills!C6=1,60+Inputs!$B$25+Inputs!$B$29,IF(Skills!C6=2,90+Inputs!$B$26+Inputs!$B$29,IF(Skills!C6=3,120+Inputs!$B$27+Inputs!$B$29,MAX(0,(Inputs!$B$3-100)*3)+Inputs!$B$28+Inputs!$B$29)))</f>
        <v/>
      </c>
      <c r="E1217">
        <f>INDEX(FactorTable!$B$2:$Y$301, MATCH(ROUND(MIN(300,MAX(1,D1217)),0), FactorTable!$A$2:$A$301,0), Skills!M6+1)</f>
        <v/>
      </c>
      <c r="F1217">
        <f>IF(Skills!N6=TRUE,(Skills!L6/10)*(E1217/1000),Skills!L6/10)+Skills!O6</f>
        <v/>
      </c>
      <c r="G1217">
        <f>Skills!G6*IF(Skills!H6&gt;0,Skills!I6/Skills!H6,1)</f>
        <v/>
      </c>
      <c r="H1217">
        <f>1-(1-Skills!J6/100)^Skills!K6</f>
        <v/>
      </c>
      <c r="I1217" t="inlineStr">
        <is>
          <t>1</t>
        </is>
      </c>
      <c r="J1217">
        <f>((Inputs!$B$6*(1+Inputs!$B$7/100))+(((Inputs!$B$12*(1+Inputs!$B$13/100))-(Inputs!$B$12*(1+Inputs!$B$13/100)))+0.25*(Inputs!$B$14-Inputs!$B$14))*(1+Inputs!$B$7/100))*(F1217/100)</f>
        <v/>
      </c>
      <c r="K1217">
        <f>J1217*(1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1217)</f>
        <v/>
      </c>
      <c r="L1217">
        <f>K1217*(MIN(Inputs!$B$22+((C1231=TRUE)*(F1231-Calc!F20)),(Inputs!$B$23+0+(IF(ArtifactsInput!$M$15,CHOOSE(ArtifactsInput!$N$15+1,25,30,35,40,45,50)/100*(Inputs!$B$11-Inputs!$B$11),0))))/100+(Inputs!$B$23+0+(IF(ArtifactsInput!$M$15,CHOOSE(ArtifactsInput!$N$15+1,25,30,35,40,45,50)/100*(Inputs!$B$11-Inputs!$B$11),0)))/100)/2</f>
        <v/>
      </c>
      <c r="M1217">
        <f>L1217*(1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7">
        <f>L1217*(1-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1217*(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7">
        <f>(1-Summary!$B$11)*T1217+Summary!$B$11*V1217</f>
        <v/>
      </c>
      <c r="P1217">
        <f>IF(B1246=0,0,O1217/B1246)</f>
        <v/>
      </c>
      <c r="Q1217">
        <f>IFERROR(1/(IF(Inputs!$B$38="pvp",15,MAX(0.1,Skills!D6-IF(Skills!E6=TRUE,Inputs!$B$32,0)))*(1-IF(AND(ArtifactsInput!$M$27,Inputs!$B$4="Chapter Hunt"),CHOOSE(ArtifactsInput!$N$27+1,20,24,28,32,36,40),0)/100)),0)</f>
        <v/>
      </c>
      <c r="R1217">
        <f>IF(AND(Inputs!$B$38&lt;&gt;"pvp",Inputs!$B$43&gt;0),IF(MAX(0,Inputs!$B$43-B1243)&lt;=0,0,(INT(MAX(0,Inputs!$B$43-B1243)/(IF(Inputs!$B$38="pvp",15,MAX(0.1,Skills!D6-IF(Skills!E6=TRUE,Inputs!$B$32,0)))*(1-IF(AND(ArtifactsInput!$M$27,Inputs!$B$4="Chapter Hunt"),CHOOSE(ArtifactsInput!$N$27+1,20,24,28,32,36,40),0)/100)))+1)),0)</f>
        <v/>
      </c>
      <c r="S1217">
        <f>IFERROR(O1217/N1217,0)</f>
        <v/>
      </c>
      <c r="T1217">
        <f>IF(C1217,(H1217*N1217*IF(AND(Inputs!$B$38&lt;&gt;"pvp",Inputs!$B$43&gt;0),((Skills!G6*((R1217-1)*IF(Skills!H6&gt;0,Skills!I6/Skills!H6,1)+IF(Skills!H6&gt;0,MIN(Skills!I6,MAX(0,MAX(0,Inputs!$B$43-B1243)-((R1217-1)*(IF(Inputs!$B$38="pvp",15,MAX(0.1,Skills!D6-IF(Skills!E6=TRUE,Inputs!$B$32,0)))*(1-IF(AND(ArtifactsInput!$M$27,Inputs!$B$4="Chapter Hunt"),CHOOSE(ArtifactsInput!$N$27+1,20,24,28,32,36,40),0)/100)))))/Skills!H6,1)))/Inputs!$B$43),G1217*Q1217)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1217*(1-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1217*(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1217*(1-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1217*(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7">
        <f>IF(C1217,(H1217*N1217*IF(AND(Inputs!$B$38&lt;&gt;"pvp",Inputs!$B$43&gt;0),((Skills!G6*((R1217-1)*IF(Skills!H6&gt;0,Skills!I6/Skills!H6,1)+IF(Skills!H6&gt;0,MIN(Skills!I6,MAX(0,MAX(0,Inputs!$B$43-B1243)-((R1217-1)*(IF(Inputs!$B$38="pvp",15,MAX(0.1,Skills!D6-IF(Skills!E6=TRUE,Inputs!$B$32,0)))*(1-IF(AND(ArtifactsInput!$M$27,Inputs!$B$4="Chapter Hunt"),CHOOSE(ArtifactsInput!$N$27+1,20,24,28,32,36,40),0)/100)))))/Skills!H6,1)))/Inputs!$B$43),G1217*Q1217))*IF(Inputs!$B$38="pvp",1,(1+(Inputs!$B$21+Skills!Q6+(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8">
      <c r="A1218">
        <f>Skills!A7</f>
        <v/>
      </c>
      <c r="B1218">
        <f>Skills!B7</f>
        <v/>
      </c>
      <c r="C1218">
        <f>Inputs!$B$3&gt;=100</f>
        <v/>
      </c>
      <c r="D1218">
        <f>IF(Skills!C7=1,60+Inputs!$B$25+Inputs!$B$29,IF(Skills!C7=2,90+Inputs!$B$26+Inputs!$B$29,IF(Skills!C7=3,120+Inputs!$B$27+Inputs!$B$29,MAX(0,(Inputs!$B$3-100)*3)+Inputs!$B$28+Inputs!$B$29)))</f>
        <v/>
      </c>
      <c r="E1218">
        <f>INDEX(FactorTable!$B$2:$Y$301, MATCH(ROUND(MIN(300,MAX(1,D1218)),0), FactorTable!$A$2:$A$301,0), Skills!M7+1)</f>
        <v/>
      </c>
      <c r="F1218">
        <f>IF(Skills!N7=TRUE,(Skills!L7/10)*(E1218/1000),Skills!L7/10)+Skills!O7</f>
        <v/>
      </c>
      <c r="G1218">
        <f>Skills!G7*IF(Skills!H7&gt;0,Skills!I7/Skills!H7,1)</f>
        <v/>
      </c>
      <c r="H1218">
        <f>1-(1-Skills!J7/100)^Skills!K7</f>
        <v/>
      </c>
      <c r="I1218" t="inlineStr">
        <is>
          <t>1</t>
        </is>
      </c>
      <c r="J1218">
        <f>((Inputs!$B$6*(1+Inputs!$B$7/100))+(((Inputs!$B$12*(1+Inputs!$B$13/100))-(Inputs!$B$12*(1+Inputs!$B$13/100)))+0.25*(Inputs!$B$14-Inputs!$B$14))*(1+Inputs!$B$7/100))*(F1218/100)</f>
        <v/>
      </c>
      <c r="K1218">
        <f>J1218*(1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1218)</f>
        <v/>
      </c>
      <c r="L1218">
        <f>K1218*(MIN(Inputs!$B$22+((C1231=TRUE)*(F1231-Calc!F20)),(Inputs!$B$23+0+(IF(ArtifactsInput!$M$15,CHOOSE(ArtifactsInput!$N$15+1,25,30,35,40,45,50)/100*(Inputs!$B$11-Inputs!$B$11),0))))/100+(Inputs!$B$23+0+(IF(ArtifactsInput!$M$15,CHOOSE(ArtifactsInput!$N$15+1,25,30,35,40,45,50)/100*(Inputs!$B$11-Inputs!$B$11),0)))/100)/2</f>
        <v/>
      </c>
      <c r="M1218">
        <f>L1218*(1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8">
        <f>L1218*(1-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1218*(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8">
        <f>(1-Summary!$B$11)*T1218+Summary!$B$11*V1218</f>
        <v/>
      </c>
      <c r="P1218">
        <f>IF(B1246=0,0,O1218/B1246)</f>
        <v/>
      </c>
      <c r="Q1218">
        <f>IFERROR(1/(IF(Inputs!$B$38="pvp",15,MAX(0.1,Skills!D7-IF(Skills!E7=TRUE,Inputs!$B$32,0)))*(1-IF(AND(ArtifactsInput!$M$27,Inputs!$B$4="Chapter Hunt"),CHOOSE(ArtifactsInput!$N$27+1,20,24,28,32,36,40),0)/100)),0)</f>
        <v/>
      </c>
      <c r="R1218">
        <f>IF(AND(Inputs!$B$38&lt;&gt;"pvp",Inputs!$B$43&gt;0),IF(MAX(0,Inputs!$B$43-B1243)&lt;=0,0,(INT(MAX(0,Inputs!$B$43-B1243)/(IF(Inputs!$B$38="pvp",15,MAX(0.1,Skills!D7-IF(Skills!E7=TRUE,Inputs!$B$32,0)))*(1-IF(AND(ArtifactsInput!$M$27,Inputs!$B$4="Chapter Hunt"),CHOOSE(ArtifactsInput!$N$27+1,20,24,28,32,36,40),0)/100)))+1)),0)</f>
        <v/>
      </c>
      <c r="S1218">
        <f>IFERROR(O1218/N1218,0)</f>
        <v/>
      </c>
      <c r="T1218">
        <f>IF(C1218,(H1218*N1218*IF(AND(Inputs!$B$38&lt;&gt;"pvp",Inputs!$B$43&gt;0),((Skills!G7*((R1218-1)*IF(Skills!H7&gt;0,Skills!I7/Skills!H7,1)+IF(Skills!H7&gt;0,MIN(Skills!I7,MAX(0,MAX(0,Inputs!$B$43-B1243)-((R1218-1)*(IF(Inputs!$B$38="pvp",15,MAX(0.1,Skills!D7-IF(Skills!E7=TRUE,Inputs!$B$32,0)))*(1-IF(AND(ArtifactsInput!$M$27,Inputs!$B$4="Chapter Hunt"),CHOOSE(ArtifactsInput!$N$27+1,20,24,28,32,36,40),0)/100)))))/Skills!H7,1)))/Inputs!$B$43),G1218*Q1218)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1218*(1-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1218*(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1218*(1-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1218*(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8">
        <f>IF(C1218,(H1218*N1218*IF(AND(Inputs!$B$38&lt;&gt;"pvp",Inputs!$B$43&gt;0),((Skills!G7*((R1218-1)*IF(Skills!H7&gt;0,Skills!I7/Skills!H7,1)+IF(Skills!H7&gt;0,MIN(Skills!I7,MAX(0,MAX(0,Inputs!$B$43-B1243)-((R1218-1)*(IF(Inputs!$B$38="pvp",15,MAX(0.1,Skills!D7-IF(Skills!E7=TRUE,Inputs!$B$32,0)))*(1-IF(AND(ArtifactsInput!$M$27,Inputs!$B$4="Chapter Hunt"),CHOOSE(ArtifactsInput!$N$27+1,20,24,28,32,36,40),0)/100)))))/Skills!H7,1)))/Inputs!$B$43),G1218*Q1218))*IF(Inputs!$B$38="pvp",1,(1+(Inputs!$B$21+Skills!Q7+(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9">
      <c r="A1219">
        <f>Skills!A8</f>
        <v/>
      </c>
      <c r="B1219">
        <f>Skills!B8</f>
        <v/>
      </c>
      <c r="C1219">
        <f>Inputs!$B$3&gt;=110</f>
        <v/>
      </c>
      <c r="D1219">
        <f>IF(Skills!C8=1,60+Inputs!$B$25+Inputs!$B$29,IF(Skills!C8=2,90+Inputs!$B$26+Inputs!$B$29,IF(Skills!C8=3,120+Inputs!$B$27+Inputs!$B$29,MAX(0,(Inputs!$B$3-100)*3)+Inputs!$B$28+Inputs!$B$29)))</f>
        <v/>
      </c>
      <c r="E1219">
        <f>INDEX(FactorTable!$B$2:$Y$301, MATCH(ROUND(MIN(300,MAX(1,D1219)),0), FactorTable!$A$2:$A$301,0), Skills!M8+1)</f>
        <v/>
      </c>
      <c r="F1219">
        <f>IF(Skills!N8=TRUE,(Skills!L8/10)*(E1219/1000),Skills!L8/10)+Skills!O8</f>
        <v/>
      </c>
      <c r="G1219">
        <f>Skills!G8*IF(Skills!H8&gt;0,Skills!I8/Skills!H8,1)</f>
        <v/>
      </c>
      <c r="H1219">
        <f>1-(1-Skills!J8/100)^Skills!K8</f>
        <v/>
      </c>
      <c r="I1219" t="inlineStr">
        <is>
          <t>1</t>
        </is>
      </c>
      <c r="J1219">
        <f>((Inputs!$B$6*(1+Inputs!$B$7/100))+(((Inputs!$B$12*(1+Inputs!$B$13/100))-(Inputs!$B$12*(1+Inputs!$B$13/100)))+0.25*(Inputs!$B$14-Inputs!$B$14))*(1+Inputs!$B$7/100))*(F1219/100)</f>
        <v/>
      </c>
      <c r="K1219">
        <f>J1219*(1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1219)</f>
        <v/>
      </c>
      <c r="L1219">
        <f>K1219*(MIN(Inputs!$B$22+((C1231=TRUE)*(F1231-Calc!F20)),(Inputs!$B$23+0+(IF(ArtifactsInput!$M$15,CHOOSE(ArtifactsInput!$N$15+1,25,30,35,40,45,50)/100*(Inputs!$B$11-Inputs!$B$11),0))))/100+(Inputs!$B$23+0+(IF(ArtifactsInput!$M$15,CHOOSE(ArtifactsInput!$N$15+1,25,30,35,40,45,50)/100*(Inputs!$B$11-Inputs!$B$11),0)))/100)/2</f>
        <v/>
      </c>
      <c r="M1219">
        <f>L1219*(1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9">
        <f>L1219*(1-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1219*(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9">
        <f>(1-Summary!$B$11)*T1219+Summary!$B$11*V1219</f>
        <v/>
      </c>
      <c r="P1219">
        <f>IF(B1246=0,0,O1219/B1246)</f>
        <v/>
      </c>
      <c r="Q1219">
        <f>IFERROR(1/(IF(Inputs!$B$38="pvp",15,MAX(0.1,Skills!D8-IF(Skills!E8=TRUE,Inputs!$B$32,0)))*(1-IF(AND(ArtifactsInput!$M$27,Inputs!$B$4="Chapter Hunt"),CHOOSE(ArtifactsInput!$N$27+1,20,24,28,32,36,40),0)/100)),0)</f>
        <v/>
      </c>
      <c r="R1219">
        <f>IF(AND(Inputs!$B$38&lt;&gt;"pvp",Inputs!$B$43&gt;0),IF(MAX(0,Inputs!$B$43-B1243)&lt;=0,0,(INT(MAX(0,Inputs!$B$43-B1243)/(IF(Inputs!$B$38="pvp",15,MAX(0.1,Skills!D8-IF(Skills!E8=TRUE,Inputs!$B$32,0)))*(1-IF(AND(ArtifactsInput!$M$27,Inputs!$B$4="Chapter Hunt"),CHOOSE(ArtifactsInput!$N$27+1,20,24,28,32,36,40),0)/100)))+1)),0)</f>
        <v/>
      </c>
      <c r="S1219">
        <f>IFERROR(O1219/N1219,0)</f>
        <v/>
      </c>
      <c r="T1219">
        <f>IF(C1219,(H1219*N1219*IF(AND(Inputs!$B$38&lt;&gt;"pvp",Inputs!$B$43&gt;0),((Skills!G8*((R1219-1)*IF(Skills!H8&gt;0,Skills!I8/Skills!H8,1)+IF(Skills!H8&gt;0,MIN(Skills!I8,MAX(0,MAX(0,Inputs!$B$43-B1243)-((R1219-1)*(IF(Inputs!$B$38="pvp",15,MAX(0.1,Skills!D8-IF(Skills!E8=TRUE,Inputs!$B$32,0)))*(1-IF(AND(ArtifactsInput!$M$27,Inputs!$B$4="Chapter Hunt"),CHOOSE(ArtifactsInput!$N$27+1,20,24,28,32,36,40),0)/100)))))/Skills!H8,1)))/Inputs!$B$43),G1219*Q1219)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1219*(1-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1219*(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1219*(1-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1219*(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9">
        <f>IF(C1219,(H1219*N1219*IF(AND(Inputs!$B$38&lt;&gt;"pvp",Inputs!$B$43&gt;0),((Skills!G8*((R1219-1)*IF(Skills!H8&gt;0,Skills!I8/Skills!H8,1)+IF(Skills!H8&gt;0,MIN(Skills!I8,MAX(0,MAX(0,Inputs!$B$43-B1243)-((R1219-1)*(IF(Inputs!$B$38="pvp",15,MAX(0.1,Skills!D8-IF(Skills!E8=TRUE,Inputs!$B$32,0)))*(1-IF(AND(ArtifactsInput!$M$27,Inputs!$B$4="Chapter Hunt"),CHOOSE(ArtifactsInput!$N$27+1,20,24,28,32,36,40),0)/100)))))/Skills!H8,1)))/Inputs!$B$43),G1219*Q1219))*IF(Inputs!$B$38="pvp",1,(1+(Inputs!$B$21+Skills!Q8+(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0">
      <c r="A1220">
        <f>Skills!A9</f>
        <v/>
      </c>
      <c r="B1220">
        <f>Skills!B9</f>
        <v/>
      </c>
      <c r="C1220">
        <f>Inputs!$B$3&gt;=110</f>
        <v/>
      </c>
      <c r="D1220">
        <f>IF(Skills!C9=1,60+Inputs!$B$25+Inputs!$B$29,IF(Skills!C9=2,90+Inputs!$B$26+Inputs!$B$29,IF(Skills!C9=3,120+Inputs!$B$27+Inputs!$B$29,MAX(0,(Inputs!$B$3-100)*3)+Inputs!$B$28+Inputs!$B$29)))</f>
        <v/>
      </c>
      <c r="E1220">
        <f>INDEX(FactorTable!$B$2:$Y$301, MATCH(ROUND(MIN(300,MAX(1,D1220)),0), FactorTable!$A$2:$A$301,0), Skills!M9+1)</f>
        <v/>
      </c>
      <c r="F1220">
        <f>IF(Skills!N9=TRUE,(Skills!L9/10)*(E1220/1000),Skills!L9/10)+Skills!O9</f>
        <v/>
      </c>
      <c r="G1220">
        <f>Skills!G9*IF(Skills!H9&gt;0,Skills!I9/Skills!H9,1)</f>
        <v/>
      </c>
      <c r="H1220">
        <f>1-(1-Skills!J9/100)^Skills!K9</f>
        <v/>
      </c>
      <c r="I1220" t="inlineStr">
        <is>
          <t>1</t>
        </is>
      </c>
      <c r="J1220">
        <f>((Inputs!$B$6*(1+Inputs!$B$7/100))+(((Inputs!$B$12*(1+Inputs!$B$13/100))-(Inputs!$B$12*(1+Inputs!$B$13/100)))+0.25*(Inputs!$B$14-Inputs!$B$14))*(1+Inputs!$B$7/100))*(F1220/100)</f>
        <v/>
      </c>
      <c r="K1220">
        <f>J1220*(1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1220)</f>
        <v/>
      </c>
      <c r="L1220">
        <f>K1220*(MIN(Inputs!$B$22+((C1231=TRUE)*(F1231-Calc!F20)),(Inputs!$B$23+0+(IF(ArtifactsInput!$M$15,CHOOSE(ArtifactsInput!$N$15+1,25,30,35,40,45,50)/100*(Inputs!$B$11-Inputs!$B$11),0))))/100+(Inputs!$B$23+0+(IF(ArtifactsInput!$M$15,CHOOSE(ArtifactsInput!$N$15+1,25,30,35,40,45,50)/100*(Inputs!$B$11-Inputs!$B$11),0)))/100)/2</f>
        <v/>
      </c>
      <c r="M1220">
        <f>L1220*(1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20">
        <f>L1220*(1-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1220*(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20">
        <f>(1-Summary!$B$11)*T1220+Summary!$B$11*V1220</f>
        <v/>
      </c>
      <c r="P1220">
        <f>IF(B1246=0,0,O1220/B1246)</f>
        <v/>
      </c>
      <c r="Q1220">
        <f>IFERROR(1/(IF(Inputs!$B$38="pvp",15,MAX(0.1,Skills!D9-IF(Skills!E9=TRUE,Inputs!$B$32,0)))*(1-IF(AND(ArtifactsInput!$M$27,Inputs!$B$4="Chapter Hunt"),CHOOSE(ArtifactsInput!$N$27+1,20,24,28,32,36,40),0)/100)),0)</f>
        <v/>
      </c>
      <c r="R1220">
        <f>IF(AND(Inputs!$B$38&lt;&gt;"pvp",Inputs!$B$43&gt;0),IF(MAX(0,Inputs!$B$43-B1243)&lt;=0,0,(INT(MAX(0,Inputs!$B$43-B1243)/(IF(Inputs!$B$38="pvp",15,MAX(0.1,Skills!D9-IF(Skills!E9=TRUE,Inputs!$B$32,0)))*(1-IF(AND(ArtifactsInput!$M$27,Inputs!$B$4="Chapter Hunt"),CHOOSE(ArtifactsInput!$N$27+1,20,24,28,32,36,40),0)/100)))+1)),0)</f>
        <v/>
      </c>
      <c r="S1220">
        <f>IFERROR(O1220/N1220,0)</f>
        <v/>
      </c>
      <c r="T1220">
        <f>IF(C1220,(H1220*N1220*IF(AND(Inputs!$B$38&lt;&gt;"pvp",Inputs!$B$43&gt;0),((Skills!G9*((R1220-1)*IF(Skills!H9&gt;0,Skills!I9/Skills!H9,1)+IF(Skills!H9&gt;0,MIN(Skills!I9,MAX(0,MAX(0,Inputs!$B$43-B1243)-((R1220-1)*(IF(Inputs!$B$38="pvp",15,MAX(0.1,Skills!D9-IF(Skills!E9=TRUE,Inputs!$B$32,0)))*(1-IF(AND(ArtifactsInput!$M$27,Inputs!$B$4="Chapter Hunt"),CHOOSE(ArtifactsInput!$N$27+1,20,24,28,32,36,40),0)/100)))))/Skills!H9,1)))/Inputs!$B$43),G1220*Q1220)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1220*(1-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1220*(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1220*(1-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1220*(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0">
        <f>IF(C1220,(H1220*N1220*IF(AND(Inputs!$B$38&lt;&gt;"pvp",Inputs!$B$43&gt;0),((Skills!G9*((R1220-1)*IF(Skills!H9&gt;0,Skills!I9/Skills!H9,1)+IF(Skills!H9&gt;0,MIN(Skills!I9,MAX(0,MAX(0,Inputs!$B$43-B1243)-((R1220-1)*(IF(Inputs!$B$38="pvp",15,MAX(0.1,Skills!D9-IF(Skills!E9=TRUE,Inputs!$B$32,0)))*(1-IF(AND(ArtifactsInput!$M$27,Inputs!$B$4="Chapter Hunt"),CHOOSE(ArtifactsInput!$N$27+1,20,24,28,32,36,40),0)/100)))))/Skills!H9,1)))/Inputs!$B$43),G1220*Q1220))*IF(Inputs!$B$38="pvp",1,(1+(Inputs!$B$21+Skills!Q9+(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1">
      <c r="A1221">
        <f>Skills!A10</f>
        <v/>
      </c>
      <c r="B1221">
        <f>Skills!B10</f>
        <v/>
      </c>
      <c r="C1221">
        <f>Inputs!$B$3&gt;=103</f>
        <v/>
      </c>
      <c r="D1221">
        <f>IF(Skills!C10=1,60+Inputs!$B$25+Inputs!$B$29,IF(Skills!C10=2,90+Inputs!$B$26+Inputs!$B$29,IF(Skills!C10=3,120+Inputs!$B$27+Inputs!$B$29,MAX(0,(Inputs!$B$3-100)*3)+Inputs!$B$28+Inputs!$B$29)))</f>
        <v/>
      </c>
      <c r="E1221">
        <f>INDEX(FactorTable!$B$2:$Y$301, MATCH(ROUND(MIN(300,MAX(1,D1221)),0), FactorTable!$A$2:$A$301,0), Skills!M10+1)</f>
        <v/>
      </c>
      <c r="F1221">
        <f>IF(Skills!N10=TRUE,(Skills!L10/10)*(E1221/1000),Skills!L10/10)+Skills!O10</f>
        <v/>
      </c>
      <c r="G1221">
        <f>Skills!G10*IF(Skills!H10&gt;0,Skills!I10/Skills!H10,1)</f>
        <v/>
      </c>
      <c r="H1221">
        <f>1-(1-Skills!J10/100)^Skills!K10</f>
        <v/>
      </c>
      <c r="I1221" t="inlineStr">
        <is>
          <t>1</t>
        </is>
      </c>
      <c r="J1221">
        <f>((Inputs!$B$6*(1+Inputs!$B$7/100))+(((Inputs!$B$12*(1+Inputs!$B$13/100))-(Inputs!$B$12*(1+Inputs!$B$13/100)))+0.25*(Inputs!$B$14-Inputs!$B$14))*(1+Inputs!$B$7/100))*(F1221/100)</f>
        <v/>
      </c>
      <c r="K1221">
        <f>J1221*(1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1221)</f>
        <v/>
      </c>
      <c r="L1221">
        <f>K1221*(MIN(Inputs!$B$22+((C1231=TRUE)*(F1231-Calc!F20)),(Inputs!$B$23+0+(IF(ArtifactsInput!$M$15,CHOOSE(ArtifactsInput!$N$15+1,25,30,35,40,45,50)/100*(Inputs!$B$11-Inputs!$B$11),0))))/100+(Inputs!$B$23+0+(IF(ArtifactsInput!$M$15,CHOOSE(ArtifactsInput!$N$15+1,25,30,35,40,45,50)/100*(Inputs!$B$11-Inputs!$B$11),0)))/100)/2</f>
        <v/>
      </c>
      <c r="M1221">
        <f>L1221*(1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21">
        <f>L1221*(1-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1221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21">
        <f>(1-Summary!$B$11)*T1221+Summary!$B$11*V1221</f>
        <v/>
      </c>
      <c r="P1221">
        <f>IF(B1246=0,0,O1221/B1246)</f>
        <v/>
      </c>
      <c r="Q1221">
        <f>IFERROR(1/(IF(Inputs!$B$38="pvp",15,MAX(0.1,Skills!D10-IF(Skills!E10=TRUE,Inputs!$B$32,0)))*(1-IF(AND(ArtifactsInput!$M$27,Inputs!$B$4="Chapter Hunt"),CHOOSE(ArtifactsInput!$N$27+1,20,24,28,32,36,40),0)/100)),0)</f>
        <v/>
      </c>
      <c r="R1221">
        <f>IF(AND(Inputs!$B$38&lt;&gt;"pvp",Inputs!$B$43&gt;0),IF(MAX(0,Inputs!$B$43-B1243)&lt;=0,0,(INT(MAX(0,Inputs!$B$43-B1243)/(IF(Inputs!$B$38="pvp",15,MAX(0.1,Skills!D10-IF(Skills!E10=TRUE,Inputs!$B$32,0)))*(1-IF(AND(ArtifactsInput!$M$27,Inputs!$B$4="Chapter Hunt"),CHOOSE(ArtifactsInput!$N$27+1,20,24,28,32,36,40),0)/100)))+1)),0)</f>
        <v/>
      </c>
      <c r="S1221">
        <f>IFERROR(O1221/N1221,0)</f>
        <v/>
      </c>
      <c r="T1221">
        <f>IF(C1221,(H1221*N1221*IF(AND(Inputs!$B$38&lt;&gt;"pvp",Inputs!$B$43&gt;0),((Skills!G10*((R1221-1)*IF(Skills!H10&gt;0,Skills!I10/Skills!H10,1)+IF(Skills!H10&gt;0,MIN(Skills!I10,MAX(0,MAX(0,Inputs!$B$43-B1243)-((R1221-1)*(IF(Inputs!$B$38="pvp",15,MAX(0.1,Skills!D10-IF(Skills!E10=TRUE,Inputs!$B$32,0)))*(1-IF(AND(ArtifactsInput!$M$27,Inputs!$B$4="Chapter Hunt"),CHOOSE(ArtifactsInput!$N$27+1,20,24,28,32,36,40),0)/100)))))/Skills!H10,1)))/Inputs!$B$43),G1221*Q1221)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1221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1221*(1-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1221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1">
        <f>IF(C1221,(H1221*N1221*IF(AND(Inputs!$B$38&lt;&gt;"pvp",Inputs!$B$43&gt;0),((Skills!G10*((R1221-1)*IF(Skills!H10&gt;0,Skills!I10/Skills!H10,1)+IF(Skills!H10&gt;0,MIN(Skills!I10,MAX(0,MAX(0,Inputs!$B$43-B1243)-((R1221-1)*(IF(Inputs!$B$38="pvp",15,MAX(0.1,Skills!D10-IF(Skills!E10=TRUE,Inputs!$B$32,0)))*(1-IF(AND(ArtifactsInput!$M$27,Inputs!$B$4="Chapter Hunt"),CHOOSE(ArtifactsInput!$N$27+1,20,24,28,32,36,40),0)/100)))))/Skills!H10,1)))/Inputs!$B$43),G1221*Q1221))*IF(Inputs!$B$38="pvp",1,(1+(Inputs!$B$21+Skills!Q10+(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2">
      <c r="A1222">
        <f>Skills!A11</f>
        <v/>
      </c>
      <c r="B1222">
        <f>Skills!B11</f>
        <v/>
      </c>
      <c r="C1222">
        <f>Inputs!$B$3&gt;=113</f>
        <v/>
      </c>
      <c r="D1222">
        <f>IF(Skills!C11=1,60+Inputs!$B$25+Inputs!$B$29,IF(Skills!C11=2,90+Inputs!$B$26+Inputs!$B$29,IF(Skills!C11=3,120+Inputs!$B$27+Inputs!$B$29,MAX(0,(Inputs!$B$3-100)*3)+Inputs!$B$28+Inputs!$B$29)))</f>
        <v/>
      </c>
      <c r="E1222">
        <f>INDEX(FactorTable!$B$2:$Y$301, MATCH(ROUND(MIN(300,MAX(1,D1222)),0), FactorTable!$A$2:$A$301,0), Skills!M11+1)</f>
        <v/>
      </c>
      <c r="F1222">
        <f>IF(Skills!N11=TRUE,(Skills!L11/10)*(E1222/1000),Skills!L11/10)+Skills!O11</f>
        <v/>
      </c>
      <c r="G1222">
        <f>Skills!G11*IF(Skills!H11&gt;0,Skills!I11/Skills!H11,1)</f>
        <v/>
      </c>
      <c r="H1222">
        <f>1-(1-Skills!J11/100)^Skills!K11</f>
        <v/>
      </c>
      <c r="I1222" t="inlineStr">
        <is>
          <t>1</t>
        </is>
      </c>
      <c r="J1222">
        <f>((Inputs!$B$6*(1+Inputs!$B$7/100))+(((Inputs!$B$12*(1+Inputs!$B$13/100))-(Inputs!$B$12*(1+Inputs!$B$13/100)))+0.25*(Inputs!$B$14-Inputs!$B$14))*(1+Inputs!$B$7/100))*(F1222/100)</f>
        <v/>
      </c>
      <c r="K1222">
        <f>J1222*(1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1222)</f>
        <v/>
      </c>
      <c r="L1222">
        <f>K1222*(MIN(Inputs!$B$22+((C1231=TRUE)*(F1231-Calc!F20)),(Inputs!$B$23+0+(IF(ArtifactsInput!$M$15,CHOOSE(ArtifactsInput!$N$15+1,25,30,35,40,45,50)/100*(Inputs!$B$11-Inputs!$B$11),0))))/100+(Inputs!$B$23+0+(IF(ArtifactsInput!$M$15,CHOOSE(ArtifactsInput!$N$15+1,25,30,35,40,45,50)/100*(Inputs!$B$11-Inputs!$B$11),0)))/100)/2</f>
        <v/>
      </c>
      <c r="M1222">
        <f>L1222*(1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22">
        <f>L1222*(1-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1222*(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22">
        <f>(1-Summary!$B$11)*T1222+Summary!$B$11*V1222</f>
        <v/>
      </c>
      <c r="P1222">
        <f>IF(B1246=0,0,O1222/B1246)</f>
        <v/>
      </c>
      <c r="Q1222">
        <f>IFERROR(1/(IF(Inputs!$B$38="pvp",15,MAX(0.1,Skills!D11-IF(Skills!E11=TRUE,Inputs!$B$32,0)))*(1-IF(AND(ArtifactsInput!$M$27,Inputs!$B$4="Chapter Hunt"),CHOOSE(ArtifactsInput!$N$27+1,20,24,28,32,36,40),0)/100)),0)</f>
        <v/>
      </c>
      <c r="R1222">
        <f>IF(AND(Inputs!$B$38&lt;&gt;"pvp",Inputs!$B$43&gt;0),IF(MAX(0,Inputs!$B$43-B1243)&lt;=0,0,(INT(MAX(0,Inputs!$B$43-B1243)/(IF(Inputs!$B$38="pvp",15,MAX(0.1,Skills!D11-IF(Skills!E11=TRUE,Inputs!$B$32,0)))*(1-IF(AND(ArtifactsInput!$M$27,Inputs!$B$4="Chapter Hunt"),CHOOSE(ArtifactsInput!$N$27+1,20,24,28,32,36,40),0)/100)))+1)),0)</f>
        <v/>
      </c>
      <c r="S1222">
        <f>IFERROR(O1222/N1222,0)</f>
        <v/>
      </c>
      <c r="T1222">
        <f>IF(C1222,(H1222*N1222*IF(AND(Inputs!$B$38&lt;&gt;"pvp",Inputs!$B$43&gt;0),((Skills!G11*((R1222-1)*IF(Skills!H11&gt;0,Skills!I11/Skills!H11,1)+IF(Skills!H11&gt;0,MIN(Skills!I11,MAX(0,MAX(0,Inputs!$B$43-B1243)-((R1222-1)*(IF(Inputs!$B$38="pvp",15,MAX(0.1,Skills!D11-IF(Skills!E11=TRUE,Inputs!$B$32,0)))*(1-IF(AND(ArtifactsInput!$M$27,Inputs!$B$4="Chapter Hunt"),CHOOSE(ArtifactsInput!$N$27+1,20,24,28,32,36,40),0)/100)))))/Skills!H11,1)))/Inputs!$B$43),G1222*Q1222)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1222*(1-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1222*(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1222*(1-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1222*(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2">
        <f>IF(C1222,(H1222*N1222*IF(AND(Inputs!$B$38&lt;&gt;"pvp",Inputs!$B$43&gt;0),((Skills!G11*((R1222-1)*IF(Skills!H11&gt;0,Skills!I11/Skills!H11,1)+IF(Skills!H11&gt;0,MIN(Skills!I11,MAX(0,MAX(0,Inputs!$B$43-B1243)-((R1222-1)*(IF(Inputs!$B$38="pvp",15,MAX(0.1,Skills!D11-IF(Skills!E11=TRUE,Inputs!$B$32,0)))*(1-IF(AND(ArtifactsInput!$M$27,Inputs!$B$4="Chapter Hunt"),CHOOSE(ArtifactsInput!$N$27+1,20,24,28,32,36,40),0)/100)))))/Skills!H11,1)))/Inputs!$B$43),G1222*Q1222))*IF(Inputs!$B$38="pvp",1,(1+(Inputs!$B$21+Skills!Q11+(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3">
      <c r="A1223">
        <f>Skills!A12</f>
        <v/>
      </c>
      <c r="B1223">
        <f>Skills!B12</f>
        <v/>
      </c>
      <c r="C1223">
        <f>Inputs!$B$3&gt;=100</f>
        <v/>
      </c>
      <c r="D1223">
        <f>IF(Skills!C12=1,60+Inputs!$B$25+Inputs!$B$29,IF(Skills!C12=2,90+Inputs!$B$26+Inputs!$B$29,IF(Skills!C12=3,120+Inputs!$B$27+Inputs!$B$29,MAX(0,(Inputs!$B$3-100)*3)+Inputs!$B$28+Inputs!$B$29)))</f>
        <v/>
      </c>
      <c r="E1223">
        <f>INDEX(FactorTable!$B$2:$Y$301, MATCH(ROUND(MIN(300,MAX(1,D1223)),0), FactorTable!$A$2:$A$301,0), Skills!M12+1)</f>
        <v/>
      </c>
      <c r="F1223">
        <f>IF(Skills!N12=TRUE,(Skills!L12/10)*(E1223/1000),Skills!L12/10)+Skills!O12</f>
        <v/>
      </c>
      <c r="G1223" t="inlineStr"/>
      <c r="H1223" t="inlineStr"/>
      <c r="I1223" t="inlineStr">
        <is>
          <t>1</t>
        </is>
      </c>
      <c r="J1223" t="inlineStr"/>
      <c r="K1223" t="inlineStr"/>
      <c r="L1223" t="inlineStr"/>
      <c r="M1223" t="inlineStr"/>
      <c r="N1223" t="inlineStr"/>
      <c r="O1223" t="inlineStr"/>
      <c r="P1223" t="inlineStr"/>
      <c r="Q1223" t="inlineStr"/>
      <c r="R1223" t="inlineStr"/>
      <c r="S1223" t="inlineStr"/>
      <c r="T1223" t="inlineStr"/>
      <c r="V1223" t="inlineStr"/>
    </row>
    <row r="1224">
      <c r="A1224">
        <f>Skills!A13</f>
        <v/>
      </c>
      <c r="B1224">
        <f>Skills!B13</f>
        <v/>
      </c>
      <c r="C1224">
        <f>Inputs!$B$3&gt;=66</f>
        <v/>
      </c>
      <c r="D1224">
        <f>IF(Skills!C13=1,60+Inputs!$B$25+Inputs!$B$29,IF(Skills!C13=2,90+Inputs!$B$26+Inputs!$B$29,IF(Skills!C13=3,120+Inputs!$B$27+Inputs!$B$29,MAX(0,(Inputs!$B$3-100)*3)+Inputs!$B$28+Inputs!$B$29)))</f>
        <v/>
      </c>
      <c r="E1224">
        <f>INDEX(FactorTable!$B$2:$Y$301, MATCH(ROUND(MIN(300,MAX(1,D1224)),0), FactorTable!$A$2:$A$301,0), Skills!M13+1)</f>
        <v/>
      </c>
      <c r="F1224">
        <f>IF(Skills!N13=TRUE,(Skills!L13/10)*(E1224/1000),Skills!L13/10)+Skills!O13</f>
        <v/>
      </c>
      <c r="G1224">
        <f>Skills!G13*IF(Skills!H13&gt;0,Skills!I13/Skills!H13,1)</f>
        <v/>
      </c>
      <c r="H1224">
        <f>1-(1-Skills!J13/100)^Skills!K13</f>
        <v/>
      </c>
      <c r="I1224" t="inlineStr">
        <is>
          <t>1</t>
        </is>
      </c>
      <c r="J1224" t="inlineStr"/>
      <c r="K1224" t="inlineStr"/>
      <c r="L1224" t="inlineStr"/>
      <c r="M1224" t="inlineStr"/>
      <c r="N1224" t="inlineStr"/>
      <c r="O1224">
        <f>(1-Summary!$B$11)*T1224+Summary!$B$11*V1224</f>
        <v/>
      </c>
      <c r="P1224">
        <f>IF(B1246=0,0,O1224/B1246)</f>
        <v/>
      </c>
      <c r="Q1224" t="n">
        <v>0</v>
      </c>
      <c r="R1224" t="n">
        <v>0</v>
      </c>
      <c r="S1224">
        <f>IFERROR(O1224/N1224,0)</f>
        <v/>
      </c>
      <c r="T1224" t="n">
        <v>0</v>
      </c>
      <c r="V1224" t="n">
        <v>0</v>
      </c>
    </row>
    <row r="1225">
      <c r="A1225">
        <f>Skills!A14</f>
        <v/>
      </c>
      <c r="B1225">
        <f>Skills!B14</f>
        <v/>
      </c>
      <c r="C1225">
        <f>Inputs!$B$3&gt;=107</f>
        <v/>
      </c>
      <c r="D1225">
        <f>IF(Skills!C14=1,60+Inputs!$B$25+Inputs!$B$29,IF(Skills!C14=2,90+Inputs!$B$26+Inputs!$B$29,IF(Skills!C14=3,120+Inputs!$B$27+Inputs!$B$29,MAX(0,(Inputs!$B$3-100)*3)+Inputs!$B$28+Inputs!$B$29)))</f>
        <v/>
      </c>
      <c r="E1225">
        <f>INDEX(FactorTable!$B$2:$Y$301, MATCH(ROUND(MIN(300,MAX(1,D1225)),0), FactorTable!$A$2:$A$301,0), Skills!M14+1)</f>
        <v/>
      </c>
      <c r="F1225">
        <f>IF(Skills!N14=TRUE,(Skills!L14/10)*(E1225/1000),Skills!L14/10)+Skills!O14</f>
        <v/>
      </c>
      <c r="G1225">
        <f>Skills!G14*IF(Skills!H14&gt;0,Skills!I14/Skills!H14,1)</f>
        <v/>
      </c>
      <c r="H1225">
        <f>1-(1-Skills!J14/100)^Skills!K14</f>
        <v/>
      </c>
      <c r="I1225" t="inlineStr">
        <is>
          <t>1</t>
        </is>
      </c>
      <c r="J1225" t="inlineStr"/>
      <c r="K1225" t="inlineStr"/>
      <c r="L1225" t="inlineStr"/>
      <c r="M1225" t="inlineStr"/>
      <c r="N1225" t="inlineStr"/>
      <c r="O1225">
        <f>(1-Summary!$B$11)*T1225+Summary!$B$11*V1225</f>
        <v/>
      </c>
      <c r="P1225">
        <f>IF(B1246=0,0,O1225/B1246)</f>
        <v/>
      </c>
      <c r="Q1225" t="n">
        <v>0</v>
      </c>
      <c r="R1225" t="n">
        <v>0</v>
      </c>
      <c r="S1225">
        <f>IFERROR(O1225/N1225,0)</f>
        <v/>
      </c>
      <c r="T1225" t="n">
        <v>0</v>
      </c>
      <c r="V1225" t="n">
        <v>0</v>
      </c>
    </row>
    <row r="1226">
      <c r="A1226">
        <f>Skills!A15</f>
        <v/>
      </c>
      <c r="B1226">
        <f>Skills!B15</f>
        <v/>
      </c>
      <c r="C1226">
        <f>Inputs!$B$3&gt;=115</f>
        <v/>
      </c>
      <c r="D1226">
        <f>IF(Skills!C15=1,60+Inputs!$B$25+Inputs!$B$29,IF(Skills!C15=2,90+Inputs!$B$26+Inputs!$B$29,IF(Skills!C15=3,120+Inputs!$B$27+Inputs!$B$29,MAX(0,(Inputs!$B$3-100)*3)+Inputs!$B$28+Inputs!$B$29)))</f>
        <v/>
      </c>
      <c r="E1226">
        <f>INDEX(FactorTable!$B$2:$Y$301, MATCH(ROUND(MIN(300,MAX(1,D1226)),0), FactorTable!$A$2:$A$301,0), Skills!M15+1)</f>
        <v/>
      </c>
      <c r="F1226">
        <f>IF(Skills!N15=TRUE,(Skills!L15/10)*(E1226/1000),Skills!L15/10)+Skills!O15</f>
        <v/>
      </c>
      <c r="G1226">
        <f>Skills!G15*IF(Skills!H15&gt;0,Skills!I15/Skills!H15,1)</f>
        <v/>
      </c>
      <c r="H1226">
        <f>1-(1-Skills!J15/100)^Skills!K15</f>
        <v/>
      </c>
      <c r="I1226" t="inlineStr">
        <is>
          <t>1</t>
        </is>
      </c>
      <c r="J1226" t="inlineStr"/>
      <c r="K1226" t="inlineStr"/>
      <c r="L1226" t="inlineStr"/>
      <c r="M1226" t="inlineStr"/>
      <c r="N1226" t="inlineStr"/>
      <c r="O1226">
        <f>(1-Summary!$B$11)*T1226+Summary!$B$11*V1226</f>
        <v/>
      </c>
      <c r="P1226">
        <f>IF(B1246=0,0,O1226/B1246)</f>
        <v/>
      </c>
      <c r="Q1226" t="n">
        <v>0</v>
      </c>
      <c r="R1226" t="n">
        <v>0</v>
      </c>
      <c r="S1226">
        <f>IFERROR(O1226/N1226,0)</f>
        <v/>
      </c>
      <c r="T1226" t="n">
        <v>0</v>
      </c>
      <c r="V1226" t="n">
        <v>0</v>
      </c>
    </row>
    <row r="1227">
      <c r="A1227">
        <f>Skills!A16</f>
        <v/>
      </c>
      <c r="B1227">
        <f>Skills!B16</f>
        <v/>
      </c>
      <c r="C1227">
        <f>Inputs!$B$3&gt;=15</f>
        <v/>
      </c>
      <c r="D1227">
        <f>IF(Skills!C16=1,60+Inputs!$B$25+Inputs!$B$29,IF(Skills!C16=2,90+Inputs!$B$26+Inputs!$B$29,IF(Skills!C16=3,120+Inputs!$B$27+Inputs!$B$29,MAX(0,(Inputs!$B$3-100)*3)+Inputs!$B$28+Inputs!$B$29)))</f>
        <v/>
      </c>
      <c r="E1227">
        <f>INDEX(FactorTable!$B$2:$Y$301, MATCH(ROUND(MIN(300,MAX(1,D1227)),0), FactorTable!$A$2:$A$301,0), Skills!M16+1)</f>
        <v/>
      </c>
      <c r="F1227">
        <f>IF(Skills!N16=TRUE,(Skills!L16/10)*(E1227/1000),Skills!L16/10)+Skills!O16</f>
        <v/>
      </c>
      <c r="G1227">
        <f>Skills!G16*IF(Skills!H16&gt;0,Skills!I16/Skills!H16,1)</f>
        <v/>
      </c>
      <c r="H1227">
        <f>1-(1-Skills!J16/100)^Skills!K16</f>
        <v/>
      </c>
      <c r="I1227" t="inlineStr">
        <is>
          <t>1</t>
        </is>
      </c>
      <c r="J1227" t="inlineStr"/>
      <c r="K1227" t="inlineStr"/>
      <c r="L1227" t="inlineStr"/>
      <c r="M1227" t="inlineStr"/>
      <c r="N1227" t="inlineStr"/>
      <c r="O1227">
        <f>(1-Summary!$B$11)*T1227+Summary!$B$11*V1227</f>
        <v/>
      </c>
      <c r="P1227">
        <f>IF(B1246=0,0,O1227/B1246)</f>
        <v/>
      </c>
      <c r="Q1227" t="n">
        <v>0</v>
      </c>
      <c r="R1227" t="n">
        <v>0</v>
      </c>
      <c r="S1227">
        <f>IFERROR(O1227/N1227,0)</f>
        <v/>
      </c>
      <c r="T1227" t="n">
        <v>0</v>
      </c>
      <c r="V1227" t="n">
        <v>0</v>
      </c>
    </row>
    <row r="1228">
      <c r="A1228">
        <f>Skills!A17</f>
        <v/>
      </c>
      <c r="B1228">
        <f>Skills!B17</f>
        <v/>
      </c>
      <c r="C1228">
        <f>Inputs!$B$3&gt;=10</f>
        <v/>
      </c>
      <c r="D1228">
        <f>IF(Skills!C17=1,60+Inputs!$B$25+Inputs!$B$29,IF(Skills!C17=2,90+Inputs!$B$26+Inputs!$B$29,IF(Skills!C17=3,120+Inputs!$B$27+Inputs!$B$29,MAX(0,(Inputs!$B$3-100)*3)+Inputs!$B$28+Inputs!$B$29)))</f>
        <v/>
      </c>
      <c r="E1228">
        <f>INDEX(FactorTable!$B$2:$Y$301, MATCH(ROUND(MIN(300,MAX(1,D1228)),0), FactorTable!$A$2:$A$301,0), Skills!M17+1)</f>
        <v/>
      </c>
      <c r="F1228">
        <f>IF(Skills!N17=TRUE,(Skills!L17/10)*(E1228/1000),Skills!L17/10)+Skills!O17</f>
        <v/>
      </c>
      <c r="G1228">
        <f>Skills!G17*IF(Skills!H17&gt;0,Skills!I17/Skills!H17,1)</f>
        <v/>
      </c>
      <c r="H1228">
        <f>1-(1-Skills!J17/100)^Skills!K17</f>
        <v/>
      </c>
      <c r="I1228" t="inlineStr">
        <is>
          <t>1</t>
        </is>
      </c>
      <c r="J1228" t="inlineStr"/>
      <c r="K1228" t="inlineStr"/>
      <c r="L1228" t="inlineStr"/>
      <c r="M1228" t="inlineStr"/>
      <c r="N1228" t="inlineStr"/>
      <c r="O1228">
        <f>(1-Summary!$B$11)*T1228+Summary!$B$11*V1228</f>
        <v/>
      </c>
      <c r="P1228">
        <f>IF(B1246=0,0,O1228/B1246)</f>
        <v/>
      </c>
      <c r="Q1228" t="n">
        <v>0</v>
      </c>
      <c r="R1228" t="n">
        <v>0</v>
      </c>
      <c r="S1228">
        <f>IFERROR(O1228/N1228,0)</f>
        <v/>
      </c>
      <c r="T1228" t="n">
        <v>0</v>
      </c>
      <c r="V1228" t="n">
        <v>0</v>
      </c>
    </row>
    <row r="1229">
      <c r="A1229">
        <f>Skills!A18</f>
        <v/>
      </c>
      <c r="B1229">
        <f>Skills!B18</f>
        <v/>
      </c>
      <c r="C1229">
        <f>Inputs!$B$3&gt;=33</f>
        <v/>
      </c>
      <c r="D1229">
        <f>IF(Skills!C18=1,60+Inputs!$B$25+Inputs!$B$29,IF(Skills!C18=2,90+Inputs!$B$26+Inputs!$B$29,IF(Skills!C18=3,120+Inputs!$B$27+Inputs!$B$29,MAX(0,(Inputs!$B$3-100)*3)+Inputs!$B$28+Inputs!$B$29)))</f>
        <v/>
      </c>
      <c r="E1229">
        <f>INDEX(FactorTable!$B$2:$Y$301, MATCH(ROUND(MIN(300,MAX(1,D1229)),0), FactorTable!$A$2:$A$301,0), Skills!M18+1)</f>
        <v/>
      </c>
      <c r="F1229">
        <f>IF(Skills!N18=TRUE,(Skills!L18/10)*(E1229/1000),Skills!L18/10)+Skills!O18</f>
        <v/>
      </c>
      <c r="G1229">
        <f>Skills!G18*IF(Skills!H18&gt;0,Skills!I18/Skills!H18,1)</f>
        <v/>
      </c>
      <c r="H1229">
        <f>1-(1-Skills!J18/100)^Skills!K18</f>
        <v/>
      </c>
      <c r="I1229" t="inlineStr">
        <is>
          <t>1</t>
        </is>
      </c>
      <c r="J1229" t="inlineStr"/>
      <c r="K1229" t="inlineStr"/>
      <c r="L1229" t="inlineStr"/>
      <c r="M1229" t="inlineStr"/>
      <c r="N1229" t="inlineStr"/>
      <c r="O1229">
        <f>(1-Summary!$B$11)*T1229+Summary!$B$11*V1229</f>
        <v/>
      </c>
      <c r="P1229">
        <f>IF(B1246=0,0,O1229/B1246)</f>
        <v/>
      </c>
      <c r="Q1229" t="n">
        <v>0</v>
      </c>
      <c r="R1229" t="n">
        <v>0</v>
      </c>
      <c r="S1229">
        <f>IFERROR(O1229/N1229,0)</f>
        <v/>
      </c>
      <c r="T1229" t="n">
        <v>0</v>
      </c>
      <c r="V1229" t="n">
        <v>0</v>
      </c>
    </row>
    <row r="1230">
      <c r="A1230">
        <f>Skills!A19</f>
        <v/>
      </c>
      <c r="B1230">
        <f>Skills!B19</f>
        <v/>
      </c>
      <c r="C1230">
        <f>Inputs!$B$3&gt;=40</f>
        <v/>
      </c>
      <c r="D1230">
        <f>IF(Skills!C19=1,60+Inputs!$B$25+Inputs!$B$29,IF(Skills!C19=2,90+Inputs!$B$26+Inputs!$B$29,IF(Skills!C19=3,120+Inputs!$B$27+Inputs!$B$29,MAX(0,(Inputs!$B$3-100)*3)+Inputs!$B$28+Inputs!$B$29)))</f>
        <v/>
      </c>
      <c r="E1230">
        <f>INDEX(FactorTable!$B$2:$Y$301, MATCH(ROUND(MIN(300,MAX(1,D1230)),0), FactorTable!$A$2:$A$301,0), Skills!M19+1)</f>
        <v/>
      </c>
      <c r="F1230">
        <f>IF(Skills!N19=TRUE,(Skills!L19/10)*(E1230/1000),Skills!L19/10)+Skills!O19</f>
        <v/>
      </c>
      <c r="G1230">
        <f>Skills!G19*IF(Skills!H19&gt;0,Skills!I19/Skills!H19,1)</f>
        <v/>
      </c>
      <c r="H1230">
        <f>1-(1-Skills!J19/100)^Skills!K19</f>
        <v/>
      </c>
      <c r="I1230" t="inlineStr">
        <is>
          <t>1</t>
        </is>
      </c>
      <c r="J1230" t="inlineStr"/>
      <c r="K1230" t="inlineStr"/>
      <c r="L1230" t="inlineStr"/>
      <c r="M1230" t="inlineStr"/>
      <c r="N1230" t="inlineStr"/>
      <c r="O1230">
        <f>(1-Summary!$B$11)*T1230+Summary!$B$11*V1230</f>
        <v/>
      </c>
      <c r="P1230">
        <f>IF(B1246=0,0,O1230/B1246)</f>
        <v/>
      </c>
      <c r="Q1230" t="n">
        <v>0</v>
      </c>
      <c r="R1230" t="n">
        <v>0</v>
      </c>
      <c r="S1230">
        <f>IFERROR(O1230/N1230,0)</f>
        <v/>
      </c>
      <c r="T1230" t="n">
        <v>0</v>
      </c>
      <c r="V1230" t="n">
        <v>0</v>
      </c>
    </row>
    <row r="1231">
      <c r="A1231">
        <f>Skills!A20</f>
        <v/>
      </c>
      <c r="B1231">
        <f>Skills!B20</f>
        <v/>
      </c>
      <c r="C1231">
        <f>Inputs!$B$3&gt;=43</f>
        <v/>
      </c>
      <c r="D1231">
        <f>IF(Skills!C20=1,60+Inputs!$B$25+Inputs!$B$29,IF(Skills!C20=2,90+Inputs!$B$26+Inputs!$B$29,IF(Skills!C20=3,120+Inputs!$B$27+Inputs!$B$29,MAX(0,(Inputs!$B$3-100)*3)+Inputs!$B$28+Inputs!$B$29)))</f>
        <v/>
      </c>
      <c r="E1231">
        <f>INDEX(FactorTable!$B$2:$Y$301, MATCH(ROUND(MIN(300,MAX(1,D1231)),0), FactorTable!$A$2:$A$301,0), Skills!M20+1)</f>
        <v/>
      </c>
      <c r="F1231">
        <f>IF(Skills!N20=TRUE,(Skills!L20/10)*(E1231/1000),Skills!L20/10)+Skills!O20</f>
        <v/>
      </c>
      <c r="G1231">
        <f>Skills!G20*IF(Skills!H20&gt;0,Skills!I20/Skills!H20,1)</f>
        <v/>
      </c>
      <c r="H1231">
        <f>1-(1-Skills!J20/100)^Skills!K20</f>
        <v/>
      </c>
      <c r="I1231" t="inlineStr">
        <is>
          <t>1</t>
        </is>
      </c>
      <c r="J1231" t="inlineStr"/>
      <c r="K1231" t="inlineStr"/>
      <c r="L1231" t="inlineStr"/>
      <c r="M1231" t="inlineStr"/>
      <c r="N1231" t="inlineStr"/>
      <c r="O1231">
        <f>(1-Summary!$B$11)*T1231+Summary!$B$11*V1231</f>
        <v/>
      </c>
      <c r="P1231">
        <f>IF(B1246=0,0,O1231/B1246)</f>
        <v/>
      </c>
      <c r="Q1231" t="n">
        <v>0</v>
      </c>
      <c r="R1231" t="n">
        <v>0</v>
      </c>
      <c r="S1231">
        <f>IFERROR(O1231/N1231,0)</f>
        <v/>
      </c>
      <c r="T1231" t="n">
        <v>0</v>
      </c>
      <c r="V1231" t="n">
        <v>0</v>
      </c>
    </row>
    <row r="1232">
      <c r="A1232">
        <f>Skills!A21</f>
        <v/>
      </c>
      <c r="B1232">
        <f>Skills!B21</f>
        <v/>
      </c>
      <c r="C1232">
        <f>Inputs!$B$3&gt;=38</f>
        <v/>
      </c>
      <c r="D1232">
        <f>IF(Skills!C21=1,60+Inputs!$B$25+Inputs!$B$29,IF(Skills!C21=2,90+Inputs!$B$26+Inputs!$B$29,IF(Skills!C21=3,120+Inputs!$B$27+Inputs!$B$29,MAX(0,(Inputs!$B$3-100)*3)+Inputs!$B$28+Inputs!$B$29)))</f>
        <v/>
      </c>
      <c r="E1232">
        <f>INDEX(FactorTable!$B$2:$Y$301, MATCH(ROUND(MIN(300,MAX(1,D1232)),0), FactorTable!$A$2:$A$301,0), Skills!M21+1)</f>
        <v/>
      </c>
      <c r="F1232">
        <f>IF(Skills!N21=TRUE,(Skills!L21/10)*(E1232/1000),Skills!L21/10)+Skills!O21</f>
        <v/>
      </c>
      <c r="G1232">
        <f>Skills!G21*IF(Skills!H21&gt;0,Skills!I21/Skills!H21,1)</f>
        <v/>
      </c>
      <c r="H1232">
        <f>1-(1-Skills!J21/100)^Skills!K21</f>
        <v/>
      </c>
      <c r="I1232" t="inlineStr">
        <is>
          <t>1</t>
        </is>
      </c>
      <c r="J1232" t="inlineStr"/>
      <c r="K1232" t="inlineStr"/>
      <c r="L1232" t="inlineStr"/>
      <c r="M1232" t="inlineStr"/>
      <c r="N1232" t="inlineStr"/>
      <c r="O1232">
        <f>(1-Summary!$B$11)*T1232+Summary!$B$11*V1232</f>
        <v/>
      </c>
      <c r="P1232">
        <f>IF(B1246=0,0,O1232/B1246)</f>
        <v/>
      </c>
      <c r="Q1232" t="n">
        <v>0</v>
      </c>
      <c r="R1232" t="n">
        <v>0</v>
      </c>
      <c r="S1232">
        <f>IFERROR(O1232/N1232,0)</f>
        <v/>
      </c>
      <c r="T1232" t="n">
        <v>0</v>
      </c>
      <c r="V1232" t="n">
        <v>0</v>
      </c>
    </row>
    <row r="1233">
      <c r="A1233">
        <f>Skills!A22</f>
        <v/>
      </c>
      <c r="B1233">
        <f>Skills!B22</f>
        <v/>
      </c>
      <c r="C1233">
        <f>Inputs!$B$3&gt;=75</f>
        <v/>
      </c>
      <c r="D1233">
        <f>IF(Skills!C22=1,60+Inputs!$B$25+Inputs!$B$29,IF(Skills!C22=2,90+Inputs!$B$26+Inputs!$B$29,IF(Skills!C22=3,120+Inputs!$B$27+Inputs!$B$29,MAX(0,(Inputs!$B$3-100)*3)+Inputs!$B$28+Inputs!$B$29)))</f>
        <v/>
      </c>
      <c r="E1233">
        <f>INDEX(FactorTable!$B$2:$Y$301, MATCH(ROUND(MIN(300,MAX(1,D1233)),0), FactorTable!$A$2:$A$301,0), Skills!M22+1)</f>
        <v/>
      </c>
      <c r="F1233">
        <f>IF(Skills!N22=TRUE,(Skills!L22/10)*(E1233/1000),Skills!L22/10)+Skills!O22</f>
        <v/>
      </c>
      <c r="G1233">
        <f>Skills!G22*IF(Skills!H22&gt;0,Skills!I22/Skills!H22,1)</f>
        <v/>
      </c>
      <c r="H1233">
        <f>1-(1-Skills!J22/100)^Skills!K22</f>
        <v/>
      </c>
      <c r="I1233" t="inlineStr">
        <is>
          <t>1</t>
        </is>
      </c>
      <c r="J1233" t="inlineStr"/>
      <c r="K1233" t="inlineStr"/>
      <c r="L1233" t="inlineStr"/>
      <c r="M1233" t="inlineStr"/>
      <c r="N1233" t="inlineStr"/>
      <c r="O1233">
        <f>(1-Summary!$B$11)*T1233+Summary!$B$11*V1233</f>
        <v/>
      </c>
      <c r="P1233">
        <f>IF(B1246=0,0,O1233/B1246)</f>
        <v/>
      </c>
      <c r="Q1233" t="n">
        <v>0</v>
      </c>
      <c r="R1233" t="n">
        <v>0</v>
      </c>
      <c r="S1233">
        <f>IFERROR(O1233/N1233,0)</f>
        <v/>
      </c>
      <c r="T1233" t="n">
        <v>0</v>
      </c>
      <c r="V1233" t="n">
        <v>0</v>
      </c>
    </row>
    <row r="1235">
      <c r="A1235" t="inlineStr">
        <is>
          <t>Attack% Bucket Multiplier</t>
        </is>
      </c>
      <c r="B1235">
        <f>(1+(((C1224=TRUE)*F1224)+((C1230=TRUE)*(F1230-Calc!F19))+(IF(ArtifactsInput!$M$21,CHOOSE(ArtifactsInput!$N$21+1,25,30,35,40,45,50)*(IF(OR(Inputs!$B$4="Chapter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6">
      <c r="A1236" t="inlineStr">
        <is>
          <t>Global Crit Rate Bonus %</t>
        </is>
      </c>
      <c r="B1236" t="n">
        <v>0</v>
      </c>
    </row>
    <row r="1237">
      <c r="A1237" t="inlineStr">
        <is>
          <t>Attack Speed Buff Bonus % (unused)</t>
        </is>
      </c>
      <c r="B1237" t="n">
        <v>0</v>
      </c>
    </row>
    <row r="1238">
      <c r="A1238" t="inlineStr">
        <is>
          <t>Actions Per Second</t>
        </is>
      </c>
      <c r="B1238">
        <f>1+MIN(150,150*(1-(1-(Inputs!$B$11+((C1228=TRUE)*(F1228-Calc!F17))+((C1229=TRUE)*(F1229-Calc!F18)))/150)*(1-B1237/150)))/100</f>
        <v/>
      </c>
    </row>
    <row r="1239">
      <c r="A1239" t="inlineStr">
        <is>
          <t>Skill + Buff Cast Rate</t>
        </is>
      </c>
      <c r="B1239">
        <f>IF(AND(Inputs!$B$38&lt;&gt;"pvp",Inputs!$B$43&gt;0),SUMPRODUCT((Skills!E2:E22=TRUE)*(C1213:C1233=TRUE)*R1213:R1233*Skills!F2:F22)/Inputs!$B$43,SUMPRODUCT((Skills!E2:E22=TRUE)*(C1213:C1233=TRUE)*Q1213:Q1233*Skills!F2:F22))</f>
        <v/>
      </c>
    </row>
    <row r="1240">
      <c r="A1240" t="inlineStr">
        <is>
          <t>Hook Bomber Casts Per Second</t>
        </is>
      </c>
      <c r="B1240">
        <f>MAX(0,B1238-B1239)</f>
        <v/>
      </c>
    </row>
    <row r="1241">
      <c r="A1241" t="inlineStr">
        <is>
          <t>Global Critical Damage Bonus % (unused)</t>
        </is>
      </c>
      <c r="B1241" t="n">
        <v>0</v>
      </c>
    </row>
    <row r="1242">
      <c r="A1242" t="inlineStr">
        <is>
          <t>Global Final Damage Bonus % (Serpent Scale + Crossbones + Time Leap + Speed Infusion)</t>
        </is>
      </c>
      <c r="B1242">
        <f>((C1216=TRUE)*F1216*((10+IF(Inputs!$B$3&gt;=94,5,0))/((10+IF(Inputs!$B$3&gt;=94,5,0))+5/(B1240*(1+IF(Inputs!$B$3&gt;=104,1,0))))))+((C1225=TRUE)*F1225)+((C1226=TRUE)*F1226)+((Inputs!$B$3&gt;=110)*20*(B1238-1))</f>
        <v/>
      </c>
    </row>
    <row r="1243">
      <c r="A1243" t="inlineStr">
        <is>
          <t>Buff-Casting Startup Delay (s, fixed-duration only)</t>
        </is>
      </c>
      <c r="B1243">
        <f>IF(AND(Inputs!$B$38&lt;&gt;"pvp",Inputs!$B$43&gt;0),SUMPRODUCT((Skills!T2:T22&gt;0)*(Skills!E2:E22=TRUE)*(C1213:C1233=TRUE))/B1238,0)</f>
        <v/>
      </c>
    </row>
    <row r="1244">
      <c r="A1244" t="inlineStr">
        <is>
          <t>Boss-Only Total DPS (this block's swept value)</t>
        </is>
      </c>
      <c r="B1244">
        <f>SUM(T1213:T1233)</f>
        <v/>
      </c>
    </row>
    <row r="1245">
      <c r="A1245" t="inlineStr">
        <is>
          <t>Normal-Only Total DPS (this block's swept value)</t>
        </is>
      </c>
      <c r="B1245">
        <f>SUM(V1213:V1233)</f>
        <v/>
      </c>
    </row>
    <row r="1246">
      <c r="A1246" s="6" t="inlineStr">
        <is>
          <t>TOTAL DPS</t>
        </is>
      </c>
      <c r="B1246" s="6">
        <f>SUM(O1213:O1233)</f>
        <v/>
      </c>
    </row>
    <row r="1249">
      <c r="A1249" s="6" t="inlineStr">
        <is>
          <t>Stat: Hexagon Necklace (Equip)</t>
        </is>
      </c>
    </row>
    <row r="1250">
      <c r="A1250" s="5" t="inlineStr">
        <is>
          <t>Key</t>
        </is>
      </c>
      <c r="B1250" s="5" t="inlineStr">
        <is>
          <t>Name</t>
        </is>
      </c>
      <c r="C1250" s="5" t="inlineStr">
        <is>
          <t>Unlocked</t>
        </is>
      </c>
      <c r="D1250" s="5" t="inlineStr">
        <is>
          <t>InputLevel</t>
        </is>
      </c>
      <c r="E1250" s="5" t="inlineStr">
        <is>
          <t>Factor</t>
        </is>
      </c>
      <c r="F1250" s="5" t="inlineStr">
        <is>
          <t>CoefficientPercent</t>
        </is>
      </c>
      <c r="G1250" s="5" t="inlineStr">
        <is>
          <t>EffectiveHits</t>
        </is>
      </c>
      <c r="H1250" s="5" t="inlineStr">
        <is>
          <t>ProcProbability</t>
        </is>
      </c>
      <c r="I1250" s="5" t="inlineStr">
        <is>
          <t>MapleHeroMultiplier</t>
        </is>
      </c>
      <c r="J1250" s="5" t="inlineStr">
        <is>
          <t>BaseDamage</t>
        </is>
      </c>
      <c r="K1250" s="5" t="inlineStr">
        <is>
          <t>BaseHitDamage</t>
        </is>
      </c>
      <c r="L1250" s="5" t="inlineStr">
        <is>
          <t>NonCritAvg</t>
        </is>
      </c>
      <c r="M1250" s="5" t="inlineStr">
        <is>
          <t>CritAvg</t>
        </is>
      </c>
      <c r="N1250" s="5" t="inlineStr">
        <is>
          <t>ExpectedDamage(perHit)</t>
        </is>
      </c>
      <c r="O1250" s="5" t="inlineStr">
        <is>
          <t>DPS</t>
        </is>
      </c>
      <c r="P1250" s="5" t="inlineStr">
        <is>
          <t>% of Total</t>
        </is>
      </c>
      <c r="Q1250" s="5" t="inlineStr">
        <is>
          <t>InvCooldown</t>
        </is>
      </c>
      <c r="R1250" s="5" t="inlineStr">
        <is>
          <t>CastsInFight</t>
        </is>
      </c>
      <c r="S1250" s="5" t="inlineStr">
        <is>
          <t>HitRate(perSec)</t>
        </is>
      </c>
      <c r="U1250" t="inlineStr">
        <is>
          <t>helpers</t>
        </is>
      </c>
    </row>
    <row r="1251">
      <c r="A1251">
        <f>Skills!A2</f>
        <v/>
      </c>
      <c r="B1251">
        <f>Skills!B2</f>
        <v/>
      </c>
      <c r="C1251">
        <f>Inputs!$B$3&gt;=100</f>
        <v/>
      </c>
      <c r="D1251" t="inlineStr"/>
      <c r="E1251" t="inlineStr"/>
      <c r="F1251">
        <f>U1253+Skills!O2</f>
        <v/>
      </c>
      <c r="G1251">
        <f>Skills!G2*IF(Skills!H2&gt;0,Skills!I2/Skills!H2,1)</f>
        <v/>
      </c>
      <c r="H1251">
        <f>1-(1-Skills!J2/100)^Skills!K2</f>
        <v/>
      </c>
      <c r="I1251" t="inlineStr">
        <is>
          <t>1</t>
        </is>
      </c>
      <c r="J1251">
        <f>((Inputs!$B$6*(1+Inputs!$B$7/100))+(((Inputs!$B$12*(1+Inputs!$B$13/100))-(Inputs!$B$12*(1+Inputs!$B$13/100)))+0.25*(Inputs!$B$14-Inputs!$B$14))*(1+Inputs!$B$7/100))*(F1251/100)</f>
        <v/>
      </c>
      <c r="K1251">
        <f>J1251*(1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1269=TRUE)*(F1269-Calc!F20)),(Inputs!$B$23+0+(IF(ArtifactsInput!$M$15,CHOOSE(ArtifactsInput!$N$15+1,25,30,35,40,45,50)/100*(Inputs!$B$11-Inputs!$B$11),0))))/100+(Inputs!$B$23+0+(IF(ArtifactsInput!$M$15,CHOOSE(ArtifactsInput!$N$15+1,25,30,35,40,45,50)/100*(Inputs!$B$11-Inputs!$B$11),0)))/100)/2</f>
        <v/>
      </c>
      <c r="M1251">
        <f>L1251*(1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IF(B1284=0,0,O1251/B1284)</f>
        <v/>
      </c>
      <c r="Q1251" t="n">
        <v>0</v>
      </c>
      <c r="R1251" t="n">
        <v>0</v>
      </c>
      <c r="S1251">
        <f>IFERROR(O1251/N1251,0)</f>
        <v/>
      </c>
      <c r="T1251">
        <f>IF(C1251,(Skills!G2*N1251*B1278)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51">
        <f>MAX(0,(Inputs!$B$3-100)*3)+Inputs!$B$28+Inputs!$B$29</f>
        <v/>
      </c>
      <c r="V1251">
        <f>IF(C1251,(Skills!G2*N1251*B1278)*IF(Inputs!$B$38="pvp",1,(1+(Inputs!$B$21+Skills!Q2+(IF(ArtifactsInput!$M$33,CHOOSE(ArtifactsInput!$N$33+1,30,36,42,48,54,60),0))+(IF(AND(ArtifactsInput!$M$35,Inputs!$B$4&lt;&gt;"Chapter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Skills!A3</f>
        <v/>
      </c>
      <c r="B1252">
        <f>Skills!B3</f>
        <v/>
      </c>
      <c r="C1252">
        <f>Inputs!$B$3&gt;=35</f>
        <v/>
      </c>
      <c r="D1252">
        <f>IF(Skills!C3=1,60+Inputs!$B$25+Inputs!$B$29,IF(Skills!C3=2,90+Inputs!$B$26+Inputs!$B$29,IF(Skills!C3=3,120+Inputs!$B$27+Inputs!$B$29,MAX(0,(Inputs!$B$3-100)*3)+Inputs!$B$28+Inputs!$B$29)))</f>
        <v/>
      </c>
      <c r="E1252">
        <f>INDEX(FactorTable!$B$2:$Y$301, MATCH(ROUND(MIN(300,MAX(1,D1252)),0), FactorTable!$A$2:$A$301,0), Skills!M3+1)</f>
        <v/>
      </c>
      <c r="F1252">
        <f>IF(Skills!N3=TRUE,(Skills!L3/10)*(E1252/1000),Skills!L3/10)+Skills!O3</f>
        <v/>
      </c>
      <c r="G1252">
        <f>Skills!G3*IF(Skills!H3&gt;0,Skills!I3/Skills!H3,1)</f>
        <v/>
      </c>
      <c r="H1252">
        <f>1-(1-Skills!J3/100)^Skills!K3</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1269=TRUE)*(F1269-Calc!F20)),(Inputs!$B$23+0+(IF(ArtifactsInput!$M$15,CHOOSE(ArtifactsInput!$N$15+1,25,30,35,40,45,50)/100*(Inputs!$B$11-Inputs!$B$11),0))))/100+(Inputs!$B$23+0+(IF(ArtifactsInput!$M$15,CHOOSE(ArtifactsInput!$N$15+1,25,30,35,40,45,50)/100*(Inputs!$B$11-Inputs!$B$11),0)))/100)/2</f>
        <v/>
      </c>
      <c r="M1252">
        <f>L1252*(1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IF(B1284=0,0,O1252/B1284)</f>
        <v/>
      </c>
      <c r="Q1252" t="n">
        <v>0</v>
      </c>
      <c r="R1252" t="n">
        <v>0</v>
      </c>
      <c r="S1252">
        <f>IFERROR(O1252/N1252,0)</f>
        <v/>
      </c>
      <c r="T1252">
        <f>IF(C1252,(Skills!G3*H1252*N1252*B1278)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52">
        <f>INDEX(FactorTable!$B$2:$Y$301, MATCH(ROUND(MIN(300,MAX(1,U1251)),0), FactorTable!$A$2:$A$301,0), 22)</f>
        <v/>
      </c>
      <c r="V1252">
        <f>IF(C1252,(Skills!G3*H1252*N1252*B1278)*IF(Inputs!$B$38="pvp",1,(1+(Inputs!$B$21+Skills!Q3+(IF(ArtifactsInput!$M$33,CHOOSE(ArtifactsInput!$N$33+1,30,36,42,48,54,60),0))+(IF(AND(ArtifactsInput!$M$35,Inputs!$B$4&lt;&gt;"Chapter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Skills!A4</f>
        <v/>
      </c>
      <c r="B1253">
        <f>Skills!B4</f>
        <v/>
      </c>
      <c r="C1253">
        <f>Inputs!$B$3&gt;=60</f>
        <v/>
      </c>
      <c r="D1253">
        <f>IF(Skills!C4=1,60+Inputs!$B$25+Inputs!$B$29,IF(Skills!C4=2,90+Inputs!$B$26+Inputs!$B$29,IF(Skills!C4=3,120+Inputs!$B$27+Inputs!$B$29,MAX(0,(Inputs!$B$3-100)*3)+Inputs!$B$28+Inputs!$B$29)))</f>
        <v/>
      </c>
      <c r="E1253">
        <f>INDEX(FactorTable!$B$2:$Y$301, MATCH(ROUND(MIN(300,MAX(1,D1253)),0), FactorTable!$A$2:$A$301,0), Skills!M4+1)</f>
        <v/>
      </c>
      <c r="F1253">
        <f>IF(Skills!N4=TRUE,(Skills!L4/10)*(E1253/1000),Skills!L4/10)+Skills!O4</f>
        <v/>
      </c>
      <c r="G1253">
        <f>Skills!G4*IF(Skills!H4&gt;0,Skills!I4/Skills!H4,1)</f>
        <v/>
      </c>
      <c r="H1253">
        <f>1-(1-Skills!J4/100)^Skills!K4</f>
        <v/>
      </c>
      <c r="I1253" t="inlineStr">
        <is>
          <t>1</t>
        </is>
      </c>
      <c r="J1253">
        <f>((Inputs!$B$6*(1+Inputs!$B$7/100))+(((Inputs!$B$12*(1+Inputs!$B$13/100))-(Inputs!$B$12*(1+Inputs!$B$13/100)))+0.25*(Inputs!$B$14-Inputs!$B$14))*(1+Inputs!$B$7/100))*(F1253/100)</f>
        <v/>
      </c>
      <c r="K1253">
        <f>J1253*(1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1261=TRUE,F1261,0)/100)*(1+(IF(Skills!A4="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1253)</f>
        <v/>
      </c>
      <c r="L1253">
        <f>K1253*(MIN(Inputs!$B$22+((C1269=TRUE)*(F1269-Calc!F20)),(Inputs!$B$23+0+(IF(ArtifactsInput!$M$15,CHOOSE(ArtifactsInput!$N$15+1,25,30,35,40,45,50)/100*(Inputs!$B$11-Inputs!$B$11),0))))/100+(Inputs!$B$23+0+(IF(ArtifactsInput!$M$15,CHOOSE(ArtifactsInput!$N$15+1,25,30,35,40,45,50)/100*(Inputs!$B$11-Inputs!$B$11),0)))/100)/2</f>
        <v/>
      </c>
      <c r="M1253">
        <f>L1253*(1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3">
        <f>L1253*(1-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1253*(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3">
        <f>(1-Summary!$B$11)*T1253+Summary!$B$11*V1253</f>
        <v/>
      </c>
      <c r="P1253">
        <f>IF(B1284=0,0,O1253/B1284)</f>
        <v/>
      </c>
      <c r="Q1253" t="n">
        <v>0</v>
      </c>
      <c r="R1253" t="n">
        <v>0</v>
      </c>
      <c r="S1253">
        <f>IFERROR(O1253/N1253,0)</f>
        <v/>
      </c>
      <c r="T1253">
        <f>IF(C1253,(Skills!G4*H1253*N1253*B1278)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1253*(1-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1253*(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1253*(1-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1253*(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53">
        <f>290*U1252/1000</f>
        <v/>
      </c>
      <c r="V1253">
        <f>IF(C1253,(Skills!G4*H1253*N1253*B1278)*IF(Inputs!$B$38="pvp",1,(1+(Inputs!$B$21+Skills!Q4+(IF(ArtifactsInput!$M$33,CHOOSE(ArtifactsInput!$N$33+1,30,36,42,48,54,60),0))+(IF(AND(ArtifactsInput!$M$35,Inputs!$B$4&lt;&gt;"Chapter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4">
      <c r="A1254">
        <f>Skills!A5</f>
        <v/>
      </c>
      <c r="B1254">
        <f>Skills!B5</f>
        <v/>
      </c>
      <c r="C1254">
        <f>Inputs!$B$3&gt;=60</f>
        <v/>
      </c>
      <c r="D1254">
        <f>IF(Skills!C5=1,60+Inputs!$B$25+Inputs!$B$29,IF(Skills!C5=2,90+Inputs!$B$26+Inputs!$B$29,IF(Skills!C5=3,120+Inputs!$B$27+Inputs!$B$29,MAX(0,(Inputs!$B$3-100)*3)+Inputs!$B$28+Inputs!$B$29)))</f>
        <v/>
      </c>
      <c r="E1254">
        <f>INDEX(FactorTable!$B$2:$Y$301, MATCH(ROUND(MIN(300,MAX(1,D1254)),0), FactorTable!$A$2:$A$301,0), Skills!M5+1)</f>
        <v/>
      </c>
      <c r="F1254">
        <f>IF(Skills!N5=TRUE,(Skills!L5/10)*(E1254/1000),Skills!L5/10)+Skills!O5</f>
        <v/>
      </c>
      <c r="G1254">
        <f>Skills!G5*IF(Skills!H5&gt;0,Skills!I5/Skills!H5,1)</f>
        <v/>
      </c>
      <c r="H1254">
        <f>1-(1-Skills!J5/100)^Skills!K5</f>
        <v/>
      </c>
      <c r="I1254" t="inlineStr">
        <is>
          <t>1</t>
        </is>
      </c>
      <c r="J1254" t="inlineStr"/>
      <c r="K1254" t="inlineStr"/>
      <c r="L1254" t="inlineStr"/>
      <c r="M1254" t="inlineStr"/>
      <c r="N1254" t="inlineStr"/>
      <c r="O1254">
        <f>(1-Summary!$B$11)*T1254+Summary!$B$11*V1254</f>
        <v/>
      </c>
      <c r="P1254">
        <f>IF(B1284=0,0,O1254/B1284)</f>
        <v/>
      </c>
      <c r="Q1254" t="n">
        <v>0</v>
      </c>
      <c r="R1254" t="n">
        <v>0</v>
      </c>
      <c r="S1254">
        <f>IFERROR(O1254/N1254,0)</f>
        <v/>
      </c>
      <c r="T1254" t="n">
        <v>0</v>
      </c>
      <c r="V1254" t="n">
        <v>0</v>
      </c>
    </row>
    <row r="1255">
      <c r="A1255">
        <f>Skills!A6</f>
        <v/>
      </c>
      <c r="B1255">
        <f>Skills!B6</f>
        <v/>
      </c>
      <c r="C1255">
        <f>Inputs!$B$3&gt;=63</f>
        <v/>
      </c>
      <c r="D1255">
        <f>IF(Skills!C6=1,60+Inputs!$B$25+Inputs!$B$29,IF(Skills!C6=2,90+Inputs!$B$26+Inputs!$B$29,IF(Skills!C6=3,120+Inputs!$B$27+Inputs!$B$29,MAX(0,(Inputs!$B$3-100)*3)+Inputs!$B$28+Inputs!$B$29)))</f>
        <v/>
      </c>
      <c r="E1255">
        <f>INDEX(FactorTable!$B$2:$Y$301, MATCH(ROUND(MIN(300,MAX(1,D1255)),0), FactorTable!$A$2:$A$301,0), Skills!M6+1)</f>
        <v/>
      </c>
      <c r="F1255">
        <f>IF(Skills!N6=TRUE,(Skills!L6/10)*(E1255/1000),Skills!L6/10)+Skills!O6</f>
        <v/>
      </c>
      <c r="G1255">
        <f>Skills!G6*IF(Skills!H6&gt;0,Skills!I6/Skills!H6,1)</f>
        <v/>
      </c>
      <c r="H1255">
        <f>1-(1-Skills!J6/100)^Skills!K6</f>
        <v/>
      </c>
      <c r="I1255" t="inlineStr">
        <is>
          <t>1</t>
        </is>
      </c>
      <c r="J1255">
        <f>((Inputs!$B$6*(1+Inputs!$B$7/100))+(((Inputs!$B$12*(1+Inputs!$B$13/100))-(Inputs!$B$12*(1+Inputs!$B$13/100)))+0.25*(Inputs!$B$14-Inputs!$B$14))*(1+Inputs!$B$7/100))*(F1255/100)</f>
        <v/>
      </c>
      <c r="K1255">
        <f>J1255*(1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1255)</f>
        <v/>
      </c>
      <c r="L1255">
        <f>K1255*(MIN(Inputs!$B$22+((C1269=TRUE)*(F1269-Calc!F20)),(Inputs!$B$23+0+(IF(ArtifactsInput!$M$15,CHOOSE(ArtifactsInput!$N$15+1,25,30,35,40,45,50)/100*(Inputs!$B$11-Inputs!$B$11),0))))/100+(Inputs!$B$23+0+(IF(ArtifactsInput!$M$15,CHOOSE(ArtifactsInput!$N$15+1,25,30,35,40,45,50)/100*(Inputs!$B$11-Inputs!$B$11),0)))/100)/2</f>
        <v/>
      </c>
      <c r="M1255">
        <f>L1255*(1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IF(B1284=0,0,O1255/B1284)</f>
        <v/>
      </c>
      <c r="Q1255">
        <f>IFERROR(1/(IF(Inputs!$B$38="pvp",15,MAX(0.1,Skills!D6-IF(Skills!E6=TRUE,Inputs!$B$32,0)))*(1-IF(AND(ArtifactsInput!$M$27,Inputs!$B$4="Chapter Hunt"),CHOOSE(ArtifactsInput!$N$27+1,20,24,28,32,36,40),0)/100)),0)</f>
        <v/>
      </c>
      <c r="R1255">
        <f>IF(AND(Inputs!$B$38&lt;&gt;"pvp",Inputs!$B$43&gt;0),IF(MAX(0,Inputs!$B$43-B1281)&lt;=0,0,(INT(MAX(0,Inputs!$B$43-B1281)/(IF(Inputs!$B$38="pvp",15,MAX(0.1,Skills!D6-IF(Skills!E6=TRUE,Inputs!$B$32,0)))*(1-IF(AND(ArtifactsInput!$M$27,Inputs!$B$4="Chapter Hunt"),CHOOSE(ArtifactsInput!$N$27+1,20,24,28,32,36,40),0)/100)))+1)),0)</f>
        <v/>
      </c>
      <c r="S1255">
        <f>IFERROR(O1255/N1255,0)</f>
        <v/>
      </c>
      <c r="T1255">
        <f>IF(C1255,(H1255*N1255*IF(AND(Inputs!$B$38&lt;&gt;"pvp",Inputs!$B$43&gt;0),((Skills!G6*((R1255-1)*IF(Skills!H6&gt;0,Skills!I6/Skills!H6,1)+IF(Skills!H6&gt;0,MIN(Skills!I6,MAX(0,MAX(0,Inputs!$B$43-B1281)-((R1255-1)*(IF(Inputs!$B$38="pvp",15,MAX(0.1,Skills!D6-IF(Skills!E6=TRUE,Inputs!$B$32,0)))*(1-IF(AND(ArtifactsInput!$M$27,Inputs!$B$4="Chapter Hunt"),CHOOSE(ArtifactsInput!$N$27+1,20,24,28,32,36,40),0)/100)))))/Skills!H6,1)))/Inputs!$B$43),G1255*Q1255)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1255*(1-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6*((R1255-1)*IF(Skills!H6&gt;0,Skills!I6/Skills!H6,1)+IF(Skills!H6&gt;0,MIN(Skills!I6,MAX(0,MAX(0,Inputs!$B$43-B1281)-((R1255-1)*(IF(Inputs!$B$38="pvp",15,MAX(0.1,Skills!D6-IF(Skills!E6=TRUE,Inputs!$B$32,0)))*(1-IF(AND(ArtifactsInput!$M$27,Inputs!$B$4="Chapter Hunt"),CHOOSE(ArtifactsInput!$N$27+1,20,24,28,32,36,40),0)/100)))))/Skills!H6,1)))/Inputs!$B$43),G1255*Q1255))*IF(Inputs!$B$38="pvp",1,(1+(Inputs!$B$21+Skills!Q6+(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Skills!A7</f>
        <v/>
      </c>
      <c r="B1256">
        <f>Skills!B7</f>
        <v/>
      </c>
      <c r="C1256">
        <f>Inputs!$B$3&gt;=100</f>
        <v/>
      </c>
      <c r="D1256">
        <f>IF(Skills!C7=1,60+Inputs!$B$25+Inputs!$B$29,IF(Skills!C7=2,90+Inputs!$B$26+Inputs!$B$29,IF(Skills!C7=3,120+Inputs!$B$27+Inputs!$B$29,MAX(0,(Inputs!$B$3-100)*3)+Inputs!$B$28+Inputs!$B$29)))</f>
        <v/>
      </c>
      <c r="E1256">
        <f>INDEX(FactorTable!$B$2:$Y$301, MATCH(ROUND(MIN(300,MAX(1,D1256)),0), FactorTable!$A$2:$A$301,0), Skills!M7+1)</f>
        <v/>
      </c>
      <c r="F1256">
        <f>IF(Skills!N7=TRUE,(Skills!L7/10)*(E1256/1000),Skills!L7/10)+Skills!O7</f>
        <v/>
      </c>
      <c r="G1256">
        <f>Skills!G7*IF(Skills!H7&gt;0,Skills!I7/Skills!H7,1)</f>
        <v/>
      </c>
      <c r="H1256">
        <f>1-(1-Skills!J7/100)^Skills!K7</f>
        <v/>
      </c>
      <c r="I1256" t="inlineStr">
        <is>
          <t>1</t>
        </is>
      </c>
      <c r="J1256">
        <f>((Inputs!$B$6*(1+Inputs!$B$7/100))+(((Inputs!$B$12*(1+Inputs!$B$13/100))-(Inputs!$B$12*(1+Inputs!$B$13/100)))+0.25*(Inputs!$B$14-Inputs!$B$14))*(1+Inputs!$B$7/100))*(F1256/100)</f>
        <v/>
      </c>
      <c r="K1256">
        <f>J1256*(1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1256)</f>
        <v/>
      </c>
      <c r="L1256">
        <f>K1256*(MIN(Inputs!$B$22+((C1269=TRUE)*(F1269-Calc!F20)),(Inputs!$B$23+0+(IF(ArtifactsInput!$M$15,CHOOSE(ArtifactsInput!$N$15+1,25,30,35,40,45,50)/100*(Inputs!$B$11-Inputs!$B$11),0))))/100+(Inputs!$B$23+0+(IF(ArtifactsInput!$M$15,CHOOSE(ArtifactsInput!$N$15+1,25,30,35,40,45,50)/100*(Inputs!$B$11-Inputs!$B$11),0)))/100)/2</f>
        <v/>
      </c>
      <c r="M1256">
        <f>L1256*(1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IF(B1284=0,0,O1256/B1284)</f>
        <v/>
      </c>
      <c r="Q1256">
        <f>IFERROR(1/(IF(Inputs!$B$38="pvp",15,MAX(0.1,Skills!D7-IF(Skills!E7=TRUE,Inputs!$B$32,0)))*(1-IF(AND(ArtifactsInput!$M$27,Inputs!$B$4="Chapter Hunt"),CHOOSE(ArtifactsInput!$N$27+1,20,24,28,32,36,40),0)/100)),0)</f>
        <v/>
      </c>
      <c r="R1256">
        <f>IF(AND(Inputs!$B$38&lt;&gt;"pvp",Inputs!$B$43&gt;0),IF(MAX(0,Inputs!$B$43-B1281)&lt;=0,0,(INT(MAX(0,Inputs!$B$43-B1281)/(IF(Inputs!$B$38="pvp",15,MAX(0.1,Skills!D7-IF(Skills!E7=TRUE,Inputs!$B$32,0)))*(1-IF(AND(ArtifactsInput!$M$27,Inputs!$B$4="Chapter Hunt"),CHOOSE(ArtifactsInput!$N$27+1,20,24,28,32,36,40),0)/100)))+1)),0)</f>
        <v/>
      </c>
      <c r="S1256">
        <f>IFERROR(O1256/N1256,0)</f>
        <v/>
      </c>
      <c r="T1256">
        <f>IF(C1256,(H1256*N1256*IF(AND(Inputs!$B$38&lt;&gt;"pvp",Inputs!$B$43&gt;0),((Skills!G7*((R1256-1)*IF(Skills!H7&gt;0,Skills!I7/Skills!H7,1)+IF(Skills!H7&gt;0,MIN(Skills!I7,MAX(0,MAX(0,Inputs!$B$43-B1281)-((R1256-1)*(IF(Inputs!$B$38="pvp",15,MAX(0.1,Skills!D7-IF(Skills!E7=TRUE,Inputs!$B$32,0)))*(1-IF(AND(ArtifactsInput!$M$27,Inputs!$B$4="Chapter Hunt"),CHOOSE(ArtifactsInput!$N$27+1,20,24,28,32,36,40),0)/100)))))/Skills!H7,1)))/Inputs!$B$43),G1256*Q1256)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1256*(1-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7*((R1256-1)*IF(Skills!H7&gt;0,Skills!I7/Skills!H7,1)+IF(Skills!H7&gt;0,MIN(Skills!I7,MAX(0,MAX(0,Inputs!$B$43-B1281)-((R1256-1)*(IF(Inputs!$B$38="pvp",15,MAX(0.1,Skills!D7-IF(Skills!E7=TRUE,Inputs!$B$32,0)))*(1-IF(AND(ArtifactsInput!$M$27,Inputs!$B$4="Chapter Hunt"),CHOOSE(ArtifactsInput!$N$27+1,20,24,28,32,36,40),0)/100)))))/Skills!H7,1)))/Inputs!$B$43),G1256*Q1256))*IF(Inputs!$B$38="pvp",1,(1+(Inputs!$B$21+Skills!Q7+(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Skills!A8</f>
        <v/>
      </c>
      <c r="B1257">
        <f>Skills!B8</f>
        <v/>
      </c>
      <c r="C1257">
        <f>Inputs!$B$3&gt;=110</f>
        <v/>
      </c>
      <c r="D1257">
        <f>IF(Skills!C8=1,60+Inputs!$B$25+Inputs!$B$29,IF(Skills!C8=2,90+Inputs!$B$26+Inputs!$B$29,IF(Skills!C8=3,120+Inputs!$B$27+Inputs!$B$29,MAX(0,(Inputs!$B$3-100)*3)+Inputs!$B$28+Inputs!$B$29)))</f>
        <v/>
      </c>
      <c r="E1257">
        <f>INDEX(FactorTable!$B$2:$Y$301, MATCH(ROUND(MIN(300,MAX(1,D1257)),0), FactorTable!$A$2:$A$301,0), Skills!M8+1)</f>
        <v/>
      </c>
      <c r="F1257">
        <f>IF(Skills!N8=TRUE,(Skills!L8/10)*(E1257/1000),Skills!L8/10)+Skills!O8</f>
        <v/>
      </c>
      <c r="G1257">
        <f>Skills!G8*IF(Skills!H8&gt;0,Skills!I8/Skills!H8,1)</f>
        <v/>
      </c>
      <c r="H1257">
        <f>1-(1-Skills!J8/100)^Skills!K8</f>
        <v/>
      </c>
      <c r="I1257" t="inlineStr">
        <is>
          <t>1</t>
        </is>
      </c>
      <c r="J1257">
        <f>((Inputs!$B$6*(1+Inputs!$B$7/100))+(((Inputs!$B$12*(1+Inputs!$B$13/100))-(Inputs!$B$12*(1+Inputs!$B$13/100)))+0.25*(Inputs!$B$14-Inputs!$B$14))*(1+Inputs!$B$7/100))*(F1257/100)</f>
        <v/>
      </c>
      <c r="K1257">
        <f>J1257*(1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1257)</f>
        <v/>
      </c>
      <c r="L1257">
        <f>K1257*(MIN(Inputs!$B$22+((C1269=TRUE)*(F1269-Calc!F20)),(Inputs!$B$23+0+(IF(ArtifactsInput!$M$15,CHOOSE(ArtifactsInput!$N$15+1,25,30,35,40,45,50)/100*(Inputs!$B$11-Inputs!$B$11),0))))/100+(Inputs!$B$23+0+(IF(ArtifactsInput!$M$15,CHOOSE(ArtifactsInput!$N$15+1,25,30,35,40,45,50)/100*(Inputs!$B$11-Inputs!$B$11),0)))/100)/2</f>
        <v/>
      </c>
      <c r="M1257">
        <f>L1257*(1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7">
        <f>L1257*(1-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1257*(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7">
        <f>(1-Summary!$B$11)*T1257+Summary!$B$11*V1257</f>
        <v/>
      </c>
      <c r="P1257">
        <f>IF(B1284=0,0,O1257/B1284)</f>
        <v/>
      </c>
      <c r="Q1257">
        <f>IFERROR(1/(IF(Inputs!$B$38="pvp",15,MAX(0.1,Skills!D8-IF(Skills!E8=TRUE,Inputs!$B$32,0)))*(1-IF(AND(ArtifactsInput!$M$27,Inputs!$B$4="Chapter Hunt"),CHOOSE(ArtifactsInput!$N$27+1,20,24,28,32,36,40),0)/100)),0)</f>
        <v/>
      </c>
      <c r="R1257">
        <f>IF(AND(Inputs!$B$38&lt;&gt;"pvp",Inputs!$B$43&gt;0),IF(MAX(0,Inputs!$B$43-B1281)&lt;=0,0,(INT(MAX(0,Inputs!$B$43-B1281)/(IF(Inputs!$B$38="pvp",15,MAX(0.1,Skills!D8-IF(Skills!E8=TRUE,Inputs!$B$32,0)))*(1-IF(AND(ArtifactsInput!$M$27,Inputs!$B$4="Chapter Hunt"),CHOOSE(ArtifactsInput!$N$27+1,20,24,28,32,36,40),0)/100)))+1)),0)</f>
        <v/>
      </c>
      <c r="S1257">
        <f>IFERROR(O1257/N1257,0)</f>
        <v/>
      </c>
      <c r="T1257">
        <f>IF(C1257,(H1257*N1257*IF(AND(Inputs!$B$38&lt;&gt;"pvp",Inputs!$B$43&gt;0),((Skills!G8*((R1257-1)*IF(Skills!H8&gt;0,Skills!I8/Skills!H8,1)+IF(Skills!H8&gt;0,MIN(Skills!I8,MAX(0,MAX(0,Inputs!$B$43-B1281)-((R1257-1)*(IF(Inputs!$B$38="pvp",15,MAX(0.1,Skills!D8-IF(Skills!E8=TRUE,Inputs!$B$32,0)))*(1-IF(AND(ArtifactsInput!$M$27,Inputs!$B$4="Chapter Hunt"),CHOOSE(ArtifactsInput!$N$27+1,20,24,28,32,36,40),0)/100)))))/Skills!H8,1)))/Inputs!$B$43),G1257*Q1257)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1257*(1-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1257*(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1257*(1-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1257*(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7">
        <f>IF(C1257,(H1257*N1257*IF(AND(Inputs!$B$38&lt;&gt;"pvp",Inputs!$B$43&gt;0),((Skills!G8*((R1257-1)*IF(Skills!H8&gt;0,Skills!I8/Skills!H8,1)+IF(Skills!H8&gt;0,MIN(Skills!I8,MAX(0,MAX(0,Inputs!$B$43-B1281)-((R1257-1)*(IF(Inputs!$B$38="pvp",15,MAX(0.1,Skills!D8-IF(Skills!E8=TRUE,Inputs!$B$32,0)))*(1-IF(AND(ArtifactsInput!$M$27,Inputs!$B$4="Chapter Hunt"),CHOOSE(ArtifactsInput!$N$27+1,20,24,28,32,36,40),0)/100)))))/Skills!H8,1)))/Inputs!$B$43),G1257*Q1257))*IF(Inputs!$B$38="pvp",1,(1+(Inputs!$B$21+Skills!Q8+(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8">
      <c r="A1258">
        <f>Skills!A9</f>
        <v/>
      </c>
      <c r="B1258">
        <f>Skills!B9</f>
        <v/>
      </c>
      <c r="C1258">
        <f>Inputs!$B$3&gt;=110</f>
        <v/>
      </c>
      <c r="D1258">
        <f>IF(Skills!C9=1,60+Inputs!$B$25+Inputs!$B$29,IF(Skills!C9=2,90+Inputs!$B$26+Inputs!$B$29,IF(Skills!C9=3,120+Inputs!$B$27+Inputs!$B$29,MAX(0,(Inputs!$B$3-100)*3)+Inputs!$B$28+Inputs!$B$29)))</f>
        <v/>
      </c>
      <c r="E1258">
        <f>INDEX(FactorTable!$B$2:$Y$301, MATCH(ROUND(MIN(300,MAX(1,D1258)),0), FactorTable!$A$2:$A$301,0), Skills!M9+1)</f>
        <v/>
      </c>
      <c r="F1258">
        <f>IF(Skills!N9=TRUE,(Skills!L9/10)*(E1258/1000),Skills!L9/10)+Skills!O9</f>
        <v/>
      </c>
      <c r="G1258">
        <f>Skills!G9*IF(Skills!H9&gt;0,Skills!I9/Skills!H9,1)</f>
        <v/>
      </c>
      <c r="H1258">
        <f>1-(1-Skills!J9/100)^Skills!K9</f>
        <v/>
      </c>
      <c r="I1258" t="inlineStr">
        <is>
          <t>1</t>
        </is>
      </c>
      <c r="J1258">
        <f>((Inputs!$B$6*(1+Inputs!$B$7/100))+(((Inputs!$B$12*(1+Inputs!$B$13/100))-(Inputs!$B$12*(1+Inputs!$B$13/100)))+0.25*(Inputs!$B$14-Inputs!$B$14))*(1+Inputs!$B$7/100))*(F1258/100)</f>
        <v/>
      </c>
      <c r="K1258">
        <f>J1258*(1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1258)</f>
        <v/>
      </c>
      <c r="L1258">
        <f>K1258*(MIN(Inputs!$B$22+((C1269=TRUE)*(F1269-Calc!F20)),(Inputs!$B$23+0+(IF(ArtifactsInput!$M$15,CHOOSE(ArtifactsInput!$N$15+1,25,30,35,40,45,50)/100*(Inputs!$B$11-Inputs!$B$11),0))))/100+(Inputs!$B$23+0+(IF(ArtifactsInput!$M$15,CHOOSE(ArtifactsInput!$N$15+1,25,30,35,40,45,50)/100*(Inputs!$B$11-Inputs!$B$11),0)))/100)/2</f>
        <v/>
      </c>
      <c r="M1258">
        <f>L1258*(1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IF(B1284=0,0,O1258/B1284)</f>
        <v/>
      </c>
      <c r="Q1258">
        <f>IFERROR(1/(IF(Inputs!$B$38="pvp",15,MAX(0.1,Skills!D9-IF(Skills!E9=TRUE,Inputs!$B$32,0)))*(1-IF(AND(ArtifactsInput!$M$27,Inputs!$B$4="Chapter Hunt"),CHOOSE(ArtifactsInput!$N$27+1,20,24,28,32,36,40),0)/100)),0)</f>
        <v/>
      </c>
      <c r="R1258">
        <f>IF(AND(Inputs!$B$38&lt;&gt;"pvp",Inputs!$B$43&gt;0),IF(MAX(0,Inputs!$B$43-B1281)&lt;=0,0,(INT(MAX(0,Inputs!$B$43-B1281)/(IF(Inputs!$B$38="pvp",15,MAX(0.1,Skills!D9-IF(Skills!E9=TRUE,Inputs!$B$32,0)))*(1-IF(AND(ArtifactsInput!$M$27,Inputs!$B$4="Chapter Hunt"),CHOOSE(ArtifactsInput!$N$27+1,20,24,28,32,36,40),0)/100)))+1)),0)</f>
        <v/>
      </c>
      <c r="S1258">
        <f>IFERROR(O1258/N1258,0)</f>
        <v/>
      </c>
      <c r="T1258">
        <f>IF(C1258,(H1258*N1258*IF(AND(Inputs!$B$38&lt;&gt;"pvp",Inputs!$B$43&gt;0),((Skills!G9*((R1258-1)*IF(Skills!H9&gt;0,Skills!I9/Skills!H9,1)+IF(Skills!H9&gt;0,MIN(Skills!I9,MAX(0,MAX(0,Inputs!$B$43-B1281)-((R1258-1)*(IF(Inputs!$B$38="pvp",15,MAX(0.1,Skills!D9-IF(Skills!E9=TRUE,Inputs!$B$32,0)))*(1-IF(AND(ArtifactsInput!$M$27,Inputs!$B$4="Chapter Hunt"),CHOOSE(ArtifactsInput!$N$27+1,20,24,28,32,36,40),0)/100)))))/Skills!H9,1)))/Inputs!$B$43),G1258*Q1258)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1258*(1-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9*((R1258-1)*IF(Skills!H9&gt;0,Skills!I9/Skills!H9,1)+IF(Skills!H9&gt;0,MIN(Skills!I9,MAX(0,MAX(0,Inputs!$B$43-B1281)-((R1258-1)*(IF(Inputs!$B$38="pvp",15,MAX(0.1,Skills!D9-IF(Skills!E9=TRUE,Inputs!$B$32,0)))*(1-IF(AND(ArtifactsInput!$M$27,Inputs!$B$4="Chapter Hunt"),CHOOSE(ArtifactsInput!$N$27+1,20,24,28,32,36,40),0)/100)))))/Skills!H9,1)))/Inputs!$B$43),G1258*Q1258))*IF(Inputs!$B$38="pvp",1,(1+(Inputs!$B$21+Skills!Q9+(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Skills!A10</f>
        <v/>
      </c>
      <c r="B1259">
        <f>Skills!B10</f>
        <v/>
      </c>
      <c r="C1259">
        <f>Inputs!$B$3&gt;=103</f>
        <v/>
      </c>
      <c r="D1259">
        <f>IF(Skills!C10=1,60+Inputs!$B$25+Inputs!$B$29,IF(Skills!C10=2,90+Inputs!$B$26+Inputs!$B$29,IF(Skills!C10=3,120+Inputs!$B$27+Inputs!$B$29,MAX(0,(Inputs!$B$3-100)*3)+Inputs!$B$28+Inputs!$B$29)))</f>
        <v/>
      </c>
      <c r="E1259">
        <f>INDEX(FactorTable!$B$2:$Y$301, MATCH(ROUND(MIN(300,MAX(1,D1259)),0), FactorTable!$A$2:$A$301,0), Skills!M10+1)</f>
        <v/>
      </c>
      <c r="F1259">
        <f>IF(Skills!N10=TRUE,(Skills!L10/10)*(E1259/1000),Skills!L10/10)+Skills!O10</f>
        <v/>
      </c>
      <c r="G1259">
        <f>Skills!G10*IF(Skills!H10&gt;0,Skills!I10/Skills!H10,1)</f>
        <v/>
      </c>
      <c r="H1259">
        <f>1-(1-Skills!J10/100)^Skills!K10</f>
        <v/>
      </c>
      <c r="I1259" t="inlineStr">
        <is>
          <t>1</t>
        </is>
      </c>
      <c r="J1259">
        <f>((Inputs!$B$6*(1+Inputs!$B$7/100))+(((Inputs!$B$12*(1+Inputs!$B$13/100))-(Inputs!$B$12*(1+Inputs!$B$13/100)))+0.25*(Inputs!$B$14-Inputs!$B$14))*(1+Inputs!$B$7/100))*(F1259/100)</f>
        <v/>
      </c>
      <c r="K1259">
        <f>J1259*(1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1259)</f>
        <v/>
      </c>
      <c r="L1259">
        <f>K1259*(MIN(Inputs!$B$22+((C1269=TRUE)*(F1269-Calc!F20)),(Inputs!$B$23+0+(IF(ArtifactsInput!$M$15,CHOOSE(ArtifactsInput!$N$15+1,25,30,35,40,45,50)/100*(Inputs!$B$11-Inputs!$B$11),0))))/100+(Inputs!$B$23+0+(IF(ArtifactsInput!$M$15,CHOOSE(ArtifactsInput!$N$15+1,25,30,35,40,45,50)/100*(Inputs!$B$11-Inputs!$B$11),0)))/100)/2</f>
        <v/>
      </c>
      <c r="M1259">
        <f>L1259*(1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9">
        <f>L1259*(1-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1259*(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9">
        <f>(1-Summary!$B$11)*T1259+Summary!$B$11*V1259</f>
        <v/>
      </c>
      <c r="P1259">
        <f>IF(B1284=0,0,O1259/B1284)</f>
        <v/>
      </c>
      <c r="Q1259">
        <f>IFERROR(1/(IF(Inputs!$B$38="pvp",15,MAX(0.1,Skills!D10-IF(Skills!E10=TRUE,Inputs!$B$32,0)))*(1-IF(AND(ArtifactsInput!$M$27,Inputs!$B$4="Chapter Hunt"),CHOOSE(ArtifactsInput!$N$27+1,20,24,28,32,36,40),0)/100)),0)</f>
        <v/>
      </c>
      <c r="R1259">
        <f>IF(AND(Inputs!$B$38&lt;&gt;"pvp",Inputs!$B$43&gt;0),IF(MAX(0,Inputs!$B$43-B1281)&lt;=0,0,(INT(MAX(0,Inputs!$B$43-B1281)/(IF(Inputs!$B$38="pvp",15,MAX(0.1,Skills!D10-IF(Skills!E10=TRUE,Inputs!$B$32,0)))*(1-IF(AND(ArtifactsInput!$M$27,Inputs!$B$4="Chapter Hunt"),CHOOSE(ArtifactsInput!$N$27+1,20,24,28,32,36,40),0)/100)))+1)),0)</f>
        <v/>
      </c>
      <c r="S1259">
        <f>IFERROR(O1259/N1259,0)</f>
        <v/>
      </c>
      <c r="T1259">
        <f>IF(C1259,(H1259*N1259*IF(AND(Inputs!$B$38&lt;&gt;"pvp",Inputs!$B$43&gt;0),((Skills!G10*((R1259-1)*IF(Skills!H10&gt;0,Skills!I10/Skills!H10,1)+IF(Skills!H10&gt;0,MIN(Skills!I10,MAX(0,MAX(0,Inputs!$B$43-B1281)-((R1259-1)*(IF(Inputs!$B$38="pvp",15,MAX(0.1,Skills!D10-IF(Skills!E10=TRUE,Inputs!$B$32,0)))*(1-IF(AND(ArtifactsInput!$M$27,Inputs!$B$4="Chapter Hunt"),CHOOSE(ArtifactsInput!$N$27+1,20,24,28,32,36,40),0)/100)))))/Skills!H10,1)))/Inputs!$B$43),G1259*Q1259)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1259*(1-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1259*(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1259*(1-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1259*(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9">
        <f>IF(C1259,(H1259*N1259*IF(AND(Inputs!$B$38&lt;&gt;"pvp",Inputs!$B$43&gt;0),((Skills!G10*((R1259-1)*IF(Skills!H10&gt;0,Skills!I10/Skills!H10,1)+IF(Skills!H10&gt;0,MIN(Skills!I10,MAX(0,MAX(0,Inputs!$B$43-B1281)-((R1259-1)*(IF(Inputs!$B$38="pvp",15,MAX(0.1,Skills!D10-IF(Skills!E10=TRUE,Inputs!$B$32,0)))*(1-IF(AND(ArtifactsInput!$M$27,Inputs!$B$4="Chapter Hunt"),CHOOSE(ArtifactsInput!$N$27+1,20,24,28,32,36,40),0)/100)))))/Skills!H10,1)))/Inputs!$B$43),G1259*Q1259))*IF(Inputs!$B$38="pvp",1,(1+(Inputs!$B$21+Skills!Q10+(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0">
      <c r="A1260">
        <f>Skills!A11</f>
        <v/>
      </c>
      <c r="B1260">
        <f>Skills!B11</f>
        <v/>
      </c>
      <c r="C1260">
        <f>Inputs!$B$3&gt;=113</f>
        <v/>
      </c>
      <c r="D1260">
        <f>IF(Skills!C11=1,60+Inputs!$B$25+Inputs!$B$29,IF(Skills!C11=2,90+Inputs!$B$26+Inputs!$B$29,IF(Skills!C11=3,120+Inputs!$B$27+Inputs!$B$29,MAX(0,(Inputs!$B$3-100)*3)+Inputs!$B$28+Inputs!$B$29)))</f>
        <v/>
      </c>
      <c r="E1260">
        <f>INDEX(FactorTable!$B$2:$Y$301, MATCH(ROUND(MIN(300,MAX(1,D1260)),0), FactorTable!$A$2:$A$301,0), Skills!M11+1)</f>
        <v/>
      </c>
      <c r="F1260">
        <f>IF(Skills!N11=TRUE,(Skills!L11/10)*(E1260/1000),Skills!L11/10)+Skills!O11</f>
        <v/>
      </c>
      <c r="G1260">
        <f>Skills!G11*IF(Skills!H11&gt;0,Skills!I11/Skills!H11,1)</f>
        <v/>
      </c>
      <c r="H1260">
        <f>1-(1-Skills!J11/100)^Skills!K11</f>
        <v/>
      </c>
      <c r="I1260" t="inlineStr">
        <is>
          <t>1</t>
        </is>
      </c>
      <c r="J1260">
        <f>((Inputs!$B$6*(1+Inputs!$B$7/100))+(((Inputs!$B$12*(1+Inputs!$B$13/100))-(Inputs!$B$12*(1+Inputs!$B$13/100)))+0.25*(Inputs!$B$14-Inputs!$B$14))*(1+Inputs!$B$7/100))*(F1260/100)</f>
        <v/>
      </c>
      <c r="K1260">
        <f>J1260*(1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1260)</f>
        <v/>
      </c>
      <c r="L1260">
        <f>K1260*(MIN(Inputs!$B$22+((C1269=TRUE)*(F1269-Calc!F20)),(Inputs!$B$23+0+(IF(ArtifactsInput!$M$15,CHOOSE(ArtifactsInput!$N$15+1,25,30,35,40,45,50)/100*(Inputs!$B$11-Inputs!$B$11),0))))/100+(Inputs!$B$23+0+(IF(ArtifactsInput!$M$15,CHOOSE(ArtifactsInput!$N$15+1,25,30,35,40,45,50)/100*(Inputs!$B$11-Inputs!$B$11),0)))/100)/2</f>
        <v/>
      </c>
      <c r="M1260">
        <f>L1260*(1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0">
        <f>L1260*(1-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1260*(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0">
        <f>(1-Summary!$B$11)*T1260+Summary!$B$11*V1260</f>
        <v/>
      </c>
      <c r="P1260">
        <f>IF(B1284=0,0,O1260/B1284)</f>
        <v/>
      </c>
      <c r="Q1260">
        <f>IFERROR(1/(IF(Inputs!$B$38="pvp",15,MAX(0.1,Skills!D11-IF(Skills!E11=TRUE,Inputs!$B$32,0)))*(1-IF(AND(ArtifactsInput!$M$27,Inputs!$B$4="Chapter Hunt"),CHOOSE(ArtifactsInput!$N$27+1,20,24,28,32,36,40),0)/100)),0)</f>
        <v/>
      </c>
      <c r="R1260">
        <f>IF(AND(Inputs!$B$38&lt;&gt;"pvp",Inputs!$B$43&gt;0),IF(MAX(0,Inputs!$B$43-B1281)&lt;=0,0,(INT(MAX(0,Inputs!$B$43-B1281)/(IF(Inputs!$B$38="pvp",15,MAX(0.1,Skills!D11-IF(Skills!E11=TRUE,Inputs!$B$32,0)))*(1-IF(AND(ArtifactsInput!$M$27,Inputs!$B$4="Chapter Hunt"),CHOOSE(ArtifactsInput!$N$27+1,20,24,28,32,36,40),0)/100)))+1)),0)</f>
        <v/>
      </c>
      <c r="S1260">
        <f>IFERROR(O1260/N1260,0)</f>
        <v/>
      </c>
      <c r="T1260">
        <f>IF(C1260,(H1260*N1260*IF(AND(Inputs!$B$38&lt;&gt;"pvp",Inputs!$B$43&gt;0),((Skills!G11*((R1260-1)*IF(Skills!H11&gt;0,Skills!I11/Skills!H11,1)+IF(Skills!H11&gt;0,MIN(Skills!I11,MAX(0,MAX(0,Inputs!$B$43-B1281)-((R1260-1)*(IF(Inputs!$B$38="pvp",15,MAX(0.1,Skills!D11-IF(Skills!E11=TRUE,Inputs!$B$32,0)))*(1-IF(AND(ArtifactsInput!$M$27,Inputs!$B$4="Chapter Hunt"),CHOOSE(ArtifactsInput!$N$27+1,20,24,28,32,36,40),0)/100)))))/Skills!H11,1)))/Inputs!$B$43),G1260*Q1260)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1260*(1-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1260*(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1260*(1-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1260*(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0">
        <f>IF(C1260,(H1260*N1260*IF(AND(Inputs!$B$38&lt;&gt;"pvp",Inputs!$B$43&gt;0),((Skills!G11*((R1260-1)*IF(Skills!H11&gt;0,Skills!I11/Skills!H11,1)+IF(Skills!H11&gt;0,MIN(Skills!I11,MAX(0,MAX(0,Inputs!$B$43-B1281)-((R1260-1)*(IF(Inputs!$B$38="pvp",15,MAX(0.1,Skills!D11-IF(Skills!E11=TRUE,Inputs!$B$32,0)))*(1-IF(AND(ArtifactsInput!$M$27,Inputs!$B$4="Chapter Hunt"),CHOOSE(ArtifactsInput!$N$27+1,20,24,28,32,36,40),0)/100)))))/Skills!H11,1)))/Inputs!$B$43),G1260*Q1260))*IF(Inputs!$B$38="pvp",1,(1+(Inputs!$B$21+Skills!Q11+(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1">
      <c r="A1261">
        <f>Skills!A12</f>
        <v/>
      </c>
      <c r="B1261">
        <f>Skills!B12</f>
        <v/>
      </c>
      <c r="C1261">
        <f>Inputs!$B$3&gt;=100</f>
        <v/>
      </c>
      <c r="D1261">
        <f>IF(Skills!C12=1,60+Inputs!$B$25+Inputs!$B$29,IF(Skills!C12=2,90+Inputs!$B$26+Inputs!$B$29,IF(Skills!C12=3,120+Inputs!$B$27+Inputs!$B$29,MAX(0,(Inputs!$B$3-100)*3)+Inputs!$B$28+Inputs!$B$29)))</f>
        <v/>
      </c>
      <c r="E1261">
        <f>INDEX(FactorTable!$B$2:$Y$301, MATCH(ROUND(MIN(300,MAX(1,D1261)),0), FactorTable!$A$2:$A$301,0), Skills!M12+1)</f>
        <v/>
      </c>
      <c r="F1261">
        <f>IF(Skills!N12=TRUE,(Skills!L12/10)*(E1261/1000),Skills!L12/10)+Skills!O12</f>
        <v/>
      </c>
      <c r="G1261" t="inlineStr"/>
      <c r="H1261" t="inlineStr"/>
      <c r="I1261" t="inlineStr">
        <is>
          <t>1</t>
        </is>
      </c>
      <c r="J1261" t="inlineStr"/>
      <c r="K1261" t="inlineStr"/>
      <c r="L1261" t="inlineStr"/>
      <c r="M1261" t="inlineStr"/>
      <c r="N1261" t="inlineStr"/>
      <c r="O1261" t="inlineStr"/>
      <c r="P1261" t="inlineStr"/>
      <c r="Q1261" t="inlineStr"/>
      <c r="R1261" t="inlineStr"/>
      <c r="S1261" t="inlineStr"/>
      <c r="T1261" t="inlineStr"/>
      <c r="V1261" t="inlineStr"/>
    </row>
    <row r="1262">
      <c r="A1262">
        <f>Skills!A13</f>
        <v/>
      </c>
      <c r="B1262">
        <f>Skills!B13</f>
        <v/>
      </c>
      <c r="C1262">
        <f>Inputs!$B$3&gt;=66</f>
        <v/>
      </c>
      <c r="D1262">
        <f>IF(Skills!C13=1,60+Inputs!$B$25+Inputs!$B$29,IF(Skills!C13=2,90+Inputs!$B$26+Inputs!$B$29,IF(Skills!C13=3,120+Inputs!$B$27+Inputs!$B$29,MAX(0,(Inputs!$B$3-100)*3)+Inputs!$B$28+Inputs!$B$29)))</f>
        <v/>
      </c>
      <c r="E1262">
        <f>INDEX(FactorTable!$B$2:$Y$301, MATCH(ROUND(MIN(300,MAX(1,D1262)),0), FactorTable!$A$2:$A$301,0), Skills!M13+1)</f>
        <v/>
      </c>
      <c r="F1262">
        <f>IF(Skills!N13=TRUE,(Skills!L13/10)*(E1262/1000),Skills!L13/10)+Skills!O13</f>
        <v/>
      </c>
      <c r="G1262">
        <f>Skills!G13*IF(Skills!H13&gt;0,Skills!I13/Skills!H13,1)</f>
        <v/>
      </c>
      <c r="H1262">
        <f>1-(1-Skills!J13/100)^Skills!K13</f>
        <v/>
      </c>
      <c r="I1262" t="inlineStr">
        <is>
          <t>1</t>
        </is>
      </c>
      <c r="J1262" t="inlineStr"/>
      <c r="K1262" t="inlineStr"/>
      <c r="L1262" t="inlineStr"/>
      <c r="M1262" t="inlineStr"/>
      <c r="N1262" t="inlineStr"/>
      <c r="O1262">
        <f>(1-Summary!$B$11)*T1262+Summary!$B$11*V1262</f>
        <v/>
      </c>
      <c r="P1262">
        <f>IF(B1284=0,0,O1262/B1284)</f>
        <v/>
      </c>
      <c r="Q1262" t="n">
        <v>0</v>
      </c>
      <c r="R1262" t="n">
        <v>0</v>
      </c>
      <c r="S1262">
        <f>IFERROR(O1262/N1262,0)</f>
        <v/>
      </c>
      <c r="T1262" t="n">
        <v>0</v>
      </c>
      <c r="V1262" t="n">
        <v>0</v>
      </c>
    </row>
    <row r="1263">
      <c r="A1263">
        <f>Skills!A14</f>
        <v/>
      </c>
      <c r="B1263">
        <f>Skills!B14</f>
        <v/>
      </c>
      <c r="C1263">
        <f>Inputs!$B$3&gt;=107</f>
        <v/>
      </c>
      <c r="D1263">
        <f>IF(Skills!C14=1,60+Inputs!$B$25+Inputs!$B$29,IF(Skills!C14=2,90+Inputs!$B$26+Inputs!$B$29,IF(Skills!C14=3,120+Inputs!$B$27+Inputs!$B$29,MAX(0,(Inputs!$B$3-100)*3)+Inputs!$B$28+Inputs!$B$29)))</f>
        <v/>
      </c>
      <c r="E1263">
        <f>INDEX(FactorTable!$B$2:$Y$301, MATCH(ROUND(MIN(300,MAX(1,D1263)),0), FactorTable!$A$2:$A$301,0), Skills!M14+1)</f>
        <v/>
      </c>
      <c r="F1263">
        <f>IF(Skills!N14=TRUE,(Skills!L14/10)*(E1263/1000),Skills!L14/10)+Skills!O14</f>
        <v/>
      </c>
      <c r="G1263">
        <f>Skills!G14*IF(Skills!H14&gt;0,Skills!I14/Skills!H14,1)</f>
        <v/>
      </c>
      <c r="H1263">
        <f>1-(1-Skills!J14/100)^Skills!K14</f>
        <v/>
      </c>
      <c r="I1263" t="inlineStr">
        <is>
          <t>1</t>
        </is>
      </c>
      <c r="J1263" t="inlineStr"/>
      <c r="K1263" t="inlineStr"/>
      <c r="L1263" t="inlineStr"/>
      <c r="M1263" t="inlineStr"/>
      <c r="N1263" t="inlineStr"/>
      <c r="O1263">
        <f>(1-Summary!$B$11)*T1263+Summary!$B$11*V1263</f>
        <v/>
      </c>
      <c r="P1263">
        <f>IF(B1284=0,0,O1263/B1284)</f>
        <v/>
      </c>
      <c r="Q1263" t="n">
        <v>0</v>
      </c>
      <c r="R1263" t="n">
        <v>0</v>
      </c>
      <c r="S1263">
        <f>IFERROR(O1263/N1263,0)</f>
        <v/>
      </c>
      <c r="T1263" t="n">
        <v>0</v>
      </c>
      <c r="V1263" t="n">
        <v>0</v>
      </c>
    </row>
    <row r="1264">
      <c r="A1264">
        <f>Skills!A15</f>
        <v/>
      </c>
      <c r="B1264">
        <f>Skills!B15</f>
        <v/>
      </c>
      <c r="C1264">
        <f>Inputs!$B$3&gt;=115</f>
        <v/>
      </c>
      <c r="D1264">
        <f>IF(Skills!C15=1,60+Inputs!$B$25+Inputs!$B$29,IF(Skills!C15=2,90+Inputs!$B$26+Inputs!$B$29,IF(Skills!C15=3,120+Inputs!$B$27+Inputs!$B$29,MAX(0,(Inputs!$B$3-100)*3)+Inputs!$B$28+Inputs!$B$29)))</f>
        <v/>
      </c>
      <c r="E1264">
        <f>INDEX(FactorTable!$B$2:$Y$301, MATCH(ROUND(MIN(300,MAX(1,D1264)),0), FactorTable!$A$2:$A$301,0), Skills!M15+1)</f>
        <v/>
      </c>
      <c r="F1264">
        <f>IF(Skills!N15=TRUE,(Skills!L15/10)*(E1264/1000),Skills!L15/10)+Skills!O15</f>
        <v/>
      </c>
      <c r="G1264">
        <f>Skills!G15*IF(Skills!H15&gt;0,Skills!I15/Skills!H15,1)</f>
        <v/>
      </c>
      <c r="H1264">
        <f>1-(1-Skills!J15/100)^Skills!K15</f>
        <v/>
      </c>
      <c r="I1264" t="inlineStr">
        <is>
          <t>1</t>
        </is>
      </c>
      <c r="J1264" t="inlineStr"/>
      <c r="K1264" t="inlineStr"/>
      <c r="L1264" t="inlineStr"/>
      <c r="M1264" t="inlineStr"/>
      <c r="N1264" t="inlineStr"/>
      <c r="O1264">
        <f>(1-Summary!$B$11)*T1264+Summary!$B$11*V1264</f>
        <v/>
      </c>
      <c r="P1264">
        <f>IF(B1284=0,0,O1264/B1284)</f>
        <v/>
      </c>
      <c r="Q1264" t="n">
        <v>0</v>
      </c>
      <c r="R1264" t="n">
        <v>0</v>
      </c>
      <c r="S1264">
        <f>IFERROR(O1264/N1264,0)</f>
        <v/>
      </c>
      <c r="T1264" t="n">
        <v>0</v>
      </c>
      <c r="V1264" t="n">
        <v>0</v>
      </c>
    </row>
    <row r="1265">
      <c r="A1265">
        <f>Skills!A16</f>
        <v/>
      </c>
      <c r="B1265">
        <f>Skills!B16</f>
        <v/>
      </c>
      <c r="C1265">
        <f>Inputs!$B$3&gt;=15</f>
        <v/>
      </c>
      <c r="D1265">
        <f>IF(Skills!C16=1,60+Inputs!$B$25+Inputs!$B$29,IF(Skills!C16=2,90+Inputs!$B$26+Inputs!$B$29,IF(Skills!C16=3,120+Inputs!$B$27+Inputs!$B$29,MAX(0,(Inputs!$B$3-100)*3)+Inputs!$B$28+Inputs!$B$29)))</f>
        <v/>
      </c>
      <c r="E1265">
        <f>INDEX(FactorTable!$B$2:$Y$301, MATCH(ROUND(MIN(300,MAX(1,D1265)),0), FactorTable!$A$2:$A$301,0), Skills!M16+1)</f>
        <v/>
      </c>
      <c r="F1265">
        <f>IF(Skills!N16=TRUE,(Skills!L16/10)*(E1265/1000),Skills!L16/10)+Skills!O16</f>
        <v/>
      </c>
      <c r="G1265">
        <f>Skills!G16*IF(Skills!H16&gt;0,Skills!I16/Skills!H16,1)</f>
        <v/>
      </c>
      <c r="H1265">
        <f>1-(1-Skills!J16/100)^Skills!K16</f>
        <v/>
      </c>
      <c r="I1265" t="inlineStr">
        <is>
          <t>1</t>
        </is>
      </c>
      <c r="J1265" t="inlineStr"/>
      <c r="K1265" t="inlineStr"/>
      <c r="L1265" t="inlineStr"/>
      <c r="M1265" t="inlineStr"/>
      <c r="N1265" t="inlineStr"/>
      <c r="O1265">
        <f>(1-Summary!$B$11)*T1265+Summary!$B$11*V1265</f>
        <v/>
      </c>
      <c r="P1265">
        <f>IF(B1284=0,0,O1265/B1284)</f>
        <v/>
      </c>
      <c r="Q1265" t="n">
        <v>0</v>
      </c>
      <c r="R1265" t="n">
        <v>0</v>
      </c>
      <c r="S1265">
        <f>IFERROR(O1265/N1265,0)</f>
        <v/>
      </c>
      <c r="T1265" t="n">
        <v>0</v>
      </c>
      <c r="V1265" t="n">
        <v>0</v>
      </c>
    </row>
    <row r="1266">
      <c r="A1266">
        <f>Skills!A17</f>
        <v/>
      </c>
      <c r="B1266">
        <f>Skills!B17</f>
        <v/>
      </c>
      <c r="C1266">
        <f>Inputs!$B$3&gt;=10</f>
        <v/>
      </c>
      <c r="D1266">
        <f>IF(Skills!C17=1,60+Inputs!$B$25+Inputs!$B$29,IF(Skills!C17=2,90+Inputs!$B$26+Inputs!$B$29,IF(Skills!C17=3,120+Inputs!$B$27+Inputs!$B$29,MAX(0,(Inputs!$B$3-100)*3)+Inputs!$B$28+Inputs!$B$29)))</f>
        <v/>
      </c>
      <c r="E1266">
        <f>INDEX(FactorTable!$B$2:$Y$301, MATCH(ROUND(MIN(300,MAX(1,D1266)),0), FactorTable!$A$2:$A$301,0), Skills!M17+1)</f>
        <v/>
      </c>
      <c r="F1266">
        <f>IF(Skills!N17=TRUE,(Skills!L17/10)*(E1266/1000),Skills!L17/10)+Skills!O17</f>
        <v/>
      </c>
      <c r="G1266">
        <f>Skills!G17*IF(Skills!H17&gt;0,Skills!I17/Skills!H17,1)</f>
        <v/>
      </c>
      <c r="H1266">
        <f>1-(1-Skills!J17/100)^Skills!K17</f>
        <v/>
      </c>
      <c r="I1266" t="inlineStr">
        <is>
          <t>1</t>
        </is>
      </c>
      <c r="J1266" t="inlineStr"/>
      <c r="K1266" t="inlineStr"/>
      <c r="L1266" t="inlineStr"/>
      <c r="M1266" t="inlineStr"/>
      <c r="N1266" t="inlineStr"/>
      <c r="O1266">
        <f>(1-Summary!$B$11)*T1266+Summary!$B$11*V1266</f>
        <v/>
      </c>
      <c r="P1266">
        <f>IF(B1284=0,0,O1266/B1284)</f>
        <v/>
      </c>
      <c r="Q1266" t="n">
        <v>0</v>
      </c>
      <c r="R1266" t="n">
        <v>0</v>
      </c>
      <c r="S1266">
        <f>IFERROR(O1266/N1266,0)</f>
        <v/>
      </c>
      <c r="T1266" t="n">
        <v>0</v>
      </c>
      <c r="V1266" t="n">
        <v>0</v>
      </c>
    </row>
    <row r="1267">
      <c r="A1267">
        <f>Skills!A18</f>
        <v/>
      </c>
      <c r="B1267">
        <f>Skills!B18</f>
        <v/>
      </c>
      <c r="C1267">
        <f>Inputs!$B$3&gt;=33</f>
        <v/>
      </c>
      <c r="D1267">
        <f>IF(Skills!C18=1,60+Inputs!$B$25+Inputs!$B$29,IF(Skills!C18=2,90+Inputs!$B$26+Inputs!$B$29,IF(Skills!C18=3,120+Inputs!$B$27+Inputs!$B$29,MAX(0,(Inputs!$B$3-100)*3)+Inputs!$B$28+Inputs!$B$29)))</f>
        <v/>
      </c>
      <c r="E1267">
        <f>INDEX(FactorTable!$B$2:$Y$301, MATCH(ROUND(MIN(300,MAX(1,D1267)),0), FactorTable!$A$2:$A$301,0), Skills!M18+1)</f>
        <v/>
      </c>
      <c r="F1267">
        <f>IF(Skills!N18=TRUE,(Skills!L18/10)*(E1267/1000),Skills!L18/10)+Skills!O18</f>
        <v/>
      </c>
      <c r="G1267">
        <f>Skills!G18*IF(Skills!H18&gt;0,Skills!I18/Skills!H18,1)</f>
        <v/>
      </c>
      <c r="H1267">
        <f>1-(1-Skills!J18/100)^Skills!K18</f>
        <v/>
      </c>
      <c r="I1267" t="inlineStr">
        <is>
          <t>1</t>
        </is>
      </c>
      <c r="J1267" t="inlineStr"/>
      <c r="K1267" t="inlineStr"/>
      <c r="L1267" t="inlineStr"/>
      <c r="M1267" t="inlineStr"/>
      <c r="N1267" t="inlineStr"/>
      <c r="O1267">
        <f>(1-Summary!$B$11)*T1267+Summary!$B$11*V1267</f>
        <v/>
      </c>
      <c r="P1267">
        <f>IF(B1284=0,0,O1267/B1284)</f>
        <v/>
      </c>
      <c r="Q1267" t="n">
        <v>0</v>
      </c>
      <c r="R1267" t="n">
        <v>0</v>
      </c>
      <c r="S1267">
        <f>IFERROR(O1267/N1267,0)</f>
        <v/>
      </c>
      <c r="T1267" t="n">
        <v>0</v>
      </c>
      <c r="V1267" t="n">
        <v>0</v>
      </c>
    </row>
    <row r="1268">
      <c r="A1268">
        <f>Skills!A19</f>
        <v/>
      </c>
      <c r="B1268">
        <f>Skills!B19</f>
        <v/>
      </c>
      <c r="C1268">
        <f>Inputs!$B$3&gt;=40</f>
        <v/>
      </c>
      <c r="D1268">
        <f>IF(Skills!C19=1,60+Inputs!$B$25+Inputs!$B$29,IF(Skills!C19=2,90+Inputs!$B$26+Inputs!$B$29,IF(Skills!C19=3,120+Inputs!$B$27+Inputs!$B$29,MAX(0,(Inputs!$B$3-100)*3)+Inputs!$B$28+Inputs!$B$29)))</f>
        <v/>
      </c>
      <c r="E1268">
        <f>INDEX(FactorTable!$B$2:$Y$301, MATCH(ROUND(MIN(300,MAX(1,D1268)),0), FactorTable!$A$2:$A$301,0), Skills!M19+1)</f>
        <v/>
      </c>
      <c r="F1268">
        <f>IF(Skills!N19=TRUE,(Skills!L19/10)*(E1268/1000),Skills!L19/10)+Skills!O19</f>
        <v/>
      </c>
      <c r="G1268">
        <f>Skills!G19*IF(Skills!H19&gt;0,Skills!I19/Skills!H19,1)</f>
        <v/>
      </c>
      <c r="H1268">
        <f>1-(1-Skills!J19/100)^Skills!K19</f>
        <v/>
      </c>
      <c r="I1268" t="inlineStr">
        <is>
          <t>1</t>
        </is>
      </c>
      <c r="J1268" t="inlineStr"/>
      <c r="K1268" t="inlineStr"/>
      <c r="L1268" t="inlineStr"/>
      <c r="M1268" t="inlineStr"/>
      <c r="N1268" t="inlineStr"/>
      <c r="O1268">
        <f>(1-Summary!$B$11)*T1268+Summary!$B$11*V1268</f>
        <v/>
      </c>
      <c r="P1268">
        <f>IF(B1284=0,0,O1268/B1284)</f>
        <v/>
      </c>
      <c r="Q1268" t="n">
        <v>0</v>
      </c>
      <c r="R1268" t="n">
        <v>0</v>
      </c>
      <c r="S1268">
        <f>IFERROR(O1268/N1268,0)</f>
        <v/>
      </c>
      <c r="T1268" t="n">
        <v>0</v>
      </c>
      <c r="V1268" t="n">
        <v>0</v>
      </c>
    </row>
    <row r="1269">
      <c r="A1269">
        <f>Skills!A20</f>
        <v/>
      </c>
      <c r="B1269">
        <f>Skills!B20</f>
        <v/>
      </c>
      <c r="C1269">
        <f>Inputs!$B$3&gt;=43</f>
        <v/>
      </c>
      <c r="D1269">
        <f>IF(Skills!C20=1,60+Inputs!$B$25+Inputs!$B$29,IF(Skills!C20=2,90+Inputs!$B$26+Inputs!$B$29,IF(Skills!C20=3,120+Inputs!$B$27+Inputs!$B$29,MAX(0,(Inputs!$B$3-100)*3)+Inputs!$B$28+Inputs!$B$29)))</f>
        <v/>
      </c>
      <c r="E1269">
        <f>INDEX(FactorTable!$B$2:$Y$301, MATCH(ROUND(MIN(300,MAX(1,D1269)),0), FactorTable!$A$2:$A$301,0), Skills!M20+1)</f>
        <v/>
      </c>
      <c r="F1269">
        <f>IF(Skills!N20=TRUE,(Skills!L20/10)*(E1269/1000),Skills!L20/10)+Skills!O20</f>
        <v/>
      </c>
      <c r="G1269">
        <f>Skills!G20*IF(Skills!H20&gt;0,Skills!I20/Skills!H20,1)</f>
        <v/>
      </c>
      <c r="H1269">
        <f>1-(1-Skills!J20/100)^Skills!K20</f>
        <v/>
      </c>
      <c r="I1269" t="inlineStr">
        <is>
          <t>1</t>
        </is>
      </c>
      <c r="J1269" t="inlineStr"/>
      <c r="K1269" t="inlineStr"/>
      <c r="L1269" t="inlineStr"/>
      <c r="M1269" t="inlineStr"/>
      <c r="N1269" t="inlineStr"/>
      <c r="O1269">
        <f>(1-Summary!$B$11)*T1269+Summary!$B$11*V1269</f>
        <v/>
      </c>
      <c r="P1269">
        <f>IF(B1284=0,0,O1269/B1284)</f>
        <v/>
      </c>
      <c r="Q1269" t="n">
        <v>0</v>
      </c>
      <c r="R1269" t="n">
        <v>0</v>
      </c>
      <c r="S1269">
        <f>IFERROR(O1269/N1269,0)</f>
        <v/>
      </c>
      <c r="T1269" t="n">
        <v>0</v>
      </c>
      <c r="V1269" t="n">
        <v>0</v>
      </c>
    </row>
    <row r="1270">
      <c r="A1270">
        <f>Skills!A21</f>
        <v/>
      </c>
      <c r="B1270">
        <f>Skills!B21</f>
        <v/>
      </c>
      <c r="C1270">
        <f>Inputs!$B$3&gt;=38</f>
        <v/>
      </c>
      <c r="D1270">
        <f>IF(Skills!C21=1,60+Inputs!$B$25+Inputs!$B$29,IF(Skills!C21=2,90+Inputs!$B$26+Inputs!$B$29,IF(Skills!C21=3,120+Inputs!$B$27+Inputs!$B$29,MAX(0,(Inputs!$B$3-100)*3)+Inputs!$B$28+Inputs!$B$29)))</f>
        <v/>
      </c>
      <c r="E1270">
        <f>INDEX(FactorTable!$B$2:$Y$301, MATCH(ROUND(MIN(300,MAX(1,D1270)),0), FactorTable!$A$2:$A$301,0), Skills!M21+1)</f>
        <v/>
      </c>
      <c r="F1270">
        <f>IF(Skills!N21=TRUE,(Skills!L21/10)*(E1270/1000),Skills!L21/10)+Skills!O21</f>
        <v/>
      </c>
      <c r="G1270">
        <f>Skills!G21*IF(Skills!H21&gt;0,Skills!I21/Skills!H21,1)</f>
        <v/>
      </c>
      <c r="H1270">
        <f>1-(1-Skills!J21/100)^Skills!K21</f>
        <v/>
      </c>
      <c r="I1270" t="inlineStr">
        <is>
          <t>1</t>
        </is>
      </c>
      <c r="J1270" t="inlineStr"/>
      <c r="K1270" t="inlineStr"/>
      <c r="L1270" t="inlineStr"/>
      <c r="M1270" t="inlineStr"/>
      <c r="N1270" t="inlineStr"/>
      <c r="O1270">
        <f>(1-Summary!$B$11)*T1270+Summary!$B$11*V1270</f>
        <v/>
      </c>
      <c r="P1270">
        <f>IF(B1284=0,0,O1270/B1284)</f>
        <v/>
      </c>
      <c r="Q1270" t="n">
        <v>0</v>
      </c>
      <c r="R1270" t="n">
        <v>0</v>
      </c>
      <c r="S1270">
        <f>IFERROR(O1270/N1270,0)</f>
        <v/>
      </c>
      <c r="T1270" t="n">
        <v>0</v>
      </c>
      <c r="V1270" t="n">
        <v>0</v>
      </c>
    </row>
    <row r="1271">
      <c r="A1271">
        <f>Skills!A22</f>
        <v/>
      </c>
      <c r="B1271">
        <f>Skills!B22</f>
        <v/>
      </c>
      <c r="C1271">
        <f>Inputs!$B$3&gt;=75</f>
        <v/>
      </c>
      <c r="D1271">
        <f>IF(Skills!C22=1,60+Inputs!$B$25+Inputs!$B$29,IF(Skills!C22=2,90+Inputs!$B$26+Inputs!$B$29,IF(Skills!C22=3,120+Inputs!$B$27+Inputs!$B$29,MAX(0,(Inputs!$B$3-100)*3)+Inputs!$B$28+Inputs!$B$29)))</f>
        <v/>
      </c>
      <c r="E1271">
        <f>INDEX(FactorTable!$B$2:$Y$301, MATCH(ROUND(MIN(300,MAX(1,D1271)),0), FactorTable!$A$2:$A$301,0), Skills!M22+1)</f>
        <v/>
      </c>
      <c r="F1271">
        <f>IF(Skills!N22=TRUE,(Skills!L22/10)*(E1271/1000),Skills!L22/10)+Skills!O22</f>
        <v/>
      </c>
      <c r="G1271">
        <f>Skills!G22*IF(Skills!H22&gt;0,Skills!I22/Skills!H22,1)</f>
        <v/>
      </c>
      <c r="H1271">
        <f>1-(1-Skills!J22/100)^Skills!K22</f>
        <v/>
      </c>
      <c r="I1271" t="inlineStr">
        <is>
          <t>1</t>
        </is>
      </c>
      <c r="J1271" t="inlineStr"/>
      <c r="K1271" t="inlineStr"/>
      <c r="L1271" t="inlineStr"/>
      <c r="M1271" t="inlineStr"/>
      <c r="N1271" t="inlineStr"/>
      <c r="O1271">
        <f>(1-Summary!$B$11)*T1271+Summary!$B$11*V1271</f>
        <v/>
      </c>
      <c r="P1271">
        <f>IF(B1284=0,0,O1271/B1284)</f>
        <v/>
      </c>
      <c r="Q1271" t="n">
        <v>0</v>
      </c>
      <c r="R1271" t="n">
        <v>0</v>
      </c>
      <c r="S1271">
        <f>IFERROR(O1271/N1271,0)</f>
        <v/>
      </c>
      <c r="T1271" t="n">
        <v>0</v>
      </c>
      <c r="V1271" t="n">
        <v>0</v>
      </c>
    </row>
    <row r="1273">
      <c r="A1273" t="inlineStr">
        <is>
          <t>Attack% Bucket Multiplier</t>
        </is>
      </c>
      <c r="B1273">
        <f>(1+(((C1262=TRUE)*F1262)+((C1268=TRUE)*(F1268-Calc!F19))+(IF(ArtifactsInput!$M$21,CHOOSE(ArtifactsInput!$N$21+1,25,30,35,40,45,50)*(IF(OR(Inputs!$B$4="Chapter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74">
      <c r="A1274" t="inlineStr">
        <is>
          <t>Global Crit Rate Bonus %</t>
        </is>
      </c>
      <c r="B1274" t="n">
        <v>0</v>
      </c>
    </row>
    <row r="1275">
      <c r="A1275" t="inlineStr">
        <is>
          <t>Attack Speed Buff Bonus % (unused)</t>
        </is>
      </c>
      <c r="B1275" t="n">
        <v>0</v>
      </c>
    </row>
    <row r="1276">
      <c r="A1276" t="inlineStr">
        <is>
          <t>Actions Per Second</t>
        </is>
      </c>
      <c r="B1276">
        <f>1+MIN(150,150*(1-(1-(Inputs!$B$11+((C1266=TRUE)*(F1266-Calc!F17))+((C1267=TRUE)*(F1267-Calc!F18)))/150)*(1-B1275/150)))/100</f>
        <v/>
      </c>
    </row>
    <row r="1277">
      <c r="A1277" t="inlineStr">
        <is>
          <t>Skill + Buff Cast Rate</t>
        </is>
      </c>
      <c r="B1277">
        <f>IF(AND(Inputs!$B$38&lt;&gt;"pvp",Inputs!$B$43&gt;0),SUMPRODUCT((Skills!E2:E22=TRUE)*(C1251:C1271=TRUE)*R1251:R1271*Skills!F2:F22)/Inputs!$B$43,SUMPRODUCT((Skills!E2:E22=TRUE)*(C1251:C1271=TRUE)*Q1251:Q1271*Skills!F2:F22))</f>
        <v/>
      </c>
    </row>
    <row r="1278">
      <c r="A1278" t="inlineStr">
        <is>
          <t>Hook Bomber Casts Per Second</t>
        </is>
      </c>
      <c r="B1278">
        <f>MAX(0,B1276-B1277)</f>
        <v/>
      </c>
    </row>
    <row r="1279">
      <c r="A1279" t="inlineStr">
        <is>
          <t>Global Critical Damage Bonus % (unused)</t>
        </is>
      </c>
      <c r="B1279" t="n">
        <v>0</v>
      </c>
    </row>
    <row r="1280">
      <c r="A1280" t="inlineStr">
        <is>
          <t>Global Final Damage Bonus % (Serpent Scale + Crossbones + Time Leap + Speed Infusion)</t>
        </is>
      </c>
      <c r="B1280">
        <f>((C1254=TRUE)*F1254*((10+IF(Inputs!$B$3&gt;=94,5,0))/((10+IF(Inputs!$B$3&gt;=94,5,0))+5/(B1278*(1+IF(Inputs!$B$3&gt;=104,1,0))))))+((C1263=TRUE)*F1263)+((C1264=TRUE)*F1264)+((Inputs!$B$3&gt;=110)*20*(B1276-1))</f>
        <v/>
      </c>
    </row>
    <row r="1281">
      <c r="A1281" t="inlineStr">
        <is>
          <t>Buff-Casting Startup Delay (s, fixed-duration only)</t>
        </is>
      </c>
      <c r="B1281">
        <f>IF(AND(Inputs!$B$38&lt;&gt;"pvp",Inputs!$B$43&gt;0),SUMPRODUCT((Skills!T2:T22&gt;0)*(Skills!E2:E22=TRUE)*(C1251:C1271=TRUE))/B1276,0)</f>
        <v/>
      </c>
    </row>
    <row r="1282">
      <c r="A1282" t="inlineStr">
        <is>
          <t>Boss-Only Total DPS (this block's swept value)</t>
        </is>
      </c>
      <c r="B1282">
        <f>SUM(T1251:T1271)</f>
        <v/>
      </c>
    </row>
    <row r="1283">
      <c r="A1283" t="inlineStr">
        <is>
          <t>Normal-Only Total DPS (this block's swept value)</t>
        </is>
      </c>
      <c r="B1283">
        <f>SUM(V1251:V1271)</f>
        <v/>
      </c>
    </row>
    <row r="1284">
      <c r="A1284" s="6" t="inlineStr">
        <is>
          <t>TOTAL DPS</t>
        </is>
      </c>
      <c r="B1284" s="6">
        <f>SUM(O1251:O1271)</f>
        <v/>
      </c>
    </row>
    <row r="1287">
      <c r="A1287" s="6" t="inlineStr">
        <is>
          <t>Stat: Arwen's Glass Shoes (Equip)</t>
        </is>
      </c>
    </row>
    <row r="1288">
      <c r="A1288" s="5" t="inlineStr">
        <is>
          <t>Key</t>
        </is>
      </c>
      <c r="B1288" s="5" t="inlineStr">
        <is>
          <t>Name</t>
        </is>
      </c>
      <c r="C1288" s="5" t="inlineStr">
        <is>
          <t>Unlocked</t>
        </is>
      </c>
      <c r="D1288" s="5" t="inlineStr">
        <is>
          <t>InputLevel</t>
        </is>
      </c>
      <c r="E1288" s="5" t="inlineStr">
        <is>
          <t>Factor</t>
        </is>
      </c>
      <c r="F1288" s="5" t="inlineStr">
        <is>
          <t>CoefficientPercent</t>
        </is>
      </c>
      <c r="G1288" s="5" t="inlineStr">
        <is>
          <t>EffectiveHits</t>
        </is>
      </c>
      <c r="H1288" s="5" t="inlineStr">
        <is>
          <t>ProcProbability</t>
        </is>
      </c>
      <c r="I1288" s="5" t="inlineStr">
        <is>
          <t>MapleHeroMultiplier</t>
        </is>
      </c>
      <c r="J1288" s="5" t="inlineStr">
        <is>
          <t>BaseDamage</t>
        </is>
      </c>
      <c r="K1288" s="5" t="inlineStr">
        <is>
          <t>BaseHitDamage</t>
        </is>
      </c>
      <c r="L1288" s="5" t="inlineStr">
        <is>
          <t>NonCritAvg</t>
        </is>
      </c>
      <c r="M1288" s="5" t="inlineStr">
        <is>
          <t>CritAvg</t>
        </is>
      </c>
      <c r="N1288" s="5" t="inlineStr">
        <is>
          <t>ExpectedDamage(perHit)</t>
        </is>
      </c>
      <c r="O1288" s="5" t="inlineStr">
        <is>
          <t>DPS</t>
        </is>
      </c>
      <c r="P1288" s="5" t="inlineStr">
        <is>
          <t>% of Total</t>
        </is>
      </c>
      <c r="Q1288" s="5" t="inlineStr">
        <is>
          <t>InvCooldown</t>
        </is>
      </c>
      <c r="R1288" s="5" t="inlineStr">
        <is>
          <t>CastsInFight</t>
        </is>
      </c>
      <c r="S1288" s="5" t="inlineStr">
        <is>
          <t>HitRate(perSec)</t>
        </is>
      </c>
      <c r="U1288" t="inlineStr">
        <is>
          <t>helpers</t>
        </is>
      </c>
    </row>
    <row r="1289">
      <c r="A1289">
        <f>Skills!A2</f>
        <v/>
      </c>
      <c r="B1289">
        <f>Skills!B2</f>
        <v/>
      </c>
      <c r="C1289">
        <f>Inputs!$B$3&gt;=100</f>
        <v/>
      </c>
      <c r="D1289" t="inlineStr"/>
      <c r="E1289" t="inlineStr"/>
      <c r="F1289">
        <f>U1291+Skills!O2</f>
        <v/>
      </c>
      <c r="G1289">
        <f>Skills!G2*IF(Skills!H2&gt;0,Skills!I2/Skills!H2,1)</f>
        <v/>
      </c>
      <c r="H1289">
        <f>1-(1-Skills!J2/100)^Skills!K2</f>
        <v/>
      </c>
      <c r="I1289" t="inlineStr">
        <is>
          <t>1</t>
        </is>
      </c>
      <c r="J1289">
        <f>((Inputs!$B$6*(1+Inputs!$B$7/100))+(((Inputs!$B$12*(1+Inputs!$B$13/100))-(Inputs!$B$12*(1+Inputs!$B$13/100)))+0.25*(Inputs!$B$14-Inputs!$B$14))*(1+Inputs!$B$7/100))*(F1289/100)</f>
        <v/>
      </c>
      <c r="K1289">
        <f>J1289*(1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1289)</f>
        <v/>
      </c>
      <c r="L1289">
        <f>K1289*(MIN(Inputs!$B$22+((C1307=TRUE)*(F1307-Calc!F20)),(Inputs!$B$23+0+(IF(ArtifactsInput!$M$15,CHOOSE(ArtifactsInput!$N$15+1,25,30,35,40,45,50)/100*(Inputs!$B$11-Inputs!$B$11),0))))/100+(Inputs!$B$23+0+(IF(ArtifactsInput!$M$15,CHOOSE(ArtifactsInput!$N$15+1,25,30,35,40,45,50)/100*(Inputs!$B$11-Inputs!$B$11),0)))/100)/2</f>
        <v/>
      </c>
      <c r="M1289">
        <f>L1289*(1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9">
        <f>L1289*(1-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1289*(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9">
        <f>(1-Summary!$B$11)*T1289+Summary!$B$11*V1289</f>
        <v/>
      </c>
      <c r="P1289">
        <f>IF(B1322=0,0,O1289/B1322)</f>
        <v/>
      </c>
      <c r="Q1289" t="n">
        <v>0</v>
      </c>
      <c r="R1289" t="n">
        <v>0</v>
      </c>
      <c r="S1289">
        <f>IFERROR(O1289/N1289,0)</f>
        <v/>
      </c>
      <c r="T1289">
        <f>IF(C1289,(Skills!G2*N1289*B1316)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1289*(1-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1289*(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1289*(1-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1289*(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9">
        <f>MAX(0,(Inputs!$B$3-100)*3)+Inputs!$B$28+Inputs!$B$29</f>
        <v/>
      </c>
      <c r="V1289">
        <f>IF(C1289,(Skills!G2*N1289*B1316)*IF(Inputs!$B$38="pvp",1,(1+(Inputs!$B$21+Skills!Q2+(IF(ArtifactsInput!$M$33,CHOOSE(ArtifactsInput!$N$33+1,30,36,42,48,54,60),0))+(IF(AND(ArtifactsInput!$M$35,Inputs!$B$4&lt;&gt;"Chapter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0">
      <c r="A1290">
        <f>Skills!A3</f>
        <v/>
      </c>
      <c r="B1290">
        <f>Skills!B3</f>
        <v/>
      </c>
      <c r="C1290">
        <f>Inputs!$B$3&gt;=35</f>
        <v/>
      </c>
      <c r="D1290">
        <f>IF(Skills!C3=1,60+Inputs!$B$25+Inputs!$B$29,IF(Skills!C3=2,90+Inputs!$B$26+Inputs!$B$29,IF(Skills!C3=3,120+Inputs!$B$27+Inputs!$B$29,MAX(0,(Inputs!$B$3-100)*3)+Inputs!$B$28+Inputs!$B$29)))</f>
        <v/>
      </c>
      <c r="E1290">
        <f>INDEX(FactorTable!$B$2:$Y$301, MATCH(ROUND(MIN(300,MAX(1,D1290)),0), FactorTable!$A$2:$A$301,0), Skills!M3+1)</f>
        <v/>
      </c>
      <c r="F1290">
        <f>IF(Skills!N3=TRUE,(Skills!L3/10)*(E1290/1000),Skills!L3/10)+Skills!O3</f>
        <v/>
      </c>
      <c r="G1290">
        <f>Skills!G3*IF(Skills!H3&gt;0,Skills!I3/Skills!H3,1)</f>
        <v/>
      </c>
      <c r="H1290">
        <f>1-(1-Skills!J3/100)^Skills!K3</f>
        <v/>
      </c>
      <c r="I1290" t="inlineStr">
        <is>
          <t>1</t>
        </is>
      </c>
      <c r="J1290">
        <f>((Inputs!$B$6*(1+Inputs!$B$7/100))+(((Inputs!$B$12*(1+Inputs!$B$13/100))-(Inputs!$B$12*(1+Inputs!$B$13/100)))+0.25*(Inputs!$B$14-Inputs!$B$14))*(1+Inputs!$B$7/100))*(F1290/100)</f>
        <v/>
      </c>
      <c r="K1290">
        <f>J1290*(1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1290)</f>
        <v/>
      </c>
      <c r="L1290">
        <f>K1290*(MIN(Inputs!$B$22+((C1307=TRUE)*(F1307-Calc!F20)),(Inputs!$B$23+0+(IF(ArtifactsInput!$M$15,CHOOSE(ArtifactsInput!$N$15+1,25,30,35,40,45,50)/100*(Inputs!$B$11-Inputs!$B$11),0))))/100+(Inputs!$B$23+0+(IF(ArtifactsInput!$M$15,CHOOSE(ArtifactsInput!$N$15+1,25,30,35,40,45,50)/100*(Inputs!$B$11-Inputs!$B$11),0)))/100)/2</f>
        <v/>
      </c>
      <c r="M1290">
        <f>L1290*(1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0">
        <f>L1290*(1-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1290*(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0">
        <f>(1-Summary!$B$11)*T1290+Summary!$B$11*V1290</f>
        <v/>
      </c>
      <c r="P1290">
        <f>IF(B1322=0,0,O1290/B1322)</f>
        <v/>
      </c>
      <c r="Q1290" t="n">
        <v>0</v>
      </c>
      <c r="R1290" t="n">
        <v>0</v>
      </c>
      <c r="S1290">
        <f>IFERROR(O1290/N1290,0)</f>
        <v/>
      </c>
      <c r="T1290">
        <f>IF(C1290,(Skills!G3*H1290*N1290*B1316)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1290*(1-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1290*(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1290*(1-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1290*(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0">
        <f>INDEX(FactorTable!$B$2:$Y$301, MATCH(ROUND(MIN(300,MAX(1,U1289)),0), FactorTable!$A$2:$A$301,0), 22)</f>
        <v/>
      </c>
      <c r="V1290">
        <f>IF(C1290,(Skills!G3*H1290*N1290*B1316)*IF(Inputs!$B$38="pvp",1,(1+(Inputs!$B$21+Skills!Q3+(IF(ArtifactsInput!$M$33,CHOOSE(ArtifactsInput!$N$33+1,30,36,42,48,54,60),0))+(IF(AND(ArtifactsInput!$M$35,Inputs!$B$4&lt;&gt;"Chapter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1">
      <c r="A1291">
        <f>Skills!A4</f>
        <v/>
      </c>
      <c r="B1291">
        <f>Skills!B4</f>
        <v/>
      </c>
      <c r="C1291">
        <f>Inputs!$B$3&gt;=60</f>
        <v/>
      </c>
      <c r="D1291">
        <f>IF(Skills!C4=1,60+Inputs!$B$25+Inputs!$B$29,IF(Skills!C4=2,90+Inputs!$B$26+Inputs!$B$29,IF(Skills!C4=3,120+Inputs!$B$27+Inputs!$B$29,MAX(0,(Inputs!$B$3-100)*3)+Inputs!$B$28+Inputs!$B$29)))</f>
        <v/>
      </c>
      <c r="E1291">
        <f>INDEX(FactorTable!$B$2:$Y$301, MATCH(ROUND(MIN(300,MAX(1,D1291)),0), FactorTable!$A$2:$A$301,0), Skills!M4+1)</f>
        <v/>
      </c>
      <c r="F1291">
        <f>IF(Skills!N4=TRUE,(Skills!L4/10)*(E1291/1000),Skills!L4/10)+Skills!O4</f>
        <v/>
      </c>
      <c r="G1291">
        <f>Skills!G4*IF(Skills!H4&gt;0,Skills!I4/Skills!H4,1)</f>
        <v/>
      </c>
      <c r="H1291">
        <f>1-(1-Skills!J4/100)^Skills!K4</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1299=TRUE,F1299,0)/100)*(1+(IF(Skills!A4="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1307=TRUE)*(F1307-Calc!F20)),(Inputs!$B$23+0+(IF(ArtifactsInput!$M$15,CHOOSE(ArtifactsInput!$N$15+1,25,30,35,40,45,50)/100*(Inputs!$B$11-Inputs!$B$11),0))))/100+(Inputs!$B$23+0+(IF(ArtifactsInput!$M$15,CHOOSE(ArtifactsInput!$N$15+1,25,30,35,40,45,50)/100*(Inputs!$B$11-Inputs!$B$11),0)))/100)/2</f>
        <v/>
      </c>
      <c r="M1291">
        <f>L1291*(1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IF(B1322=0,0,O1291/B1322)</f>
        <v/>
      </c>
      <c r="Q1291" t="n">
        <v>0</v>
      </c>
      <c r="R1291" t="n">
        <v>0</v>
      </c>
      <c r="S1291">
        <f>IFERROR(O1291/N1291,0)</f>
        <v/>
      </c>
      <c r="T1291">
        <f>IF(C1291,(Skills!G4*H1291*N1291*B1316)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1">
        <f>290*U1290/1000</f>
        <v/>
      </c>
      <c r="V1291">
        <f>IF(C1291,(Skills!G4*H1291*N1291*B1316)*IF(Inputs!$B$38="pvp",1,(1+(Inputs!$B$21+Skills!Q4+(IF(ArtifactsInput!$M$33,CHOOSE(ArtifactsInput!$N$33+1,30,36,42,48,54,60),0))+(IF(AND(ArtifactsInput!$M$35,Inputs!$B$4&lt;&gt;"Chapter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Skills!A5</f>
        <v/>
      </c>
      <c r="B1292">
        <f>Skills!B5</f>
        <v/>
      </c>
      <c r="C1292">
        <f>Inputs!$B$3&gt;=60</f>
        <v/>
      </c>
      <c r="D1292">
        <f>IF(Skills!C5=1,60+Inputs!$B$25+Inputs!$B$29,IF(Skills!C5=2,90+Inputs!$B$26+Inputs!$B$29,IF(Skills!C5=3,120+Inputs!$B$27+Inputs!$B$29,MAX(0,(Inputs!$B$3-100)*3)+Inputs!$B$28+Inputs!$B$29)))</f>
        <v/>
      </c>
      <c r="E1292">
        <f>INDEX(FactorTable!$B$2:$Y$301, MATCH(ROUND(MIN(300,MAX(1,D1292)),0), FactorTable!$A$2:$A$301,0), Skills!M5+1)</f>
        <v/>
      </c>
      <c r="F1292">
        <f>IF(Skills!N5=TRUE,(Skills!L5/10)*(E1292/1000),Skills!L5/10)+Skills!O5</f>
        <v/>
      </c>
      <c r="G1292">
        <f>Skills!G5*IF(Skills!H5&gt;0,Skills!I5/Skills!H5,1)</f>
        <v/>
      </c>
      <c r="H1292">
        <f>1-(1-Skills!J5/100)^Skills!K5</f>
        <v/>
      </c>
      <c r="I1292" t="inlineStr">
        <is>
          <t>1</t>
        </is>
      </c>
      <c r="J1292" t="inlineStr"/>
      <c r="K1292" t="inlineStr"/>
      <c r="L1292" t="inlineStr"/>
      <c r="M1292" t="inlineStr"/>
      <c r="N1292" t="inlineStr"/>
      <c r="O1292">
        <f>(1-Summary!$B$11)*T1292+Summary!$B$11*V1292</f>
        <v/>
      </c>
      <c r="P1292">
        <f>IF(B1322=0,0,O1292/B1322)</f>
        <v/>
      </c>
      <c r="Q1292" t="n">
        <v>0</v>
      </c>
      <c r="R1292" t="n">
        <v>0</v>
      </c>
      <c r="S1292">
        <f>IFERROR(O1292/N1292,0)</f>
        <v/>
      </c>
      <c r="T1292" t="n">
        <v>0</v>
      </c>
      <c r="V1292" t="n">
        <v>0</v>
      </c>
    </row>
    <row r="1293">
      <c r="A1293">
        <f>Skills!A6</f>
        <v/>
      </c>
      <c r="B1293">
        <f>Skills!B6</f>
        <v/>
      </c>
      <c r="C1293">
        <f>Inputs!$B$3&gt;=63</f>
        <v/>
      </c>
      <c r="D1293">
        <f>IF(Skills!C6=1,60+Inputs!$B$25+Inputs!$B$29,IF(Skills!C6=2,90+Inputs!$B$26+Inputs!$B$29,IF(Skills!C6=3,120+Inputs!$B$27+Inputs!$B$29,MAX(0,(Inputs!$B$3-100)*3)+Inputs!$B$28+Inputs!$B$29)))</f>
        <v/>
      </c>
      <c r="E1293">
        <f>INDEX(FactorTable!$B$2:$Y$301, MATCH(ROUND(MIN(300,MAX(1,D1293)),0), FactorTable!$A$2:$A$301,0), Skills!M6+1)</f>
        <v/>
      </c>
      <c r="F1293">
        <f>IF(Skills!N6=TRUE,(Skills!L6/10)*(E1293/1000),Skills!L6/10)+Skills!O6</f>
        <v/>
      </c>
      <c r="G1293">
        <f>Skills!G6*IF(Skills!H6&gt;0,Skills!I6/Skills!H6,1)</f>
        <v/>
      </c>
      <c r="H1293">
        <f>1-(1-Skills!J6/100)^Skills!K6</f>
        <v/>
      </c>
      <c r="I1293" t="inlineStr">
        <is>
          <t>1</t>
        </is>
      </c>
      <c r="J1293">
        <f>((Inputs!$B$6*(1+Inputs!$B$7/100))+(((Inputs!$B$12*(1+Inputs!$B$13/100))-(Inputs!$B$12*(1+Inputs!$B$13/100)))+0.25*(Inputs!$B$14-Inputs!$B$14))*(1+Inputs!$B$7/100))*(F1293/100)</f>
        <v/>
      </c>
      <c r="K1293">
        <f>J1293*(1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1293)</f>
        <v/>
      </c>
      <c r="L1293">
        <f>K1293*(MIN(Inputs!$B$22+((C1307=TRUE)*(F1307-Calc!F20)),(Inputs!$B$23+0+(IF(ArtifactsInput!$M$15,CHOOSE(ArtifactsInput!$N$15+1,25,30,35,40,45,50)/100*(Inputs!$B$11-Inputs!$B$11),0))))/100+(Inputs!$B$23+0+(IF(ArtifactsInput!$M$15,CHOOSE(ArtifactsInput!$N$15+1,25,30,35,40,45,50)/100*(Inputs!$B$11-Inputs!$B$11),0)))/100)/2</f>
        <v/>
      </c>
      <c r="M1293">
        <f>L1293*(1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3">
        <f>L1293*(1-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1293*(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3">
        <f>(1-Summary!$B$11)*T1293+Summary!$B$11*V1293</f>
        <v/>
      </c>
      <c r="P1293">
        <f>IF(B1322=0,0,O1293/B1322)</f>
        <v/>
      </c>
      <c r="Q1293">
        <f>IFERROR(1/(IF(Inputs!$B$38="pvp",15,MAX(0.1,Skills!D6-IF(Skills!E6=TRUE,Inputs!$B$32,0)))*(1-IF(AND(ArtifactsInput!$M$27,Inputs!$B$4="Chapter Hunt"),CHOOSE(ArtifactsInput!$N$27+1,20,24,28,32,36,40),0)/100)),0)</f>
        <v/>
      </c>
      <c r="R1293">
        <f>IF(AND(Inputs!$B$38&lt;&gt;"pvp",Inputs!$B$43&gt;0),IF(MAX(0,Inputs!$B$43-B1319)&lt;=0,0,(INT(MAX(0,Inputs!$B$43-B1319)/(IF(Inputs!$B$38="pvp",15,MAX(0.1,Skills!D6-IF(Skills!E6=TRUE,Inputs!$B$32,0)))*(1-IF(AND(ArtifactsInput!$M$27,Inputs!$B$4="Chapter Hunt"),CHOOSE(ArtifactsInput!$N$27+1,20,24,28,32,36,40),0)/100)))+1)),0)</f>
        <v/>
      </c>
      <c r="S1293">
        <f>IFERROR(O1293/N1293,0)</f>
        <v/>
      </c>
      <c r="T1293">
        <f>IF(C1293,(H1293*N1293*IF(AND(Inputs!$B$38&lt;&gt;"pvp",Inputs!$B$43&gt;0),((Skills!G6*((R1293-1)*IF(Skills!H6&gt;0,Skills!I6/Skills!H6,1)+IF(Skills!H6&gt;0,MIN(Skills!I6,MAX(0,MAX(0,Inputs!$B$43-B1319)-((R1293-1)*(IF(Inputs!$B$38="pvp",15,MAX(0.1,Skills!D6-IF(Skills!E6=TRUE,Inputs!$B$32,0)))*(1-IF(AND(ArtifactsInput!$M$27,Inputs!$B$4="Chapter Hunt"),CHOOSE(ArtifactsInput!$N$27+1,20,24,28,32,36,40),0)/100)))))/Skills!H6,1)))/Inputs!$B$43),G1293*Q1293)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1293*(1-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1293*(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1293*(1-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1293*(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3">
        <f>IF(C1293,(H1293*N1293*IF(AND(Inputs!$B$38&lt;&gt;"pvp",Inputs!$B$43&gt;0),((Skills!G6*((R1293-1)*IF(Skills!H6&gt;0,Skills!I6/Skills!H6,1)+IF(Skills!H6&gt;0,MIN(Skills!I6,MAX(0,MAX(0,Inputs!$B$43-B1319)-((R1293-1)*(IF(Inputs!$B$38="pvp",15,MAX(0.1,Skills!D6-IF(Skills!E6=TRUE,Inputs!$B$32,0)))*(1-IF(AND(ArtifactsInput!$M$27,Inputs!$B$4="Chapter Hunt"),CHOOSE(ArtifactsInput!$N$27+1,20,24,28,32,36,40),0)/100)))))/Skills!H6,1)))/Inputs!$B$43),G1293*Q1293))*IF(Inputs!$B$38="pvp",1,(1+(Inputs!$B$21+Skills!Q6+(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4">
      <c r="A1294">
        <f>Skills!A7</f>
        <v/>
      </c>
      <c r="B1294">
        <f>Skills!B7</f>
        <v/>
      </c>
      <c r="C1294">
        <f>Inputs!$B$3&gt;=100</f>
        <v/>
      </c>
      <c r="D1294">
        <f>IF(Skills!C7=1,60+Inputs!$B$25+Inputs!$B$29,IF(Skills!C7=2,90+Inputs!$B$26+Inputs!$B$29,IF(Skills!C7=3,120+Inputs!$B$27+Inputs!$B$29,MAX(0,(Inputs!$B$3-100)*3)+Inputs!$B$28+Inputs!$B$29)))</f>
        <v/>
      </c>
      <c r="E1294">
        <f>INDEX(FactorTable!$B$2:$Y$301, MATCH(ROUND(MIN(300,MAX(1,D1294)),0), FactorTable!$A$2:$A$301,0), Skills!M7+1)</f>
        <v/>
      </c>
      <c r="F1294">
        <f>IF(Skills!N7=TRUE,(Skills!L7/10)*(E1294/1000),Skills!L7/10)+Skills!O7</f>
        <v/>
      </c>
      <c r="G1294">
        <f>Skills!G7*IF(Skills!H7&gt;0,Skills!I7/Skills!H7,1)</f>
        <v/>
      </c>
      <c r="H1294">
        <f>1-(1-Skills!J7/100)^Skills!K7</f>
        <v/>
      </c>
      <c r="I1294" t="inlineStr">
        <is>
          <t>1</t>
        </is>
      </c>
      <c r="J1294">
        <f>((Inputs!$B$6*(1+Inputs!$B$7/100))+(((Inputs!$B$12*(1+Inputs!$B$13/100))-(Inputs!$B$12*(1+Inputs!$B$13/100)))+0.25*(Inputs!$B$14-Inputs!$B$14))*(1+Inputs!$B$7/100))*(F1294/100)</f>
        <v/>
      </c>
      <c r="K1294">
        <f>J1294*(1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1294)</f>
        <v/>
      </c>
      <c r="L1294">
        <f>K1294*(MIN(Inputs!$B$22+((C1307=TRUE)*(F1307-Calc!F20)),(Inputs!$B$23+0+(IF(ArtifactsInput!$M$15,CHOOSE(ArtifactsInput!$N$15+1,25,30,35,40,45,50)/100*(Inputs!$B$11-Inputs!$B$11),0))))/100+(Inputs!$B$23+0+(IF(ArtifactsInput!$M$15,CHOOSE(ArtifactsInput!$N$15+1,25,30,35,40,45,50)/100*(Inputs!$B$11-Inputs!$B$11),0)))/100)/2</f>
        <v/>
      </c>
      <c r="M1294">
        <f>L1294*(1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4">
        <f>L1294*(1-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1294*(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4">
        <f>(1-Summary!$B$11)*T1294+Summary!$B$11*V1294</f>
        <v/>
      </c>
      <c r="P1294">
        <f>IF(B1322=0,0,O1294/B1322)</f>
        <v/>
      </c>
      <c r="Q1294">
        <f>IFERROR(1/(IF(Inputs!$B$38="pvp",15,MAX(0.1,Skills!D7-IF(Skills!E7=TRUE,Inputs!$B$32,0)))*(1-IF(AND(ArtifactsInput!$M$27,Inputs!$B$4="Chapter Hunt"),CHOOSE(ArtifactsInput!$N$27+1,20,24,28,32,36,40),0)/100)),0)</f>
        <v/>
      </c>
      <c r="R1294">
        <f>IF(AND(Inputs!$B$38&lt;&gt;"pvp",Inputs!$B$43&gt;0),IF(MAX(0,Inputs!$B$43-B1319)&lt;=0,0,(INT(MAX(0,Inputs!$B$43-B1319)/(IF(Inputs!$B$38="pvp",15,MAX(0.1,Skills!D7-IF(Skills!E7=TRUE,Inputs!$B$32,0)))*(1-IF(AND(ArtifactsInput!$M$27,Inputs!$B$4="Chapter Hunt"),CHOOSE(ArtifactsInput!$N$27+1,20,24,28,32,36,40),0)/100)))+1)),0)</f>
        <v/>
      </c>
      <c r="S1294">
        <f>IFERROR(O1294/N1294,0)</f>
        <v/>
      </c>
      <c r="T1294">
        <f>IF(C1294,(H1294*N1294*IF(AND(Inputs!$B$38&lt;&gt;"pvp",Inputs!$B$43&gt;0),((Skills!G7*((R1294-1)*IF(Skills!H7&gt;0,Skills!I7/Skills!H7,1)+IF(Skills!H7&gt;0,MIN(Skills!I7,MAX(0,MAX(0,Inputs!$B$43-B1319)-((R1294-1)*(IF(Inputs!$B$38="pvp",15,MAX(0.1,Skills!D7-IF(Skills!E7=TRUE,Inputs!$B$32,0)))*(1-IF(AND(ArtifactsInput!$M$27,Inputs!$B$4="Chapter Hunt"),CHOOSE(ArtifactsInput!$N$27+1,20,24,28,32,36,40),0)/100)))))/Skills!H7,1)))/Inputs!$B$43),G1294*Q1294)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1294*(1-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1294*(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1294*(1-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1294*(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4">
        <f>IF(C1294,(H1294*N1294*IF(AND(Inputs!$B$38&lt;&gt;"pvp",Inputs!$B$43&gt;0),((Skills!G7*((R1294-1)*IF(Skills!H7&gt;0,Skills!I7/Skills!H7,1)+IF(Skills!H7&gt;0,MIN(Skills!I7,MAX(0,MAX(0,Inputs!$B$43-B1319)-((R1294-1)*(IF(Inputs!$B$38="pvp",15,MAX(0.1,Skills!D7-IF(Skills!E7=TRUE,Inputs!$B$32,0)))*(1-IF(AND(ArtifactsInput!$M$27,Inputs!$B$4="Chapter Hunt"),CHOOSE(ArtifactsInput!$N$27+1,20,24,28,32,36,40),0)/100)))))/Skills!H7,1)))/Inputs!$B$43),G1294*Q1294))*IF(Inputs!$B$38="pvp",1,(1+(Inputs!$B$21+Skills!Q7+(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5">
      <c r="A1295">
        <f>Skills!A8</f>
        <v/>
      </c>
      <c r="B1295">
        <f>Skills!B8</f>
        <v/>
      </c>
      <c r="C1295">
        <f>Inputs!$B$3&gt;=110</f>
        <v/>
      </c>
      <c r="D1295">
        <f>IF(Skills!C8=1,60+Inputs!$B$25+Inputs!$B$29,IF(Skills!C8=2,90+Inputs!$B$26+Inputs!$B$29,IF(Skills!C8=3,120+Inputs!$B$27+Inputs!$B$29,MAX(0,(Inputs!$B$3-100)*3)+Inputs!$B$28+Inputs!$B$29)))</f>
        <v/>
      </c>
      <c r="E1295">
        <f>INDEX(FactorTable!$B$2:$Y$301, MATCH(ROUND(MIN(300,MAX(1,D1295)),0), FactorTable!$A$2:$A$301,0), Skills!M8+1)</f>
        <v/>
      </c>
      <c r="F1295">
        <f>IF(Skills!N8=TRUE,(Skills!L8/10)*(E1295/1000),Skills!L8/10)+Skills!O8</f>
        <v/>
      </c>
      <c r="G1295">
        <f>Skills!G8*IF(Skills!H8&gt;0,Skills!I8/Skills!H8,1)</f>
        <v/>
      </c>
      <c r="H1295">
        <f>1-(1-Skills!J8/100)^Skills!K8</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1307=TRUE)*(F1307-Calc!F20)),(Inputs!$B$23+0+(IF(ArtifactsInput!$M$15,CHOOSE(ArtifactsInput!$N$15+1,25,30,35,40,45,50)/100*(Inputs!$B$11-Inputs!$B$11),0))))/100+(Inputs!$B$23+0+(IF(ArtifactsInput!$M$15,CHOOSE(ArtifactsInput!$N$15+1,25,30,35,40,45,50)/100*(Inputs!$B$11-Inputs!$B$11),0)))/100)/2</f>
        <v/>
      </c>
      <c r="M1295">
        <f>L1295*(1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IF(B1322=0,0,O1295/B1322)</f>
        <v/>
      </c>
      <c r="Q1295">
        <f>IFERROR(1/(IF(Inputs!$B$38="pvp",15,MAX(0.1,Skills!D8-IF(Skills!E8=TRUE,Inputs!$B$32,0)))*(1-IF(AND(ArtifactsInput!$M$27,Inputs!$B$4="Chapter Hunt"),CHOOSE(ArtifactsInput!$N$27+1,20,24,28,32,36,40),0)/100)),0)</f>
        <v/>
      </c>
      <c r="R1295">
        <f>IF(AND(Inputs!$B$38&lt;&gt;"pvp",Inputs!$B$43&gt;0),IF(MAX(0,Inputs!$B$43-B1319)&lt;=0,0,(INT(MAX(0,Inputs!$B$43-B1319)/(IF(Inputs!$B$38="pvp",15,MAX(0.1,Skills!D8-IF(Skills!E8=TRUE,Inputs!$B$32,0)))*(1-IF(AND(ArtifactsInput!$M$27,Inputs!$B$4="Chapter Hunt"),CHOOSE(ArtifactsInput!$N$27+1,20,24,28,32,36,40),0)/100)))+1)),0)</f>
        <v/>
      </c>
      <c r="S1295">
        <f>IFERROR(O1295/N1295,0)</f>
        <v/>
      </c>
      <c r="T1295">
        <f>IF(C1295,(H1295*N1295*IF(AND(Inputs!$B$38&lt;&gt;"pvp",Inputs!$B$43&gt;0),((Skills!G8*((R1295-1)*IF(Skills!H8&gt;0,Skills!I8/Skills!H8,1)+IF(Skills!H8&gt;0,MIN(Skills!I8,MAX(0,MAX(0,Inputs!$B$43-B1319)-((R1295-1)*(IF(Inputs!$B$38="pvp",15,MAX(0.1,Skills!D8-IF(Skills!E8=TRUE,Inputs!$B$32,0)))*(1-IF(AND(ArtifactsInput!$M$27,Inputs!$B$4="Chapter Hunt"),CHOOSE(ArtifactsInput!$N$27+1,20,24,28,32,36,40),0)/100)))))/Skills!H8,1)))/Inputs!$B$43),G1295*Q1295)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1295*(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1295*(1-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8*((R1295-1)*IF(Skills!H8&gt;0,Skills!I8/Skills!H8,1)+IF(Skills!H8&gt;0,MIN(Skills!I8,MAX(0,MAX(0,Inputs!$B$43-B1319)-((R1295-1)*(IF(Inputs!$B$38="pvp",15,MAX(0.1,Skills!D8-IF(Skills!E8=TRUE,Inputs!$B$32,0)))*(1-IF(AND(ArtifactsInput!$M$27,Inputs!$B$4="Chapter Hunt"),CHOOSE(ArtifactsInput!$N$27+1,20,24,28,32,36,40),0)/100)))))/Skills!H8,1)))/Inputs!$B$43),G1295*Q1295))*IF(Inputs!$B$38="pvp",1,(1+(Inputs!$B$21+Skills!Q8+(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Skills!A9</f>
        <v/>
      </c>
      <c r="B1296">
        <f>Skills!B9</f>
        <v/>
      </c>
      <c r="C1296">
        <f>Inputs!$B$3&gt;=110</f>
        <v/>
      </c>
      <c r="D1296">
        <f>IF(Skills!C9=1,60+Inputs!$B$25+Inputs!$B$29,IF(Skills!C9=2,90+Inputs!$B$26+Inputs!$B$29,IF(Skills!C9=3,120+Inputs!$B$27+Inputs!$B$29,MAX(0,(Inputs!$B$3-100)*3)+Inputs!$B$28+Inputs!$B$29)))</f>
        <v/>
      </c>
      <c r="E1296">
        <f>INDEX(FactorTable!$B$2:$Y$301, MATCH(ROUND(MIN(300,MAX(1,D1296)),0), FactorTable!$A$2:$A$301,0), Skills!M9+1)</f>
        <v/>
      </c>
      <c r="F1296">
        <f>IF(Skills!N9=TRUE,(Skills!L9/10)*(E1296/1000),Skills!L9/10)+Skills!O9</f>
        <v/>
      </c>
      <c r="G1296">
        <f>Skills!G9*IF(Skills!H9&gt;0,Skills!I9/Skills!H9,1)</f>
        <v/>
      </c>
      <c r="H1296">
        <f>1-(1-Skills!J9/100)^Skills!K9</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1307=TRUE)*(F1307-Calc!F20)),(Inputs!$B$23+0+(IF(ArtifactsInput!$M$15,CHOOSE(ArtifactsInput!$N$15+1,25,30,35,40,45,50)/100*(Inputs!$B$11-Inputs!$B$11),0))))/100+(Inputs!$B$23+0+(IF(ArtifactsInput!$M$15,CHOOSE(ArtifactsInput!$N$15+1,25,30,35,40,45,50)/100*(Inputs!$B$11-Inputs!$B$11),0)))/100)/2</f>
        <v/>
      </c>
      <c r="M1296">
        <f>L1296*(1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IF(B1322=0,0,O1296/B1322)</f>
        <v/>
      </c>
      <c r="Q1296">
        <f>IFERROR(1/(IF(Inputs!$B$38="pvp",15,MAX(0.1,Skills!D9-IF(Skills!E9=TRUE,Inputs!$B$32,0)))*(1-IF(AND(ArtifactsInput!$M$27,Inputs!$B$4="Chapter Hunt"),CHOOSE(ArtifactsInput!$N$27+1,20,24,28,32,36,40),0)/100)),0)</f>
        <v/>
      </c>
      <c r="R1296">
        <f>IF(AND(Inputs!$B$38&lt;&gt;"pvp",Inputs!$B$43&gt;0),IF(MAX(0,Inputs!$B$43-B1319)&lt;=0,0,(INT(MAX(0,Inputs!$B$43-B1319)/(IF(Inputs!$B$38="pvp",15,MAX(0.1,Skills!D9-IF(Skills!E9=TRUE,Inputs!$B$32,0)))*(1-IF(AND(ArtifactsInput!$M$27,Inputs!$B$4="Chapter Hunt"),CHOOSE(ArtifactsInput!$N$27+1,20,24,28,32,36,40),0)/100)))+1)),0)</f>
        <v/>
      </c>
      <c r="S1296">
        <f>IFERROR(O1296/N1296,0)</f>
        <v/>
      </c>
      <c r="T1296">
        <f>IF(C1296,(H1296*N1296*IF(AND(Inputs!$B$38&lt;&gt;"pvp",Inputs!$B$43&gt;0),((Skills!G9*((R1296-1)*IF(Skills!H9&gt;0,Skills!I9/Skills!H9,1)+IF(Skills!H9&gt;0,MIN(Skills!I9,MAX(0,MAX(0,Inputs!$B$43-B1319)-((R1296-1)*(IF(Inputs!$B$38="pvp",15,MAX(0.1,Skills!D9-IF(Skills!E9=TRUE,Inputs!$B$32,0)))*(1-IF(AND(ArtifactsInput!$M$27,Inputs!$B$4="Chapter Hunt"),CHOOSE(ArtifactsInput!$N$27+1,20,24,28,32,36,40),0)/100)))))/Skills!H9,1)))/Inputs!$B$43),G1296*Q1296)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1296*(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1296*(1-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H1296*N1296*IF(AND(Inputs!$B$38&lt;&gt;"pvp",Inputs!$B$43&gt;0),((Skills!G9*((R1296-1)*IF(Skills!H9&gt;0,Skills!I9/Skills!H9,1)+IF(Skills!H9&gt;0,MIN(Skills!I9,MAX(0,MAX(0,Inputs!$B$43-B1319)-((R1296-1)*(IF(Inputs!$B$38="pvp",15,MAX(0.1,Skills!D9-IF(Skills!E9=TRUE,Inputs!$B$32,0)))*(1-IF(AND(ArtifactsInput!$M$27,Inputs!$B$4="Chapter Hunt"),CHOOSE(ArtifactsInput!$N$27+1,20,24,28,32,36,40),0)/100)))))/Skills!H9,1)))/Inputs!$B$43),G1296*Q1296))*IF(Inputs!$B$38="pvp",1,(1+(Inputs!$B$21+Skills!Q9+(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Skills!A10</f>
        <v/>
      </c>
      <c r="B1297">
        <f>Skills!B10</f>
        <v/>
      </c>
      <c r="C1297">
        <f>Inputs!$B$3&gt;=103</f>
        <v/>
      </c>
      <c r="D1297">
        <f>IF(Skills!C10=1,60+Inputs!$B$25+Inputs!$B$29,IF(Skills!C10=2,90+Inputs!$B$26+Inputs!$B$29,IF(Skills!C10=3,120+Inputs!$B$27+Inputs!$B$29,MAX(0,(Inputs!$B$3-100)*3)+Inputs!$B$28+Inputs!$B$29)))</f>
        <v/>
      </c>
      <c r="E1297">
        <f>INDEX(FactorTable!$B$2:$Y$301, MATCH(ROUND(MIN(300,MAX(1,D1297)),0), FactorTable!$A$2:$A$301,0), Skills!M10+1)</f>
        <v/>
      </c>
      <c r="F1297">
        <f>IF(Skills!N10=TRUE,(Skills!L10/10)*(E1297/1000),Skills!L10/10)+Skills!O10</f>
        <v/>
      </c>
      <c r="G1297">
        <f>Skills!G10*IF(Skills!H10&gt;0,Skills!I10/Skills!H10,1)</f>
        <v/>
      </c>
      <c r="H1297">
        <f>1-(1-Skills!J10/100)^Skills!K10</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1297)</f>
        <v/>
      </c>
      <c r="L1297">
        <f>K1297*(MIN(Inputs!$B$22+((C1307=TRUE)*(F1307-Calc!F20)),(Inputs!$B$23+0+(IF(ArtifactsInput!$M$15,CHOOSE(ArtifactsInput!$N$15+1,25,30,35,40,45,50)/100*(Inputs!$B$11-Inputs!$B$11),0))))/100+(Inputs!$B$23+0+(IF(ArtifactsInput!$M$15,CHOOSE(ArtifactsInput!$N$15+1,25,30,35,40,45,50)/100*(Inputs!$B$11-Inputs!$B$11),0)))/100)/2</f>
        <v/>
      </c>
      <c r="M1297">
        <f>L1297*(1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IF(B1322=0,0,O1297/B1322)</f>
        <v/>
      </c>
      <c r="Q1297">
        <f>IFERROR(1/(IF(Inputs!$B$38="pvp",15,MAX(0.1,Skills!D10-IF(Skills!E10=TRUE,Inputs!$B$32,0)))*(1-IF(AND(ArtifactsInput!$M$27,Inputs!$B$4="Chapter Hunt"),CHOOSE(ArtifactsInput!$N$27+1,20,24,28,32,36,40),0)/100)),0)</f>
        <v/>
      </c>
      <c r="R1297">
        <f>IF(AND(Inputs!$B$38&lt;&gt;"pvp",Inputs!$B$43&gt;0),IF(MAX(0,Inputs!$B$43-B1319)&lt;=0,0,(INT(MAX(0,Inputs!$B$43-B1319)/(IF(Inputs!$B$38="pvp",15,MAX(0.1,Skills!D10-IF(Skills!E10=TRUE,Inputs!$B$32,0)))*(1-IF(AND(ArtifactsInput!$M$27,Inputs!$B$4="Chapter Hunt"),CHOOSE(ArtifactsInput!$N$27+1,20,24,28,32,36,40),0)/100)))+1)),0)</f>
        <v/>
      </c>
      <c r="S1297">
        <f>IFERROR(O1297/N1297,0)</f>
        <v/>
      </c>
      <c r="T1297">
        <f>IF(C1297,(H1297*N1297*IF(AND(Inputs!$B$38&lt;&gt;"pvp",Inputs!$B$43&gt;0),((Skills!G10*((R1297-1)*IF(Skills!H10&gt;0,Skills!I10/Skills!H10,1)+IF(Skills!H10&gt;0,MIN(Skills!I10,MAX(0,MAX(0,Inputs!$B$43-B1319)-((R1297-1)*(IF(Inputs!$B$38="pvp",15,MAX(0.1,Skills!D10-IF(Skills!E10=TRUE,Inputs!$B$32,0)))*(1-IF(AND(ArtifactsInput!$M$27,Inputs!$B$4="Chapter Hunt"),CHOOSE(ArtifactsInput!$N$27+1,20,24,28,32,36,40),0)/100)))))/Skills!H10,1)))/Inputs!$B$43),G1297*Q1297)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1297*(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1297*(1-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10*((R1297-1)*IF(Skills!H10&gt;0,Skills!I10/Skills!H10,1)+IF(Skills!H10&gt;0,MIN(Skills!I10,MAX(0,MAX(0,Inputs!$B$43-B1319)-((R1297-1)*(IF(Inputs!$B$38="pvp",15,MAX(0.1,Skills!D10-IF(Skills!E10=TRUE,Inputs!$B$32,0)))*(1-IF(AND(ArtifactsInput!$M$27,Inputs!$B$4="Chapter Hunt"),CHOOSE(ArtifactsInput!$N$27+1,20,24,28,32,36,40),0)/100)))))/Skills!H10,1)))/Inputs!$B$43),G1297*Q1297))*IF(Inputs!$B$38="pvp",1,(1+(Inputs!$B$21+Skills!Q10+(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Skills!A11</f>
        <v/>
      </c>
      <c r="B1298">
        <f>Skills!B11</f>
        <v/>
      </c>
      <c r="C1298">
        <f>Inputs!$B$3&gt;=113</f>
        <v/>
      </c>
      <c r="D1298">
        <f>IF(Skills!C11=1,60+Inputs!$B$25+Inputs!$B$29,IF(Skills!C11=2,90+Inputs!$B$26+Inputs!$B$29,IF(Skills!C11=3,120+Inputs!$B$27+Inputs!$B$29,MAX(0,(Inputs!$B$3-100)*3)+Inputs!$B$28+Inputs!$B$29)))</f>
        <v/>
      </c>
      <c r="E1298">
        <f>INDEX(FactorTable!$B$2:$Y$301, MATCH(ROUND(MIN(300,MAX(1,D1298)),0), FactorTable!$A$2:$A$301,0), Skills!M11+1)</f>
        <v/>
      </c>
      <c r="F1298">
        <f>IF(Skills!N11=TRUE,(Skills!L11/10)*(E1298/1000),Skills!L11/10)+Skills!O11</f>
        <v/>
      </c>
      <c r="G1298">
        <f>Skills!G11*IF(Skills!H11&gt;0,Skills!I11/Skills!H11,1)</f>
        <v/>
      </c>
      <c r="H1298">
        <f>1-(1-Skills!J11/100)^Skills!K11</f>
        <v/>
      </c>
      <c r="I1298" t="inlineStr">
        <is>
          <t>1</t>
        </is>
      </c>
      <c r="J1298">
        <f>((Inputs!$B$6*(1+Inputs!$B$7/100))+(((Inputs!$B$12*(1+Inputs!$B$13/100))-(Inputs!$B$12*(1+Inputs!$B$13/100)))+0.25*(Inputs!$B$14-Inputs!$B$14))*(1+Inputs!$B$7/100))*(F1298/100)</f>
        <v/>
      </c>
      <c r="K1298">
        <f>J1298*(1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1298)</f>
        <v/>
      </c>
      <c r="L1298">
        <f>K1298*(MIN(Inputs!$B$22+((C1307=TRUE)*(F1307-Calc!F20)),(Inputs!$B$23+0+(IF(ArtifactsInput!$M$15,CHOOSE(ArtifactsInput!$N$15+1,25,30,35,40,45,50)/100*(Inputs!$B$11-Inputs!$B$11),0))))/100+(Inputs!$B$23+0+(IF(ArtifactsInput!$M$15,CHOOSE(ArtifactsInput!$N$15+1,25,30,35,40,45,50)/100*(Inputs!$B$11-Inputs!$B$11),0)))/100)/2</f>
        <v/>
      </c>
      <c r="M1298">
        <f>L1298*(1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IF(B1322=0,0,O1298/B1322)</f>
        <v/>
      </c>
      <c r="Q1298">
        <f>IFERROR(1/(IF(Inputs!$B$38="pvp",15,MAX(0.1,Skills!D11-IF(Skills!E11=TRUE,Inputs!$B$32,0)))*(1-IF(AND(ArtifactsInput!$M$27,Inputs!$B$4="Chapter Hunt"),CHOOSE(ArtifactsInput!$N$27+1,20,24,28,32,36,40),0)/100)),0)</f>
        <v/>
      </c>
      <c r="R1298">
        <f>IF(AND(Inputs!$B$38&lt;&gt;"pvp",Inputs!$B$43&gt;0),IF(MAX(0,Inputs!$B$43-B1319)&lt;=0,0,(INT(MAX(0,Inputs!$B$43-B1319)/(IF(Inputs!$B$38="pvp",15,MAX(0.1,Skills!D11-IF(Skills!E11=TRUE,Inputs!$B$32,0)))*(1-IF(AND(ArtifactsInput!$M$27,Inputs!$B$4="Chapter Hunt"),CHOOSE(ArtifactsInput!$N$27+1,20,24,28,32,36,40),0)/100)))+1)),0)</f>
        <v/>
      </c>
      <c r="S1298">
        <f>IFERROR(O1298/N1298,0)</f>
        <v/>
      </c>
      <c r="T1298">
        <f>IF(C1298,(H1298*N1298*IF(AND(Inputs!$B$38&lt;&gt;"pvp",Inputs!$B$43&gt;0),((Skills!G11*((R1298-1)*IF(Skills!H11&gt;0,Skills!I11/Skills!H11,1)+IF(Skills!H11&gt;0,MIN(Skills!I11,MAX(0,MAX(0,Inputs!$B$43-B1319)-((R1298-1)*(IF(Inputs!$B$38="pvp",15,MAX(0.1,Skills!D11-IF(Skills!E11=TRUE,Inputs!$B$32,0)))*(1-IF(AND(ArtifactsInput!$M$27,Inputs!$B$4="Chapter Hunt"),CHOOSE(ArtifactsInput!$N$27+1,20,24,28,32,36,40),0)/100)))))/Skills!H11,1)))/Inputs!$B$43),G1298*Q1298)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1298*(1-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1298*(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1298*(1-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11*((R1298-1)*IF(Skills!H11&gt;0,Skills!I11/Skills!H11,1)+IF(Skills!H11&gt;0,MIN(Skills!I11,MAX(0,MAX(0,Inputs!$B$43-B1319)-((R1298-1)*(IF(Inputs!$B$38="pvp",15,MAX(0.1,Skills!D11-IF(Skills!E11=TRUE,Inputs!$B$32,0)))*(1-IF(AND(ArtifactsInput!$M$27,Inputs!$B$4="Chapter Hunt"),CHOOSE(ArtifactsInput!$N$27+1,20,24,28,32,36,40),0)/100)))))/Skills!H11,1)))/Inputs!$B$43),G1298*Q1298))*IF(Inputs!$B$38="pvp",1,(1+(Inputs!$B$21+Skills!Q11+(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Skills!A12</f>
        <v/>
      </c>
      <c r="B1299">
        <f>Skills!B12</f>
        <v/>
      </c>
      <c r="C1299">
        <f>Inputs!$B$3&gt;=100</f>
        <v/>
      </c>
      <c r="D1299">
        <f>IF(Skills!C12=1,60+Inputs!$B$25+Inputs!$B$29,IF(Skills!C12=2,90+Inputs!$B$26+Inputs!$B$29,IF(Skills!C12=3,120+Inputs!$B$27+Inputs!$B$29,MAX(0,(Inputs!$B$3-100)*3)+Inputs!$B$28+Inputs!$B$29)))</f>
        <v/>
      </c>
      <c r="E1299">
        <f>INDEX(FactorTable!$B$2:$Y$301, MATCH(ROUND(MIN(300,MAX(1,D1299)),0), FactorTable!$A$2:$A$301,0), Skills!M12+1)</f>
        <v/>
      </c>
      <c r="F1299">
        <f>IF(Skills!N12=TRUE,(Skills!L12/10)*(E1299/1000),Skills!L12/10)+Skills!O12</f>
        <v/>
      </c>
      <c r="G1299" t="inlineStr"/>
      <c r="H1299" t="inlineStr"/>
      <c r="I1299" t="inlineStr">
        <is>
          <t>1</t>
        </is>
      </c>
      <c r="J1299" t="inlineStr"/>
      <c r="K1299" t="inlineStr"/>
      <c r="L1299" t="inlineStr"/>
      <c r="M1299" t="inlineStr"/>
      <c r="N1299" t="inlineStr"/>
      <c r="O1299" t="inlineStr"/>
      <c r="P1299" t="inlineStr"/>
      <c r="Q1299" t="inlineStr"/>
      <c r="R1299" t="inlineStr"/>
      <c r="S1299" t="inlineStr"/>
      <c r="T1299" t="inlineStr"/>
      <c r="V1299" t="inlineStr"/>
    </row>
    <row r="1300">
      <c r="A1300">
        <f>Skills!A13</f>
        <v/>
      </c>
      <c r="B1300">
        <f>Skills!B13</f>
        <v/>
      </c>
      <c r="C1300">
        <f>Inputs!$B$3&gt;=66</f>
        <v/>
      </c>
      <c r="D1300">
        <f>IF(Skills!C13=1,60+Inputs!$B$25+Inputs!$B$29,IF(Skills!C13=2,90+Inputs!$B$26+Inputs!$B$29,IF(Skills!C13=3,120+Inputs!$B$27+Inputs!$B$29,MAX(0,(Inputs!$B$3-100)*3)+Inputs!$B$28+Inputs!$B$29)))</f>
        <v/>
      </c>
      <c r="E1300">
        <f>INDEX(FactorTable!$B$2:$Y$301, MATCH(ROUND(MIN(300,MAX(1,D1300)),0), FactorTable!$A$2:$A$301,0), Skills!M13+1)</f>
        <v/>
      </c>
      <c r="F1300">
        <f>IF(Skills!N13=TRUE,(Skills!L13/10)*(E1300/1000),Skills!L13/10)+Skills!O13</f>
        <v/>
      </c>
      <c r="G1300">
        <f>Skills!G13*IF(Skills!H13&gt;0,Skills!I13/Skills!H13,1)</f>
        <v/>
      </c>
      <c r="H1300">
        <f>1-(1-Skills!J13/100)^Skills!K13</f>
        <v/>
      </c>
      <c r="I1300" t="inlineStr">
        <is>
          <t>1</t>
        </is>
      </c>
      <c r="J1300" t="inlineStr"/>
      <c r="K1300" t="inlineStr"/>
      <c r="L1300" t="inlineStr"/>
      <c r="M1300" t="inlineStr"/>
      <c r="N1300" t="inlineStr"/>
      <c r="O1300">
        <f>(1-Summary!$B$11)*T1300+Summary!$B$11*V1300</f>
        <v/>
      </c>
      <c r="P1300">
        <f>IF(B1322=0,0,O1300/B1322)</f>
        <v/>
      </c>
      <c r="Q1300" t="n">
        <v>0</v>
      </c>
      <c r="R1300" t="n">
        <v>0</v>
      </c>
      <c r="S1300">
        <f>IFERROR(O1300/N1300,0)</f>
        <v/>
      </c>
      <c r="T1300" t="n">
        <v>0</v>
      </c>
      <c r="V1300" t="n">
        <v>0</v>
      </c>
    </row>
    <row r="1301">
      <c r="A1301">
        <f>Skills!A14</f>
        <v/>
      </c>
      <c r="B1301">
        <f>Skills!B14</f>
        <v/>
      </c>
      <c r="C1301">
        <f>Inputs!$B$3&gt;=107</f>
        <v/>
      </c>
      <c r="D1301">
        <f>IF(Skills!C14=1,60+Inputs!$B$25+Inputs!$B$29,IF(Skills!C14=2,90+Inputs!$B$26+Inputs!$B$29,IF(Skills!C14=3,120+Inputs!$B$27+Inputs!$B$29,MAX(0,(Inputs!$B$3-100)*3)+Inputs!$B$28+Inputs!$B$29)))</f>
        <v/>
      </c>
      <c r="E1301">
        <f>INDEX(FactorTable!$B$2:$Y$301, MATCH(ROUND(MIN(300,MAX(1,D1301)),0), FactorTable!$A$2:$A$301,0), Skills!M14+1)</f>
        <v/>
      </c>
      <c r="F1301">
        <f>IF(Skills!N14=TRUE,(Skills!L14/10)*(E1301/1000),Skills!L14/10)+Skills!O14</f>
        <v/>
      </c>
      <c r="G1301">
        <f>Skills!G14*IF(Skills!H14&gt;0,Skills!I14/Skills!H14,1)</f>
        <v/>
      </c>
      <c r="H1301">
        <f>1-(1-Skills!J14/100)^Skills!K14</f>
        <v/>
      </c>
      <c r="I1301" t="inlineStr">
        <is>
          <t>1</t>
        </is>
      </c>
      <c r="J1301" t="inlineStr"/>
      <c r="K1301" t="inlineStr"/>
      <c r="L1301" t="inlineStr"/>
      <c r="M1301" t="inlineStr"/>
      <c r="N1301" t="inlineStr"/>
      <c r="O1301">
        <f>(1-Summary!$B$11)*T1301+Summary!$B$11*V1301</f>
        <v/>
      </c>
      <c r="P1301">
        <f>IF(B1322=0,0,O1301/B1322)</f>
        <v/>
      </c>
      <c r="Q1301" t="n">
        <v>0</v>
      </c>
      <c r="R1301" t="n">
        <v>0</v>
      </c>
      <c r="S1301">
        <f>IFERROR(O1301/N1301,0)</f>
        <v/>
      </c>
      <c r="T1301" t="n">
        <v>0</v>
      </c>
      <c r="V1301" t="n">
        <v>0</v>
      </c>
    </row>
    <row r="1302">
      <c r="A1302">
        <f>Skills!A15</f>
        <v/>
      </c>
      <c r="B1302">
        <f>Skills!B15</f>
        <v/>
      </c>
      <c r="C1302">
        <f>Inputs!$B$3&gt;=115</f>
        <v/>
      </c>
      <c r="D1302">
        <f>IF(Skills!C15=1,60+Inputs!$B$25+Inputs!$B$29,IF(Skills!C15=2,90+Inputs!$B$26+Inputs!$B$29,IF(Skills!C15=3,120+Inputs!$B$27+Inputs!$B$29,MAX(0,(Inputs!$B$3-100)*3)+Inputs!$B$28+Inputs!$B$29)))</f>
        <v/>
      </c>
      <c r="E1302">
        <f>INDEX(FactorTable!$B$2:$Y$301, MATCH(ROUND(MIN(300,MAX(1,D1302)),0), FactorTable!$A$2:$A$301,0), Skills!M15+1)</f>
        <v/>
      </c>
      <c r="F1302">
        <f>IF(Skills!N15=TRUE,(Skills!L15/10)*(E1302/1000),Skills!L15/10)+Skills!O15</f>
        <v/>
      </c>
      <c r="G1302">
        <f>Skills!G15*IF(Skills!H15&gt;0,Skills!I15/Skills!H15,1)</f>
        <v/>
      </c>
      <c r="H1302">
        <f>1-(1-Skills!J15/100)^Skills!K15</f>
        <v/>
      </c>
      <c r="I1302" t="inlineStr">
        <is>
          <t>1</t>
        </is>
      </c>
      <c r="J1302" t="inlineStr"/>
      <c r="K1302" t="inlineStr"/>
      <c r="L1302" t="inlineStr"/>
      <c r="M1302" t="inlineStr"/>
      <c r="N1302" t="inlineStr"/>
      <c r="O1302">
        <f>(1-Summary!$B$11)*T1302+Summary!$B$11*V1302</f>
        <v/>
      </c>
      <c r="P1302">
        <f>IF(B1322=0,0,O1302/B1322)</f>
        <v/>
      </c>
      <c r="Q1302" t="n">
        <v>0</v>
      </c>
      <c r="R1302" t="n">
        <v>0</v>
      </c>
      <c r="S1302">
        <f>IFERROR(O1302/N1302,0)</f>
        <v/>
      </c>
      <c r="T1302" t="n">
        <v>0</v>
      </c>
      <c r="V1302" t="n">
        <v>0</v>
      </c>
    </row>
    <row r="1303">
      <c r="A1303">
        <f>Skills!A16</f>
        <v/>
      </c>
      <c r="B1303">
        <f>Skills!B16</f>
        <v/>
      </c>
      <c r="C1303">
        <f>Inputs!$B$3&gt;=15</f>
        <v/>
      </c>
      <c r="D1303">
        <f>IF(Skills!C16=1,60+Inputs!$B$25+Inputs!$B$29,IF(Skills!C16=2,90+Inputs!$B$26+Inputs!$B$29,IF(Skills!C16=3,120+Inputs!$B$27+Inputs!$B$29,MAX(0,(Inputs!$B$3-100)*3)+Inputs!$B$28+Inputs!$B$29)))</f>
        <v/>
      </c>
      <c r="E1303">
        <f>INDEX(FactorTable!$B$2:$Y$301, MATCH(ROUND(MIN(300,MAX(1,D1303)),0), FactorTable!$A$2:$A$301,0), Skills!M16+1)</f>
        <v/>
      </c>
      <c r="F1303">
        <f>IF(Skills!N16=TRUE,(Skills!L16/10)*(E1303/1000),Skills!L16/10)+Skills!O16</f>
        <v/>
      </c>
      <c r="G1303">
        <f>Skills!G16*IF(Skills!H16&gt;0,Skills!I16/Skills!H16,1)</f>
        <v/>
      </c>
      <c r="H1303">
        <f>1-(1-Skills!J16/100)^Skills!K16</f>
        <v/>
      </c>
      <c r="I1303" t="inlineStr">
        <is>
          <t>1</t>
        </is>
      </c>
      <c r="J1303" t="inlineStr"/>
      <c r="K1303" t="inlineStr"/>
      <c r="L1303" t="inlineStr"/>
      <c r="M1303" t="inlineStr"/>
      <c r="N1303" t="inlineStr"/>
      <c r="O1303">
        <f>(1-Summary!$B$11)*T1303+Summary!$B$11*V1303</f>
        <v/>
      </c>
      <c r="P1303">
        <f>IF(B1322=0,0,O1303/B1322)</f>
        <v/>
      </c>
      <c r="Q1303" t="n">
        <v>0</v>
      </c>
      <c r="R1303" t="n">
        <v>0</v>
      </c>
      <c r="S1303">
        <f>IFERROR(O1303/N1303,0)</f>
        <v/>
      </c>
      <c r="T1303" t="n">
        <v>0</v>
      </c>
      <c r="V1303" t="n">
        <v>0</v>
      </c>
    </row>
    <row r="1304">
      <c r="A1304">
        <f>Skills!A17</f>
        <v/>
      </c>
      <c r="B1304">
        <f>Skills!B17</f>
        <v/>
      </c>
      <c r="C1304">
        <f>Inputs!$B$3&gt;=10</f>
        <v/>
      </c>
      <c r="D1304">
        <f>IF(Skills!C17=1,60+Inputs!$B$25+Inputs!$B$29,IF(Skills!C17=2,90+Inputs!$B$26+Inputs!$B$29,IF(Skills!C17=3,120+Inputs!$B$27+Inputs!$B$29,MAX(0,(Inputs!$B$3-100)*3)+Inputs!$B$28+Inputs!$B$29)))</f>
        <v/>
      </c>
      <c r="E1304">
        <f>INDEX(FactorTable!$B$2:$Y$301, MATCH(ROUND(MIN(300,MAX(1,D1304)),0), FactorTable!$A$2:$A$301,0), Skills!M17+1)</f>
        <v/>
      </c>
      <c r="F1304">
        <f>IF(Skills!N17=TRUE,(Skills!L17/10)*(E1304/1000),Skills!L17/10)+Skills!O17</f>
        <v/>
      </c>
      <c r="G1304">
        <f>Skills!G17*IF(Skills!H17&gt;0,Skills!I17/Skills!H17,1)</f>
        <v/>
      </c>
      <c r="H1304">
        <f>1-(1-Skills!J17/100)^Skills!K17</f>
        <v/>
      </c>
      <c r="I1304" t="inlineStr">
        <is>
          <t>1</t>
        </is>
      </c>
      <c r="J1304" t="inlineStr"/>
      <c r="K1304" t="inlineStr"/>
      <c r="L1304" t="inlineStr"/>
      <c r="M1304" t="inlineStr"/>
      <c r="N1304" t="inlineStr"/>
      <c r="O1304">
        <f>(1-Summary!$B$11)*T1304+Summary!$B$11*V1304</f>
        <v/>
      </c>
      <c r="P1304">
        <f>IF(B1322=0,0,O1304/B1322)</f>
        <v/>
      </c>
      <c r="Q1304" t="n">
        <v>0</v>
      </c>
      <c r="R1304" t="n">
        <v>0</v>
      </c>
      <c r="S1304">
        <f>IFERROR(O1304/N1304,0)</f>
        <v/>
      </c>
      <c r="T1304" t="n">
        <v>0</v>
      </c>
      <c r="V1304" t="n">
        <v>0</v>
      </c>
    </row>
    <row r="1305">
      <c r="A1305">
        <f>Skills!A18</f>
        <v/>
      </c>
      <c r="B1305">
        <f>Skills!B18</f>
        <v/>
      </c>
      <c r="C1305">
        <f>Inputs!$B$3&gt;=33</f>
        <v/>
      </c>
      <c r="D1305">
        <f>IF(Skills!C18=1,60+Inputs!$B$25+Inputs!$B$29,IF(Skills!C18=2,90+Inputs!$B$26+Inputs!$B$29,IF(Skills!C18=3,120+Inputs!$B$27+Inputs!$B$29,MAX(0,(Inputs!$B$3-100)*3)+Inputs!$B$28+Inputs!$B$29)))</f>
        <v/>
      </c>
      <c r="E1305">
        <f>INDEX(FactorTable!$B$2:$Y$301, MATCH(ROUND(MIN(300,MAX(1,D1305)),0), FactorTable!$A$2:$A$301,0), Skills!M18+1)</f>
        <v/>
      </c>
      <c r="F1305">
        <f>IF(Skills!N18=TRUE,(Skills!L18/10)*(E1305/1000),Skills!L18/10)+Skills!O18</f>
        <v/>
      </c>
      <c r="G1305">
        <f>Skills!G18*IF(Skills!H18&gt;0,Skills!I18/Skills!H18,1)</f>
        <v/>
      </c>
      <c r="H1305">
        <f>1-(1-Skills!J18/100)^Skills!K18</f>
        <v/>
      </c>
      <c r="I1305" t="inlineStr">
        <is>
          <t>1</t>
        </is>
      </c>
      <c r="J1305" t="inlineStr"/>
      <c r="K1305" t="inlineStr"/>
      <c r="L1305" t="inlineStr"/>
      <c r="M1305" t="inlineStr"/>
      <c r="N1305" t="inlineStr"/>
      <c r="O1305">
        <f>(1-Summary!$B$11)*T1305+Summary!$B$11*V1305</f>
        <v/>
      </c>
      <c r="P1305">
        <f>IF(B1322=0,0,O1305/B1322)</f>
        <v/>
      </c>
      <c r="Q1305" t="n">
        <v>0</v>
      </c>
      <c r="R1305" t="n">
        <v>0</v>
      </c>
      <c r="S1305">
        <f>IFERROR(O1305/N1305,0)</f>
        <v/>
      </c>
      <c r="T1305" t="n">
        <v>0</v>
      </c>
      <c r="V1305" t="n">
        <v>0</v>
      </c>
    </row>
    <row r="1306">
      <c r="A1306">
        <f>Skills!A19</f>
        <v/>
      </c>
      <c r="B1306">
        <f>Skills!B19</f>
        <v/>
      </c>
      <c r="C1306">
        <f>Inputs!$B$3&gt;=40</f>
        <v/>
      </c>
      <c r="D1306">
        <f>IF(Skills!C19=1,60+Inputs!$B$25+Inputs!$B$29,IF(Skills!C19=2,90+Inputs!$B$26+Inputs!$B$29,IF(Skills!C19=3,120+Inputs!$B$27+Inputs!$B$29,MAX(0,(Inputs!$B$3-100)*3)+Inputs!$B$28+Inputs!$B$29)))</f>
        <v/>
      </c>
      <c r="E1306">
        <f>INDEX(FactorTable!$B$2:$Y$301, MATCH(ROUND(MIN(300,MAX(1,D1306)),0), FactorTable!$A$2:$A$301,0), Skills!M19+1)</f>
        <v/>
      </c>
      <c r="F1306">
        <f>IF(Skills!N19=TRUE,(Skills!L19/10)*(E1306/1000),Skills!L19/10)+Skills!O19</f>
        <v/>
      </c>
      <c r="G1306">
        <f>Skills!G19*IF(Skills!H19&gt;0,Skills!I19/Skills!H19,1)</f>
        <v/>
      </c>
      <c r="H1306">
        <f>1-(1-Skills!J19/100)^Skills!K19</f>
        <v/>
      </c>
      <c r="I1306" t="inlineStr">
        <is>
          <t>1</t>
        </is>
      </c>
      <c r="J1306" t="inlineStr"/>
      <c r="K1306" t="inlineStr"/>
      <c r="L1306" t="inlineStr"/>
      <c r="M1306" t="inlineStr"/>
      <c r="N1306" t="inlineStr"/>
      <c r="O1306">
        <f>(1-Summary!$B$11)*T1306+Summary!$B$11*V1306</f>
        <v/>
      </c>
      <c r="P1306">
        <f>IF(B1322=0,0,O1306/B1322)</f>
        <v/>
      </c>
      <c r="Q1306" t="n">
        <v>0</v>
      </c>
      <c r="R1306" t="n">
        <v>0</v>
      </c>
      <c r="S1306">
        <f>IFERROR(O1306/N1306,0)</f>
        <v/>
      </c>
      <c r="T1306" t="n">
        <v>0</v>
      </c>
      <c r="V1306" t="n">
        <v>0</v>
      </c>
    </row>
    <row r="1307">
      <c r="A1307">
        <f>Skills!A20</f>
        <v/>
      </c>
      <c r="B1307">
        <f>Skills!B20</f>
        <v/>
      </c>
      <c r="C1307">
        <f>Inputs!$B$3&gt;=43</f>
        <v/>
      </c>
      <c r="D1307">
        <f>IF(Skills!C20=1,60+Inputs!$B$25+Inputs!$B$29,IF(Skills!C20=2,90+Inputs!$B$26+Inputs!$B$29,IF(Skills!C20=3,120+Inputs!$B$27+Inputs!$B$29,MAX(0,(Inputs!$B$3-100)*3)+Inputs!$B$28+Inputs!$B$29)))</f>
        <v/>
      </c>
      <c r="E1307">
        <f>INDEX(FactorTable!$B$2:$Y$301, MATCH(ROUND(MIN(300,MAX(1,D1307)),0), FactorTable!$A$2:$A$301,0), Skills!M20+1)</f>
        <v/>
      </c>
      <c r="F1307">
        <f>IF(Skills!N20=TRUE,(Skills!L20/10)*(E1307/1000),Skills!L20/10)+Skills!O20</f>
        <v/>
      </c>
      <c r="G1307">
        <f>Skills!G20*IF(Skills!H20&gt;0,Skills!I20/Skills!H20,1)</f>
        <v/>
      </c>
      <c r="H1307">
        <f>1-(1-Skills!J20/100)^Skills!K20</f>
        <v/>
      </c>
      <c r="I1307" t="inlineStr">
        <is>
          <t>1</t>
        </is>
      </c>
      <c r="J1307" t="inlineStr"/>
      <c r="K1307" t="inlineStr"/>
      <c r="L1307" t="inlineStr"/>
      <c r="M1307" t="inlineStr"/>
      <c r="N1307" t="inlineStr"/>
      <c r="O1307">
        <f>(1-Summary!$B$11)*T1307+Summary!$B$11*V1307</f>
        <v/>
      </c>
      <c r="P1307">
        <f>IF(B1322=0,0,O1307/B1322)</f>
        <v/>
      </c>
      <c r="Q1307" t="n">
        <v>0</v>
      </c>
      <c r="R1307" t="n">
        <v>0</v>
      </c>
      <c r="S1307">
        <f>IFERROR(O1307/N1307,0)</f>
        <v/>
      </c>
      <c r="T1307" t="n">
        <v>0</v>
      </c>
      <c r="V1307" t="n">
        <v>0</v>
      </c>
    </row>
    <row r="1308">
      <c r="A1308">
        <f>Skills!A21</f>
        <v/>
      </c>
      <c r="B1308">
        <f>Skills!B21</f>
        <v/>
      </c>
      <c r="C1308">
        <f>Inputs!$B$3&gt;=38</f>
        <v/>
      </c>
      <c r="D1308">
        <f>IF(Skills!C21=1,60+Inputs!$B$25+Inputs!$B$29,IF(Skills!C21=2,90+Inputs!$B$26+Inputs!$B$29,IF(Skills!C21=3,120+Inputs!$B$27+Inputs!$B$29,MAX(0,(Inputs!$B$3-100)*3)+Inputs!$B$28+Inputs!$B$29)))</f>
        <v/>
      </c>
      <c r="E1308">
        <f>INDEX(FactorTable!$B$2:$Y$301, MATCH(ROUND(MIN(300,MAX(1,D1308)),0), FactorTable!$A$2:$A$301,0), Skills!M21+1)</f>
        <v/>
      </c>
      <c r="F1308">
        <f>IF(Skills!N21=TRUE,(Skills!L21/10)*(E1308/1000),Skills!L21/10)+Skills!O21</f>
        <v/>
      </c>
      <c r="G1308">
        <f>Skills!G21*IF(Skills!H21&gt;0,Skills!I21/Skills!H21,1)</f>
        <v/>
      </c>
      <c r="H1308">
        <f>1-(1-Skills!J21/100)^Skills!K21</f>
        <v/>
      </c>
      <c r="I1308" t="inlineStr">
        <is>
          <t>1</t>
        </is>
      </c>
      <c r="J1308" t="inlineStr"/>
      <c r="K1308" t="inlineStr"/>
      <c r="L1308" t="inlineStr"/>
      <c r="M1308" t="inlineStr"/>
      <c r="N1308" t="inlineStr"/>
      <c r="O1308">
        <f>(1-Summary!$B$11)*T1308+Summary!$B$11*V1308</f>
        <v/>
      </c>
      <c r="P1308">
        <f>IF(B1322=0,0,O1308/B1322)</f>
        <v/>
      </c>
      <c r="Q1308" t="n">
        <v>0</v>
      </c>
      <c r="R1308" t="n">
        <v>0</v>
      </c>
      <c r="S1308">
        <f>IFERROR(O1308/N1308,0)</f>
        <v/>
      </c>
      <c r="T1308" t="n">
        <v>0</v>
      </c>
      <c r="V1308" t="n">
        <v>0</v>
      </c>
    </row>
    <row r="1309">
      <c r="A1309">
        <f>Skills!A22</f>
        <v/>
      </c>
      <c r="B1309">
        <f>Skills!B22</f>
        <v/>
      </c>
      <c r="C1309">
        <f>Inputs!$B$3&gt;=75</f>
        <v/>
      </c>
      <c r="D1309">
        <f>IF(Skills!C22=1,60+Inputs!$B$25+Inputs!$B$29,IF(Skills!C22=2,90+Inputs!$B$26+Inputs!$B$29,IF(Skills!C22=3,120+Inputs!$B$27+Inputs!$B$29,MAX(0,(Inputs!$B$3-100)*3)+Inputs!$B$28+Inputs!$B$29)))</f>
        <v/>
      </c>
      <c r="E1309">
        <f>INDEX(FactorTable!$B$2:$Y$301, MATCH(ROUND(MIN(300,MAX(1,D1309)),0), FactorTable!$A$2:$A$301,0), Skills!M22+1)</f>
        <v/>
      </c>
      <c r="F1309">
        <f>IF(Skills!N22=TRUE,(Skills!L22/10)*(E1309/1000),Skills!L22/10)+Skills!O22</f>
        <v/>
      </c>
      <c r="G1309">
        <f>Skills!G22*IF(Skills!H22&gt;0,Skills!I22/Skills!H22,1)</f>
        <v/>
      </c>
      <c r="H1309">
        <f>1-(1-Skills!J22/100)^Skills!K22</f>
        <v/>
      </c>
      <c r="I1309" t="inlineStr">
        <is>
          <t>1</t>
        </is>
      </c>
      <c r="J1309" t="inlineStr"/>
      <c r="K1309" t="inlineStr"/>
      <c r="L1309" t="inlineStr"/>
      <c r="M1309" t="inlineStr"/>
      <c r="N1309" t="inlineStr"/>
      <c r="O1309">
        <f>(1-Summary!$B$11)*T1309+Summary!$B$11*V1309</f>
        <v/>
      </c>
      <c r="P1309">
        <f>IF(B1322=0,0,O1309/B1322)</f>
        <v/>
      </c>
      <c r="Q1309" t="n">
        <v>0</v>
      </c>
      <c r="R1309" t="n">
        <v>0</v>
      </c>
      <c r="S1309">
        <f>IFERROR(O1309/N1309,0)</f>
        <v/>
      </c>
      <c r="T1309" t="n">
        <v>0</v>
      </c>
      <c r="V1309" t="n">
        <v>0</v>
      </c>
    </row>
    <row r="1311">
      <c r="A1311" t="inlineStr">
        <is>
          <t>Attack% Bucket Multiplier</t>
        </is>
      </c>
      <c r="B1311">
        <f>(1+(((C1300=TRUE)*F1300)+((C1306=TRUE)*(F1306-Calc!F19))+(IF(ArtifactsInput!$M$21,CHOOSE(ArtifactsInput!$N$21+1,25,30,35,40,45,50)*(IF(OR(Inputs!$B$4="Chapter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2">
      <c r="A1312" t="inlineStr">
        <is>
          <t>Global Crit Rate Bonus %</t>
        </is>
      </c>
      <c r="B1312" t="n">
        <v>0</v>
      </c>
    </row>
    <row r="1313">
      <c r="A1313" t="inlineStr">
        <is>
          <t>Attack Speed Buff Bonus % (unused)</t>
        </is>
      </c>
      <c r="B1313" t="n">
        <v>0</v>
      </c>
    </row>
    <row r="1314">
      <c r="A1314" t="inlineStr">
        <is>
          <t>Actions Per Second</t>
        </is>
      </c>
      <c r="B1314">
        <f>1+MIN(150,150*(1-(1-(Inputs!$B$11+((C1304=TRUE)*(F1304-Calc!F17))+((C1305=TRUE)*(F1305-Calc!F18)))/150)*(1-B1313/150)))/100</f>
        <v/>
      </c>
    </row>
    <row r="1315">
      <c r="A1315" t="inlineStr">
        <is>
          <t>Skill + Buff Cast Rate</t>
        </is>
      </c>
      <c r="B1315">
        <f>IF(AND(Inputs!$B$38&lt;&gt;"pvp",Inputs!$B$43&gt;0),SUMPRODUCT((Skills!E2:E22=TRUE)*(C1289:C1309=TRUE)*R1289:R1309*Skills!F2:F22)/Inputs!$B$43,SUMPRODUCT((Skills!E2:E22=TRUE)*(C1289:C1309=TRUE)*Q1289:Q1309*Skills!F2:F22))</f>
        <v/>
      </c>
    </row>
    <row r="1316">
      <c r="A1316" t="inlineStr">
        <is>
          <t>Hook Bomber Casts Per Second</t>
        </is>
      </c>
      <c r="B1316">
        <f>MAX(0,B1314-B1315)</f>
        <v/>
      </c>
    </row>
    <row r="1317">
      <c r="A1317" t="inlineStr">
        <is>
          <t>Global Critical Damage Bonus % (unused)</t>
        </is>
      </c>
      <c r="B1317" t="n">
        <v>0</v>
      </c>
    </row>
    <row r="1318">
      <c r="A1318" t="inlineStr">
        <is>
          <t>Global Final Damage Bonus % (Serpent Scale + Crossbones + Time Leap + Speed Infusion)</t>
        </is>
      </c>
      <c r="B1318">
        <f>((C1292=TRUE)*F1292*((10+IF(Inputs!$B$3&gt;=94,5,0))/((10+IF(Inputs!$B$3&gt;=94,5,0))+5/(B1316*(1+IF(Inputs!$B$3&gt;=104,1,0))))))+((C1301=TRUE)*F1301)+((C1302=TRUE)*F1302)+((Inputs!$B$3&gt;=110)*20*(B1314-1))</f>
        <v/>
      </c>
    </row>
    <row r="1319">
      <c r="A1319" t="inlineStr">
        <is>
          <t>Buff-Casting Startup Delay (s, fixed-duration only)</t>
        </is>
      </c>
      <c r="B1319">
        <f>IF(AND(Inputs!$B$38&lt;&gt;"pvp",Inputs!$B$43&gt;0),SUMPRODUCT((Skills!T2:T22&gt;0)*(Skills!E2:E22=TRUE)*(C1289:C1309=TRUE))/B1314,0)</f>
        <v/>
      </c>
    </row>
    <row r="1320">
      <c r="A1320" t="inlineStr">
        <is>
          <t>Boss-Only Total DPS (this block's swept value)</t>
        </is>
      </c>
      <c r="B1320">
        <f>SUM(T1289:T1309)</f>
        <v/>
      </c>
    </row>
    <row r="1321">
      <c r="A1321" t="inlineStr">
        <is>
          <t>Normal-Only Total DPS (this block's swept value)</t>
        </is>
      </c>
      <c r="B1321">
        <f>SUM(V1289:V1309)</f>
        <v/>
      </c>
    </row>
    <row r="1322">
      <c r="A1322" s="6" t="inlineStr">
        <is>
          <t>TOTAL DPS</t>
        </is>
      </c>
      <c r="B1322" s="6">
        <f>SUM(O1289:O1309)</f>
        <v/>
      </c>
    </row>
    <row r="1325">
      <c r="A1325" s="6" t="inlineStr">
        <is>
          <t>Stat: Mushmom's Cap (Equip)</t>
        </is>
      </c>
    </row>
    <row r="1326">
      <c r="A1326" s="5" t="inlineStr">
        <is>
          <t>Key</t>
        </is>
      </c>
      <c r="B1326" s="5" t="inlineStr">
        <is>
          <t>Name</t>
        </is>
      </c>
      <c r="C1326" s="5" t="inlineStr">
        <is>
          <t>Unlocked</t>
        </is>
      </c>
      <c r="D1326" s="5" t="inlineStr">
        <is>
          <t>InputLevel</t>
        </is>
      </c>
      <c r="E1326" s="5" t="inlineStr">
        <is>
          <t>Factor</t>
        </is>
      </c>
      <c r="F1326" s="5" t="inlineStr">
        <is>
          <t>CoefficientPercent</t>
        </is>
      </c>
      <c r="G1326" s="5" t="inlineStr">
        <is>
          <t>EffectiveHits</t>
        </is>
      </c>
      <c r="H1326" s="5" t="inlineStr">
        <is>
          <t>ProcProbability</t>
        </is>
      </c>
      <c r="I1326" s="5" t="inlineStr">
        <is>
          <t>MapleHeroMultiplier</t>
        </is>
      </c>
      <c r="J1326" s="5" t="inlineStr">
        <is>
          <t>BaseDamage</t>
        </is>
      </c>
      <c r="K1326" s="5" t="inlineStr">
        <is>
          <t>BaseHitDamage</t>
        </is>
      </c>
      <c r="L1326" s="5" t="inlineStr">
        <is>
          <t>NonCritAvg</t>
        </is>
      </c>
      <c r="M1326" s="5" t="inlineStr">
        <is>
          <t>CritAvg</t>
        </is>
      </c>
      <c r="N1326" s="5" t="inlineStr">
        <is>
          <t>ExpectedDamage(perHit)</t>
        </is>
      </c>
      <c r="O1326" s="5" t="inlineStr">
        <is>
          <t>DPS</t>
        </is>
      </c>
      <c r="P1326" s="5" t="inlineStr">
        <is>
          <t>% of Total</t>
        </is>
      </c>
      <c r="Q1326" s="5" t="inlineStr">
        <is>
          <t>InvCooldown</t>
        </is>
      </c>
      <c r="R1326" s="5" t="inlineStr">
        <is>
          <t>CastsInFight</t>
        </is>
      </c>
      <c r="S1326" s="5" t="inlineStr">
        <is>
          <t>HitRate(perSec)</t>
        </is>
      </c>
      <c r="U1326" t="inlineStr">
        <is>
          <t>helpers</t>
        </is>
      </c>
    </row>
    <row r="1327">
      <c r="A1327">
        <f>Skills!A2</f>
        <v/>
      </c>
      <c r="B1327">
        <f>Skills!B2</f>
        <v/>
      </c>
      <c r="C1327">
        <f>Inputs!$B$3&gt;=100</f>
        <v/>
      </c>
      <c r="D1327" t="inlineStr"/>
      <c r="E1327" t="inlineStr"/>
      <c r="F1327">
        <f>U1329+Skills!O2</f>
        <v/>
      </c>
      <c r="G1327">
        <f>Skills!G2*IF(Skills!H2&gt;0,Skills!I2/Skills!H2,1)</f>
        <v/>
      </c>
      <c r="H1327">
        <f>1-(1-Skills!J2/100)^Skills!K2</f>
        <v/>
      </c>
      <c r="I1327" t="inlineStr">
        <is>
          <t>1</t>
        </is>
      </c>
      <c r="J1327">
        <f>((Inputs!$B$6*(1+Inputs!$B$7/100))+(((Inputs!$B$12*(1+Inputs!$B$13/100))-(Inputs!$B$12*(1+Inputs!$B$13/100)))+0.25*(Inputs!$B$14-Inputs!$B$14))*(1+Inputs!$B$7/100))*(F1327/100)</f>
        <v/>
      </c>
      <c r="K1327">
        <f>J1327*(1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1327)</f>
        <v/>
      </c>
      <c r="L1327">
        <f>K1327*(MIN(Inputs!$B$22+((C1345=TRUE)*(F1345-Calc!F20)),(Inputs!$B$23+0+(IF(ArtifactsInput!$M$15,CHOOSE(ArtifactsInput!$N$15+1,25,30,35,40,45,50)/100*(Inputs!$B$11-Inputs!$B$11),0))))/100+(Inputs!$B$23+0+(IF(ArtifactsInput!$M$15,CHOOSE(ArtifactsInput!$N$15+1,25,30,35,40,45,50)/100*(Inputs!$B$11-Inputs!$B$11),0)))/100)/2</f>
        <v/>
      </c>
      <c r="M1327">
        <f>L1327*(1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7">
        <f>L1327*(1-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1327*(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7">
        <f>(1-Summary!$B$11)*T1327+Summary!$B$11*V1327</f>
        <v/>
      </c>
      <c r="P1327">
        <f>IF(B1360=0,0,O1327/B1360)</f>
        <v/>
      </c>
      <c r="Q1327" t="n">
        <v>0</v>
      </c>
      <c r="R1327" t="n">
        <v>0</v>
      </c>
      <c r="S1327">
        <f>IFERROR(O1327/N1327,0)</f>
        <v/>
      </c>
      <c r="T1327">
        <f>IF(C1327,(Skills!G2*N1327*B1354)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1327*(1-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1327*(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1327*(1-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1327*(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7">
        <f>MAX(0,(Inputs!$B$3-100)*3)+Inputs!$B$28+Inputs!$B$29</f>
        <v/>
      </c>
      <c r="V1327">
        <f>IF(C1327,(Skills!G2*N1327*B1354)*IF(Inputs!$B$38="pvp",1,(1+(Inputs!$B$21+Skills!Q2+(IF(ArtifactsInput!$M$33,CHOOSE(ArtifactsInput!$N$33+1,30,36,42,48,54,60),0))+(IF(AND(ArtifactsInput!$M$35,Inputs!$B$4&lt;&gt;"Chapter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8">
      <c r="A1328">
        <f>Skills!A3</f>
        <v/>
      </c>
      <c r="B1328">
        <f>Skills!B3</f>
        <v/>
      </c>
      <c r="C1328">
        <f>Inputs!$B$3&gt;=35</f>
        <v/>
      </c>
      <c r="D1328">
        <f>IF(Skills!C3=1,60+Inputs!$B$25+Inputs!$B$29,IF(Skills!C3=2,90+Inputs!$B$26+Inputs!$B$29,IF(Skills!C3=3,120+Inputs!$B$27+Inputs!$B$29,MAX(0,(Inputs!$B$3-100)*3)+Inputs!$B$28+Inputs!$B$29)))</f>
        <v/>
      </c>
      <c r="E1328">
        <f>INDEX(FactorTable!$B$2:$Y$301, MATCH(ROUND(MIN(300,MAX(1,D1328)),0), FactorTable!$A$2:$A$301,0), Skills!M3+1)</f>
        <v/>
      </c>
      <c r="F1328">
        <f>IF(Skills!N3=TRUE,(Skills!L3/10)*(E1328/1000),Skills!L3/10)+Skills!O3</f>
        <v/>
      </c>
      <c r="G1328">
        <f>Skills!G3*IF(Skills!H3&gt;0,Skills!I3/Skills!H3,1)</f>
        <v/>
      </c>
      <c r="H1328">
        <f>1-(1-Skills!J3/100)^Skills!K3</f>
        <v/>
      </c>
      <c r="I1328" t="inlineStr">
        <is>
          <t>1</t>
        </is>
      </c>
      <c r="J1328">
        <f>((Inputs!$B$6*(1+Inputs!$B$7/100))+(((Inputs!$B$12*(1+Inputs!$B$13/100))-(Inputs!$B$12*(1+Inputs!$B$13/100)))+0.25*(Inputs!$B$14-Inputs!$B$14))*(1+Inputs!$B$7/100))*(F1328/100)</f>
        <v/>
      </c>
      <c r="K1328">
        <f>J1328*(1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1328)</f>
        <v/>
      </c>
      <c r="L1328">
        <f>K1328*(MIN(Inputs!$B$22+((C1345=TRUE)*(F1345-Calc!F20)),(Inputs!$B$23+0+(IF(ArtifactsInput!$M$15,CHOOSE(ArtifactsInput!$N$15+1,25,30,35,40,45,50)/100*(Inputs!$B$11-Inputs!$B$11),0))))/100+(Inputs!$B$23+0+(IF(ArtifactsInput!$M$15,CHOOSE(ArtifactsInput!$N$15+1,25,30,35,40,45,50)/100*(Inputs!$B$11-Inputs!$B$11),0)))/100)/2</f>
        <v/>
      </c>
      <c r="M1328">
        <f>L1328*(1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8">
        <f>L1328*(1-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1328*(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8">
        <f>(1-Summary!$B$11)*T1328+Summary!$B$11*V1328</f>
        <v/>
      </c>
      <c r="P1328">
        <f>IF(B1360=0,0,O1328/B1360)</f>
        <v/>
      </c>
      <c r="Q1328" t="n">
        <v>0</v>
      </c>
      <c r="R1328" t="n">
        <v>0</v>
      </c>
      <c r="S1328">
        <f>IFERROR(O1328/N1328,0)</f>
        <v/>
      </c>
      <c r="T1328">
        <f>IF(C1328,(Skills!G3*H1328*N1328*B1354)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1328*(1-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1328*(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1328*(1-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1328*(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8">
        <f>INDEX(FactorTable!$B$2:$Y$301, MATCH(ROUND(MIN(300,MAX(1,U1327)),0), FactorTable!$A$2:$A$301,0), 22)</f>
        <v/>
      </c>
      <c r="V1328">
        <f>IF(C1328,(Skills!G3*H1328*N1328*B1354)*IF(Inputs!$B$38="pvp",1,(1+(Inputs!$B$21+Skills!Q3+(IF(ArtifactsInput!$M$33,CHOOSE(ArtifactsInput!$N$33+1,30,36,42,48,54,60),0))+(IF(AND(ArtifactsInput!$M$35,Inputs!$B$4&lt;&gt;"Chapter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9">
      <c r="A1329">
        <f>Skills!A4</f>
        <v/>
      </c>
      <c r="B1329">
        <f>Skills!B4</f>
        <v/>
      </c>
      <c r="C1329">
        <f>Inputs!$B$3&gt;=60</f>
        <v/>
      </c>
      <c r="D1329">
        <f>IF(Skills!C4=1,60+Inputs!$B$25+Inputs!$B$29,IF(Skills!C4=2,90+Inputs!$B$26+Inputs!$B$29,IF(Skills!C4=3,120+Inputs!$B$27+Inputs!$B$29,MAX(0,(Inputs!$B$3-100)*3)+Inputs!$B$28+Inputs!$B$29)))</f>
        <v/>
      </c>
      <c r="E1329">
        <f>INDEX(FactorTable!$B$2:$Y$301, MATCH(ROUND(MIN(300,MAX(1,D1329)),0), FactorTable!$A$2:$A$301,0), Skills!M4+1)</f>
        <v/>
      </c>
      <c r="F1329">
        <f>IF(Skills!N4=TRUE,(Skills!L4/10)*(E1329/1000),Skills!L4/10)+Skills!O4</f>
        <v/>
      </c>
      <c r="G1329">
        <f>Skills!G4*IF(Skills!H4&gt;0,Skills!I4/Skills!H4,1)</f>
        <v/>
      </c>
      <c r="H1329">
        <f>1-(1-Skills!J4/100)^Skills!K4</f>
        <v/>
      </c>
      <c r="I1329" t="inlineStr">
        <is>
          <t>1</t>
        </is>
      </c>
      <c r="J1329">
        <f>((Inputs!$B$6*(1+Inputs!$B$7/100))+(((Inputs!$B$12*(1+Inputs!$B$13/100))-(Inputs!$B$12*(1+Inputs!$B$13/100)))+0.25*(Inputs!$B$14-Inputs!$B$14))*(1+Inputs!$B$7/100))*(F1329/100)</f>
        <v/>
      </c>
      <c r="K1329">
        <f>J1329*(1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1337=TRUE,F1337,0)/100)*(1+(IF(Skills!A4="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1329)</f>
        <v/>
      </c>
      <c r="L1329">
        <f>K1329*(MIN(Inputs!$B$22+((C1345=TRUE)*(F1345-Calc!F20)),(Inputs!$B$23+0+(IF(ArtifactsInput!$M$15,CHOOSE(ArtifactsInput!$N$15+1,25,30,35,40,45,50)/100*(Inputs!$B$11-Inputs!$B$11),0))))/100+(Inputs!$B$23+0+(IF(ArtifactsInput!$M$15,CHOOSE(ArtifactsInput!$N$15+1,25,30,35,40,45,50)/100*(Inputs!$B$11-Inputs!$B$11),0)))/100)/2</f>
        <v/>
      </c>
      <c r="M1329">
        <f>L1329*(1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9">
        <f>L1329*(1-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1329*(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9">
        <f>(1-Summary!$B$11)*T1329+Summary!$B$11*V1329</f>
        <v/>
      </c>
      <c r="P1329">
        <f>IF(B1360=0,0,O1329/B1360)</f>
        <v/>
      </c>
      <c r="Q1329" t="n">
        <v>0</v>
      </c>
      <c r="R1329" t="n">
        <v>0</v>
      </c>
      <c r="S1329">
        <f>IFERROR(O1329/N1329,0)</f>
        <v/>
      </c>
      <c r="T1329">
        <f>IF(C1329,(Skills!G4*H1329*N1329*B1354)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1329*(1-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1329*(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1329*(1-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1329*(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9">
        <f>290*U1328/1000</f>
        <v/>
      </c>
      <c r="V1329">
        <f>IF(C1329,(Skills!G4*H1329*N1329*B1354)*IF(Inputs!$B$38="pvp",1,(1+(Inputs!$B$21+Skills!Q4+(IF(ArtifactsInput!$M$33,CHOOSE(ArtifactsInput!$N$33+1,30,36,42,48,54,60),0))+(IF(AND(ArtifactsInput!$M$35,Inputs!$B$4&lt;&gt;"Chapter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0">
      <c r="A1330">
        <f>Skills!A5</f>
        <v/>
      </c>
      <c r="B1330">
        <f>Skills!B5</f>
        <v/>
      </c>
      <c r="C1330">
        <f>Inputs!$B$3&gt;=60</f>
        <v/>
      </c>
      <c r="D1330">
        <f>IF(Skills!C5=1,60+Inputs!$B$25+Inputs!$B$29,IF(Skills!C5=2,90+Inputs!$B$26+Inputs!$B$29,IF(Skills!C5=3,120+Inputs!$B$27+Inputs!$B$29,MAX(0,(Inputs!$B$3-100)*3)+Inputs!$B$28+Inputs!$B$29)))</f>
        <v/>
      </c>
      <c r="E1330">
        <f>INDEX(FactorTable!$B$2:$Y$301, MATCH(ROUND(MIN(300,MAX(1,D1330)),0), FactorTable!$A$2:$A$301,0), Skills!M5+1)</f>
        <v/>
      </c>
      <c r="F1330">
        <f>IF(Skills!N5=TRUE,(Skills!L5/10)*(E1330/1000),Skills!L5/10)+Skills!O5</f>
        <v/>
      </c>
      <c r="G1330">
        <f>Skills!G5*IF(Skills!H5&gt;0,Skills!I5/Skills!H5,1)</f>
        <v/>
      </c>
      <c r="H1330">
        <f>1-(1-Skills!J5/100)^Skills!K5</f>
        <v/>
      </c>
      <c r="I1330" t="inlineStr">
        <is>
          <t>1</t>
        </is>
      </c>
      <c r="J1330" t="inlineStr"/>
      <c r="K1330" t="inlineStr"/>
      <c r="L1330" t="inlineStr"/>
      <c r="M1330" t="inlineStr"/>
      <c r="N1330" t="inlineStr"/>
      <c r="O1330">
        <f>(1-Summary!$B$11)*T1330+Summary!$B$11*V1330</f>
        <v/>
      </c>
      <c r="P1330">
        <f>IF(B1360=0,0,O1330/B1360)</f>
        <v/>
      </c>
      <c r="Q1330" t="n">
        <v>0</v>
      </c>
      <c r="R1330" t="n">
        <v>0</v>
      </c>
      <c r="S1330">
        <f>IFERROR(O1330/N1330,0)</f>
        <v/>
      </c>
      <c r="T1330" t="n">
        <v>0</v>
      </c>
      <c r="V1330" t="n">
        <v>0</v>
      </c>
    </row>
    <row r="1331">
      <c r="A1331">
        <f>Skills!A6</f>
        <v/>
      </c>
      <c r="B1331">
        <f>Skills!B6</f>
        <v/>
      </c>
      <c r="C1331">
        <f>Inputs!$B$3&gt;=63</f>
        <v/>
      </c>
      <c r="D1331">
        <f>IF(Skills!C6=1,60+Inputs!$B$25+Inputs!$B$29,IF(Skills!C6=2,90+Inputs!$B$26+Inputs!$B$29,IF(Skills!C6=3,120+Inputs!$B$27+Inputs!$B$29,MAX(0,(Inputs!$B$3-100)*3)+Inputs!$B$28+Inputs!$B$29)))</f>
        <v/>
      </c>
      <c r="E1331">
        <f>INDEX(FactorTable!$B$2:$Y$301, MATCH(ROUND(MIN(300,MAX(1,D1331)),0), FactorTable!$A$2:$A$301,0), Skills!M6+1)</f>
        <v/>
      </c>
      <c r="F1331">
        <f>IF(Skills!N6=TRUE,(Skills!L6/10)*(E1331/1000),Skills!L6/10)+Skills!O6</f>
        <v/>
      </c>
      <c r="G1331">
        <f>Skills!G6*IF(Skills!H6&gt;0,Skills!I6/Skills!H6,1)</f>
        <v/>
      </c>
      <c r="H1331">
        <f>1-(1-Skills!J6/100)^Skills!K6</f>
        <v/>
      </c>
      <c r="I1331" t="inlineStr">
        <is>
          <t>1</t>
        </is>
      </c>
      <c r="J1331">
        <f>((Inputs!$B$6*(1+Inputs!$B$7/100))+(((Inputs!$B$12*(1+Inputs!$B$13/100))-(Inputs!$B$12*(1+Inputs!$B$13/100)))+0.25*(Inputs!$B$14-Inputs!$B$14))*(1+Inputs!$B$7/100))*(F1331/100)</f>
        <v/>
      </c>
      <c r="K1331">
        <f>J1331*(1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1331)</f>
        <v/>
      </c>
      <c r="L1331">
        <f>K1331*(MIN(Inputs!$B$22+((C1345=TRUE)*(F1345-Calc!F20)),(Inputs!$B$23+0+(IF(ArtifactsInput!$M$15,CHOOSE(ArtifactsInput!$N$15+1,25,30,35,40,45,50)/100*(Inputs!$B$11-Inputs!$B$11),0))))/100+(Inputs!$B$23+0+(IF(ArtifactsInput!$M$15,CHOOSE(ArtifactsInput!$N$15+1,25,30,35,40,45,50)/100*(Inputs!$B$11-Inputs!$B$11),0)))/100)/2</f>
        <v/>
      </c>
      <c r="M1331">
        <f>L1331*(1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1">
        <f>L1331*(1-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1">
        <f>(1-Summary!$B$11)*T1331+Summary!$B$11*V1331</f>
        <v/>
      </c>
      <c r="P1331">
        <f>IF(B1360=0,0,O1331/B1360)</f>
        <v/>
      </c>
      <c r="Q1331">
        <f>IFERROR(1/(IF(Inputs!$B$38="pvp",15,MAX(0.1,Skills!D6-IF(Skills!E6=TRUE,Inputs!$B$32,0)))*(1-IF(AND(ArtifactsInput!$M$27,Inputs!$B$4="Chapter Hunt"),CHOOSE(ArtifactsInput!$N$27+1,20,24,28,32,36,40),0)/100)),0)</f>
        <v/>
      </c>
      <c r="R1331">
        <f>IF(AND(Inputs!$B$38&lt;&gt;"pvp",Inputs!$B$43&gt;0),IF(MAX(0,Inputs!$B$43-B1357)&lt;=0,0,(INT(MAX(0,Inputs!$B$43-B1357)/(IF(Inputs!$B$38="pvp",15,MAX(0.1,Skills!D6-IF(Skills!E6=TRUE,Inputs!$B$32,0)))*(1-IF(AND(ArtifactsInput!$M$27,Inputs!$B$4="Chapter Hunt"),CHOOSE(ArtifactsInput!$N$27+1,20,24,28,32,36,40),0)/100)))+1)),0)</f>
        <v/>
      </c>
      <c r="S1331">
        <f>IFERROR(O1331/N1331,0)</f>
        <v/>
      </c>
      <c r="T1331">
        <f>IF(C1331,(H1331*N1331*IF(AND(Inputs!$B$38&lt;&gt;"pvp",Inputs!$B$43&gt;0),((Skills!G6*((R1331-1)*IF(Skills!H6&gt;0,Skills!I6/Skills!H6,1)+IF(Skills!H6&gt;0,MIN(Skills!I6,MAX(0,MAX(0,Inputs!$B$43-B1357)-((R1331-1)*(IF(Inputs!$B$38="pvp",15,MAX(0.1,Skills!D6-IF(Skills!E6=TRUE,Inputs!$B$32,0)))*(1-IF(AND(ArtifactsInput!$M$27,Inputs!$B$4="Chapter Hunt"),CHOOSE(ArtifactsInput!$N$27+1,20,24,28,32,36,40),0)/100)))))/Skills!H6,1)))/Inputs!$B$43),G1331*Q1331)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1331*(1-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1331*(1-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1">
        <f>IF(C1331,(H1331*N1331*IF(AND(Inputs!$B$38&lt;&gt;"pvp",Inputs!$B$43&gt;0),((Skills!G6*((R1331-1)*IF(Skills!H6&gt;0,Skills!I6/Skills!H6,1)+IF(Skills!H6&gt;0,MIN(Skills!I6,MAX(0,MAX(0,Inputs!$B$43-B1357)-((R1331-1)*(IF(Inputs!$B$38="pvp",15,MAX(0.1,Skills!D6-IF(Skills!E6=TRUE,Inputs!$B$32,0)))*(1-IF(AND(ArtifactsInput!$M$27,Inputs!$B$4="Chapter Hunt"),CHOOSE(ArtifactsInput!$N$27+1,20,24,28,32,36,40),0)/100)))))/Skills!H6,1)))/Inputs!$B$43),G1331*Q1331))*IF(Inputs!$B$38="pvp",1,(1+(Inputs!$B$21+Skills!Q6+(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2">
      <c r="A1332">
        <f>Skills!A7</f>
        <v/>
      </c>
      <c r="B1332">
        <f>Skills!B7</f>
        <v/>
      </c>
      <c r="C1332">
        <f>Inputs!$B$3&gt;=100</f>
        <v/>
      </c>
      <c r="D1332">
        <f>IF(Skills!C7=1,60+Inputs!$B$25+Inputs!$B$29,IF(Skills!C7=2,90+Inputs!$B$26+Inputs!$B$29,IF(Skills!C7=3,120+Inputs!$B$27+Inputs!$B$29,MAX(0,(Inputs!$B$3-100)*3)+Inputs!$B$28+Inputs!$B$29)))</f>
        <v/>
      </c>
      <c r="E1332">
        <f>INDEX(FactorTable!$B$2:$Y$301, MATCH(ROUND(MIN(300,MAX(1,D1332)),0), FactorTable!$A$2:$A$301,0), Skills!M7+1)</f>
        <v/>
      </c>
      <c r="F1332">
        <f>IF(Skills!N7=TRUE,(Skills!L7/10)*(E1332/1000),Skills!L7/10)+Skills!O7</f>
        <v/>
      </c>
      <c r="G1332">
        <f>Skills!G7*IF(Skills!H7&gt;0,Skills!I7/Skills!H7,1)</f>
        <v/>
      </c>
      <c r="H1332">
        <f>1-(1-Skills!J7/100)^Skills!K7</f>
        <v/>
      </c>
      <c r="I1332" t="inlineStr">
        <is>
          <t>1</t>
        </is>
      </c>
      <c r="J1332">
        <f>((Inputs!$B$6*(1+Inputs!$B$7/100))+(((Inputs!$B$12*(1+Inputs!$B$13/100))-(Inputs!$B$12*(1+Inputs!$B$13/100)))+0.25*(Inputs!$B$14-Inputs!$B$14))*(1+Inputs!$B$7/100))*(F1332/100)</f>
        <v/>
      </c>
      <c r="K1332">
        <f>J1332*(1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1332)</f>
        <v/>
      </c>
      <c r="L1332">
        <f>K1332*(MIN(Inputs!$B$22+((C1345=TRUE)*(F1345-Calc!F20)),(Inputs!$B$23+0+(IF(ArtifactsInput!$M$15,CHOOSE(ArtifactsInput!$N$15+1,25,30,35,40,45,50)/100*(Inputs!$B$11-Inputs!$B$11),0))))/100+(Inputs!$B$23+0+(IF(ArtifactsInput!$M$15,CHOOSE(ArtifactsInput!$N$15+1,25,30,35,40,45,50)/100*(Inputs!$B$11-Inputs!$B$11),0)))/100)/2</f>
        <v/>
      </c>
      <c r="M1332">
        <f>L1332*(1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2">
        <f>L1332*(1-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1332*(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2">
        <f>(1-Summary!$B$11)*T1332+Summary!$B$11*V1332</f>
        <v/>
      </c>
      <c r="P1332">
        <f>IF(B1360=0,0,O1332/B1360)</f>
        <v/>
      </c>
      <c r="Q1332">
        <f>IFERROR(1/(IF(Inputs!$B$38="pvp",15,MAX(0.1,Skills!D7-IF(Skills!E7=TRUE,Inputs!$B$32,0)))*(1-IF(AND(ArtifactsInput!$M$27,Inputs!$B$4="Chapter Hunt"),CHOOSE(ArtifactsInput!$N$27+1,20,24,28,32,36,40),0)/100)),0)</f>
        <v/>
      </c>
      <c r="R1332">
        <f>IF(AND(Inputs!$B$38&lt;&gt;"pvp",Inputs!$B$43&gt;0),IF(MAX(0,Inputs!$B$43-B1357)&lt;=0,0,(INT(MAX(0,Inputs!$B$43-B1357)/(IF(Inputs!$B$38="pvp",15,MAX(0.1,Skills!D7-IF(Skills!E7=TRUE,Inputs!$B$32,0)))*(1-IF(AND(ArtifactsInput!$M$27,Inputs!$B$4="Chapter Hunt"),CHOOSE(ArtifactsInput!$N$27+1,20,24,28,32,36,40),0)/100)))+1)),0)</f>
        <v/>
      </c>
      <c r="S1332">
        <f>IFERROR(O1332/N1332,0)</f>
        <v/>
      </c>
      <c r="T1332">
        <f>IF(C1332,(H1332*N1332*IF(AND(Inputs!$B$38&lt;&gt;"pvp",Inputs!$B$43&gt;0),((Skills!G7*((R1332-1)*IF(Skills!H7&gt;0,Skills!I7/Skills!H7,1)+IF(Skills!H7&gt;0,MIN(Skills!I7,MAX(0,MAX(0,Inputs!$B$43-B1357)-((R1332-1)*(IF(Inputs!$B$38="pvp",15,MAX(0.1,Skills!D7-IF(Skills!E7=TRUE,Inputs!$B$32,0)))*(1-IF(AND(ArtifactsInput!$M$27,Inputs!$B$4="Chapter Hunt"),CHOOSE(ArtifactsInput!$N$27+1,20,24,28,32,36,40),0)/100)))))/Skills!H7,1)))/Inputs!$B$43),G1332*Q1332)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1332*(1-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1332*(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1332*(1-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1332*(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2">
        <f>IF(C1332,(H1332*N1332*IF(AND(Inputs!$B$38&lt;&gt;"pvp",Inputs!$B$43&gt;0),((Skills!G7*((R1332-1)*IF(Skills!H7&gt;0,Skills!I7/Skills!H7,1)+IF(Skills!H7&gt;0,MIN(Skills!I7,MAX(0,MAX(0,Inputs!$B$43-B1357)-((R1332-1)*(IF(Inputs!$B$38="pvp",15,MAX(0.1,Skills!D7-IF(Skills!E7=TRUE,Inputs!$B$32,0)))*(1-IF(AND(ArtifactsInput!$M$27,Inputs!$B$4="Chapter Hunt"),CHOOSE(ArtifactsInput!$N$27+1,20,24,28,32,36,40),0)/100)))))/Skills!H7,1)))/Inputs!$B$43),G1332*Q1332))*IF(Inputs!$B$38="pvp",1,(1+(Inputs!$B$21+Skills!Q7+(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3">
      <c r="A1333">
        <f>Skills!A8</f>
        <v/>
      </c>
      <c r="B1333">
        <f>Skills!B8</f>
        <v/>
      </c>
      <c r="C1333">
        <f>Inputs!$B$3&gt;=110</f>
        <v/>
      </c>
      <c r="D1333">
        <f>IF(Skills!C8=1,60+Inputs!$B$25+Inputs!$B$29,IF(Skills!C8=2,90+Inputs!$B$26+Inputs!$B$29,IF(Skills!C8=3,120+Inputs!$B$27+Inputs!$B$29,MAX(0,(Inputs!$B$3-100)*3)+Inputs!$B$28+Inputs!$B$29)))</f>
        <v/>
      </c>
      <c r="E1333">
        <f>INDEX(FactorTable!$B$2:$Y$301, MATCH(ROUND(MIN(300,MAX(1,D1333)),0), FactorTable!$A$2:$A$301,0), Skills!M8+1)</f>
        <v/>
      </c>
      <c r="F1333">
        <f>IF(Skills!N8=TRUE,(Skills!L8/10)*(E1333/1000),Skills!L8/10)+Skills!O8</f>
        <v/>
      </c>
      <c r="G1333">
        <f>Skills!G8*IF(Skills!H8&gt;0,Skills!I8/Skills!H8,1)</f>
        <v/>
      </c>
      <c r="H1333">
        <f>1-(1-Skills!J8/100)^Skills!K8</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1333)</f>
        <v/>
      </c>
      <c r="L1333">
        <f>K1333*(MIN(Inputs!$B$22+((C1345=TRUE)*(F1345-Calc!F20)),(Inputs!$B$23+0+(IF(ArtifactsInput!$M$15,CHOOSE(ArtifactsInput!$N$15+1,25,30,35,40,45,50)/100*(Inputs!$B$11-Inputs!$B$11),0))))/100+(Inputs!$B$23+0+(IF(ArtifactsInput!$M$15,CHOOSE(ArtifactsInput!$N$15+1,25,30,35,40,45,50)/100*(Inputs!$B$11-Inputs!$B$11),0)))/100)/2</f>
        <v/>
      </c>
      <c r="M1333">
        <f>L1333*(1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3">
        <f>L1333*(1-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1333*(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3">
        <f>(1-Summary!$B$11)*T1333+Summary!$B$11*V1333</f>
        <v/>
      </c>
      <c r="P1333">
        <f>IF(B1360=0,0,O1333/B1360)</f>
        <v/>
      </c>
      <c r="Q1333">
        <f>IFERROR(1/(IF(Inputs!$B$38="pvp",15,MAX(0.1,Skills!D8-IF(Skills!E8=TRUE,Inputs!$B$32,0)))*(1-IF(AND(ArtifactsInput!$M$27,Inputs!$B$4="Chapter Hunt"),CHOOSE(ArtifactsInput!$N$27+1,20,24,28,32,36,40),0)/100)),0)</f>
        <v/>
      </c>
      <c r="R1333">
        <f>IF(AND(Inputs!$B$38&lt;&gt;"pvp",Inputs!$B$43&gt;0),IF(MAX(0,Inputs!$B$43-B1357)&lt;=0,0,(INT(MAX(0,Inputs!$B$43-B1357)/(IF(Inputs!$B$38="pvp",15,MAX(0.1,Skills!D8-IF(Skills!E8=TRUE,Inputs!$B$32,0)))*(1-IF(AND(ArtifactsInput!$M$27,Inputs!$B$4="Chapter Hunt"),CHOOSE(ArtifactsInput!$N$27+1,20,24,28,32,36,40),0)/100)))+1)),0)</f>
        <v/>
      </c>
      <c r="S1333">
        <f>IFERROR(O1333/N1333,0)</f>
        <v/>
      </c>
      <c r="T1333">
        <f>IF(C1333,(H1333*N1333*IF(AND(Inputs!$B$38&lt;&gt;"pvp",Inputs!$B$43&gt;0),((Skills!G8*((R1333-1)*IF(Skills!H8&gt;0,Skills!I8/Skills!H8,1)+IF(Skills!H8&gt;0,MIN(Skills!I8,MAX(0,MAX(0,Inputs!$B$43-B1357)-((R1333-1)*(IF(Inputs!$B$38="pvp",15,MAX(0.1,Skills!D8-IF(Skills!E8=TRUE,Inputs!$B$32,0)))*(1-IF(AND(ArtifactsInput!$M$27,Inputs!$B$4="Chapter Hunt"),CHOOSE(ArtifactsInput!$N$27+1,20,24,28,32,36,40),0)/100)))))/Skills!H8,1)))/Inputs!$B$43),G1333*Q1333)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1333*(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1333*(1-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1333*(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3">
        <f>IF(C1333,(H1333*N1333*IF(AND(Inputs!$B$38&lt;&gt;"pvp",Inputs!$B$43&gt;0),((Skills!G8*((R1333-1)*IF(Skills!H8&gt;0,Skills!I8/Skills!H8,1)+IF(Skills!H8&gt;0,MIN(Skills!I8,MAX(0,MAX(0,Inputs!$B$43-B1357)-((R1333-1)*(IF(Inputs!$B$38="pvp",15,MAX(0.1,Skills!D8-IF(Skills!E8=TRUE,Inputs!$B$32,0)))*(1-IF(AND(ArtifactsInput!$M$27,Inputs!$B$4="Chapter Hunt"),CHOOSE(ArtifactsInput!$N$27+1,20,24,28,32,36,40),0)/100)))))/Skills!H8,1)))/Inputs!$B$43),G1333*Q1333))*IF(Inputs!$B$38="pvp",1,(1+(Inputs!$B$21+Skills!Q8+(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Skills!A9</f>
        <v/>
      </c>
      <c r="B1334">
        <f>Skills!B9</f>
        <v/>
      </c>
      <c r="C1334">
        <f>Inputs!$B$3&gt;=110</f>
        <v/>
      </c>
      <c r="D1334">
        <f>IF(Skills!C9=1,60+Inputs!$B$25+Inputs!$B$29,IF(Skills!C9=2,90+Inputs!$B$26+Inputs!$B$29,IF(Skills!C9=3,120+Inputs!$B$27+Inputs!$B$29,MAX(0,(Inputs!$B$3-100)*3)+Inputs!$B$28+Inputs!$B$29)))</f>
        <v/>
      </c>
      <c r="E1334">
        <f>INDEX(FactorTable!$B$2:$Y$301, MATCH(ROUND(MIN(300,MAX(1,D1334)),0), FactorTable!$A$2:$A$301,0), Skills!M9+1)</f>
        <v/>
      </c>
      <c r="F1334">
        <f>IF(Skills!N9=TRUE,(Skills!L9/10)*(E1334/1000),Skills!L9/10)+Skills!O9</f>
        <v/>
      </c>
      <c r="G1334">
        <f>Skills!G9*IF(Skills!H9&gt;0,Skills!I9/Skills!H9,1)</f>
        <v/>
      </c>
      <c r="H1334">
        <f>1-(1-Skills!J9/100)^Skills!K9</f>
        <v/>
      </c>
      <c r="I1334" t="inlineStr">
        <is>
          <t>1</t>
        </is>
      </c>
      <c r="J1334">
        <f>((Inputs!$B$6*(1+Inputs!$B$7/100))+(((Inputs!$B$12*(1+Inputs!$B$13/100))-(Inputs!$B$12*(1+Inputs!$B$13/100)))+0.25*(Inputs!$B$14-Inputs!$B$14))*(1+Inputs!$B$7/100))*(F1334/100)</f>
        <v/>
      </c>
      <c r="K1334">
        <f>J1334*(1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1334)</f>
        <v/>
      </c>
      <c r="L1334">
        <f>K1334*(MIN(Inputs!$B$22+((C1345=TRUE)*(F1345-Calc!F20)),(Inputs!$B$23+0+(IF(ArtifactsInput!$M$15,CHOOSE(ArtifactsInput!$N$15+1,25,30,35,40,45,50)/100*(Inputs!$B$11-Inputs!$B$11),0))))/100+(Inputs!$B$23+0+(IF(ArtifactsInput!$M$15,CHOOSE(ArtifactsInput!$N$15+1,25,30,35,40,45,50)/100*(Inputs!$B$11-Inputs!$B$11),0)))/100)/2</f>
        <v/>
      </c>
      <c r="M1334">
        <f>L1334*(1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4">
        <f>L1334*(1-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1334*(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4">
        <f>(1-Summary!$B$11)*T1334+Summary!$B$11*V1334</f>
        <v/>
      </c>
      <c r="P1334">
        <f>IF(B1360=0,0,O1334/B1360)</f>
        <v/>
      </c>
      <c r="Q1334">
        <f>IFERROR(1/(IF(Inputs!$B$38="pvp",15,MAX(0.1,Skills!D9-IF(Skills!E9=TRUE,Inputs!$B$32,0)))*(1-IF(AND(ArtifactsInput!$M$27,Inputs!$B$4="Chapter Hunt"),CHOOSE(ArtifactsInput!$N$27+1,20,24,28,32,36,40),0)/100)),0)</f>
        <v/>
      </c>
      <c r="R1334">
        <f>IF(AND(Inputs!$B$38&lt;&gt;"pvp",Inputs!$B$43&gt;0),IF(MAX(0,Inputs!$B$43-B1357)&lt;=0,0,(INT(MAX(0,Inputs!$B$43-B1357)/(IF(Inputs!$B$38="pvp",15,MAX(0.1,Skills!D9-IF(Skills!E9=TRUE,Inputs!$B$32,0)))*(1-IF(AND(ArtifactsInput!$M$27,Inputs!$B$4="Chapter Hunt"),CHOOSE(ArtifactsInput!$N$27+1,20,24,28,32,36,40),0)/100)))+1)),0)</f>
        <v/>
      </c>
      <c r="S1334">
        <f>IFERROR(O1334/N1334,0)</f>
        <v/>
      </c>
      <c r="T1334">
        <f>IF(C1334,(H1334*N1334*IF(AND(Inputs!$B$38&lt;&gt;"pvp",Inputs!$B$43&gt;0),((Skills!G9*((R1334-1)*IF(Skills!H9&gt;0,Skills!I9/Skills!H9,1)+IF(Skills!H9&gt;0,MIN(Skills!I9,MAX(0,MAX(0,Inputs!$B$43-B1357)-((R1334-1)*(IF(Inputs!$B$38="pvp",15,MAX(0.1,Skills!D9-IF(Skills!E9=TRUE,Inputs!$B$32,0)))*(1-IF(AND(ArtifactsInput!$M$27,Inputs!$B$4="Chapter Hunt"),CHOOSE(ArtifactsInput!$N$27+1,20,24,28,32,36,40),0)/100)))))/Skills!H9,1)))/Inputs!$B$43),G1334*Q1334)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1334*(1-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1334*(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1334*(1-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1334*(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4">
        <f>IF(C1334,(H1334*N1334*IF(AND(Inputs!$B$38&lt;&gt;"pvp",Inputs!$B$43&gt;0),((Skills!G9*((R1334-1)*IF(Skills!H9&gt;0,Skills!I9/Skills!H9,1)+IF(Skills!H9&gt;0,MIN(Skills!I9,MAX(0,MAX(0,Inputs!$B$43-B1357)-((R1334-1)*(IF(Inputs!$B$38="pvp",15,MAX(0.1,Skills!D9-IF(Skills!E9=TRUE,Inputs!$B$32,0)))*(1-IF(AND(ArtifactsInput!$M$27,Inputs!$B$4="Chapter Hunt"),CHOOSE(ArtifactsInput!$N$27+1,20,24,28,32,36,40),0)/100)))))/Skills!H9,1)))/Inputs!$B$43),G1334*Q1334))*IF(Inputs!$B$38="pvp",1,(1+(Inputs!$B$21+Skills!Q9+(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5">
      <c r="A1335">
        <f>Skills!A10</f>
        <v/>
      </c>
      <c r="B1335">
        <f>Skills!B10</f>
        <v/>
      </c>
      <c r="C1335">
        <f>Inputs!$B$3&gt;=103</f>
        <v/>
      </c>
      <c r="D1335">
        <f>IF(Skills!C10=1,60+Inputs!$B$25+Inputs!$B$29,IF(Skills!C10=2,90+Inputs!$B$26+Inputs!$B$29,IF(Skills!C10=3,120+Inputs!$B$27+Inputs!$B$29,MAX(0,(Inputs!$B$3-100)*3)+Inputs!$B$28+Inputs!$B$29)))</f>
        <v/>
      </c>
      <c r="E1335">
        <f>INDEX(FactorTable!$B$2:$Y$301, MATCH(ROUND(MIN(300,MAX(1,D1335)),0), FactorTable!$A$2:$A$301,0), Skills!M10+1)</f>
        <v/>
      </c>
      <c r="F1335">
        <f>IF(Skills!N10=TRUE,(Skills!L10/10)*(E1335/1000),Skills!L10/10)+Skills!O10</f>
        <v/>
      </c>
      <c r="G1335">
        <f>Skills!G10*IF(Skills!H10&gt;0,Skills!I10/Skills!H10,1)</f>
        <v/>
      </c>
      <c r="H1335">
        <f>1-(1-Skills!J10/100)^Skills!K10</f>
        <v/>
      </c>
      <c r="I1335" t="inlineStr">
        <is>
          <t>1</t>
        </is>
      </c>
      <c r="J1335">
        <f>((Inputs!$B$6*(1+Inputs!$B$7/100))+(((Inputs!$B$12*(1+Inputs!$B$13/100))-(Inputs!$B$12*(1+Inputs!$B$13/100)))+0.25*(Inputs!$B$14-Inputs!$B$14))*(1+Inputs!$B$7/100))*(F1335/100)</f>
        <v/>
      </c>
      <c r="K1335">
        <f>J1335*(1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1335)</f>
        <v/>
      </c>
      <c r="L1335">
        <f>K1335*(MIN(Inputs!$B$22+((C1345=TRUE)*(F1345-Calc!F20)),(Inputs!$B$23+0+(IF(ArtifactsInput!$M$15,CHOOSE(ArtifactsInput!$N$15+1,25,30,35,40,45,50)/100*(Inputs!$B$11-Inputs!$B$11),0))))/100+(Inputs!$B$23+0+(IF(ArtifactsInput!$M$15,CHOOSE(ArtifactsInput!$N$15+1,25,30,35,40,45,50)/100*(Inputs!$B$11-Inputs!$B$11),0)))/100)/2</f>
        <v/>
      </c>
      <c r="M1335">
        <f>L1335*(1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5">
        <f>L1335*(1-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1335*(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5">
        <f>(1-Summary!$B$11)*T1335+Summary!$B$11*V1335</f>
        <v/>
      </c>
      <c r="P1335">
        <f>IF(B1360=0,0,O1335/B1360)</f>
        <v/>
      </c>
      <c r="Q1335">
        <f>IFERROR(1/(IF(Inputs!$B$38="pvp",15,MAX(0.1,Skills!D10-IF(Skills!E10=TRUE,Inputs!$B$32,0)))*(1-IF(AND(ArtifactsInput!$M$27,Inputs!$B$4="Chapter Hunt"),CHOOSE(ArtifactsInput!$N$27+1,20,24,28,32,36,40),0)/100)),0)</f>
        <v/>
      </c>
      <c r="R1335">
        <f>IF(AND(Inputs!$B$38&lt;&gt;"pvp",Inputs!$B$43&gt;0),IF(MAX(0,Inputs!$B$43-B1357)&lt;=0,0,(INT(MAX(0,Inputs!$B$43-B1357)/(IF(Inputs!$B$38="pvp",15,MAX(0.1,Skills!D10-IF(Skills!E10=TRUE,Inputs!$B$32,0)))*(1-IF(AND(ArtifactsInput!$M$27,Inputs!$B$4="Chapter Hunt"),CHOOSE(ArtifactsInput!$N$27+1,20,24,28,32,36,40),0)/100)))+1)),0)</f>
        <v/>
      </c>
      <c r="S1335">
        <f>IFERROR(O1335/N1335,0)</f>
        <v/>
      </c>
      <c r="T1335">
        <f>IF(C1335,(H1335*N1335*IF(AND(Inputs!$B$38&lt;&gt;"pvp",Inputs!$B$43&gt;0),((Skills!G10*((R1335-1)*IF(Skills!H10&gt;0,Skills!I10/Skills!H10,1)+IF(Skills!H10&gt;0,MIN(Skills!I10,MAX(0,MAX(0,Inputs!$B$43-B1357)-((R1335-1)*(IF(Inputs!$B$38="pvp",15,MAX(0.1,Skills!D10-IF(Skills!E10=TRUE,Inputs!$B$32,0)))*(1-IF(AND(ArtifactsInput!$M$27,Inputs!$B$4="Chapter Hunt"),CHOOSE(ArtifactsInput!$N$27+1,20,24,28,32,36,40),0)/100)))))/Skills!H10,1)))/Inputs!$B$43),G1335*Q1335)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1335*(1-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1335*(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1335*(1-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1335*(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5">
        <f>IF(C1335,(H1335*N1335*IF(AND(Inputs!$B$38&lt;&gt;"pvp",Inputs!$B$43&gt;0),((Skills!G10*((R1335-1)*IF(Skills!H10&gt;0,Skills!I10/Skills!H10,1)+IF(Skills!H10&gt;0,MIN(Skills!I10,MAX(0,MAX(0,Inputs!$B$43-B1357)-((R1335-1)*(IF(Inputs!$B$38="pvp",15,MAX(0.1,Skills!D10-IF(Skills!E10=TRUE,Inputs!$B$32,0)))*(1-IF(AND(ArtifactsInput!$M$27,Inputs!$B$4="Chapter Hunt"),CHOOSE(ArtifactsInput!$N$27+1,20,24,28,32,36,40),0)/100)))))/Skills!H10,1)))/Inputs!$B$43),G1335*Q1335))*IF(Inputs!$B$38="pvp",1,(1+(Inputs!$B$21+Skills!Q10+(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6">
      <c r="A1336">
        <f>Skills!A11</f>
        <v/>
      </c>
      <c r="B1336">
        <f>Skills!B11</f>
        <v/>
      </c>
      <c r="C1336">
        <f>Inputs!$B$3&gt;=113</f>
        <v/>
      </c>
      <c r="D1336">
        <f>IF(Skills!C11=1,60+Inputs!$B$25+Inputs!$B$29,IF(Skills!C11=2,90+Inputs!$B$26+Inputs!$B$29,IF(Skills!C11=3,120+Inputs!$B$27+Inputs!$B$29,MAX(0,(Inputs!$B$3-100)*3)+Inputs!$B$28+Inputs!$B$29)))</f>
        <v/>
      </c>
      <c r="E1336">
        <f>INDEX(FactorTable!$B$2:$Y$301, MATCH(ROUND(MIN(300,MAX(1,D1336)),0), FactorTable!$A$2:$A$301,0), Skills!M11+1)</f>
        <v/>
      </c>
      <c r="F1336">
        <f>IF(Skills!N11=TRUE,(Skills!L11/10)*(E1336/1000),Skills!L11/10)+Skills!O11</f>
        <v/>
      </c>
      <c r="G1336">
        <f>Skills!G11*IF(Skills!H11&gt;0,Skills!I11/Skills!H11,1)</f>
        <v/>
      </c>
      <c r="H1336">
        <f>1-(1-Skills!J11/100)^Skills!K11</f>
        <v/>
      </c>
      <c r="I1336" t="inlineStr">
        <is>
          <t>1</t>
        </is>
      </c>
      <c r="J1336">
        <f>((Inputs!$B$6*(1+Inputs!$B$7/100))+(((Inputs!$B$12*(1+Inputs!$B$13/100))-(Inputs!$B$12*(1+Inputs!$B$13/100)))+0.25*(Inputs!$B$14-Inputs!$B$14))*(1+Inputs!$B$7/100))*(F1336/100)</f>
        <v/>
      </c>
      <c r="K1336">
        <f>J1336*(1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1336)</f>
        <v/>
      </c>
      <c r="L1336">
        <f>K1336*(MIN(Inputs!$B$22+((C1345=TRUE)*(F1345-Calc!F20)),(Inputs!$B$23+0+(IF(ArtifactsInput!$M$15,CHOOSE(ArtifactsInput!$N$15+1,25,30,35,40,45,50)/100*(Inputs!$B$11-Inputs!$B$11),0))))/100+(Inputs!$B$23+0+(IF(ArtifactsInput!$M$15,CHOOSE(ArtifactsInput!$N$15+1,25,30,35,40,45,50)/100*(Inputs!$B$11-Inputs!$B$11),0)))/100)/2</f>
        <v/>
      </c>
      <c r="M1336">
        <f>L1336*(1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6">
        <f>L1336*(1-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1336*(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6">
        <f>(1-Summary!$B$11)*T1336+Summary!$B$11*V1336</f>
        <v/>
      </c>
      <c r="P1336">
        <f>IF(B1360=0,0,O1336/B1360)</f>
        <v/>
      </c>
      <c r="Q1336">
        <f>IFERROR(1/(IF(Inputs!$B$38="pvp",15,MAX(0.1,Skills!D11-IF(Skills!E11=TRUE,Inputs!$B$32,0)))*(1-IF(AND(ArtifactsInput!$M$27,Inputs!$B$4="Chapter Hunt"),CHOOSE(ArtifactsInput!$N$27+1,20,24,28,32,36,40),0)/100)),0)</f>
        <v/>
      </c>
      <c r="R1336">
        <f>IF(AND(Inputs!$B$38&lt;&gt;"pvp",Inputs!$B$43&gt;0),IF(MAX(0,Inputs!$B$43-B1357)&lt;=0,0,(INT(MAX(0,Inputs!$B$43-B1357)/(IF(Inputs!$B$38="pvp",15,MAX(0.1,Skills!D11-IF(Skills!E11=TRUE,Inputs!$B$32,0)))*(1-IF(AND(ArtifactsInput!$M$27,Inputs!$B$4="Chapter Hunt"),CHOOSE(ArtifactsInput!$N$27+1,20,24,28,32,36,40),0)/100)))+1)),0)</f>
        <v/>
      </c>
      <c r="S1336">
        <f>IFERROR(O1336/N1336,0)</f>
        <v/>
      </c>
      <c r="T1336">
        <f>IF(C1336,(H1336*N1336*IF(AND(Inputs!$B$38&lt;&gt;"pvp",Inputs!$B$43&gt;0),((Skills!G11*((R1336-1)*IF(Skills!H11&gt;0,Skills!I11/Skills!H11,1)+IF(Skills!H11&gt;0,MIN(Skills!I11,MAX(0,MAX(0,Inputs!$B$43-B1357)-((R1336-1)*(IF(Inputs!$B$38="pvp",15,MAX(0.1,Skills!D11-IF(Skills!E11=TRUE,Inputs!$B$32,0)))*(1-IF(AND(ArtifactsInput!$M$27,Inputs!$B$4="Chapter Hunt"),CHOOSE(ArtifactsInput!$N$27+1,20,24,28,32,36,40),0)/100)))))/Skills!H11,1)))/Inputs!$B$43),G1336*Q1336)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1336*(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1336*(1-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1336*(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11*((R1336-1)*IF(Skills!H11&gt;0,Skills!I11/Skills!H11,1)+IF(Skills!H11&gt;0,MIN(Skills!I11,MAX(0,MAX(0,Inputs!$B$43-B1357)-((R1336-1)*(IF(Inputs!$B$38="pvp",15,MAX(0.1,Skills!D11-IF(Skills!E11=TRUE,Inputs!$B$32,0)))*(1-IF(AND(ArtifactsInput!$M$27,Inputs!$B$4="Chapter Hunt"),CHOOSE(ArtifactsInput!$N$27+1,20,24,28,32,36,40),0)/100)))))/Skills!H11,1)))/Inputs!$B$43),G1336*Q1336))*IF(Inputs!$B$38="pvp",1,(1+(Inputs!$B$21+Skills!Q11+(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Skills!A12</f>
        <v/>
      </c>
      <c r="B1337">
        <f>Skills!B12</f>
        <v/>
      </c>
      <c r="C1337">
        <f>Inputs!$B$3&gt;=100</f>
        <v/>
      </c>
      <c r="D1337">
        <f>IF(Skills!C12=1,60+Inputs!$B$25+Inputs!$B$29,IF(Skills!C12=2,90+Inputs!$B$26+Inputs!$B$29,IF(Skills!C12=3,120+Inputs!$B$27+Inputs!$B$29,MAX(0,(Inputs!$B$3-100)*3)+Inputs!$B$28+Inputs!$B$29)))</f>
        <v/>
      </c>
      <c r="E1337">
        <f>INDEX(FactorTable!$B$2:$Y$301, MATCH(ROUND(MIN(300,MAX(1,D1337)),0), FactorTable!$A$2:$A$301,0), Skills!M12+1)</f>
        <v/>
      </c>
      <c r="F1337">
        <f>IF(Skills!N12=TRUE,(Skills!L12/10)*(E1337/1000),Skills!L12/10)+Skills!O12</f>
        <v/>
      </c>
      <c r="G1337" t="inlineStr"/>
      <c r="H1337" t="inlineStr"/>
      <c r="I1337" t="inlineStr">
        <is>
          <t>1</t>
        </is>
      </c>
      <c r="J1337" t="inlineStr"/>
      <c r="K1337" t="inlineStr"/>
      <c r="L1337" t="inlineStr"/>
      <c r="M1337" t="inlineStr"/>
      <c r="N1337" t="inlineStr"/>
      <c r="O1337" t="inlineStr"/>
      <c r="P1337" t="inlineStr"/>
      <c r="Q1337" t="inlineStr"/>
      <c r="R1337" t="inlineStr"/>
      <c r="S1337" t="inlineStr"/>
      <c r="T1337" t="inlineStr"/>
      <c r="V1337" t="inlineStr"/>
    </row>
    <row r="1338">
      <c r="A1338">
        <f>Skills!A13</f>
        <v/>
      </c>
      <c r="B1338">
        <f>Skills!B13</f>
        <v/>
      </c>
      <c r="C1338">
        <f>Inputs!$B$3&gt;=66</f>
        <v/>
      </c>
      <c r="D1338">
        <f>IF(Skills!C13=1,60+Inputs!$B$25+Inputs!$B$29,IF(Skills!C13=2,90+Inputs!$B$26+Inputs!$B$29,IF(Skills!C13=3,120+Inputs!$B$27+Inputs!$B$29,MAX(0,(Inputs!$B$3-100)*3)+Inputs!$B$28+Inputs!$B$29)))</f>
        <v/>
      </c>
      <c r="E1338">
        <f>INDEX(FactorTable!$B$2:$Y$301, MATCH(ROUND(MIN(300,MAX(1,D1338)),0), FactorTable!$A$2:$A$301,0), Skills!M13+1)</f>
        <v/>
      </c>
      <c r="F1338">
        <f>IF(Skills!N13=TRUE,(Skills!L13/10)*(E1338/1000),Skills!L13/10)+Skills!O13</f>
        <v/>
      </c>
      <c r="G1338">
        <f>Skills!G13*IF(Skills!H13&gt;0,Skills!I13/Skills!H13,1)</f>
        <v/>
      </c>
      <c r="H1338">
        <f>1-(1-Skills!J13/100)^Skills!K13</f>
        <v/>
      </c>
      <c r="I1338" t="inlineStr">
        <is>
          <t>1</t>
        </is>
      </c>
      <c r="J1338" t="inlineStr"/>
      <c r="K1338" t="inlineStr"/>
      <c r="L1338" t="inlineStr"/>
      <c r="M1338" t="inlineStr"/>
      <c r="N1338" t="inlineStr"/>
      <c r="O1338">
        <f>(1-Summary!$B$11)*T1338+Summary!$B$11*V1338</f>
        <v/>
      </c>
      <c r="P1338">
        <f>IF(B1360=0,0,O1338/B1360)</f>
        <v/>
      </c>
      <c r="Q1338" t="n">
        <v>0</v>
      </c>
      <c r="R1338" t="n">
        <v>0</v>
      </c>
      <c r="S1338">
        <f>IFERROR(O1338/N1338,0)</f>
        <v/>
      </c>
      <c r="T1338" t="n">
        <v>0</v>
      </c>
      <c r="V1338" t="n">
        <v>0</v>
      </c>
    </row>
    <row r="1339">
      <c r="A1339">
        <f>Skills!A14</f>
        <v/>
      </c>
      <c r="B1339">
        <f>Skills!B14</f>
        <v/>
      </c>
      <c r="C1339">
        <f>Inputs!$B$3&gt;=107</f>
        <v/>
      </c>
      <c r="D1339">
        <f>IF(Skills!C14=1,60+Inputs!$B$25+Inputs!$B$29,IF(Skills!C14=2,90+Inputs!$B$26+Inputs!$B$29,IF(Skills!C14=3,120+Inputs!$B$27+Inputs!$B$29,MAX(0,(Inputs!$B$3-100)*3)+Inputs!$B$28+Inputs!$B$29)))</f>
        <v/>
      </c>
      <c r="E1339">
        <f>INDEX(FactorTable!$B$2:$Y$301, MATCH(ROUND(MIN(300,MAX(1,D1339)),0), FactorTable!$A$2:$A$301,0), Skills!M14+1)</f>
        <v/>
      </c>
      <c r="F1339">
        <f>IF(Skills!N14=TRUE,(Skills!L14/10)*(E1339/1000),Skills!L14/10)+Skills!O14</f>
        <v/>
      </c>
      <c r="G1339">
        <f>Skills!G14*IF(Skills!H14&gt;0,Skills!I14/Skills!H14,1)</f>
        <v/>
      </c>
      <c r="H1339">
        <f>1-(1-Skills!J14/100)^Skills!K14</f>
        <v/>
      </c>
      <c r="I1339" t="inlineStr">
        <is>
          <t>1</t>
        </is>
      </c>
      <c r="J1339" t="inlineStr"/>
      <c r="K1339" t="inlineStr"/>
      <c r="L1339" t="inlineStr"/>
      <c r="M1339" t="inlineStr"/>
      <c r="N1339" t="inlineStr"/>
      <c r="O1339">
        <f>(1-Summary!$B$11)*T1339+Summary!$B$11*V1339</f>
        <v/>
      </c>
      <c r="P1339">
        <f>IF(B1360=0,0,O1339/B1360)</f>
        <v/>
      </c>
      <c r="Q1339" t="n">
        <v>0</v>
      </c>
      <c r="R1339" t="n">
        <v>0</v>
      </c>
      <c r="S1339">
        <f>IFERROR(O1339/N1339,0)</f>
        <v/>
      </c>
      <c r="T1339" t="n">
        <v>0</v>
      </c>
      <c r="V1339" t="n">
        <v>0</v>
      </c>
    </row>
    <row r="1340">
      <c r="A1340">
        <f>Skills!A15</f>
        <v/>
      </c>
      <c r="B1340">
        <f>Skills!B15</f>
        <v/>
      </c>
      <c r="C1340">
        <f>Inputs!$B$3&gt;=115</f>
        <v/>
      </c>
      <c r="D1340">
        <f>IF(Skills!C15=1,60+Inputs!$B$25+Inputs!$B$29,IF(Skills!C15=2,90+Inputs!$B$26+Inputs!$B$29,IF(Skills!C15=3,120+Inputs!$B$27+Inputs!$B$29,MAX(0,(Inputs!$B$3-100)*3)+Inputs!$B$28+Inputs!$B$29)))</f>
        <v/>
      </c>
      <c r="E1340">
        <f>INDEX(FactorTable!$B$2:$Y$301, MATCH(ROUND(MIN(300,MAX(1,D1340)),0), FactorTable!$A$2:$A$301,0), Skills!M15+1)</f>
        <v/>
      </c>
      <c r="F1340">
        <f>IF(Skills!N15=TRUE,(Skills!L15/10)*(E1340/1000),Skills!L15/10)+Skills!O15</f>
        <v/>
      </c>
      <c r="G1340">
        <f>Skills!G15*IF(Skills!H15&gt;0,Skills!I15/Skills!H15,1)</f>
        <v/>
      </c>
      <c r="H1340">
        <f>1-(1-Skills!J15/100)^Skills!K15</f>
        <v/>
      </c>
      <c r="I1340" t="inlineStr">
        <is>
          <t>1</t>
        </is>
      </c>
      <c r="J1340" t="inlineStr"/>
      <c r="K1340" t="inlineStr"/>
      <c r="L1340" t="inlineStr"/>
      <c r="M1340" t="inlineStr"/>
      <c r="N1340" t="inlineStr"/>
      <c r="O1340">
        <f>(1-Summary!$B$11)*T1340+Summary!$B$11*V1340</f>
        <v/>
      </c>
      <c r="P1340">
        <f>IF(B1360=0,0,O1340/B1360)</f>
        <v/>
      </c>
      <c r="Q1340" t="n">
        <v>0</v>
      </c>
      <c r="R1340" t="n">
        <v>0</v>
      </c>
      <c r="S1340">
        <f>IFERROR(O1340/N1340,0)</f>
        <v/>
      </c>
      <c r="T1340" t="n">
        <v>0</v>
      </c>
      <c r="V1340" t="n">
        <v>0</v>
      </c>
    </row>
    <row r="1341">
      <c r="A1341">
        <f>Skills!A16</f>
        <v/>
      </c>
      <c r="B1341">
        <f>Skills!B16</f>
        <v/>
      </c>
      <c r="C1341">
        <f>Inputs!$B$3&gt;=15</f>
        <v/>
      </c>
      <c r="D1341">
        <f>IF(Skills!C16=1,60+Inputs!$B$25+Inputs!$B$29,IF(Skills!C16=2,90+Inputs!$B$26+Inputs!$B$29,IF(Skills!C16=3,120+Inputs!$B$27+Inputs!$B$29,MAX(0,(Inputs!$B$3-100)*3)+Inputs!$B$28+Inputs!$B$29)))</f>
        <v/>
      </c>
      <c r="E1341">
        <f>INDEX(FactorTable!$B$2:$Y$301, MATCH(ROUND(MIN(300,MAX(1,D1341)),0), FactorTable!$A$2:$A$301,0), Skills!M16+1)</f>
        <v/>
      </c>
      <c r="F1341">
        <f>IF(Skills!N16=TRUE,(Skills!L16/10)*(E1341/1000),Skills!L16/10)+Skills!O16</f>
        <v/>
      </c>
      <c r="G1341">
        <f>Skills!G16*IF(Skills!H16&gt;0,Skills!I16/Skills!H16,1)</f>
        <v/>
      </c>
      <c r="H1341">
        <f>1-(1-Skills!J16/100)^Skills!K16</f>
        <v/>
      </c>
      <c r="I1341" t="inlineStr">
        <is>
          <t>1</t>
        </is>
      </c>
      <c r="J1341" t="inlineStr"/>
      <c r="K1341" t="inlineStr"/>
      <c r="L1341" t="inlineStr"/>
      <c r="M1341" t="inlineStr"/>
      <c r="N1341" t="inlineStr"/>
      <c r="O1341">
        <f>(1-Summary!$B$11)*T1341+Summary!$B$11*V1341</f>
        <v/>
      </c>
      <c r="P1341">
        <f>IF(B1360=0,0,O1341/B1360)</f>
        <v/>
      </c>
      <c r="Q1341" t="n">
        <v>0</v>
      </c>
      <c r="R1341" t="n">
        <v>0</v>
      </c>
      <c r="S1341">
        <f>IFERROR(O1341/N1341,0)</f>
        <v/>
      </c>
      <c r="T1341" t="n">
        <v>0</v>
      </c>
      <c r="V1341" t="n">
        <v>0</v>
      </c>
    </row>
    <row r="1342">
      <c r="A1342">
        <f>Skills!A17</f>
        <v/>
      </c>
      <c r="B1342">
        <f>Skills!B17</f>
        <v/>
      </c>
      <c r="C1342">
        <f>Inputs!$B$3&gt;=10</f>
        <v/>
      </c>
      <c r="D1342">
        <f>IF(Skills!C17=1,60+Inputs!$B$25+Inputs!$B$29,IF(Skills!C17=2,90+Inputs!$B$26+Inputs!$B$29,IF(Skills!C17=3,120+Inputs!$B$27+Inputs!$B$29,MAX(0,(Inputs!$B$3-100)*3)+Inputs!$B$28+Inputs!$B$29)))</f>
        <v/>
      </c>
      <c r="E1342">
        <f>INDEX(FactorTable!$B$2:$Y$301, MATCH(ROUND(MIN(300,MAX(1,D1342)),0), FactorTable!$A$2:$A$301,0), Skills!M17+1)</f>
        <v/>
      </c>
      <c r="F1342">
        <f>IF(Skills!N17=TRUE,(Skills!L17/10)*(E1342/1000),Skills!L17/10)+Skills!O17</f>
        <v/>
      </c>
      <c r="G1342">
        <f>Skills!G17*IF(Skills!H17&gt;0,Skills!I17/Skills!H17,1)</f>
        <v/>
      </c>
      <c r="H1342">
        <f>1-(1-Skills!J17/100)^Skills!K17</f>
        <v/>
      </c>
      <c r="I1342" t="inlineStr">
        <is>
          <t>1</t>
        </is>
      </c>
      <c r="J1342" t="inlineStr"/>
      <c r="K1342" t="inlineStr"/>
      <c r="L1342" t="inlineStr"/>
      <c r="M1342" t="inlineStr"/>
      <c r="N1342" t="inlineStr"/>
      <c r="O1342">
        <f>(1-Summary!$B$11)*T1342+Summary!$B$11*V1342</f>
        <v/>
      </c>
      <c r="P1342">
        <f>IF(B1360=0,0,O1342/B1360)</f>
        <v/>
      </c>
      <c r="Q1342" t="n">
        <v>0</v>
      </c>
      <c r="R1342" t="n">
        <v>0</v>
      </c>
      <c r="S1342">
        <f>IFERROR(O1342/N1342,0)</f>
        <v/>
      </c>
      <c r="T1342" t="n">
        <v>0</v>
      </c>
      <c r="V1342" t="n">
        <v>0</v>
      </c>
    </row>
    <row r="1343">
      <c r="A1343">
        <f>Skills!A18</f>
        <v/>
      </c>
      <c r="B1343">
        <f>Skills!B18</f>
        <v/>
      </c>
      <c r="C1343">
        <f>Inputs!$B$3&gt;=33</f>
        <v/>
      </c>
      <c r="D1343">
        <f>IF(Skills!C18=1,60+Inputs!$B$25+Inputs!$B$29,IF(Skills!C18=2,90+Inputs!$B$26+Inputs!$B$29,IF(Skills!C18=3,120+Inputs!$B$27+Inputs!$B$29,MAX(0,(Inputs!$B$3-100)*3)+Inputs!$B$28+Inputs!$B$29)))</f>
        <v/>
      </c>
      <c r="E1343">
        <f>INDEX(FactorTable!$B$2:$Y$301, MATCH(ROUND(MIN(300,MAX(1,D1343)),0), FactorTable!$A$2:$A$301,0), Skills!M18+1)</f>
        <v/>
      </c>
      <c r="F1343">
        <f>IF(Skills!N18=TRUE,(Skills!L18/10)*(E1343/1000),Skills!L18/10)+Skills!O18</f>
        <v/>
      </c>
      <c r="G1343">
        <f>Skills!G18*IF(Skills!H18&gt;0,Skills!I18/Skills!H18,1)</f>
        <v/>
      </c>
      <c r="H1343">
        <f>1-(1-Skills!J18/100)^Skills!K18</f>
        <v/>
      </c>
      <c r="I1343" t="inlineStr">
        <is>
          <t>1</t>
        </is>
      </c>
      <c r="J1343" t="inlineStr"/>
      <c r="K1343" t="inlineStr"/>
      <c r="L1343" t="inlineStr"/>
      <c r="M1343" t="inlineStr"/>
      <c r="N1343" t="inlineStr"/>
      <c r="O1343">
        <f>(1-Summary!$B$11)*T1343+Summary!$B$11*V1343</f>
        <v/>
      </c>
      <c r="P1343">
        <f>IF(B1360=0,0,O1343/B1360)</f>
        <v/>
      </c>
      <c r="Q1343" t="n">
        <v>0</v>
      </c>
      <c r="R1343" t="n">
        <v>0</v>
      </c>
      <c r="S1343">
        <f>IFERROR(O1343/N1343,0)</f>
        <v/>
      </c>
      <c r="T1343" t="n">
        <v>0</v>
      </c>
      <c r="V1343" t="n">
        <v>0</v>
      </c>
    </row>
    <row r="1344">
      <c r="A1344">
        <f>Skills!A19</f>
        <v/>
      </c>
      <c r="B1344">
        <f>Skills!B19</f>
        <v/>
      </c>
      <c r="C1344">
        <f>Inputs!$B$3&gt;=40</f>
        <v/>
      </c>
      <c r="D1344">
        <f>IF(Skills!C19=1,60+Inputs!$B$25+Inputs!$B$29,IF(Skills!C19=2,90+Inputs!$B$26+Inputs!$B$29,IF(Skills!C19=3,120+Inputs!$B$27+Inputs!$B$29,MAX(0,(Inputs!$B$3-100)*3)+Inputs!$B$28+Inputs!$B$29)))</f>
        <v/>
      </c>
      <c r="E1344">
        <f>INDEX(FactorTable!$B$2:$Y$301, MATCH(ROUND(MIN(300,MAX(1,D1344)),0), FactorTable!$A$2:$A$301,0), Skills!M19+1)</f>
        <v/>
      </c>
      <c r="F1344">
        <f>IF(Skills!N19=TRUE,(Skills!L19/10)*(E1344/1000),Skills!L19/10)+Skills!O19</f>
        <v/>
      </c>
      <c r="G1344">
        <f>Skills!G19*IF(Skills!H19&gt;0,Skills!I19/Skills!H19,1)</f>
        <v/>
      </c>
      <c r="H1344">
        <f>1-(1-Skills!J19/100)^Skills!K19</f>
        <v/>
      </c>
      <c r="I1344" t="inlineStr">
        <is>
          <t>1</t>
        </is>
      </c>
      <c r="J1344" t="inlineStr"/>
      <c r="K1344" t="inlineStr"/>
      <c r="L1344" t="inlineStr"/>
      <c r="M1344" t="inlineStr"/>
      <c r="N1344" t="inlineStr"/>
      <c r="O1344">
        <f>(1-Summary!$B$11)*T1344+Summary!$B$11*V1344</f>
        <v/>
      </c>
      <c r="P1344">
        <f>IF(B1360=0,0,O1344/B1360)</f>
        <v/>
      </c>
      <c r="Q1344" t="n">
        <v>0</v>
      </c>
      <c r="R1344" t="n">
        <v>0</v>
      </c>
      <c r="S1344">
        <f>IFERROR(O1344/N1344,0)</f>
        <v/>
      </c>
      <c r="T1344" t="n">
        <v>0</v>
      </c>
      <c r="V1344" t="n">
        <v>0</v>
      </c>
    </row>
    <row r="1345">
      <c r="A1345">
        <f>Skills!A20</f>
        <v/>
      </c>
      <c r="B1345">
        <f>Skills!B20</f>
        <v/>
      </c>
      <c r="C1345">
        <f>Inputs!$B$3&gt;=43</f>
        <v/>
      </c>
      <c r="D1345">
        <f>IF(Skills!C20=1,60+Inputs!$B$25+Inputs!$B$29,IF(Skills!C20=2,90+Inputs!$B$26+Inputs!$B$29,IF(Skills!C20=3,120+Inputs!$B$27+Inputs!$B$29,MAX(0,(Inputs!$B$3-100)*3)+Inputs!$B$28+Inputs!$B$29)))</f>
        <v/>
      </c>
      <c r="E1345">
        <f>INDEX(FactorTable!$B$2:$Y$301, MATCH(ROUND(MIN(300,MAX(1,D1345)),0), FactorTable!$A$2:$A$301,0), Skills!M20+1)</f>
        <v/>
      </c>
      <c r="F1345">
        <f>IF(Skills!N20=TRUE,(Skills!L20/10)*(E1345/1000),Skills!L20/10)+Skills!O20</f>
        <v/>
      </c>
      <c r="G1345">
        <f>Skills!G20*IF(Skills!H20&gt;0,Skills!I20/Skills!H20,1)</f>
        <v/>
      </c>
      <c r="H1345">
        <f>1-(1-Skills!J20/100)^Skills!K20</f>
        <v/>
      </c>
      <c r="I1345" t="inlineStr">
        <is>
          <t>1</t>
        </is>
      </c>
      <c r="J1345" t="inlineStr"/>
      <c r="K1345" t="inlineStr"/>
      <c r="L1345" t="inlineStr"/>
      <c r="M1345" t="inlineStr"/>
      <c r="N1345" t="inlineStr"/>
      <c r="O1345">
        <f>(1-Summary!$B$11)*T1345+Summary!$B$11*V1345</f>
        <v/>
      </c>
      <c r="P1345">
        <f>IF(B1360=0,0,O1345/B1360)</f>
        <v/>
      </c>
      <c r="Q1345" t="n">
        <v>0</v>
      </c>
      <c r="R1345" t="n">
        <v>0</v>
      </c>
      <c r="S1345">
        <f>IFERROR(O1345/N1345,0)</f>
        <v/>
      </c>
      <c r="T1345" t="n">
        <v>0</v>
      </c>
      <c r="V1345" t="n">
        <v>0</v>
      </c>
    </row>
    <row r="1346">
      <c r="A1346">
        <f>Skills!A21</f>
        <v/>
      </c>
      <c r="B1346">
        <f>Skills!B21</f>
        <v/>
      </c>
      <c r="C1346">
        <f>Inputs!$B$3&gt;=38</f>
        <v/>
      </c>
      <c r="D1346">
        <f>IF(Skills!C21=1,60+Inputs!$B$25+Inputs!$B$29,IF(Skills!C21=2,90+Inputs!$B$26+Inputs!$B$29,IF(Skills!C21=3,120+Inputs!$B$27+Inputs!$B$29,MAX(0,(Inputs!$B$3-100)*3)+Inputs!$B$28+Inputs!$B$29)))</f>
        <v/>
      </c>
      <c r="E1346">
        <f>INDEX(FactorTable!$B$2:$Y$301, MATCH(ROUND(MIN(300,MAX(1,D1346)),0), FactorTable!$A$2:$A$301,0), Skills!M21+1)</f>
        <v/>
      </c>
      <c r="F1346">
        <f>IF(Skills!N21=TRUE,(Skills!L21/10)*(E1346/1000),Skills!L21/10)+Skills!O21</f>
        <v/>
      </c>
      <c r="G1346">
        <f>Skills!G21*IF(Skills!H21&gt;0,Skills!I21/Skills!H21,1)</f>
        <v/>
      </c>
      <c r="H1346">
        <f>1-(1-Skills!J21/100)^Skills!K21</f>
        <v/>
      </c>
      <c r="I1346" t="inlineStr">
        <is>
          <t>1</t>
        </is>
      </c>
      <c r="J1346" t="inlineStr"/>
      <c r="K1346" t="inlineStr"/>
      <c r="L1346" t="inlineStr"/>
      <c r="M1346" t="inlineStr"/>
      <c r="N1346" t="inlineStr"/>
      <c r="O1346">
        <f>(1-Summary!$B$11)*T1346+Summary!$B$11*V1346</f>
        <v/>
      </c>
      <c r="P1346">
        <f>IF(B1360=0,0,O1346/B1360)</f>
        <v/>
      </c>
      <c r="Q1346" t="n">
        <v>0</v>
      </c>
      <c r="R1346" t="n">
        <v>0</v>
      </c>
      <c r="S1346">
        <f>IFERROR(O1346/N1346,0)</f>
        <v/>
      </c>
      <c r="T1346" t="n">
        <v>0</v>
      </c>
      <c r="V1346" t="n">
        <v>0</v>
      </c>
    </row>
    <row r="1347">
      <c r="A1347">
        <f>Skills!A22</f>
        <v/>
      </c>
      <c r="B1347">
        <f>Skills!B22</f>
        <v/>
      </c>
      <c r="C1347">
        <f>Inputs!$B$3&gt;=75</f>
        <v/>
      </c>
      <c r="D1347">
        <f>IF(Skills!C22=1,60+Inputs!$B$25+Inputs!$B$29,IF(Skills!C22=2,90+Inputs!$B$26+Inputs!$B$29,IF(Skills!C22=3,120+Inputs!$B$27+Inputs!$B$29,MAX(0,(Inputs!$B$3-100)*3)+Inputs!$B$28+Inputs!$B$29)))</f>
        <v/>
      </c>
      <c r="E1347">
        <f>INDEX(FactorTable!$B$2:$Y$301, MATCH(ROUND(MIN(300,MAX(1,D1347)),0), FactorTable!$A$2:$A$301,0), Skills!M22+1)</f>
        <v/>
      </c>
      <c r="F1347">
        <f>IF(Skills!N22=TRUE,(Skills!L22/10)*(E1347/1000),Skills!L22/10)+Skills!O22</f>
        <v/>
      </c>
      <c r="G1347">
        <f>Skills!G22*IF(Skills!H22&gt;0,Skills!I22/Skills!H22,1)</f>
        <v/>
      </c>
      <c r="H1347">
        <f>1-(1-Skills!J22/100)^Skills!K22</f>
        <v/>
      </c>
      <c r="I1347" t="inlineStr">
        <is>
          <t>1</t>
        </is>
      </c>
      <c r="J1347" t="inlineStr"/>
      <c r="K1347" t="inlineStr"/>
      <c r="L1347" t="inlineStr"/>
      <c r="M1347" t="inlineStr"/>
      <c r="N1347" t="inlineStr"/>
      <c r="O1347">
        <f>(1-Summary!$B$11)*T1347+Summary!$B$11*V1347</f>
        <v/>
      </c>
      <c r="P1347">
        <f>IF(B1360=0,0,O1347/B1360)</f>
        <v/>
      </c>
      <c r="Q1347" t="n">
        <v>0</v>
      </c>
      <c r="R1347" t="n">
        <v>0</v>
      </c>
      <c r="S1347">
        <f>IFERROR(O1347/N1347,0)</f>
        <v/>
      </c>
      <c r="T1347" t="n">
        <v>0</v>
      </c>
      <c r="V1347" t="n">
        <v>0</v>
      </c>
    </row>
    <row r="1349">
      <c r="A1349" t="inlineStr">
        <is>
          <t>Attack% Bucket Multiplier</t>
        </is>
      </c>
      <c r="B1349">
        <f>(1+(((C1338=TRUE)*F1338)+((C1344=TRUE)*(F1344-Calc!F19))+(IF(ArtifactsInput!$M$21,CHOOSE(ArtifactsInput!$N$21+1,25,30,35,40,45,50)*(IF(OR(Inputs!$B$4="Chapter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50">
      <c r="A1350" t="inlineStr">
        <is>
          <t>Global Crit Rate Bonus %</t>
        </is>
      </c>
      <c r="B1350" t="n">
        <v>0</v>
      </c>
    </row>
    <row r="1351">
      <c r="A1351" t="inlineStr">
        <is>
          <t>Attack Speed Buff Bonus % (unused)</t>
        </is>
      </c>
      <c r="B1351" t="n">
        <v>0</v>
      </c>
    </row>
    <row r="1352">
      <c r="A1352" t="inlineStr">
        <is>
          <t>Actions Per Second</t>
        </is>
      </c>
      <c r="B1352">
        <f>1+MIN(150,150*(1-(1-(Inputs!$B$11+((C1342=TRUE)*(F1342-Calc!F17))+((C1343=TRUE)*(F1343-Calc!F18)))/150)*(1-B1351/150)))/100</f>
        <v/>
      </c>
    </row>
    <row r="1353">
      <c r="A1353" t="inlineStr">
        <is>
          <t>Skill + Buff Cast Rate</t>
        </is>
      </c>
      <c r="B1353">
        <f>IF(AND(Inputs!$B$38&lt;&gt;"pvp",Inputs!$B$43&gt;0),SUMPRODUCT((Skills!E2:E22=TRUE)*(C1327:C1347=TRUE)*R1327:R1347*Skills!F2:F22)/Inputs!$B$43,SUMPRODUCT((Skills!E2:E22=TRUE)*(C1327:C1347=TRUE)*Q1327:Q1347*Skills!F2:F22))</f>
        <v/>
      </c>
    </row>
    <row r="1354">
      <c r="A1354" t="inlineStr">
        <is>
          <t>Hook Bomber Casts Per Second</t>
        </is>
      </c>
      <c r="B1354">
        <f>MAX(0,B1352-B1353)</f>
        <v/>
      </c>
    </row>
    <row r="1355">
      <c r="A1355" t="inlineStr">
        <is>
          <t>Global Critical Damage Bonus % (unused)</t>
        </is>
      </c>
      <c r="B1355" t="n">
        <v>0</v>
      </c>
    </row>
    <row r="1356">
      <c r="A1356" t="inlineStr">
        <is>
          <t>Global Final Damage Bonus % (Serpent Scale + Crossbones + Time Leap + Speed Infusion)</t>
        </is>
      </c>
      <c r="B1356">
        <f>((C1330=TRUE)*F1330*((10+IF(Inputs!$B$3&gt;=94,5,0))/((10+IF(Inputs!$B$3&gt;=94,5,0))+5/(B1354*(1+IF(Inputs!$B$3&gt;=104,1,0))))))+((C1339=TRUE)*F1339)+((C1340=TRUE)*F1340)+((Inputs!$B$3&gt;=110)*20*(B1352-1))</f>
        <v/>
      </c>
    </row>
    <row r="1357">
      <c r="A1357" t="inlineStr">
        <is>
          <t>Buff-Casting Startup Delay (s, fixed-duration only)</t>
        </is>
      </c>
      <c r="B1357">
        <f>IF(AND(Inputs!$B$38&lt;&gt;"pvp",Inputs!$B$43&gt;0),SUMPRODUCT((Skills!T2:T22&gt;0)*(Skills!E2:E22=TRUE)*(C1327:C1347=TRUE))/B1352,0)</f>
        <v/>
      </c>
    </row>
    <row r="1358">
      <c r="A1358" t="inlineStr">
        <is>
          <t>Boss-Only Total DPS (this block's swept value)</t>
        </is>
      </c>
      <c r="B1358">
        <f>SUM(T1327:T1347)</f>
        <v/>
      </c>
    </row>
    <row r="1359">
      <c r="A1359" t="inlineStr">
        <is>
          <t>Normal-Only Total DPS (this block's swept value)</t>
        </is>
      </c>
      <c r="B1359">
        <f>SUM(V1327:V1347)</f>
        <v/>
      </c>
    </row>
    <row r="1360">
      <c r="A1360" s="6" t="inlineStr">
        <is>
          <t>TOTAL DPS</t>
        </is>
      </c>
      <c r="B1360" s="6">
        <f>SUM(O1327:O1347)</f>
        <v/>
      </c>
    </row>
    <row r="1363">
      <c r="A1363" s="6" t="inlineStr">
        <is>
          <t>Stat: Clear Spring Water (Equip)</t>
        </is>
      </c>
    </row>
    <row r="1364">
      <c r="A1364" s="5" t="inlineStr">
        <is>
          <t>Key</t>
        </is>
      </c>
      <c r="B1364" s="5" t="inlineStr">
        <is>
          <t>Name</t>
        </is>
      </c>
      <c r="C1364" s="5" t="inlineStr">
        <is>
          <t>Unlocked</t>
        </is>
      </c>
      <c r="D1364" s="5" t="inlineStr">
        <is>
          <t>InputLevel</t>
        </is>
      </c>
      <c r="E1364" s="5" t="inlineStr">
        <is>
          <t>Factor</t>
        </is>
      </c>
      <c r="F1364" s="5" t="inlineStr">
        <is>
          <t>CoefficientPercent</t>
        </is>
      </c>
      <c r="G1364" s="5" t="inlineStr">
        <is>
          <t>EffectiveHits</t>
        </is>
      </c>
      <c r="H1364" s="5" t="inlineStr">
        <is>
          <t>ProcProbability</t>
        </is>
      </c>
      <c r="I1364" s="5" t="inlineStr">
        <is>
          <t>MapleHeroMultiplier</t>
        </is>
      </c>
      <c r="J1364" s="5" t="inlineStr">
        <is>
          <t>BaseDamage</t>
        </is>
      </c>
      <c r="K1364" s="5" t="inlineStr">
        <is>
          <t>BaseHitDamage</t>
        </is>
      </c>
      <c r="L1364" s="5" t="inlineStr">
        <is>
          <t>NonCritAvg</t>
        </is>
      </c>
      <c r="M1364" s="5" t="inlineStr">
        <is>
          <t>CritAvg</t>
        </is>
      </c>
      <c r="N1364" s="5" t="inlineStr">
        <is>
          <t>ExpectedDamage(perHit)</t>
        </is>
      </c>
      <c r="O1364" s="5" t="inlineStr">
        <is>
          <t>DPS</t>
        </is>
      </c>
      <c r="P1364" s="5" t="inlineStr">
        <is>
          <t>% of Total</t>
        </is>
      </c>
      <c r="Q1364" s="5" t="inlineStr">
        <is>
          <t>InvCooldown</t>
        </is>
      </c>
      <c r="R1364" s="5" t="inlineStr">
        <is>
          <t>CastsInFight</t>
        </is>
      </c>
      <c r="S1364" s="5" t="inlineStr">
        <is>
          <t>HitRate(perSec)</t>
        </is>
      </c>
      <c r="U1364" t="inlineStr">
        <is>
          <t>helpers</t>
        </is>
      </c>
    </row>
    <row r="1365">
      <c r="A1365">
        <f>Skills!A2</f>
        <v/>
      </c>
      <c r="B1365">
        <f>Skills!B2</f>
        <v/>
      </c>
      <c r="C1365">
        <f>Inputs!$B$3&gt;=100</f>
        <v/>
      </c>
      <c r="D1365" t="inlineStr"/>
      <c r="E1365" t="inlineStr"/>
      <c r="F1365">
        <f>U1367+Skills!O2</f>
        <v/>
      </c>
      <c r="G1365">
        <f>Skills!G2*IF(Skills!H2&gt;0,Skills!I2/Skills!H2,1)</f>
        <v/>
      </c>
      <c r="H1365">
        <f>1-(1-Skills!J2/100)^Skills!K2</f>
        <v/>
      </c>
      <c r="I1365" t="inlineStr">
        <is>
          <t>1</t>
        </is>
      </c>
      <c r="J1365">
        <f>((Inputs!$B$6*(1+Inputs!$B$7/100))+(((Inputs!$B$12*(1+Inputs!$B$13/100))-(Inputs!$B$12*(1+Inputs!$B$13/100)))+0.25*(Inputs!$B$14-Inputs!$B$14))*(1+Inputs!$B$7/100))*(F1365/100)</f>
        <v/>
      </c>
      <c r="K1365">
        <f>J1365*(1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1365)</f>
        <v/>
      </c>
      <c r="L1365">
        <f>K1365*(MIN(Inputs!$B$22+((C1383=TRUE)*(F1383-Calc!F20)),(Inputs!$B$23+0+(IF(ArtifactsInput!$M$15,CHOOSE(ArtifactsInput!$N$15+1,25,30,35,40,45,50)/100*(Inputs!$B$11-Inputs!$B$11),0))))/100+(Inputs!$B$23+0+(IF(ArtifactsInput!$M$15,CHOOSE(ArtifactsInput!$N$15+1,25,30,35,40,45,50)/100*(Inputs!$B$11-Inputs!$B$11),0)))/100)/2</f>
        <v/>
      </c>
      <c r="M1365">
        <f>L1365*(1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5">
        <f>L1365*(1-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1365*(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5">
        <f>(1-Summary!$B$11)*T1365+Summary!$B$11*V1365</f>
        <v/>
      </c>
      <c r="P1365">
        <f>IF(B1398=0,0,O1365/B1398)</f>
        <v/>
      </c>
      <c r="Q1365" t="n">
        <v>0</v>
      </c>
      <c r="R1365" t="n">
        <v>0</v>
      </c>
      <c r="S1365">
        <f>IFERROR(O1365/N1365,0)</f>
        <v/>
      </c>
      <c r="T1365">
        <f>IF(C1365,(Skills!G2*N1365*B1392)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1365*(1-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1365*(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1365*(1-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1365*(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5">
        <f>MAX(0,(Inputs!$B$3-100)*3)+Inputs!$B$28+Inputs!$B$29</f>
        <v/>
      </c>
      <c r="V1365">
        <f>IF(C1365,(Skills!G2*N1365*B1392)*IF(Inputs!$B$38="pvp",1,(1+(Inputs!$B$21+Skills!Q2+(IF(ArtifactsInput!$M$33,CHOOSE(ArtifactsInput!$N$33+1,30,36,42,48,54,60),0))+(IF(AND(ArtifactsInput!$M$35,Inputs!$B$4&lt;&gt;"Chapter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6">
      <c r="A1366">
        <f>Skills!A3</f>
        <v/>
      </c>
      <c r="B1366">
        <f>Skills!B3</f>
        <v/>
      </c>
      <c r="C1366">
        <f>Inputs!$B$3&gt;=35</f>
        <v/>
      </c>
      <c r="D1366">
        <f>IF(Skills!C3=1,60+Inputs!$B$25+Inputs!$B$29,IF(Skills!C3=2,90+Inputs!$B$26+Inputs!$B$29,IF(Skills!C3=3,120+Inputs!$B$27+Inputs!$B$29,MAX(0,(Inputs!$B$3-100)*3)+Inputs!$B$28+Inputs!$B$29)))</f>
        <v/>
      </c>
      <c r="E1366">
        <f>INDEX(FactorTable!$B$2:$Y$301, MATCH(ROUND(MIN(300,MAX(1,D1366)),0), FactorTable!$A$2:$A$301,0), Skills!M3+1)</f>
        <v/>
      </c>
      <c r="F1366">
        <f>IF(Skills!N3=TRUE,(Skills!L3/10)*(E1366/1000),Skills!L3/10)+Skills!O3</f>
        <v/>
      </c>
      <c r="G1366">
        <f>Skills!G3*IF(Skills!H3&gt;0,Skills!I3/Skills!H3,1)</f>
        <v/>
      </c>
      <c r="H1366">
        <f>1-(1-Skills!J3/100)^Skills!K3</f>
        <v/>
      </c>
      <c r="I1366" t="inlineStr">
        <is>
          <t>1</t>
        </is>
      </c>
      <c r="J1366">
        <f>((Inputs!$B$6*(1+Inputs!$B$7/100))+(((Inputs!$B$12*(1+Inputs!$B$13/100))-(Inputs!$B$12*(1+Inputs!$B$13/100)))+0.25*(Inputs!$B$14-Inputs!$B$14))*(1+Inputs!$B$7/100))*(F1366/100)</f>
        <v/>
      </c>
      <c r="K1366">
        <f>J1366*(1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1366)</f>
        <v/>
      </c>
      <c r="L1366">
        <f>K1366*(MIN(Inputs!$B$22+((C1383=TRUE)*(F1383-Calc!F20)),(Inputs!$B$23+0+(IF(ArtifactsInput!$M$15,CHOOSE(ArtifactsInput!$N$15+1,25,30,35,40,45,50)/100*(Inputs!$B$11-Inputs!$B$11),0))))/100+(Inputs!$B$23+0+(IF(ArtifactsInput!$M$15,CHOOSE(ArtifactsInput!$N$15+1,25,30,35,40,45,50)/100*(Inputs!$B$11-Inputs!$B$11),0)))/100)/2</f>
        <v/>
      </c>
      <c r="M1366">
        <f>L1366*(1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6">
        <f>L1366*(1-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1366*(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6">
        <f>(1-Summary!$B$11)*T1366+Summary!$B$11*V1366</f>
        <v/>
      </c>
      <c r="P1366">
        <f>IF(B1398=0,0,O1366/B1398)</f>
        <v/>
      </c>
      <c r="Q1366" t="n">
        <v>0</v>
      </c>
      <c r="R1366" t="n">
        <v>0</v>
      </c>
      <c r="S1366">
        <f>IFERROR(O1366/N1366,0)</f>
        <v/>
      </c>
      <c r="T1366">
        <f>IF(C1366,(Skills!G3*H1366*N1366*B1392)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1366*(1-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1366*(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1366*(1-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1366*(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6">
        <f>INDEX(FactorTable!$B$2:$Y$301, MATCH(ROUND(MIN(300,MAX(1,U1365)),0), FactorTable!$A$2:$A$301,0), 22)</f>
        <v/>
      </c>
      <c r="V1366">
        <f>IF(C1366,(Skills!G3*H1366*N1366*B1392)*IF(Inputs!$B$38="pvp",1,(1+(Inputs!$B$21+Skills!Q3+(IF(ArtifactsInput!$M$33,CHOOSE(ArtifactsInput!$N$33+1,30,36,42,48,54,60),0))+(IF(AND(ArtifactsInput!$M$35,Inputs!$B$4&lt;&gt;"Chapter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7">
      <c r="A1367">
        <f>Skills!A4</f>
        <v/>
      </c>
      <c r="B1367">
        <f>Skills!B4</f>
        <v/>
      </c>
      <c r="C1367">
        <f>Inputs!$B$3&gt;=60</f>
        <v/>
      </c>
      <c r="D1367">
        <f>IF(Skills!C4=1,60+Inputs!$B$25+Inputs!$B$29,IF(Skills!C4=2,90+Inputs!$B$26+Inputs!$B$29,IF(Skills!C4=3,120+Inputs!$B$27+Inputs!$B$29,MAX(0,(Inputs!$B$3-100)*3)+Inputs!$B$28+Inputs!$B$29)))</f>
        <v/>
      </c>
      <c r="E1367">
        <f>INDEX(FactorTable!$B$2:$Y$301, MATCH(ROUND(MIN(300,MAX(1,D1367)),0), FactorTable!$A$2:$A$301,0), Skills!M4+1)</f>
        <v/>
      </c>
      <c r="F1367">
        <f>IF(Skills!N4=TRUE,(Skills!L4/10)*(E1367/1000),Skills!L4/10)+Skills!O4</f>
        <v/>
      </c>
      <c r="G1367">
        <f>Skills!G4*IF(Skills!H4&gt;0,Skills!I4/Skills!H4,1)</f>
        <v/>
      </c>
      <c r="H1367">
        <f>1-(1-Skills!J4/100)^Skills!K4</f>
        <v/>
      </c>
      <c r="I1367" t="inlineStr">
        <is>
          <t>1</t>
        </is>
      </c>
      <c r="J1367">
        <f>((Inputs!$B$6*(1+Inputs!$B$7/100))+(((Inputs!$B$12*(1+Inputs!$B$13/100))-(Inputs!$B$12*(1+Inputs!$B$13/100)))+0.25*(Inputs!$B$14-Inputs!$B$14))*(1+Inputs!$B$7/100))*(F1367/100)</f>
        <v/>
      </c>
      <c r="K1367">
        <f>J1367*(1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1375=TRUE,F1375,0)/100)*(1+(IF(Skills!A4="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1367)</f>
        <v/>
      </c>
      <c r="L1367">
        <f>K1367*(MIN(Inputs!$B$22+((C1383=TRUE)*(F1383-Calc!F20)),(Inputs!$B$23+0+(IF(ArtifactsInput!$M$15,CHOOSE(ArtifactsInput!$N$15+1,25,30,35,40,45,50)/100*(Inputs!$B$11-Inputs!$B$11),0))))/100+(Inputs!$B$23+0+(IF(ArtifactsInput!$M$15,CHOOSE(ArtifactsInput!$N$15+1,25,30,35,40,45,50)/100*(Inputs!$B$11-Inputs!$B$11),0)))/100)/2</f>
        <v/>
      </c>
      <c r="M1367">
        <f>L1367*(1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7">
        <f>L1367*(1-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1367*(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7">
        <f>(1-Summary!$B$11)*T1367+Summary!$B$11*V1367</f>
        <v/>
      </c>
      <c r="P1367">
        <f>IF(B1398=0,0,O1367/B1398)</f>
        <v/>
      </c>
      <c r="Q1367" t="n">
        <v>0</v>
      </c>
      <c r="R1367" t="n">
        <v>0</v>
      </c>
      <c r="S1367">
        <f>IFERROR(O1367/N1367,0)</f>
        <v/>
      </c>
      <c r="T1367">
        <f>IF(C1367,(Skills!G4*H1367*N1367*B1392)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1367*(1-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1367*(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1367*(1-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1367*(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7">
        <f>290*U1366/1000</f>
        <v/>
      </c>
      <c r="V1367">
        <f>IF(C1367,(Skills!G4*H1367*N1367*B1392)*IF(Inputs!$B$38="pvp",1,(1+(Inputs!$B$21+Skills!Q4+(IF(ArtifactsInput!$M$33,CHOOSE(ArtifactsInput!$N$33+1,30,36,42,48,54,60),0))+(IF(AND(ArtifactsInput!$M$35,Inputs!$B$4&lt;&gt;"Chapter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8">
      <c r="A1368">
        <f>Skills!A5</f>
        <v/>
      </c>
      <c r="B1368">
        <f>Skills!B5</f>
        <v/>
      </c>
      <c r="C1368">
        <f>Inputs!$B$3&gt;=60</f>
        <v/>
      </c>
      <c r="D1368">
        <f>IF(Skills!C5=1,60+Inputs!$B$25+Inputs!$B$29,IF(Skills!C5=2,90+Inputs!$B$26+Inputs!$B$29,IF(Skills!C5=3,120+Inputs!$B$27+Inputs!$B$29,MAX(0,(Inputs!$B$3-100)*3)+Inputs!$B$28+Inputs!$B$29)))</f>
        <v/>
      </c>
      <c r="E1368">
        <f>INDEX(FactorTable!$B$2:$Y$301, MATCH(ROUND(MIN(300,MAX(1,D1368)),0), FactorTable!$A$2:$A$301,0), Skills!M5+1)</f>
        <v/>
      </c>
      <c r="F1368">
        <f>IF(Skills!N5=TRUE,(Skills!L5/10)*(E1368/1000),Skills!L5/10)+Skills!O5</f>
        <v/>
      </c>
      <c r="G1368">
        <f>Skills!G5*IF(Skills!H5&gt;0,Skills!I5/Skills!H5,1)</f>
        <v/>
      </c>
      <c r="H1368">
        <f>1-(1-Skills!J5/100)^Skills!K5</f>
        <v/>
      </c>
      <c r="I1368" t="inlineStr">
        <is>
          <t>1</t>
        </is>
      </c>
      <c r="J1368" t="inlineStr"/>
      <c r="K1368" t="inlineStr"/>
      <c r="L1368" t="inlineStr"/>
      <c r="M1368" t="inlineStr"/>
      <c r="N1368" t="inlineStr"/>
      <c r="O1368">
        <f>(1-Summary!$B$11)*T1368+Summary!$B$11*V1368</f>
        <v/>
      </c>
      <c r="P1368">
        <f>IF(B1398=0,0,O1368/B1398)</f>
        <v/>
      </c>
      <c r="Q1368" t="n">
        <v>0</v>
      </c>
      <c r="R1368" t="n">
        <v>0</v>
      </c>
      <c r="S1368">
        <f>IFERROR(O1368/N1368,0)</f>
        <v/>
      </c>
      <c r="T1368" t="n">
        <v>0</v>
      </c>
      <c r="V1368" t="n">
        <v>0</v>
      </c>
    </row>
    <row r="1369">
      <c r="A1369">
        <f>Skills!A6</f>
        <v/>
      </c>
      <c r="B1369">
        <f>Skills!B6</f>
        <v/>
      </c>
      <c r="C1369">
        <f>Inputs!$B$3&gt;=63</f>
        <v/>
      </c>
      <c r="D1369">
        <f>IF(Skills!C6=1,60+Inputs!$B$25+Inputs!$B$29,IF(Skills!C6=2,90+Inputs!$B$26+Inputs!$B$29,IF(Skills!C6=3,120+Inputs!$B$27+Inputs!$B$29,MAX(0,(Inputs!$B$3-100)*3)+Inputs!$B$28+Inputs!$B$29)))</f>
        <v/>
      </c>
      <c r="E1369">
        <f>INDEX(FactorTable!$B$2:$Y$301, MATCH(ROUND(MIN(300,MAX(1,D1369)),0), FactorTable!$A$2:$A$301,0), Skills!M6+1)</f>
        <v/>
      </c>
      <c r="F1369">
        <f>IF(Skills!N6=TRUE,(Skills!L6/10)*(E1369/1000),Skills!L6/10)+Skills!O6</f>
        <v/>
      </c>
      <c r="G1369">
        <f>Skills!G6*IF(Skills!H6&gt;0,Skills!I6/Skills!H6,1)</f>
        <v/>
      </c>
      <c r="H1369">
        <f>1-(1-Skills!J6/100)^Skills!K6</f>
        <v/>
      </c>
      <c r="I1369" t="inlineStr">
        <is>
          <t>1</t>
        </is>
      </c>
      <c r="J1369">
        <f>((Inputs!$B$6*(1+Inputs!$B$7/100))+(((Inputs!$B$12*(1+Inputs!$B$13/100))-(Inputs!$B$12*(1+Inputs!$B$13/100)))+0.25*(Inputs!$B$14-Inputs!$B$14))*(1+Inputs!$B$7/100))*(F1369/100)</f>
        <v/>
      </c>
      <c r="K1369">
        <f>J1369*(1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1369)</f>
        <v/>
      </c>
      <c r="L1369">
        <f>K1369*(MIN(Inputs!$B$22+((C1383=TRUE)*(F1383-Calc!F20)),(Inputs!$B$23+0+(IF(ArtifactsInput!$M$15,CHOOSE(ArtifactsInput!$N$15+1,25,30,35,40,45,50)/100*(Inputs!$B$11-Inputs!$B$11),0))))/100+(Inputs!$B$23+0+(IF(ArtifactsInput!$M$15,CHOOSE(ArtifactsInput!$N$15+1,25,30,35,40,45,50)/100*(Inputs!$B$11-Inputs!$B$11),0)))/100)/2</f>
        <v/>
      </c>
      <c r="M1369">
        <f>L1369*(1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9">
        <f>L1369*(1-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1369*(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9">
        <f>(1-Summary!$B$11)*T1369+Summary!$B$11*V1369</f>
        <v/>
      </c>
      <c r="P1369">
        <f>IF(B1398=0,0,O1369/B1398)</f>
        <v/>
      </c>
      <c r="Q1369">
        <f>IFERROR(1/(IF(Inputs!$B$38="pvp",15,MAX(0.1,Skills!D6-IF(Skills!E6=TRUE,Inputs!$B$32,0)))*(1-IF(AND(ArtifactsInput!$M$27,Inputs!$B$4="Chapter Hunt"),CHOOSE(ArtifactsInput!$N$27+1,20,24,28,32,36,40),0)/100)),0)</f>
        <v/>
      </c>
      <c r="R1369">
        <f>IF(AND(Inputs!$B$38&lt;&gt;"pvp",Inputs!$B$43&gt;0),IF(MAX(0,Inputs!$B$43-B1395)&lt;=0,0,(INT(MAX(0,Inputs!$B$43-B1395)/(IF(Inputs!$B$38="pvp",15,MAX(0.1,Skills!D6-IF(Skills!E6=TRUE,Inputs!$B$32,0)))*(1-IF(AND(ArtifactsInput!$M$27,Inputs!$B$4="Chapter Hunt"),CHOOSE(ArtifactsInput!$N$27+1,20,24,28,32,36,40),0)/100)))+1)),0)</f>
        <v/>
      </c>
      <c r="S1369">
        <f>IFERROR(O1369/N1369,0)</f>
        <v/>
      </c>
      <c r="T1369">
        <f>IF(C1369,(H1369*N1369*IF(AND(Inputs!$B$38&lt;&gt;"pvp",Inputs!$B$43&gt;0),((Skills!G6*((R1369-1)*IF(Skills!H6&gt;0,Skills!I6/Skills!H6,1)+IF(Skills!H6&gt;0,MIN(Skills!I6,MAX(0,MAX(0,Inputs!$B$43-B1395)-((R1369-1)*(IF(Inputs!$B$38="pvp",15,MAX(0.1,Skills!D6-IF(Skills!E6=TRUE,Inputs!$B$32,0)))*(1-IF(AND(ArtifactsInput!$M$27,Inputs!$B$4="Chapter Hunt"),CHOOSE(ArtifactsInput!$N$27+1,20,24,28,32,36,40),0)/100)))))/Skills!H6,1)))/Inputs!$B$43),G1369*Q1369)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1369*(1-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1369*(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1369*(1-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1369*(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9">
        <f>IF(C1369,(H1369*N1369*IF(AND(Inputs!$B$38&lt;&gt;"pvp",Inputs!$B$43&gt;0),((Skills!G6*((R1369-1)*IF(Skills!H6&gt;0,Skills!I6/Skills!H6,1)+IF(Skills!H6&gt;0,MIN(Skills!I6,MAX(0,MAX(0,Inputs!$B$43-B1395)-((R1369-1)*(IF(Inputs!$B$38="pvp",15,MAX(0.1,Skills!D6-IF(Skills!E6=TRUE,Inputs!$B$32,0)))*(1-IF(AND(ArtifactsInput!$M$27,Inputs!$B$4="Chapter Hunt"),CHOOSE(ArtifactsInput!$N$27+1,20,24,28,32,36,40),0)/100)))))/Skills!H6,1)))/Inputs!$B$43),G1369*Q1369))*IF(Inputs!$B$38="pvp",1,(1+(Inputs!$B$21+Skills!Q6+(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0">
      <c r="A1370">
        <f>Skills!A7</f>
        <v/>
      </c>
      <c r="B1370">
        <f>Skills!B7</f>
        <v/>
      </c>
      <c r="C1370">
        <f>Inputs!$B$3&gt;=100</f>
        <v/>
      </c>
      <c r="D1370">
        <f>IF(Skills!C7=1,60+Inputs!$B$25+Inputs!$B$29,IF(Skills!C7=2,90+Inputs!$B$26+Inputs!$B$29,IF(Skills!C7=3,120+Inputs!$B$27+Inputs!$B$29,MAX(0,(Inputs!$B$3-100)*3)+Inputs!$B$28+Inputs!$B$29)))</f>
        <v/>
      </c>
      <c r="E1370">
        <f>INDEX(FactorTable!$B$2:$Y$301, MATCH(ROUND(MIN(300,MAX(1,D1370)),0), FactorTable!$A$2:$A$301,0), Skills!M7+1)</f>
        <v/>
      </c>
      <c r="F1370">
        <f>IF(Skills!N7=TRUE,(Skills!L7/10)*(E1370/1000),Skills!L7/10)+Skills!O7</f>
        <v/>
      </c>
      <c r="G1370">
        <f>Skills!G7*IF(Skills!H7&gt;0,Skills!I7/Skills!H7,1)</f>
        <v/>
      </c>
      <c r="H1370">
        <f>1-(1-Skills!J7/100)^Skills!K7</f>
        <v/>
      </c>
      <c r="I1370" t="inlineStr">
        <is>
          <t>1</t>
        </is>
      </c>
      <c r="J1370">
        <f>((Inputs!$B$6*(1+Inputs!$B$7/100))+(((Inputs!$B$12*(1+Inputs!$B$13/100))-(Inputs!$B$12*(1+Inputs!$B$13/100)))+0.25*(Inputs!$B$14-Inputs!$B$14))*(1+Inputs!$B$7/100))*(F1370/100)</f>
        <v/>
      </c>
      <c r="K1370">
        <f>J1370*(1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C1383=TRUE)*(F1383-Calc!F20)),(Inputs!$B$23+0+(IF(ArtifactsInput!$M$15,CHOOSE(ArtifactsInput!$N$15+1,25,30,35,40,45,50)/100*(Inputs!$B$11-Inputs!$B$11),0))))/100+(Inputs!$B$23+0+(IF(ArtifactsInput!$M$15,CHOOSE(ArtifactsInput!$N$15+1,25,30,35,40,45,50)/100*(Inputs!$B$11-Inputs!$B$11),0)))/100)/2</f>
        <v/>
      </c>
      <c r="M1370">
        <f>L1370*(1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0">
        <f>L1370*(1-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1370*(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0">
        <f>(1-Summary!$B$11)*T1370+Summary!$B$11*V1370</f>
        <v/>
      </c>
      <c r="P1370">
        <f>IF(B1398=0,0,O1370/B1398)</f>
        <v/>
      </c>
      <c r="Q1370">
        <f>IFERROR(1/(IF(Inputs!$B$38="pvp",15,MAX(0.1,Skills!D7-IF(Skills!E7=TRUE,Inputs!$B$32,0)))*(1-IF(AND(ArtifactsInput!$M$27,Inputs!$B$4="Chapter Hunt"),CHOOSE(ArtifactsInput!$N$27+1,20,24,28,32,36,40),0)/100)),0)</f>
        <v/>
      </c>
      <c r="R1370">
        <f>IF(AND(Inputs!$B$38&lt;&gt;"pvp",Inputs!$B$43&gt;0),IF(MAX(0,Inputs!$B$43-B1395)&lt;=0,0,(INT(MAX(0,Inputs!$B$43-B1395)/(IF(Inputs!$B$38="pvp",15,MAX(0.1,Skills!D7-IF(Skills!E7=TRUE,Inputs!$B$32,0)))*(1-IF(AND(ArtifactsInput!$M$27,Inputs!$B$4="Chapter Hunt"),CHOOSE(ArtifactsInput!$N$27+1,20,24,28,32,36,40),0)/100)))+1)),0)</f>
        <v/>
      </c>
      <c r="S1370">
        <f>IFERROR(O1370/N1370,0)</f>
        <v/>
      </c>
      <c r="T1370">
        <f>IF(C1370,(H1370*N1370*IF(AND(Inputs!$B$38&lt;&gt;"pvp",Inputs!$B$43&gt;0),((Skills!G7*((R1370-1)*IF(Skills!H7&gt;0,Skills!I7/Skills!H7,1)+IF(Skills!H7&gt;0,MIN(Skills!I7,MAX(0,MAX(0,Inputs!$B$43-B1395)-((R1370-1)*(IF(Inputs!$B$38="pvp",15,MAX(0.1,Skills!D7-IF(Skills!E7=TRUE,Inputs!$B$32,0)))*(1-IF(AND(ArtifactsInput!$M$27,Inputs!$B$4="Chapter Hunt"),CHOOSE(ArtifactsInput!$N$27+1,20,24,28,32,36,40),0)/100)))))/Skills!H7,1)))/Inputs!$B$43),G1370*Q1370)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1370*(1-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1370*(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1370*(1-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1370*(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0">
        <f>IF(C1370,(H1370*N1370*IF(AND(Inputs!$B$38&lt;&gt;"pvp",Inputs!$B$43&gt;0),((Skills!G7*((R1370-1)*IF(Skills!H7&gt;0,Skills!I7/Skills!H7,1)+IF(Skills!H7&gt;0,MIN(Skills!I7,MAX(0,MAX(0,Inputs!$B$43-B1395)-((R1370-1)*(IF(Inputs!$B$38="pvp",15,MAX(0.1,Skills!D7-IF(Skills!E7=TRUE,Inputs!$B$32,0)))*(1-IF(AND(ArtifactsInput!$M$27,Inputs!$B$4="Chapter Hunt"),CHOOSE(ArtifactsInput!$N$27+1,20,24,28,32,36,40),0)/100)))))/Skills!H7,1)))/Inputs!$B$43),G1370*Q1370))*IF(Inputs!$B$38="pvp",1,(1+(Inputs!$B$21+Skills!Q7+(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Skills!A8</f>
        <v/>
      </c>
      <c r="B1371">
        <f>Skills!B8</f>
        <v/>
      </c>
      <c r="C1371">
        <f>Inputs!$B$3&gt;=110</f>
        <v/>
      </c>
      <c r="D1371">
        <f>IF(Skills!C8=1,60+Inputs!$B$25+Inputs!$B$29,IF(Skills!C8=2,90+Inputs!$B$26+Inputs!$B$29,IF(Skills!C8=3,120+Inputs!$B$27+Inputs!$B$29,MAX(0,(Inputs!$B$3-100)*3)+Inputs!$B$28+Inputs!$B$29)))</f>
        <v/>
      </c>
      <c r="E1371">
        <f>INDEX(FactorTable!$B$2:$Y$301, MATCH(ROUND(MIN(300,MAX(1,D1371)),0), FactorTable!$A$2:$A$301,0), Skills!M8+1)</f>
        <v/>
      </c>
      <c r="F1371">
        <f>IF(Skills!N8=TRUE,(Skills!L8/10)*(E1371/1000),Skills!L8/10)+Skills!O8</f>
        <v/>
      </c>
      <c r="G1371">
        <f>Skills!G8*IF(Skills!H8&gt;0,Skills!I8/Skills!H8,1)</f>
        <v/>
      </c>
      <c r="H1371">
        <f>1-(1-Skills!J8/100)^Skills!K8</f>
        <v/>
      </c>
      <c r="I1371" t="inlineStr">
        <is>
          <t>1</t>
        </is>
      </c>
      <c r="J1371">
        <f>((Inputs!$B$6*(1+Inputs!$B$7/100))+(((Inputs!$B$12*(1+Inputs!$B$13/100))-(Inputs!$B$12*(1+Inputs!$B$13/100)))+0.25*(Inputs!$B$14-Inputs!$B$14))*(1+Inputs!$B$7/100))*(F1371/100)</f>
        <v/>
      </c>
      <c r="K1371">
        <f>J1371*(1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1371)</f>
        <v/>
      </c>
      <c r="L1371">
        <f>K1371*(MIN(Inputs!$B$22+((C1383=TRUE)*(F1383-Calc!F20)),(Inputs!$B$23+0+(IF(ArtifactsInput!$M$15,CHOOSE(ArtifactsInput!$N$15+1,25,30,35,40,45,50)/100*(Inputs!$B$11-Inputs!$B$11),0))))/100+(Inputs!$B$23+0+(IF(ArtifactsInput!$M$15,CHOOSE(ArtifactsInput!$N$15+1,25,30,35,40,45,50)/100*(Inputs!$B$11-Inputs!$B$11),0)))/100)/2</f>
        <v/>
      </c>
      <c r="M1371">
        <f>L1371*(1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1">
        <f>L1371*(1-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1">
        <f>(1-Summary!$B$11)*T1371+Summary!$B$11*V1371</f>
        <v/>
      </c>
      <c r="P1371">
        <f>IF(B1398=0,0,O1371/B1398)</f>
        <v/>
      </c>
      <c r="Q1371">
        <f>IFERROR(1/(IF(Inputs!$B$38="pvp",15,MAX(0.1,Skills!D8-IF(Skills!E8=TRUE,Inputs!$B$32,0)))*(1-IF(AND(ArtifactsInput!$M$27,Inputs!$B$4="Chapter Hunt"),CHOOSE(ArtifactsInput!$N$27+1,20,24,28,32,36,40),0)/100)),0)</f>
        <v/>
      </c>
      <c r="R1371">
        <f>IF(AND(Inputs!$B$38&lt;&gt;"pvp",Inputs!$B$43&gt;0),IF(MAX(0,Inputs!$B$43-B1395)&lt;=0,0,(INT(MAX(0,Inputs!$B$43-B1395)/(IF(Inputs!$B$38="pvp",15,MAX(0.1,Skills!D8-IF(Skills!E8=TRUE,Inputs!$B$32,0)))*(1-IF(AND(ArtifactsInput!$M$27,Inputs!$B$4="Chapter Hunt"),CHOOSE(ArtifactsInput!$N$27+1,20,24,28,32,36,40),0)/100)))+1)),0)</f>
        <v/>
      </c>
      <c r="S1371">
        <f>IFERROR(O1371/N1371,0)</f>
        <v/>
      </c>
      <c r="T1371">
        <f>IF(C1371,(H1371*N1371*IF(AND(Inputs!$B$38&lt;&gt;"pvp",Inputs!$B$43&gt;0),((Skills!G8*((R1371-1)*IF(Skills!H8&gt;0,Skills!I8/Skills!H8,1)+IF(Skills!H8&gt;0,MIN(Skills!I8,MAX(0,MAX(0,Inputs!$B$43-B1395)-((R1371-1)*(IF(Inputs!$B$38="pvp",15,MAX(0.1,Skills!D8-IF(Skills!E8=TRUE,Inputs!$B$32,0)))*(1-IF(AND(ArtifactsInput!$M$27,Inputs!$B$4="Chapter Hunt"),CHOOSE(ArtifactsInput!$N$27+1,20,24,28,32,36,40),0)/100)))))/Skills!H8,1)))/Inputs!$B$43),G1371*Q1371)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1371*(1-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1371*(1-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1">
        <f>IF(C1371,(H1371*N1371*IF(AND(Inputs!$B$38&lt;&gt;"pvp",Inputs!$B$43&gt;0),((Skills!G8*((R1371-1)*IF(Skills!H8&gt;0,Skills!I8/Skills!H8,1)+IF(Skills!H8&gt;0,MIN(Skills!I8,MAX(0,MAX(0,Inputs!$B$43-B1395)-((R1371-1)*(IF(Inputs!$B$38="pvp",15,MAX(0.1,Skills!D8-IF(Skills!E8=TRUE,Inputs!$B$32,0)))*(1-IF(AND(ArtifactsInput!$M$27,Inputs!$B$4="Chapter Hunt"),CHOOSE(ArtifactsInput!$N$27+1,20,24,28,32,36,40),0)/100)))))/Skills!H8,1)))/Inputs!$B$43),G1371*Q1371))*IF(Inputs!$B$38="pvp",1,(1+(Inputs!$B$21+Skills!Q8+(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2">
      <c r="A1372">
        <f>Skills!A9</f>
        <v/>
      </c>
      <c r="B1372">
        <f>Skills!B9</f>
        <v/>
      </c>
      <c r="C1372">
        <f>Inputs!$B$3&gt;=110</f>
        <v/>
      </c>
      <c r="D1372">
        <f>IF(Skills!C9=1,60+Inputs!$B$25+Inputs!$B$29,IF(Skills!C9=2,90+Inputs!$B$26+Inputs!$B$29,IF(Skills!C9=3,120+Inputs!$B$27+Inputs!$B$29,MAX(0,(Inputs!$B$3-100)*3)+Inputs!$B$28+Inputs!$B$29)))</f>
        <v/>
      </c>
      <c r="E1372">
        <f>INDEX(FactorTable!$B$2:$Y$301, MATCH(ROUND(MIN(300,MAX(1,D1372)),0), FactorTable!$A$2:$A$301,0), Skills!M9+1)</f>
        <v/>
      </c>
      <c r="F1372">
        <f>IF(Skills!N9=TRUE,(Skills!L9/10)*(E1372/1000),Skills!L9/10)+Skills!O9</f>
        <v/>
      </c>
      <c r="G1372">
        <f>Skills!G9*IF(Skills!H9&gt;0,Skills!I9/Skills!H9,1)</f>
        <v/>
      </c>
      <c r="H1372">
        <f>1-(1-Skills!J9/100)^Skills!K9</f>
        <v/>
      </c>
      <c r="I1372" t="inlineStr">
        <is>
          <t>1</t>
        </is>
      </c>
      <c r="J1372">
        <f>((Inputs!$B$6*(1+Inputs!$B$7/100))+(((Inputs!$B$12*(1+Inputs!$B$13/100))-(Inputs!$B$12*(1+Inputs!$B$13/100)))+0.25*(Inputs!$B$14-Inputs!$B$14))*(1+Inputs!$B$7/100))*(F1372/100)</f>
        <v/>
      </c>
      <c r="K1372">
        <f>J1372*(1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1372)</f>
        <v/>
      </c>
      <c r="L1372">
        <f>K1372*(MIN(Inputs!$B$22+((C1383=TRUE)*(F1383-Calc!F20)),(Inputs!$B$23+0+(IF(ArtifactsInput!$M$15,CHOOSE(ArtifactsInput!$N$15+1,25,30,35,40,45,50)/100*(Inputs!$B$11-Inputs!$B$11),0))))/100+(Inputs!$B$23+0+(IF(ArtifactsInput!$M$15,CHOOSE(ArtifactsInput!$N$15+1,25,30,35,40,45,50)/100*(Inputs!$B$11-Inputs!$B$11),0)))/100)/2</f>
        <v/>
      </c>
      <c r="M1372">
        <f>L1372*(1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2">
        <f>L1372*(1-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1372*(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2">
        <f>(1-Summary!$B$11)*T1372+Summary!$B$11*V1372</f>
        <v/>
      </c>
      <c r="P1372">
        <f>IF(B1398=0,0,O1372/B1398)</f>
        <v/>
      </c>
      <c r="Q1372">
        <f>IFERROR(1/(IF(Inputs!$B$38="pvp",15,MAX(0.1,Skills!D9-IF(Skills!E9=TRUE,Inputs!$B$32,0)))*(1-IF(AND(ArtifactsInput!$M$27,Inputs!$B$4="Chapter Hunt"),CHOOSE(ArtifactsInput!$N$27+1,20,24,28,32,36,40),0)/100)),0)</f>
        <v/>
      </c>
      <c r="R1372">
        <f>IF(AND(Inputs!$B$38&lt;&gt;"pvp",Inputs!$B$43&gt;0),IF(MAX(0,Inputs!$B$43-B1395)&lt;=0,0,(INT(MAX(0,Inputs!$B$43-B1395)/(IF(Inputs!$B$38="pvp",15,MAX(0.1,Skills!D9-IF(Skills!E9=TRUE,Inputs!$B$32,0)))*(1-IF(AND(ArtifactsInput!$M$27,Inputs!$B$4="Chapter Hunt"),CHOOSE(ArtifactsInput!$N$27+1,20,24,28,32,36,40),0)/100)))+1)),0)</f>
        <v/>
      </c>
      <c r="S1372">
        <f>IFERROR(O1372/N1372,0)</f>
        <v/>
      </c>
      <c r="T1372">
        <f>IF(C1372,(H1372*N1372*IF(AND(Inputs!$B$38&lt;&gt;"pvp",Inputs!$B$43&gt;0),((Skills!G9*((R1372-1)*IF(Skills!H9&gt;0,Skills!I9/Skills!H9,1)+IF(Skills!H9&gt;0,MIN(Skills!I9,MAX(0,MAX(0,Inputs!$B$43-B1395)-((R1372-1)*(IF(Inputs!$B$38="pvp",15,MAX(0.1,Skills!D9-IF(Skills!E9=TRUE,Inputs!$B$32,0)))*(1-IF(AND(ArtifactsInput!$M$27,Inputs!$B$4="Chapter Hunt"),CHOOSE(ArtifactsInput!$N$27+1,20,24,28,32,36,40),0)/100)))))/Skills!H9,1)))/Inputs!$B$43),G1372*Q1372)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1372*(1-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1372*(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1372*(1-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1372*(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2">
        <f>IF(C1372,(H1372*N1372*IF(AND(Inputs!$B$38&lt;&gt;"pvp",Inputs!$B$43&gt;0),((Skills!G9*((R1372-1)*IF(Skills!H9&gt;0,Skills!I9/Skills!H9,1)+IF(Skills!H9&gt;0,MIN(Skills!I9,MAX(0,MAX(0,Inputs!$B$43-B1395)-((R1372-1)*(IF(Inputs!$B$38="pvp",15,MAX(0.1,Skills!D9-IF(Skills!E9=TRUE,Inputs!$B$32,0)))*(1-IF(AND(ArtifactsInput!$M$27,Inputs!$B$4="Chapter Hunt"),CHOOSE(ArtifactsInput!$N$27+1,20,24,28,32,36,40),0)/100)))))/Skills!H9,1)))/Inputs!$B$43),G1372*Q1372))*IF(Inputs!$B$38="pvp",1,(1+(Inputs!$B$21+Skills!Q9+(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3">
      <c r="A1373">
        <f>Skills!A10</f>
        <v/>
      </c>
      <c r="B1373">
        <f>Skills!B10</f>
        <v/>
      </c>
      <c r="C1373">
        <f>Inputs!$B$3&gt;=103</f>
        <v/>
      </c>
      <c r="D1373">
        <f>IF(Skills!C10=1,60+Inputs!$B$25+Inputs!$B$29,IF(Skills!C10=2,90+Inputs!$B$26+Inputs!$B$29,IF(Skills!C10=3,120+Inputs!$B$27+Inputs!$B$29,MAX(0,(Inputs!$B$3-100)*3)+Inputs!$B$28+Inputs!$B$29)))</f>
        <v/>
      </c>
      <c r="E1373">
        <f>INDEX(FactorTable!$B$2:$Y$301, MATCH(ROUND(MIN(300,MAX(1,D1373)),0), FactorTable!$A$2:$A$301,0), Skills!M10+1)</f>
        <v/>
      </c>
      <c r="F1373">
        <f>IF(Skills!N10=TRUE,(Skills!L10/10)*(E1373/1000),Skills!L10/10)+Skills!O10</f>
        <v/>
      </c>
      <c r="G1373">
        <f>Skills!G10*IF(Skills!H10&gt;0,Skills!I10/Skills!H10,1)</f>
        <v/>
      </c>
      <c r="H1373">
        <f>1-(1-Skills!J10/100)^Skills!K10</f>
        <v/>
      </c>
      <c r="I1373" t="inlineStr">
        <is>
          <t>1</t>
        </is>
      </c>
      <c r="J1373">
        <f>((Inputs!$B$6*(1+Inputs!$B$7/100))+(((Inputs!$B$12*(1+Inputs!$B$13/100))-(Inputs!$B$12*(1+Inputs!$B$13/100)))+0.25*(Inputs!$B$14-Inputs!$B$14))*(1+Inputs!$B$7/100))*(F1373/100)</f>
        <v/>
      </c>
      <c r="K1373">
        <f>J1373*(1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1373)</f>
        <v/>
      </c>
      <c r="L1373">
        <f>K1373*(MIN(Inputs!$B$22+((C1383=TRUE)*(F1383-Calc!F20)),(Inputs!$B$23+0+(IF(ArtifactsInput!$M$15,CHOOSE(ArtifactsInput!$N$15+1,25,30,35,40,45,50)/100*(Inputs!$B$11-Inputs!$B$11),0))))/100+(Inputs!$B$23+0+(IF(ArtifactsInput!$M$15,CHOOSE(ArtifactsInput!$N$15+1,25,30,35,40,45,50)/100*(Inputs!$B$11-Inputs!$B$11),0)))/100)/2</f>
        <v/>
      </c>
      <c r="M1373">
        <f>L1373*(1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3">
        <f>L1373*(1-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1373*(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3">
        <f>(1-Summary!$B$11)*T1373+Summary!$B$11*V1373</f>
        <v/>
      </c>
      <c r="P1373">
        <f>IF(B1398=0,0,O1373/B1398)</f>
        <v/>
      </c>
      <c r="Q1373">
        <f>IFERROR(1/(IF(Inputs!$B$38="pvp",15,MAX(0.1,Skills!D10-IF(Skills!E10=TRUE,Inputs!$B$32,0)))*(1-IF(AND(ArtifactsInput!$M$27,Inputs!$B$4="Chapter Hunt"),CHOOSE(ArtifactsInput!$N$27+1,20,24,28,32,36,40),0)/100)),0)</f>
        <v/>
      </c>
      <c r="R1373">
        <f>IF(AND(Inputs!$B$38&lt;&gt;"pvp",Inputs!$B$43&gt;0),IF(MAX(0,Inputs!$B$43-B1395)&lt;=0,0,(INT(MAX(0,Inputs!$B$43-B1395)/(IF(Inputs!$B$38="pvp",15,MAX(0.1,Skills!D10-IF(Skills!E10=TRUE,Inputs!$B$32,0)))*(1-IF(AND(ArtifactsInput!$M$27,Inputs!$B$4="Chapter Hunt"),CHOOSE(ArtifactsInput!$N$27+1,20,24,28,32,36,40),0)/100)))+1)),0)</f>
        <v/>
      </c>
      <c r="S1373">
        <f>IFERROR(O1373/N1373,0)</f>
        <v/>
      </c>
      <c r="T1373">
        <f>IF(C1373,(H1373*N1373*IF(AND(Inputs!$B$38&lt;&gt;"pvp",Inputs!$B$43&gt;0),((Skills!G10*((R1373-1)*IF(Skills!H10&gt;0,Skills!I10/Skills!H10,1)+IF(Skills!H10&gt;0,MIN(Skills!I10,MAX(0,MAX(0,Inputs!$B$43-B1395)-((R1373-1)*(IF(Inputs!$B$38="pvp",15,MAX(0.1,Skills!D10-IF(Skills!E10=TRUE,Inputs!$B$32,0)))*(1-IF(AND(ArtifactsInput!$M$27,Inputs!$B$4="Chapter Hunt"),CHOOSE(ArtifactsInput!$N$27+1,20,24,28,32,36,40),0)/100)))))/Skills!H10,1)))/Inputs!$B$43),G1373*Q1373)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1373*(1-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1373*(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1373*(1-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1373*(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3">
        <f>IF(C1373,(H1373*N1373*IF(AND(Inputs!$B$38&lt;&gt;"pvp",Inputs!$B$43&gt;0),((Skills!G10*((R1373-1)*IF(Skills!H10&gt;0,Skills!I10/Skills!H10,1)+IF(Skills!H10&gt;0,MIN(Skills!I10,MAX(0,MAX(0,Inputs!$B$43-B1395)-((R1373-1)*(IF(Inputs!$B$38="pvp",15,MAX(0.1,Skills!D10-IF(Skills!E10=TRUE,Inputs!$B$32,0)))*(1-IF(AND(ArtifactsInput!$M$27,Inputs!$B$4="Chapter Hunt"),CHOOSE(ArtifactsInput!$N$27+1,20,24,28,32,36,40),0)/100)))))/Skills!H10,1)))/Inputs!$B$43),G1373*Q1373))*IF(Inputs!$B$38="pvp",1,(1+(Inputs!$B$21+Skills!Q10+(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4">
      <c r="A1374">
        <f>Skills!A11</f>
        <v/>
      </c>
      <c r="B1374">
        <f>Skills!B11</f>
        <v/>
      </c>
      <c r="C1374">
        <f>Inputs!$B$3&gt;=113</f>
        <v/>
      </c>
      <c r="D1374">
        <f>IF(Skills!C11=1,60+Inputs!$B$25+Inputs!$B$29,IF(Skills!C11=2,90+Inputs!$B$26+Inputs!$B$29,IF(Skills!C11=3,120+Inputs!$B$27+Inputs!$B$29,MAX(0,(Inputs!$B$3-100)*3)+Inputs!$B$28+Inputs!$B$29)))</f>
        <v/>
      </c>
      <c r="E1374">
        <f>INDEX(FactorTable!$B$2:$Y$301, MATCH(ROUND(MIN(300,MAX(1,D1374)),0), FactorTable!$A$2:$A$301,0), Skills!M11+1)</f>
        <v/>
      </c>
      <c r="F1374">
        <f>IF(Skills!N11=TRUE,(Skills!L11/10)*(E1374/1000),Skills!L11/10)+Skills!O11</f>
        <v/>
      </c>
      <c r="G1374">
        <f>Skills!G11*IF(Skills!H11&gt;0,Skills!I11/Skills!H11,1)</f>
        <v/>
      </c>
      <c r="H1374">
        <f>1-(1-Skills!J11/100)^Skills!K11</f>
        <v/>
      </c>
      <c r="I1374" t="inlineStr">
        <is>
          <t>1</t>
        </is>
      </c>
      <c r="J1374">
        <f>((Inputs!$B$6*(1+Inputs!$B$7/100))+(((Inputs!$B$12*(1+Inputs!$B$13/100))-(Inputs!$B$12*(1+Inputs!$B$13/100)))+0.25*(Inputs!$B$14-Inputs!$B$14))*(1+Inputs!$B$7/100))*(F1374/100)</f>
        <v/>
      </c>
      <c r="K1374">
        <f>J1374*(1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1374)</f>
        <v/>
      </c>
      <c r="L1374">
        <f>K1374*(MIN(Inputs!$B$22+((C1383=TRUE)*(F1383-Calc!F20)),(Inputs!$B$23+0+(IF(ArtifactsInput!$M$15,CHOOSE(ArtifactsInput!$N$15+1,25,30,35,40,45,50)/100*(Inputs!$B$11-Inputs!$B$11),0))))/100+(Inputs!$B$23+0+(IF(ArtifactsInput!$M$15,CHOOSE(ArtifactsInput!$N$15+1,25,30,35,40,45,50)/100*(Inputs!$B$11-Inputs!$B$11),0)))/100)/2</f>
        <v/>
      </c>
      <c r="M1374">
        <f>L1374*(1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4">
        <f>L1374*(1-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1374*(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4">
        <f>(1-Summary!$B$11)*T1374+Summary!$B$11*V1374</f>
        <v/>
      </c>
      <c r="P1374">
        <f>IF(B1398=0,0,O1374/B1398)</f>
        <v/>
      </c>
      <c r="Q1374">
        <f>IFERROR(1/(IF(Inputs!$B$38="pvp",15,MAX(0.1,Skills!D11-IF(Skills!E11=TRUE,Inputs!$B$32,0)))*(1-IF(AND(ArtifactsInput!$M$27,Inputs!$B$4="Chapter Hunt"),CHOOSE(ArtifactsInput!$N$27+1,20,24,28,32,36,40),0)/100)),0)</f>
        <v/>
      </c>
      <c r="R1374">
        <f>IF(AND(Inputs!$B$38&lt;&gt;"pvp",Inputs!$B$43&gt;0),IF(MAX(0,Inputs!$B$43-B1395)&lt;=0,0,(INT(MAX(0,Inputs!$B$43-B1395)/(IF(Inputs!$B$38="pvp",15,MAX(0.1,Skills!D11-IF(Skills!E11=TRUE,Inputs!$B$32,0)))*(1-IF(AND(ArtifactsInput!$M$27,Inputs!$B$4="Chapter Hunt"),CHOOSE(ArtifactsInput!$N$27+1,20,24,28,32,36,40),0)/100)))+1)),0)</f>
        <v/>
      </c>
      <c r="S1374">
        <f>IFERROR(O1374/N1374,0)</f>
        <v/>
      </c>
      <c r="T1374">
        <f>IF(C1374,(H1374*N1374*IF(AND(Inputs!$B$38&lt;&gt;"pvp",Inputs!$B$43&gt;0),((Skills!G11*((R1374-1)*IF(Skills!H11&gt;0,Skills!I11/Skills!H11,1)+IF(Skills!H11&gt;0,MIN(Skills!I11,MAX(0,MAX(0,Inputs!$B$43-B1395)-((R1374-1)*(IF(Inputs!$B$38="pvp",15,MAX(0.1,Skills!D11-IF(Skills!E11=TRUE,Inputs!$B$32,0)))*(1-IF(AND(ArtifactsInput!$M$27,Inputs!$B$4="Chapter Hunt"),CHOOSE(ArtifactsInput!$N$27+1,20,24,28,32,36,40),0)/100)))))/Skills!H11,1)))/Inputs!$B$43),G1374*Q1374)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1374*(1-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1374*(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1374*(1-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1374*(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4">
        <f>IF(C1374,(H1374*N1374*IF(AND(Inputs!$B$38&lt;&gt;"pvp",Inputs!$B$43&gt;0),((Skills!G11*((R1374-1)*IF(Skills!H11&gt;0,Skills!I11/Skills!H11,1)+IF(Skills!H11&gt;0,MIN(Skills!I11,MAX(0,MAX(0,Inputs!$B$43-B1395)-((R1374-1)*(IF(Inputs!$B$38="pvp",15,MAX(0.1,Skills!D11-IF(Skills!E11=TRUE,Inputs!$B$32,0)))*(1-IF(AND(ArtifactsInput!$M$27,Inputs!$B$4="Chapter Hunt"),CHOOSE(ArtifactsInput!$N$27+1,20,24,28,32,36,40),0)/100)))))/Skills!H11,1)))/Inputs!$B$43),G1374*Q1374))*IF(Inputs!$B$38="pvp",1,(1+(Inputs!$B$21+Skills!Q11+(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5">
      <c r="A1375">
        <f>Skills!A12</f>
        <v/>
      </c>
      <c r="B1375">
        <f>Skills!B12</f>
        <v/>
      </c>
      <c r="C1375">
        <f>Inputs!$B$3&gt;=100</f>
        <v/>
      </c>
      <c r="D1375">
        <f>IF(Skills!C12=1,60+Inputs!$B$25+Inputs!$B$29,IF(Skills!C12=2,90+Inputs!$B$26+Inputs!$B$29,IF(Skills!C12=3,120+Inputs!$B$27+Inputs!$B$29,MAX(0,(Inputs!$B$3-100)*3)+Inputs!$B$28+Inputs!$B$29)))</f>
        <v/>
      </c>
      <c r="E1375">
        <f>INDEX(FactorTable!$B$2:$Y$301, MATCH(ROUND(MIN(300,MAX(1,D1375)),0), FactorTable!$A$2:$A$301,0), Skills!M12+1)</f>
        <v/>
      </c>
      <c r="F1375">
        <f>IF(Skills!N12=TRUE,(Skills!L12/10)*(E1375/1000),Skills!L12/10)+Skills!O12</f>
        <v/>
      </c>
      <c r="G1375" t="inlineStr"/>
      <c r="H1375" t="inlineStr"/>
      <c r="I1375" t="inlineStr">
        <is>
          <t>1</t>
        </is>
      </c>
      <c r="J1375" t="inlineStr"/>
      <c r="K1375" t="inlineStr"/>
      <c r="L1375" t="inlineStr"/>
      <c r="M1375" t="inlineStr"/>
      <c r="N1375" t="inlineStr"/>
      <c r="O1375" t="inlineStr"/>
      <c r="P1375" t="inlineStr"/>
      <c r="Q1375" t="inlineStr"/>
      <c r="R1375" t="inlineStr"/>
      <c r="S1375" t="inlineStr"/>
      <c r="T1375" t="inlineStr"/>
      <c r="V1375" t="inlineStr"/>
    </row>
    <row r="1376">
      <c r="A1376">
        <f>Skills!A13</f>
        <v/>
      </c>
      <c r="B1376">
        <f>Skills!B13</f>
        <v/>
      </c>
      <c r="C1376">
        <f>Inputs!$B$3&gt;=66</f>
        <v/>
      </c>
      <c r="D1376">
        <f>IF(Skills!C13=1,60+Inputs!$B$25+Inputs!$B$29,IF(Skills!C13=2,90+Inputs!$B$26+Inputs!$B$29,IF(Skills!C13=3,120+Inputs!$B$27+Inputs!$B$29,MAX(0,(Inputs!$B$3-100)*3)+Inputs!$B$28+Inputs!$B$29)))</f>
        <v/>
      </c>
      <c r="E1376">
        <f>INDEX(FactorTable!$B$2:$Y$301, MATCH(ROUND(MIN(300,MAX(1,D1376)),0), FactorTable!$A$2:$A$301,0), Skills!M13+1)</f>
        <v/>
      </c>
      <c r="F1376">
        <f>IF(Skills!N13=TRUE,(Skills!L13/10)*(E1376/1000),Skills!L13/10)+Skills!O13</f>
        <v/>
      </c>
      <c r="G1376">
        <f>Skills!G13*IF(Skills!H13&gt;0,Skills!I13/Skills!H13,1)</f>
        <v/>
      </c>
      <c r="H1376">
        <f>1-(1-Skills!J13/100)^Skills!K13</f>
        <v/>
      </c>
      <c r="I1376" t="inlineStr">
        <is>
          <t>1</t>
        </is>
      </c>
      <c r="J1376" t="inlineStr"/>
      <c r="K1376" t="inlineStr"/>
      <c r="L1376" t="inlineStr"/>
      <c r="M1376" t="inlineStr"/>
      <c r="N1376" t="inlineStr"/>
      <c r="O1376">
        <f>(1-Summary!$B$11)*T1376+Summary!$B$11*V1376</f>
        <v/>
      </c>
      <c r="P1376">
        <f>IF(B1398=0,0,O1376/B1398)</f>
        <v/>
      </c>
      <c r="Q1376" t="n">
        <v>0</v>
      </c>
      <c r="R1376" t="n">
        <v>0</v>
      </c>
      <c r="S1376">
        <f>IFERROR(O1376/N1376,0)</f>
        <v/>
      </c>
      <c r="T1376" t="n">
        <v>0</v>
      </c>
      <c r="V1376" t="n">
        <v>0</v>
      </c>
    </row>
    <row r="1377">
      <c r="A1377">
        <f>Skills!A14</f>
        <v/>
      </c>
      <c r="B1377">
        <f>Skills!B14</f>
        <v/>
      </c>
      <c r="C1377">
        <f>Inputs!$B$3&gt;=107</f>
        <v/>
      </c>
      <c r="D1377">
        <f>IF(Skills!C14=1,60+Inputs!$B$25+Inputs!$B$29,IF(Skills!C14=2,90+Inputs!$B$26+Inputs!$B$29,IF(Skills!C14=3,120+Inputs!$B$27+Inputs!$B$29,MAX(0,(Inputs!$B$3-100)*3)+Inputs!$B$28+Inputs!$B$29)))</f>
        <v/>
      </c>
      <c r="E1377">
        <f>INDEX(FactorTable!$B$2:$Y$301, MATCH(ROUND(MIN(300,MAX(1,D1377)),0), FactorTable!$A$2:$A$301,0), Skills!M14+1)</f>
        <v/>
      </c>
      <c r="F1377">
        <f>IF(Skills!N14=TRUE,(Skills!L14/10)*(E1377/1000),Skills!L14/10)+Skills!O14</f>
        <v/>
      </c>
      <c r="G1377">
        <f>Skills!G14*IF(Skills!H14&gt;0,Skills!I14/Skills!H14,1)</f>
        <v/>
      </c>
      <c r="H1377">
        <f>1-(1-Skills!J14/100)^Skills!K14</f>
        <v/>
      </c>
      <c r="I1377" t="inlineStr">
        <is>
          <t>1</t>
        </is>
      </c>
      <c r="J1377" t="inlineStr"/>
      <c r="K1377" t="inlineStr"/>
      <c r="L1377" t="inlineStr"/>
      <c r="M1377" t="inlineStr"/>
      <c r="N1377" t="inlineStr"/>
      <c r="O1377">
        <f>(1-Summary!$B$11)*T1377+Summary!$B$11*V1377</f>
        <v/>
      </c>
      <c r="P1377">
        <f>IF(B1398=0,0,O1377/B1398)</f>
        <v/>
      </c>
      <c r="Q1377" t="n">
        <v>0</v>
      </c>
      <c r="R1377" t="n">
        <v>0</v>
      </c>
      <c r="S1377">
        <f>IFERROR(O1377/N1377,0)</f>
        <v/>
      </c>
      <c r="T1377" t="n">
        <v>0</v>
      </c>
      <c r="V1377" t="n">
        <v>0</v>
      </c>
    </row>
    <row r="1378">
      <c r="A1378">
        <f>Skills!A15</f>
        <v/>
      </c>
      <c r="B1378">
        <f>Skills!B15</f>
        <v/>
      </c>
      <c r="C1378">
        <f>Inputs!$B$3&gt;=115</f>
        <v/>
      </c>
      <c r="D1378">
        <f>IF(Skills!C15=1,60+Inputs!$B$25+Inputs!$B$29,IF(Skills!C15=2,90+Inputs!$B$26+Inputs!$B$29,IF(Skills!C15=3,120+Inputs!$B$27+Inputs!$B$29,MAX(0,(Inputs!$B$3-100)*3)+Inputs!$B$28+Inputs!$B$29)))</f>
        <v/>
      </c>
      <c r="E1378">
        <f>INDEX(FactorTable!$B$2:$Y$301, MATCH(ROUND(MIN(300,MAX(1,D1378)),0), FactorTable!$A$2:$A$301,0), Skills!M15+1)</f>
        <v/>
      </c>
      <c r="F1378">
        <f>IF(Skills!N15=TRUE,(Skills!L15/10)*(E1378/1000),Skills!L15/10)+Skills!O15</f>
        <v/>
      </c>
      <c r="G1378">
        <f>Skills!G15*IF(Skills!H15&gt;0,Skills!I15/Skills!H15,1)</f>
        <v/>
      </c>
      <c r="H1378">
        <f>1-(1-Skills!J15/100)^Skills!K15</f>
        <v/>
      </c>
      <c r="I1378" t="inlineStr">
        <is>
          <t>1</t>
        </is>
      </c>
      <c r="J1378" t="inlineStr"/>
      <c r="K1378" t="inlineStr"/>
      <c r="L1378" t="inlineStr"/>
      <c r="M1378" t="inlineStr"/>
      <c r="N1378" t="inlineStr"/>
      <c r="O1378">
        <f>(1-Summary!$B$11)*T1378+Summary!$B$11*V1378</f>
        <v/>
      </c>
      <c r="P1378">
        <f>IF(B1398=0,0,O1378/B1398)</f>
        <v/>
      </c>
      <c r="Q1378" t="n">
        <v>0</v>
      </c>
      <c r="R1378" t="n">
        <v>0</v>
      </c>
      <c r="S1378">
        <f>IFERROR(O1378/N1378,0)</f>
        <v/>
      </c>
      <c r="T1378" t="n">
        <v>0</v>
      </c>
      <c r="V1378" t="n">
        <v>0</v>
      </c>
    </row>
    <row r="1379">
      <c r="A1379">
        <f>Skills!A16</f>
        <v/>
      </c>
      <c r="B1379">
        <f>Skills!B16</f>
        <v/>
      </c>
      <c r="C1379">
        <f>Inputs!$B$3&gt;=15</f>
        <v/>
      </c>
      <c r="D1379">
        <f>IF(Skills!C16=1,60+Inputs!$B$25+Inputs!$B$29,IF(Skills!C16=2,90+Inputs!$B$26+Inputs!$B$29,IF(Skills!C16=3,120+Inputs!$B$27+Inputs!$B$29,MAX(0,(Inputs!$B$3-100)*3)+Inputs!$B$28+Inputs!$B$29)))</f>
        <v/>
      </c>
      <c r="E1379">
        <f>INDEX(FactorTable!$B$2:$Y$301, MATCH(ROUND(MIN(300,MAX(1,D1379)),0), FactorTable!$A$2:$A$301,0), Skills!M16+1)</f>
        <v/>
      </c>
      <c r="F1379">
        <f>IF(Skills!N16=TRUE,(Skills!L16/10)*(E1379/1000),Skills!L16/10)+Skills!O16</f>
        <v/>
      </c>
      <c r="G1379">
        <f>Skills!G16*IF(Skills!H16&gt;0,Skills!I16/Skills!H16,1)</f>
        <v/>
      </c>
      <c r="H1379">
        <f>1-(1-Skills!J16/100)^Skills!K16</f>
        <v/>
      </c>
      <c r="I1379" t="inlineStr">
        <is>
          <t>1</t>
        </is>
      </c>
      <c r="J1379" t="inlineStr"/>
      <c r="K1379" t="inlineStr"/>
      <c r="L1379" t="inlineStr"/>
      <c r="M1379" t="inlineStr"/>
      <c r="N1379" t="inlineStr"/>
      <c r="O1379">
        <f>(1-Summary!$B$11)*T1379+Summary!$B$11*V1379</f>
        <v/>
      </c>
      <c r="P1379">
        <f>IF(B1398=0,0,O1379/B1398)</f>
        <v/>
      </c>
      <c r="Q1379" t="n">
        <v>0</v>
      </c>
      <c r="R1379" t="n">
        <v>0</v>
      </c>
      <c r="S1379">
        <f>IFERROR(O1379/N1379,0)</f>
        <v/>
      </c>
      <c r="T1379" t="n">
        <v>0</v>
      </c>
      <c r="V1379" t="n">
        <v>0</v>
      </c>
    </row>
    <row r="1380">
      <c r="A1380">
        <f>Skills!A17</f>
        <v/>
      </c>
      <c r="B1380">
        <f>Skills!B17</f>
        <v/>
      </c>
      <c r="C1380">
        <f>Inputs!$B$3&gt;=10</f>
        <v/>
      </c>
      <c r="D1380">
        <f>IF(Skills!C17=1,60+Inputs!$B$25+Inputs!$B$29,IF(Skills!C17=2,90+Inputs!$B$26+Inputs!$B$29,IF(Skills!C17=3,120+Inputs!$B$27+Inputs!$B$29,MAX(0,(Inputs!$B$3-100)*3)+Inputs!$B$28+Inputs!$B$29)))</f>
        <v/>
      </c>
      <c r="E1380">
        <f>INDEX(FactorTable!$B$2:$Y$301, MATCH(ROUND(MIN(300,MAX(1,D1380)),0), FactorTable!$A$2:$A$301,0), Skills!M17+1)</f>
        <v/>
      </c>
      <c r="F1380">
        <f>IF(Skills!N17=TRUE,(Skills!L17/10)*(E1380/1000),Skills!L17/10)+Skills!O17</f>
        <v/>
      </c>
      <c r="G1380">
        <f>Skills!G17*IF(Skills!H17&gt;0,Skills!I17/Skills!H17,1)</f>
        <v/>
      </c>
      <c r="H1380">
        <f>1-(1-Skills!J17/100)^Skills!K17</f>
        <v/>
      </c>
      <c r="I1380" t="inlineStr">
        <is>
          <t>1</t>
        </is>
      </c>
      <c r="J1380" t="inlineStr"/>
      <c r="K1380" t="inlineStr"/>
      <c r="L1380" t="inlineStr"/>
      <c r="M1380" t="inlineStr"/>
      <c r="N1380" t="inlineStr"/>
      <c r="O1380">
        <f>(1-Summary!$B$11)*T1380+Summary!$B$11*V1380</f>
        <v/>
      </c>
      <c r="P1380">
        <f>IF(B1398=0,0,O1380/B1398)</f>
        <v/>
      </c>
      <c r="Q1380" t="n">
        <v>0</v>
      </c>
      <c r="R1380" t="n">
        <v>0</v>
      </c>
      <c r="S1380">
        <f>IFERROR(O1380/N1380,0)</f>
        <v/>
      </c>
      <c r="T1380" t="n">
        <v>0</v>
      </c>
      <c r="V1380" t="n">
        <v>0</v>
      </c>
    </row>
    <row r="1381">
      <c r="A1381">
        <f>Skills!A18</f>
        <v/>
      </c>
      <c r="B1381">
        <f>Skills!B18</f>
        <v/>
      </c>
      <c r="C1381">
        <f>Inputs!$B$3&gt;=33</f>
        <v/>
      </c>
      <c r="D1381">
        <f>IF(Skills!C18=1,60+Inputs!$B$25+Inputs!$B$29,IF(Skills!C18=2,90+Inputs!$B$26+Inputs!$B$29,IF(Skills!C18=3,120+Inputs!$B$27+Inputs!$B$29,MAX(0,(Inputs!$B$3-100)*3)+Inputs!$B$28+Inputs!$B$29)))</f>
        <v/>
      </c>
      <c r="E1381">
        <f>INDEX(FactorTable!$B$2:$Y$301, MATCH(ROUND(MIN(300,MAX(1,D1381)),0), FactorTable!$A$2:$A$301,0), Skills!M18+1)</f>
        <v/>
      </c>
      <c r="F1381">
        <f>IF(Skills!N18=TRUE,(Skills!L18/10)*(E1381/1000),Skills!L18/10)+Skills!O18</f>
        <v/>
      </c>
      <c r="G1381">
        <f>Skills!G18*IF(Skills!H18&gt;0,Skills!I18/Skills!H18,1)</f>
        <v/>
      </c>
      <c r="H1381">
        <f>1-(1-Skills!J18/100)^Skills!K18</f>
        <v/>
      </c>
      <c r="I1381" t="inlineStr">
        <is>
          <t>1</t>
        </is>
      </c>
      <c r="J1381" t="inlineStr"/>
      <c r="K1381" t="inlineStr"/>
      <c r="L1381" t="inlineStr"/>
      <c r="M1381" t="inlineStr"/>
      <c r="N1381" t="inlineStr"/>
      <c r="O1381">
        <f>(1-Summary!$B$11)*T1381+Summary!$B$11*V1381</f>
        <v/>
      </c>
      <c r="P1381">
        <f>IF(B1398=0,0,O1381/B1398)</f>
        <v/>
      </c>
      <c r="Q1381" t="n">
        <v>0</v>
      </c>
      <c r="R1381" t="n">
        <v>0</v>
      </c>
      <c r="S1381">
        <f>IFERROR(O1381/N1381,0)</f>
        <v/>
      </c>
      <c r="T1381" t="n">
        <v>0</v>
      </c>
      <c r="V1381" t="n">
        <v>0</v>
      </c>
    </row>
    <row r="1382">
      <c r="A1382">
        <f>Skills!A19</f>
        <v/>
      </c>
      <c r="B1382">
        <f>Skills!B19</f>
        <v/>
      </c>
      <c r="C1382">
        <f>Inputs!$B$3&gt;=40</f>
        <v/>
      </c>
      <c r="D1382">
        <f>IF(Skills!C19=1,60+Inputs!$B$25+Inputs!$B$29,IF(Skills!C19=2,90+Inputs!$B$26+Inputs!$B$29,IF(Skills!C19=3,120+Inputs!$B$27+Inputs!$B$29,MAX(0,(Inputs!$B$3-100)*3)+Inputs!$B$28+Inputs!$B$29)))</f>
        <v/>
      </c>
      <c r="E1382">
        <f>INDEX(FactorTable!$B$2:$Y$301, MATCH(ROUND(MIN(300,MAX(1,D1382)),0), FactorTable!$A$2:$A$301,0), Skills!M19+1)</f>
        <v/>
      </c>
      <c r="F1382">
        <f>IF(Skills!N19=TRUE,(Skills!L19/10)*(E1382/1000),Skills!L19/10)+Skills!O19</f>
        <v/>
      </c>
      <c r="G1382">
        <f>Skills!G19*IF(Skills!H19&gt;0,Skills!I19/Skills!H19,1)</f>
        <v/>
      </c>
      <c r="H1382">
        <f>1-(1-Skills!J19/100)^Skills!K19</f>
        <v/>
      </c>
      <c r="I1382" t="inlineStr">
        <is>
          <t>1</t>
        </is>
      </c>
      <c r="J1382" t="inlineStr"/>
      <c r="K1382" t="inlineStr"/>
      <c r="L1382" t="inlineStr"/>
      <c r="M1382" t="inlineStr"/>
      <c r="N1382" t="inlineStr"/>
      <c r="O1382">
        <f>(1-Summary!$B$11)*T1382+Summary!$B$11*V1382</f>
        <v/>
      </c>
      <c r="P1382">
        <f>IF(B1398=0,0,O1382/B1398)</f>
        <v/>
      </c>
      <c r="Q1382" t="n">
        <v>0</v>
      </c>
      <c r="R1382" t="n">
        <v>0</v>
      </c>
      <c r="S1382">
        <f>IFERROR(O1382/N1382,0)</f>
        <v/>
      </c>
      <c r="T1382" t="n">
        <v>0</v>
      </c>
      <c r="V1382" t="n">
        <v>0</v>
      </c>
    </row>
    <row r="1383">
      <c r="A1383">
        <f>Skills!A20</f>
        <v/>
      </c>
      <c r="B1383">
        <f>Skills!B20</f>
        <v/>
      </c>
      <c r="C1383">
        <f>Inputs!$B$3&gt;=43</f>
        <v/>
      </c>
      <c r="D1383">
        <f>IF(Skills!C20=1,60+Inputs!$B$25+Inputs!$B$29,IF(Skills!C20=2,90+Inputs!$B$26+Inputs!$B$29,IF(Skills!C20=3,120+Inputs!$B$27+Inputs!$B$29,MAX(0,(Inputs!$B$3-100)*3)+Inputs!$B$28+Inputs!$B$29)))</f>
        <v/>
      </c>
      <c r="E1383">
        <f>INDEX(FactorTable!$B$2:$Y$301, MATCH(ROUND(MIN(300,MAX(1,D1383)),0), FactorTable!$A$2:$A$301,0), Skills!M20+1)</f>
        <v/>
      </c>
      <c r="F1383">
        <f>IF(Skills!N20=TRUE,(Skills!L20/10)*(E1383/1000),Skills!L20/10)+Skills!O20</f>
        <v/>
      </c>
      <c r="G1383">
        <f>Skills!G20*IF(Skills!H20&gt;0,Skills!I20/Skills!H20,1)</f>
        <v/>
      </c>
      <c r="H1383">
        <f>1-(1-Skills!J20/100)^Skills!K20</f>
        <v/>
      </c>
      <c r="I1383" t="inlineStr">
        <is>
          <t>1</t>
        </is>
      </c>
      <c r="J1383" t="inlineStr"/>
      <c r="K1383" t="inlineStr"/>
      <c r="L1383" t="inlineStr"/>
      <c r="M1383" t="inlineStr"/>
      <c r="N1383" t="inlineStr"/>
      <c r="O1383">
        <f>(1-Summary!$B$11)*T1383+Summary!$B$11*V1383</f>
        <v/>
      </c>
      <c r="P1383">
        <f>IF(B1398=0,0,O1383/B1398)</f>
        <v/>
      </c>
      <c r="Q1383" t="n">
        <v>0</v>
      </c>
      <c r="R1383" t="n">
        <v>0</v>
      </c>
      <c r="S1383">
        <f>IFERROR(O1383/N1383,0)</f>
        <v/>
      </c>
      <c r="T1383" t="n">
        <v>0</v>
      </c>
      <c r="V1383" t="n">
        <v>0</v>
      </c>
    </row>
    <row r="1384">
      <c r="A1384">
        <f>Skills!A21</f>
        <v/>
      </c>
      <c r="B1384">
        <f>Skills!B21</f>
        <v/>
      </c>
      <c r="C1384">
        <f>Inputs!$B$3&gt;=38</f>
        <v/>
      </c>
      <c r="D1384">
        <f>IF(Skills!C21=1,60+Inputs!$B$25+Inputs!$B$29,IF(Skills!C21=2,90+Inputs!$B$26+Inputs!$B$29,IF(Skills!C21=3,120+Inputs!$B$27+Inputs!$B$29,MAX(0,(Inputs!$B$3-100)*3)+Inputs!$B$28+Inputs!$B$29)))</f>
        <v/>
      </c>
      <c r="E1384">
        <f>INDEX(FactorTable!$B$2:$Y$301, MATCH(ROUND(MIN(300,MAX(1,D1384)),0), FactorTable!$A$2:$A$301,0), Skills!M21+1)</f>
        <v/>
      </c>
      <c r="F1384">
        <f>IF(Skills!N21=TRUE,(Skills!L21/10)*(E1384/1000),Skills!L21/10)+Skills!O21</f>
        <v/>
      </c>
      <c r="G1384">
        <f>Skills!G21*IF(Skills!H21&gt;0,Skills!I21/Skills!H21,1)</f>
        <v/>
      </c>
      <c r="H1384">
        <f>1-(1-Skills!J21/100)^Skills!K21</f>
        <v/>
      </c>
      <c r="I1384" t="inlineStr">
        <is>
          <t>1</t>
        </is>
      </c>
      <c r="J1384" t="inlineStr"/>
      <c r="K1384" t="inlineStr"/>
      <c r="L1384" t="inlineStr"/>
      <c r="M1384" t="inlineStr"/>
      <c r="N1384" t="inlineStr"/>
      <c r="O1384">
        <f>(1-Summary!$B$11)*T1384+Summary!$B$11*V1384</f>
        <v/>
      </c>
      <c r="P1384">
        <f>IF(B1398=0,0,O1384/B1398)</f>
        <v/>
      </c>
      <c r="Q1384" t="n">
        <v>0</v>
      </c>
      <c r="R1384" t="n">
        <v>0</v>
      </c>
      <c r="S1384">
        <f>IFERROR(O1384/N1384,0)</f>
        <v/>
      </c>
      <c r="T1384" t="n">
        <v>0</v>
      </c>
      <c r="V1384" t="n">
        <v>0</v>
      </c>
    </row>
    <row r="1385">
      <c r="A1385">
        <f>Skills!A22</f>
        <v/>
      </c>
      <c r="B1385">
        <f>Skills!B22</f>
        <v/>
      </c>
      <c r="C1385">
        <f>Inputs!$B$3&gt;=75</f>
        <v/>
      </c>
      <c r="D1385">
        <f>IF(Skills!C22=1,60+Inputs!$B$25+Inputs!$B$29,IF(Skills!C22=2,90+Inputs!$B$26+Inputs!$B$29,IF(Skills!C22=3,120+Inputs!$B$27+Inputs!$B$29,MAX(0,(Inputs!$B$3-100)*3)+Inputs!$B$28+Inputs!$B$29)))</f>
        <v/>
      </c>
      <c r="E1385">
        <f>INDEX(FactorTable!$B$2:$Y$301, MATCH(ROUND(MIN(300,MAX(1,D1385)),0), FactorTable!$A$2:$A$301,0), Skills!M22+1)</f>
        <v/>
      </c>
      <c r="F1385">
        <f>IF(Skills!N22=TRUE,(Skills!L22/10)*(E1385/1000),Skills!L22/10)+Skills!O22</f>
        <v/>
      </c>
      <c r="G1385">
        <f>Skills!G22*IF(Skills!H22&gt;0,Skills!I22/Skills!H22,1)</f>
        <v/>
      </c>
      <c r="H1385">
        <f>1-(1-Skills!J22/100)^Skills!K22</f>
        <v/>
      </c>
      <c r="I1385" t="inlineStr">
        <is>
          <t>1</t>
        </is>
      </c>
      <c r="J1385" t="inlineStr"/>
      <c r="K1385" t="inlineStr"/>
      <c r="L1385" t="inlineStr"/>
      <c r="M1385" t="inlineStr"/>
      <c r="N1385" t="inlineStr"/>
      <c r="O1385">
        <f>(1-Summary!$B$11)*T1385+Summary!$B$11*V1385</f>
        <v/>
      </c>
      <c r="P1385">
        <f>IF(B1398=0,0,O1385/B1398)</f>
        <v/>
      </c>
      <c r="Q1385" t="n">
        <v>0</v>
      </c>
      <c r="R1385" t="n">
        <v>0</v>
      </c>
      <c r="S1385">
        <f>IFERROR(O1385/N1385,0)</f>
        <v/>
      </c>
      <c r="T1385" t="n">
        <v>0</v>
      </c>
      <c r="V1385" t="n">
        <v>0</v>
      </c>
    </row>
    <row r="1387">
      <c r="A1387" t="inlineStr">
        <is>
          <t>Attack% Bucket Multiplier</t>
        </is>
      </c>
      <c r="B1387">
        <f>(1+(((C1376=TRUE)*F1376)+((C1382=TRUE)*(F1382-Calc!F19))+(IF(ArtifactsInput!$M$21,CHOOSE(ArtifactsInput!$N$21+1,25,30,35,40,45,50)*(IF(OR(Inputs!$B$4="Chapter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88">
      <c r="A1388" t="inlineStr">
        <is>
          <t>Global Crit Rate Bonus %</t>
        </is>
      </c>
      <c r="B1388" t="n">
        <v>0</v>
      </c>
    </row>
    <row r="1389">
      <c r="A1389" t="inlineStr">
        <is>
          <t>Attack Speed Buff Bonus % (unused)</t>
        </is>
      </c>
      <c r="B1389" t="n">
        <v>0</v>
      </c>
    </row>
    <row r="1390">
      <c r="A1390" t="inlineStr">
        <is>
          <t>Actions Per Second</t>
        </is>
      </c>
      <c r="B1390">
        <f>1+MIN(150,150*(1-(1-(Inputs!$B$11+((C1380=TRUE)*(F1380-Calc!F17))+((C1381=TRUE)*(F1381-Calc!F18)))/150)*(1-B1389/150)))/100</f>
        <v/>
      </c>
    </row>
    <row r="1391">
      <c r="A1391" t="inlineStr">
        <is>
          <t>Skill + Buff Cast Rate</t>
        </is>
      </c>
      <c r="B1391">
        <f>IF(AND(Inputs!$B$38&lt;&gt;"pvp",Inputs!$B$43&gt;0),SUMPRODUCT((Skills!E2:E22=TRUE)*(C1365:C1385=TRUE)*R1365:R1385*Skills!F2:F22)/Inputs!$B$43,SUMPRODUCT((Skills!E2:E22=TRUE)*(C1365:C1385=TRUE)*Q1365:Q1385*Skills!F2:F22))</f>
        <v/>
      </c>
    </row>
    <row r="1392">
      <c r="A1392" t="inlineStr">
        <is>
          <t>Hook Bomber Casts Per Second</t>
        </is>
      </c>
      <c r="B1392">
        <f>MAX(0,B1390-B1391)</f>
        <v/>
      </c>
    </row>
    <row r="1393">
      <c r="A1393" t="inlineStr">
        <is>
          <t>Global Critical Damage Bonus % (unused)</t>
        </is>
      </c>
      <c r="B1393" t="n">
        <v>0</v>
      </c>
    </row>
    <row r="1394">
      <c r="A1394" t="inlineStr">
        <is>
          <t>Global Final Damage Bonus % (Serpent Scale + Crossbones + Time Leap + Speed Infusion)</t>
        </is>
      </c>
      <c r="B1394">
        <f>((C1368=TRUE)*F1368*((10+IF(Inputs!$B$3&gt;=94,5,0))/((10+IF(Inputs!$B$3&gt;=94,5,0))+5/(B1392*(1+IF(Inputs!$B$3&gt;=104,1,0))))))+((C1377=TRUE)*F1377)+((C1378=TRUE)*F1378)+((Inputs!$B$3&gt;=110)*20*(B1390-1))</f>
        <v/>
      </c>
    </row>
    <row r="1395">
      <c r="A1395" t="inlineStr">
        <is>
          <t>Buff-Casting Startup Delay (s, fixed-duration only)</t>
        </is>
      </c>
      <c r="B1395">
        <f>IF(AND(Inputs!$B$38&lt;&gt;"pvp",Inputs!$B$43&gt;0),SUMPRODUCT((Skills!T2:T22&gt;0)*(Skills!E2:E22=TRUE)*(C1365:C1385=TRUE))/B1390,0)</f>
        <v/>
      </c>
    </row>
    <row r="1396">
      <c r="A1396" t="inlineStr">
        <is>
          <t>Boss-Only Total DPS (this block's swept value)</t>
        </is>
      </c>
      <c r="B1396">
        <f>SUM(T1365:T1385)</f>
        <v/>
      </c>
    </row>
    <row r="1397">
      <c r="A1397" t="inlineStr">
        <is>
          <t>Normal-Only Total DPS (this block's swept value)</t>
        </is>
      </c>
      <c r="B1397">
        <f>SUM(V1365:V1385)</f>
        <v/>
      </c>
    </row>
    <row r="1398">
      <c r="A1398" s="6" t="inlineStr">
        <is>
          <t>TOTAL DPS</t>
        </is>
      </c>
      <c r="B1398" s="6">
        <f>SUM(O1365:O1385)</f>
        <v/>
      </c>
    </row>
    <row r="1401">
      <c r="A1401" s="6" t="inlineStr">
        <is>
          <t>Stat: Athena Pierce's Old Gloves (Equip)</t>
        </is>
      </c>
    </row>
    <row r="1402">
      <c r="A1402" s="5" t="inlineStr">
        <is>
          <t>Key</t>
        </is>
      </c>
      <c r="B1402" s="5" t="inlineStr">
        <is>
          <t>Name</t>
        </is>
      </c>
      <c r="C1402" s="5" t="inlineStr">
        <is>
          <t>Unlocked</t>
        </is>
      </c>
      <c r="D1402" s="5" t="inlineStr">
        <is>
          <t>InputLevel</t>
        </is>
      </c>
      <c r="E1402" s="5" t="inlineStr">
        <is>
          <t>Factor</t>
        </is>
      </c>
      <c r="F1402" s="5" t="inlineStr">
        <is>
          <t>CoefficientPercent</t>
        </is>
      </c>
      <c r="G1402" s="5" t="inlineStr">
        <is>
          <t>EffectiveHits</t>
        </is>
      </c>
      <c r="H1402" s="5" t="inlineStr">
        <is>
          <t>ProcProbability</t>
        </is>
      </c>
      <c r="I1402" s="5" t="inlineStr">
        <is>
          <t>MapleHeroMultiplier</t>
        </is>
      </c>
      <c r="J1402" s="5" t="inlineStr">
        <is>
          <t>BaseDamage</t>
        </is>
      </c>
      <c r="K1402" s="5" t="inlineStr">
        <is>
          <t>BaseHitDamage</t>
        </is>
      </c>
      <c r="L1402" s="5" t="inlineStr">
        <is>
          <t>NonCritAvg</t>
        </is>
      </c>
      <c r="M1402" s="5" t="inlineStr">
        <is>
          <t>CritAvg</t>
        </is>
      </c>
      <c r="N1402" s="5" t="inlineStr">
        <is>
          <t>ExpectedDamage(perHit)</t>
        </is>
      </c>
      <c r="O1402" s="5" t="inlineStr">
        <is>
          <t>DPS</t>
        </is>
      </c>
      <c r="P1402" s="5" t="inlineStr">
        <is>
          <t>% of Total</t>
        </is>
      </c>
      <c r="Q1402" s="5" t="inlineStr">
        <is>
          <t>InvCooldown</t>
        </is>
      </c>
      <c r="R1402" s="5" t="inlineStr">
        <is>
          <t>CastsInFight</t>
        </is>
      </c>
      <c r="S1402" s="5" t="inlineStr">
        <is>
          <t>HitRate(perSec)</t>
        </is>
      </c>
      <c r="U1402" t="inlineStr">
        <is>
          <t>helpers</t>
        </is>
      </c>
    </row>
    <row r="1403">
      <c r="A1403">
        <f>Skills!A2</f>
        <v/>
      </c>
      <c r="B1403">
        <f>Skills!B2</f>
        <v/>
      </c>
      <c r="C1403">
        <f>Inputs!$B$3&gt;=100</f>
        <v/>
      </c>
      <c r="D1403" t="inlineStr"/>
      <c r="E1403" t="inlineStr"/>
      <c r="F1403">
        <f>U1405+Skills!O2</f>
        <v/>
      </c>
      <c r="G1403">
        <f>Skills!G2*IF(Skills!H2&gt;0,Skills!I2/Skills!H2,1)</f>
        <v/>
      </c>
      <c r="H1403">
        <f>1-(1-Skills!J2/100)^Skills!K2</f>
        <v/>
      </c>
      <c r="I1403" t="inlineStr">
        <is>
          <t>1</t>
        </is>
      </c>
      <c r="J1403">
        <f>((Inputs!$B$6*(1+Inputs!$B$7/100))+(((Inputs!$B$12*(1+Inputs!$B$13/100))-(Inputs!$B$12*(1+Inputs!$B$13/100)))+0.25*(Inputs!$B$14-Inputs!$B$14))*(1+Inputs!$B$7/100))*(F1403/100)</f>
        <v/>
      </c>
      <c r="K1403">
        <f>J1403*(1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03">
        <f>L1403*(1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3">
        <f>L1403*(1-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3">
        <f>(1-Summary!$B$11)*T1403+Summary!$B$11*V1403</f>
        <v/>
      </c>
      <c r="P1403">
        <f>IF(B1436=0,0,O1403/B1436)</f>
        <v/>
      </c>
      <c r="Q1403" t="n">
        <v>0</v>
      </c>
      <c r="R1403" t="n">
        <v>0</v>
      </c>
      <c r="S1403">
        <f>IFERROR(O1403/N1403,0)</f>
        <v/>
      </c>
      <c r="T1403">
        <f>IF(C1403,(Skills!G2*N1403*B1430)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1403*(1-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3">
        <f>MAX(0,(Inputs!$B$3-100)*3)+Inputs!$B$28+Inputs!$B$29</f>
        <v/>
      </c>
      <c r="V1403">
        <f>IF(C1403,(Skills!G2*N1403*B1430)*IF(Inputs!$B$38="pvp",1,(1+(Inputs!$B$21+Skills!Q2+(IF(ArtifactsInput!$M$33,CHOOSE(ArtifactsInput!$N$33+1,30,36,42,48,54,60),0))+(IF(AND(ArtifactsInput!$M$35,Inputs!$B$4&lt;&gt;"Chapter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Skills!A3</f>
        <v/>
      </c>
      <c r="B1404">
        <f>Skills!B3</f>
        <v/>
      </c>
      <c r="C1404">
        <f>Inputs!$B$3&gt;=35</f>
        <v/>
      </c>
      <c r="D1404">
        <f>IF(Skills!C3=1,60+Inputs!$B$25+Inputs!$B$29,IF(Skills!C3=2,90+Inputs!$B$26+Inputs!$B$29,IF(Skills!C3=3,120+Inputs!$B$27+Inputs!$B$29,MAX(0,(Inputs!$B$3-100)*3)+Inputs!$B$28+Inputs!$B$29)))</f>
        <v/>
      </c>
      <c r="E1404">
        <f>INDEX(FactorTable!$B$2:$Y$301, MATCH(ROUND(MIN(300,MAX(1,D1404)),0), FactorTable!$A$2:$A$301,0), Skills!M3+1)</f>
        <v/>
      </c>
      <c r="F1404">
        <f>IF(Skills!N3=TRUE,(Skills!L3/10)*(E1404/1000),Skills!L3/10)+Skills!O3</f>
        <v/>
      </c>
      <c r="G1404">
        <f>Skills!G3*IF(Skills!H3&gt;0,Skills!I3/Skills!H3,1)</f>
        <v/>
      </c>
      <c r="H1404">
        <f>1-(1-Skills!J3/100)^Skills!K3</f>
        <v/>
      </c>
      <c r="I1404" t="inlineStr">
        <is>
          <t>1</t>
        </is>
      </c>
      <c r="J1404">
        <f>((Inputs!$B$6*(1+Inputs!$B$7/100))+(((Inputs!$B$12*(1+Inputs!$B$13/100))-(Inputs!$B$12*(1+Inputs!$B$13/100)))+0.25*(Inputs!$B$14-Inputs!$B$14))*(1+Inputs!$B$7/100))*(F1404/100)</f>
        <v/>
      </c>
      <c r="K1404">
        <f>J1404*(1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04">
        <f>L1404*(1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4">
        <f>L1404*(1-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4">
        <f>(1-Summary!$B$11)*T1404+Summary!$B$11*V1404</f>
        <v/>
      </c>
      <c r="P1404">
        <f>IF(B1436=0,0,O1404/B1436)</f>
        <v/>
      </c>
      <c r="Q1404" t="n">
        <v>0</v>
      </c>
      <c r="R1404" t="n">
        <v>0</v>
      </c>
      <c r="S1404">
        <f>IFERROR(O1404/N1404,0)</f>
        <v/>
      </c>
      <c r="T1404">
        <f>IF(C1404,(Skills!G3*H1404*N1404*B1430)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1404*(1-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4">
        <f>INDEX(FactorTable!$B$2:$Y$301, MATCH(ROUND(MIN(300,MAX(1,U1403)),0), FactorTable!$A$2:$A$301,0), 22)</f>
        <v/>
      </c>
      <c r="V1404">
        <f>IF(C1404,(Skills!G3*H1404*N1404*B1430)*IF(Inputs!$B$38="pvp",1,(1+(Inputs!$B$21+Skills!Q3+(IF(ArtifactsInput!$M$33,CHOOSE(ArtifactsInput!$N$33+1,30,36,42,48,54,60),0))+(IF(AND(ArtifactsInput!$M$35,Inputs!$B$4&lt;&gt;"Chapter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Skills!A4</f>
        <v/>
      </c>
      <c r="B1405">
        <f>Skills!B4</f>
        <v/>
      </c>
      <c r="C1405">
        <f>Inputs!$B$3&gt;=60</f>
        <v/>
      </c>
      <c r="D1405">
        <f>IF(Skills!C4=1,60+Inputs!$B$25+Inputs!$B$29,IF(Skills!C4=2,90+Inputs!$B$26+Inputs!$B$29,IF(Skills!C4=3,120+Inputs!$B$27+Inputs!$B$29,MAX(0,(Inputs!$B$3-100)*3)+Inputs!$B$28+Inputs!$B$29)))</f>
        <v/>
      </c>
      <c r="E1405">
        <f>INDEX(FactorTable!$B$2:$Y$301, MATCH(ROUND(MIN(300,MAX(1,D1405)),0), FactorTable!$A$2:$A$301,0), Skills!M4+1)</f>
        <v/>
      </c>
      <c r="F1405">
        <f>IF(Skills!N4=TRUE,(Skills!L4/10)*(E1405/1000),Skills!L4/10)+Skills!O4</f>
        <v/>
      </c>
      <c r="G1405">
        <f>Skills!G4*IF(Skills!H4&gt;0,Skills!I4/Skills!H4,1)</f>
        <v/>
      </c>
      <c r="H1405">
        <f>1-(1-Skills!J4/100)^Skills!K4</f>
        <v/>
      </c>
      <c r="I1405" t="inlineStr">
        <is>
          <t>1</t>
        </is>
      </c>
      <c r="J1405">
        <f>((Inputs!$B$6*(1+Inputs!$B$7/100))+(((Inputs!$B$12*(1+Inputs!$B$13/100))-(Inputs!$B$12*(1+Inputs!$B$13/100)))+0.25*(Inputs!$B$14-Inputs!$B$14))*(1+Inputs!$B$7/100))*(F1405/100)</f>
        <v/>
      </c>
      <c r="K1405">
        <f>J1405*(1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1413=TRUE,F1413,0)/100)*(1+(IF(Skills!A4="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05">
        <f>L1405*(1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5">
        <f>L1405*(1-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5">
        <f>(1-Summary!$B$11)*T1405+Summary!$B$11*V1405</f>
        <v/>
      </c>
      <c r="P1405">
        <f>IF(B1436=0,0,O1405/B1436)</f>
        <v/>
      </c>
      <c r="Q1405" t="n">
        <v>0</v>
      </c>
      <c r="R1405" t="n">
        <v>0</v>
      </c>
      <c r="S1405">
        <f>IFERROR(O1405/N1405,0)</f>
        <v/>
      </c>
      <c r="T1405">
        <f>IF(C1405,(Skills!G4*H1405*N1405*B1430)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1405*(1-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5">
        <f>290*U1404/1000</f>
        <v/>
      </c>
      <c r="V1405">
        <f>IF(C1405,(Skills!G4*H1405*N1405*B1430)*IF(Inputs!$B$38="pvp",1,(1+(Inputs!$B$21+Skills!Q4+(IF(ArtifactsInput!$M$33,CHOOSE(ArtifactsInput!$N$33+1,30,36,42,48,54,60),0))+(IF(AND(ArtifactsInput!$M$35,Inputs!$B$4&lt;&gt;"Chapter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Skills!A5</f>
        <v/>
      </c>
      <c r="B1406">
        <f>Skills!B5</f>
        <v/>
      </c>
      <c r="C1406">
        <f>Inputs!$B$3&gt;=60</f>
        <v/>
      </c>
      <c r="D1406">
        <f>IF(Skills!C5=1,60+Inputs!$B$25+Inputs!$B$29,IF(Skills!C5=2,90+Inputs!$B$26+Inputs!$B$29,IF(Skills!C5=3,120+Inputs!$B$27+Inputs!$B$29,MAX(0,(Inputs!$B$3-100)*3)+Inputs!$B$28+Inputs!$B$29)))</f>
        <v/>
      </c>
      <c r="E1406">
        <f>INDEX(FactorTable!$B$2:$Y$301, MATCH(ROUND(MIN(300,MAX(1,D1406)),0), FactorTable!$A$2:$A$301,0), Skills!M5+1)</f>
        <v/>
      </c>
      <c r="F1406">
        <f>IF(Skills!N5=TRUE,(Skills!L5/10)*(E1406/1000),Skills!L5/10)+Skills!O5</f>
        <v/>
      </c>
      <c r="G1406">
        <f>Skills!G5*IF(Skills!H5&gt;0,Skills!I5/Skills!H5,1)</f>
        <v/>
      </c>
      <c r="H1406">
        <f>1-(1-Skills!J5/100)^Skills!K5</f>
        <v/>
      </c>
      <c r="I1406" t="inlineStr">
        <is>
          <t>1</t>
        </is>
      </c>
      <c r="J1406" t="inlineStr"/>
      <c r="K1406" t="inlineStr"/>
      <c r="L1406" t="inlineStr"/>
      <c r="M1406" t="inlineStr"/>
      <c r="N1406" t="inlineStr"/>
      <c r="O1406">
        <f>(1-Summary!$B$11)*T1406+Summary!$B$11*V1406</f>
        <v/>
      </c>
      <c r="P1406">
        <f>IF(B1436=0,0,O1406/B1436)</f>
        <v/>
      </c>
      <c r="Q1406" t="n">
        <v>0</v>
      </c>
      <c r="R1406" t="n">
        <v>0</v>
      </c>
      <c r="S1406">
        <f>IFERROR(O1406/N1406,0)</f>
        <v/>
      </c>
      <c r="T1406" t="n">
        <v>0</v>
      </c>
      <c r="V1406" t="n">
        <v>0</v>
      </c>
    </row>
    <row r="1407">
      <c r="A1407">
        <f>Skills!A6</f>
        <v/>
      </c>
      <c r="B1407">
        <f>Skills!B6</f>
        <v/>
      </c>
      <c r="C1407">
        <f>Inputs!$B$3&gt;=63</f>
        <v/>
      </c>
      <c r="D1407">
        <f>IF(Skills!C6=1,60+Inputs!$B$25+Inputs!$B$29,IF(Skills!C6=2,90+Inputs!$B$26+Inputs!$B$29,IF(Skills!C6=3,120+Inputs!$B$27+Inputs!$B$29,MAX(0,(Inputs!$B$3-100)*3)+Inputs!$B$28+Inputs!$B$29)))</f>
        <v/>
      </c>
      <c r="E1407">
        <f>INDEX(FactorTable!$B$2:$Y$301, MATCH(ROUND(MIN(300,MAX(1,D1407)),0), FactorTable!$A$2:$A$301,0), Skills!M6+1)</f>
        <v/>
      </c>
      <c r="F1407">
        <f>IF(Skills!N6=TRUE,(Skills!L6/10)*(E1407/1000),Skills!L6/10)+Skills!O6</f>
        <v/>
      </c>
      <c r="G1407">
        <f>Skills!G6*IF(Skills!H6&gt;0,Skills!I6/Skills!H6,1)</f>
        <v/>
      </c>
      <c r="H1407">
        <f>1-(1-Skills!J6/100)^Skills!K6</f>
        <v/>
      </c>
      <c r="I1407" t="inlineStr">
        <is>
          <t>1</t>
        </is>
      </c>
      <c r="J1407">
        <f>((Inputs!$B$6*(1+Inputs!$B$7/100))+(((Inputs!$B$12*(1+Inputs!$B$13/100))-(Inputs!$B$12*(1+Inputs!$B$13/100)))+0.25*(Inputs!$B$14-Inputs!$B$14))*(1+Inputs!$B$7/100))*(F1407/100)</f>
        <v/>
      </c>
      <c r="K1407">
        <f>J1407*(1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1407)</f>
        <v/>
      </c>
      <c r="L1407">
        <f>K1407*(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07">
        <f>L1407*(1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7">
        <f>L1407*(1-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1407*(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7">
        <f>(1-Summary!$B$11)*T1407+Summary!$B$11*V1407</f>
        <v/>
      </c>
      <c r="P1407">
        <f>IF(B1436=0,0,O1407/B1436)</f>
        <v/>
      </c>
      <c r="Q1407">
        <f>IFERROR(1/(IF(Inputs!$B$38="pvp",15,MAX(0.1,Skills!D6-IF(Skills!E6=TRUE,Inputs!$B$32,0)))*(1-IF(AND(ArtifactsInput!$M$27,Inputs!$B$4="Chapter Hunt"),CHOOSE(ArtifactsInput!$N$27+1,20,24,28,32,36,40),0)/100)),0)</f>
        <v/>
      </c>
      <c r="R1407">
        <f>IF(AND(Inputs!$B$38&lt;&gt;"pvp",Inputs!$B$43&gt;0),IF(MAX(0,Inputs!$B$43-B1433)&lt;=0,0,(INT(MAX(0,Inputs!$B$43-B1433)/(IF(Inputs!$B$38="pvp",15,MAX(0.1,Skills!D6-IF(Skills!E6=TRUE,Inputs!$B$32,0)))*(1-IF(AND(ArtifactsInput!$M$27,Inputs!$B$4="Chapter Hunt"),CHOOSE(ArtifactsInput!$N$27+1,20,24,28,32,36,40),0)/100)))+1)),0)</f>
        <v/>
      </c>
      <c r="S1407">
        <f>IFERROR(O1407/N1407,0)</f>
        <v/>
      </c>
      <c r="T1407">
        <f>IF(C1407,(H1407*N1407*IF(AND(Inputs!$B$38&lt;&gt;"pvp",Inputs!$B$43&gt;0),((Skills!G6*((R1407-1)*IF(Skills!H6&gt;0,Skills!I6/Skills!H6,1)+IF(Skills!H6&gt;0,MIN(Skills!I6,MAX(0,MAX(0,Inputs!$B$43-B1433)-((R1407-1)*(IF(Inputs!$B$38="pvp",15,MAX(0.1,Skills!D6-IF(Skills!E6=TRUE,Inputs!$B$32,0)))*(1-IF(AND(ArtifactsInput!$M$27,Inputs!$B$4="Chapter Hunt"),CHOOSE(ArtifactsInput!$N$27+1,20,24,28,32,36,40),0)/100)))))/Skills!H6,1)))/Inputs!$B$43),G1407*Q1407)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1407*(1-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1407*(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1407*(1-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1407*(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7">
        <f>IF(C1407,(H1407*N1407*IF(AND(Inputs!$B$38&lt;&gt;"pvp",Inputs!$B$43&gt;0),((Skills!G6*((R1407-1)*IF(Skills!H6&gt;0,Skills!I6/Skills!H6,1)+IF(Skills!H6&gt;0,MIN(Skills!I6,MAX(0,MAX(0,Inputs!$B$43-B1433)-((R1407-1)*(IF(Inputs!$B$38="pvp",15,MAX(0.1,Skills!D6-IF(Skills!E6=TRUE,Inputs!$B$32,0)))*(1-IF(AND(ArtifactsInput!$M$27,Inputs!$B$4="Chapter Hunt"),CHOOSE(ArtifactsInput!$N$27+1,20,24,28,32,36,40),0)/100)))))/Skills!H6,1)))/Inputs!$B$43),G1407*Q1407))*IF(Inputs!$B$38="pvp",1,(1+(Inputs!$B$21+Skills!Q6+(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8">
      <c r="A1408">
        <f>Skills!A7</f>
        <v/>
      </c>
      <c r="B1408">
        <f>Skills!B7</f>
        <v/>
      </c>
      <c r="C1408">
        <f>Inputs!$B$3&gt;=100</f>
        <v/>
      </c>
      <c r="D1408">
        <f>IF(Skills!C7=1,60+Inputs!$B$25+Inputs!$B$29,IF(Skills!C7=2,90+Inputs!$B$26+Inputs!$B$29,IF(Skills!C7=3,120+Inputs!$B$27+Inputs!$B$29,MAX(0,(Inputs!$B$3-100)*3)+Inputs!$B$28+Inputs!$B$29)))</f>
        <v/>
      </c>
      <c r="E1408">
        <f>INDEX(FactorTable!$B$2:$Y$301, MATCH(ROUND(MIN(300,MAX(1,D1408)),0), FactorTable!$A$2:$A$301,0), Skills!M7+1)</f>
        <v/>
      </c>
      <c r="F1408">
        <f>IF(Skills!N7=TRUE,(Skills!L7/10)*(E1408/1000),Skills!L7/10)+Skills!O7</f>
        <v/>
      </c>
      <c r="G1408">
        <f>Skills!G7*IF(Skills!H7&gt;0,Skills!I7/Skills!H7,1)</f>
        <v/>
      </c>
      <c r="H1408">
        <f>1-(1-Skills!J7/100)^Skills!K7</f>
        <v/>
      </c>
      <c r="I1408" t="inlineStr">
        <is>
          <t>1</t>
        </is>
      </c>
      <c r="J1408">
        <f>((Inputs!$B$6*(1+Inputs!$B$7/100))+(((Inputs!$B$12*(1+Inputs!$B$13/100))-(Inputs!$B$12*(1+Inputs!$B$13/100)))+0.25*(Inputs!$B$14-Inputs!$B$14))*(1+Inputs!$B$7/100))*(F1408/100)</f>
        <v/>
      </c>
      <c r="K1408">
        <f>J1408*(1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1408)</f>
        <v/>
      </c>
      <c r="L1408">
        <f>K1408*(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08">
        <f>L1408*(1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8">
        <f>L1408*(1-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1408*(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8">
        <f>(1-Summary!$B$11)*T1408+Summary!$B$11*V1408</f>
        <v/>
      </c>
      <c r="P1408">
        <f>IF(B1436=0,0,O1408/B1436)</f>
        <v/>
      </c>
      <c r="Q1408">
        <f>IFERROR(1/(IF(Inputs!$B$38="pvp",15,MAX(0.1,Skills!D7-IF(Skills!E7=TRUE,Inputs!$B$32,0)))*(1-IF(AND(ArtifactsInput!$M$27,Inputs!$B$4="Chapter Hunt"),CHOOSE(ArtifactsInput!$N$27+1,20,24,28,32,36,40),0)/100)),0)</f>
        <v/>
      </c>
      <c r="R1408">
        <f>IF(AND(Inputs!$B$38&lt;&gt;"pvp",Inputs!$B$43&gt;0),IF(MAX(0,Inputs!$B$43-B1433)&lt;=0,0,(INT(MAX(0,Inputs!$B$43-B1433)/(IF(Inputs!$B$38="pvp",15,MAX(0.1,Skills!D7-IF(Skills!E7=TRUE,Inputs!$B$32,0)))*(1-IF(AND(ArtifactsInput!$M$27,Inputs!$B$4="Chapter Hunt"),CHOOSE(ArtifactsInput!$N$27+1,20,24,28,32,36,40),0)/100)))+1)),0)</f>
        <v/>
      </c>
      <c r="S1408">
        <f>IFERROR(O1408/N1408,0)</f>
        <v/>
      </c>
      <c r="T1408">
        <f>IF(C1408,(H1408*N1408*IF(AND(Inputs!$B$38&lt;&gt;"pvp",Inputs!$B$43&gt;0),((Skills!G7*((R1408-1)*IF(Skills!H7&gt;0,Skills!I7/Skills!H7,1)+IF(Skills!H7&gt;0,MIN(Skills!I7,MAX(0,MAX(0,Inputs!$B$43-B1433)-((R1408-1)*(IF(Inputs!$B$38="pvp",15,MAX(0.1,Skills!D7-IF(Skills!E7=TRUE,Inputs!$B$32,0)))*(1-IF(AND(ArtifactsInput!$M$27,Inputs!$B$4="Chapter Hunt"),CHOOSE(ArtifactsInput!$N$27+1,20,24,28,32,36,40),0)/100)))))/Skills!H7,1)))/Inputs!$B$43),G1408*Q1408)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1408*(1-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1408*(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1408*(1-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1408*(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8">
        <f>IF(C1408,(H1408*N1408*IF(AND(Inputs!$B$38&lt;&gt;"pvp",Inputs!$B$43&gt;0),((Skills!G7*((R1408-1)*IF(Skills!H7&gt;0,Skills!I7/Skills!H7,1)+IF(Skills!H7&gt;0,MIN(Skills!I7,MAX(0,MAX(0,Inputs!$B$43-B1433)-((R1408-1)*(IF(Inputs!$B$38="pvp",15,MAX(0.1,Skills!D7-IF(Skills!E7=TRUE,Inputs!$B$32,0)))*(1-IF(AND(ArtifactsInput!$M$27,Inputs!$B$4="Chapter Hunt"),CHOOSE(ArtifactsInput!$N$27+1,20,24,28,32,36,40),0)/100)))))/Skills!H7,1)))/Inputs!$B$43),G1408*Q1408))*IF(Inputs!$B$38="pvp",1,(1+(Inputs!$B$21+Skills!Q7+(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9">
      <c r="A1409">
        <f>Skills!A8</f>
        <v/>
      </c>
      <c r="B1409">
        <f>Skills!B8</f>
        <v/>
      </c>
      <c r="C1409">
        <f>Inputs!$B$3&gt;=110</f>
        <v/>
      </c>
      <c r="D1409">
        <f>IF(Skills!C8=1,60+Inputs!$B$25+Inputs!$B$29,IF(Skills!C8=2,90+Inputs!$B$26+Inputs!$B$29,IF(Skills!C8=3,120+Inputs!$B$27+Inputs!$B$29,MAX(0,(Inputs!$B$3-100)*3)+Inputs!$B$28+Inputs!$B$29)))</f>
        <v/>
      </c>
      <c r="E1409">
        <f>INDEX(FactorTable!$B$2:$Y$301, MATCH(ROUND(MIN(300,MAX(1,D1409)),0), FactorTable!$A$2:$A$301,0), Skills!M8+1)</f>
        <v/>
      </c>
      <c r="F1409">
        <f>IF(Skills!N8=TRUE,(Skills!L8/10)*(E1409/1000),Skills!L8/10)+Skills!O8</f>
        <v/>
      </c>
      <c r="G1409">
        <f>Skills!G8*IF(Skills!H8&gt;0,Skills!I8/Skills!H8,1)</f>
        <v/>
      </c>
      <c r="H1409">
        <f>1-(1-Skills!J8/100)^Skills!K8</f>
        <v/>
      </c>
      <c r="I1409" t="inlineStr">
        <is>
          <t>1</t>
        </is>
      </c>
      <c r="J1409">
        <f>((Inputs!$B$6*(1+Inputs!$B$7/100))+(((Inputs!$B$12*(1+Inputs!$B$13/100))-(Inputs!$B$12*(1+Inputs!$B$13/100)))+0.25*(Inputs!$B$14-Inputs!$B$14))*(1+Inputs!$B$7/100))*(F1409/100)</f>
        <v/>
      </c>
      <c r="K1409">
        <f>J1409*(1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1409)</f>
        <v/>
      </c>
      <c r="L1409">
        <f>K1409*(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09">
        <f>L1409*(1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9">
        <f>L1409*(1-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1409*(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9">
        <f>(1-Summary!$B$11)*T1409+Summary!$B$11*V1409</f>
        <v/>
      </c>
      <c r="P1409">
        <f>IF(B1436=0,0,O1409/B1436)</f>
        <v/>
      </c>
      <c r="Q1409">
        <f>IFERROR(1/(IF(Inputs!$B$38="pvp",15,MAX(0.1,Skills!D8-IF(Skills!E8=TRUE,Inputs!$B$32,0)))*(1-IF(AND(ArtifactsInput!$M$27,Inputs!$B$4="Chapter Hunt"),CHOOSE(ArtifactsInput!$N$27+1,20,24,28,32,36,40),0)/100)),0)</f>
        <v/>
      </c>
      <c r="R1409">
        <f>IF(AND(Inputs!$B$38&lt;&gt;"pvp",Inputs!$B$43&gt;0),IF(MAX(0,Inputs!$B$43-B1433)&lt;=0,0,(INT(MAX(0,Inputs!$B$43-B1433)/(IF(Inputs!$B$38="pvp",15,MAX(0.1,Skills!D8-IF(Skills!E8=TRUE,Inputs!$B$32,0)))*(1-IF(AND(ArtifactsInput!$M$27,Inputs!$B$4="Chapter Hunt"),CHOOSE(ArtifactsInput!$N$27+1,20,24,28,32,36,40),0)/100)))+1)),0)</f>
        <v/>
      </c>
      <c r="S1409">
        <f>IFERROR(O1409/N1409,0)</f>
        <v/>
      </c>
      <c r="T1409">
        <f>IF(C1409,(H1409*N1409*IF(AND(Inputs!$B$38&lt;&gt;"pvp",Inputs!$B$43&gt;0),((Skills!G8*((R1409-1)*IF(Skills!H8&gt;0,Skills!I8/Skills!H8,1)+IF(Skills!H8&gt;0,MIN(Skills!I8,MAX(0,MAX(0,Inputs!$B$43-B1433)-((R1409-1)*(IF(Inputs!$B$38="pvp",15,MAX(0.1,Skills!D8-IF(Skills!E8=TRUE,Inputs!$B$32,0)))*(1-IF(AND(ArtifactsInput!$M$27,Inputs!$B$4="Chapter Hunt"),CHOOSE(ArtifactsInput!$N$27+1,20,24,28,32,36,40),0)/100)))))/Skills!H8,1)))/Inputs!$B$43),G1409*Q1409)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1409*(1-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1409*(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1409*(1-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1409*(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9">
        <f>IF(C1409,(H1409*N1409*IF(AND(Inputs!$B$38&lt;&gt;"pvp",Inputs!$B$43&gt;0),((Skills!G8*((R1409-1)*IF(Skills!H8&gt;0,Skills!I8/Skills!H8,1)+IF(Skills!H8&gt;0,MIN(Skills!I8,MAX(0,MAX(0,Inputs!$B$43-B1433)-((R1409-1)*(IF(Inputs!$B$38="pvp",15,MAX(0.1,Skills!D8-IF(Skills!E8=TRUE,Inputs!$B$32,0)))*(1-IF(AND(ArtifactsInput!$M$27,Inputs!$B$4="Chapter Hunt"),CHOOSE(ArtifactsInput!$N$27+1,20,24,28,32,36,40),0)/100)))))/Skills!H8,1)))/Inputs!$B$43),G1409*Q1409))*IF(Inputs!$B$38="pvp",1,(1+(Inputs!$B$21+Skills!Q8+(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0">
      <c r="A1410">
        <f>Skills!A9</f>
        <v/>
      </c>
      <c r="B1410">
        <f>Skills!B9</f>
        <v/>
      </c>
      <c r="C1410">
        <f>Inputs!$B$3&gt;=110</f>
        <v/>
      </c>
      <c r="D1410">
        <f>IF(Skills!C9=1,60+Inputs!$B$25+Inputs!$B$29,IF(Skills!C9=2,90+Inputs!$B$26+Inputs!$B$29,IF(Skills!C9=3,120+Inputs!$B$27+Inputs!$B$29,MAX(0,(Inputs!$B$3-100)*3)+Inputs!$B$28+Inputs!$B$29)))</f>
        <v/>
      </c>
      <c r="E1410">
        <f>INDEX(FactorTable!$B$2:$Y$301, MATCH(ROUND(MIN(300,MAX(1,D1410)),0), FactorTable!$A$2:$A$301,0), Skills!M9+1)</f>
        <v/>
      </c>
      <c r="F1410">
        <f>IF(Skills!N9=TRUE,(Skills!L9/10)*(E1410/1000),Skills!L9/10)+Skills!O9</f>
        <v/>
      </c>
      <c r="G1410">
        <f>Skills!G9*IF(Skills!H9&gt;0,Skills!I9/Skills!H9,1)</f>
        <v/>
      </c>
      <c r="H1410">
        <f>1-(1-Skills!J9/100)^Skills!K9</f>
        <v/>
      </c>
      <c r="I1410" t="inlineStr">
        <is>
          <t>1</t>
        </is>
      </c>
      <c r="J1410">
        <f>((Inputs!$B$6*(1+Inputs!$B$7/100))+(((Inputs!$B$12*(1+Inputs!$B$13/100))-(Inputs!$B$12*(1+Inputs!$B$13/100)))+0.25*(Inputs!$B$14-Inputs!$B$14))*(1+Inputs!$B$7/100))*(F1410/100)</f>
        <v/>
      </c>
      <c r="K1410">
        <f>J1410*(1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1410)</f>
        <v/>
      </c>
      <c r="L1410">
        <f>K1410*(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10">
        <f>L1410*(1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0">
        <f>L1410*(1-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1410*(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0">
        <f>(1-Summary!$B$11)*T1410+Summary!$B$11*V1410</f>
        <v/>
      </c>
      <c r="P1410">
        <f>IF(B1436=0,0,O1410/B1436)</f>
        <v/>
      </c>
      <c r="Q1410">
        <f>IFERROR(1/(IF(Inputs!$B$38="pvp",15,MAX(0.1,Skills!D9-IF(Skills!E9=TRUE,Inputs!$B$32,0)))*(1-IF(AND(ArtifactsInput!$M$27,Inputs!$B$4="Chapter Hunt"),CHOOSE(ArtifactsInput!$N$27+1,20,24,28,32,36,40),0)/100)),0)</f>
        <v/>
      </c>
      <c r="R1410">
        <f>IF(AND(Inputs!$B$38&lt;&gt;"pvp",Inputs!$B$43&gt;0),IF(MAX(0,Inputs!$B$43-B1433)&lt;=0,0,(INT(MAX(0,Inputs!$B$43-B1433)/(IF(Inputs!$B$38="pvp",15,MAX(0.1,Skills!D9-IF(Skills!E9=TRUE,Inputs!$B$32,0)))*(1-IF(AND(ArtifactsInput!$M$27,Inputs!$B$4="Chapter Hunt"),CHOOSE(ArtifactsInput!$N$27+1,20,24,28,32,36,40),0)/100)))+1)),0)</f>
        <v/>
      </c>
      <c r="S1410">
        <f>IFERROR(O1410/N1410,0)</f>
        <v/>
      </c>
      <c r="T1410">
        <f>IF(C1410,(H1410*N1410*IF(AND(Inputs!$B$38&lt;&gt;"pvp",Inputs!$B$43&gt;0),((Skills!G9*((R1410-1)*IF(Skills!H9&gt;0,Skills!I9/Skills!H9,1)+IF(Skills!H9&gt;0,MIN(Skills!I9,MAX(0,MAX(0,Inputs!$B$43-B1433)-((R1410-1)*(IF(Inputs!$B$38="pvp",15,MAX(0.1,Skills!D9-IF(Skills!E9=TRUE,Inputs!$B$32,0)))*(1-IF(AND(ArtifactsInput!$M$27,Inputs!$B$4="Chapter Hunt"),CHOOSE(ArtifactsInput!$N$27+1,20,24,28,32,36,40),0)/100)))))/Skills!H9,1)))/Inputs!$B$43),G1410*Q1410)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1410*(1-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1410*(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1410*(1-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1410*(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0">
        <f>IF(C1410,(H1410*N1410*IF(AND(Inputs!$B$38&lt;&gt;"pvp",Inputs!$B$43&gt;0),((Skills!G9*((R1410-1)*IF(Skills!H9&gt;0,Skills!I9/Skills!H9,1)+IF(Skills!H9&gt;0,MIN(Skills!I9,MAX(0,MAX(0,Inputs!$B$43-B1433)-((R1410-1)*(IF(Inputs!$B$38="pvp",15,MAX(0.1,Skills!D9-IF(Skills!E9=TRUE,Inputs!$B$32,0)))*(1-IF(AND(ArtifactsInput!$M$27,Inputs!$B$4="Chapter Hunt"),CHOOSE(ArtifactsInput!$N$27+1,20,24,28,32,36,40),0)/100)))))/Skills!H9,1)))/Inputs!$B$43),G1410*Q1410))*IF(Inputs!$B$38="pvp",1,(1+(Inputs!$B$21+Skills!Q9+(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1">
      <c r="A1411">
        <f>Skills!A10</f>
        <v/>
      </c>
      <c r="B1411">
        <f>Skills!B10</f>
        <v/>
      </c>
      <c r="C1411">
        <f>Inputs!$B$3&gt;=103</f>
        <v/>
      </c>
      <c r="D1411">
        <f>IF(Skills!C10=1,60+Inputs!$B$25+Inputs!$B$29,IF(Skills!C10=2,90+Inputs!$B$26+Inputs!$B$29,IF(Skills!C10=3,120+Inputs!$B$27+Inputs!$B$29,MAX(0,(Inputs!$B$3-100)*3)+Inputs!$B$28+Inputs!$B$29)))</f>
        <v/>
      </c>
      <c r="E1411">
        <f>INDEX(FactorTable!$B$2:$Y$301, MATCH(ROUND(MIN(300,MAX(1,D1411)),0), FactorTable!$A$2:$A$301,0), Skills!M10+1)</f>
        <v/>
      </c>
      <c r="F1411">
        <f>IF(Skills!N10=TRUE,(Skills!L10/10)*(E1411/1000),Skills!L10/10)+Skills!O10</f>
        <v/>
      </c>
      <c r="G1411">
        <f>Skills!G10*IF(Skills!H10&gt;0,Skills!I10/Skills!H10,1)</f>
        <v/>
      </c>
      <c r="H1411">
        <f>1-(1-Skills!J10/100)^Skills!K10</f>
        <v/>
      </c>
      <c r="I1411" t="inlineStr">
        <is>
          <t>1</t>
        </is>
      </c>
      <c r="J1411">
        <f>((Inputs!$B$6*(1+Inputs!$B$7/100))+(((Inputs!$B$12*(1+Inputs!$B$13/100))-(Inputs!$B$12*(1+Inputs!$B$13/100)))+0.25*(Inputs!$B$14-Inputs!$B$14))*(1+Inputs!$B$7/100))*(F1411/100)</f>
        <v/>
      </c>
      <c r="K1411">
        <f>J1411*(1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1411)</f>
        <v/>
      </c>
      <c r="L1411">
        <f>K1411*(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11">
        <f>L1411*(1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1">
        <f>L1411*(1-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1">
        <f>(1-Summary!$B$11)*T1411+Summary!$B$11*V1411</f>
        <v/>
      </c>
      <c r="P1411">
        <f>IF(B1436=0,0,O1411/B1436)</f>
        <v/>
      </c>
      <c r="Q1411">
        <f>IFERROR(1/(IF(Inputs!$B$38="pvp",15,MAX(0.1,Skills!D10-IF(Skills!E10=TRUE,Inputs!$B$32,0)))*(1-IF(AND(ArtifactsInput!$M$27,Inputs!$B$4="Chapter Hunt"),CHOOSE(ArtifactsInput!$N$27+1,20,24,28,32,36,40),0)/100)),0)</f>
        <v/>
      </c>
      <c r="R1411">
        <f>IF(AND(Inputs!$B$38&lt;&gt;"pvp",Inputs!$B$43&gt;0),IF(MAX(0,Inputs!$B$43-B1433)&lt;=0,0,(INT(MAX(0,Inputs!$B$43-B1433)/(IF(Inputs!$B$38="pvp",15,MAX(0.1,Skills!D10-IF(Skills!E10=TRUE,Inputs!$B$32,0)))*(1-IF(AND(ArtifactsInput!$M$27,Inputs!$B$4="Chapter Hunt"),CHOOSE(ArtifactsInput!$N$27+1,20,24,28,32,36,40),0)/100)))+1)),0)</f>
        <v/>
      </c>
      <c r="S1411">
        <f>IFERROR(O1411/N1411,0)</f>
        <v/>
      </c>
      <c r="T1411">
        <f>IF(C1411,(H1411*N1411*IF(AND(Inputs!$B$38&lt;&gt;"pvp",Inputs!$B$43&gt;0),((Skills!G10*((R1411-1)*IF(Skills!H10&gt;0,Skills!I10/Skills!H10,1)+IF(Skills!H10&gt;0,MIN(Skills!I10,MAX(0,MAX(0,Inputs!$B$43-B1433)-((R1411-1)*(IF(Inputs!$B$38="pvp",15,MAX(0.1,Skills!D10-IF(Skills!E10=TRUE,Inputs!$B$32,0)))*(1-IF(AND(ArtifactsInput!$M$27,Inputs!$B$4="Chapter Hunt"),CHOOSE(ArtifactsInput!$N$27+1,20,24,28,32,36,40),0)/100)))))/Skills!H10,1)))/Inputs!$B$43),G1411*Q1411)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1411*(1-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1411*(1-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1">
        <f>IF(C1411,(H1411*N1411*IF(AND(Inputs!$B$38&lt;&gt;"pvp",Inputs!$B$43&gt;0),((Skills!G10*((R1411-1)*IF(Skills!H10&gt;0,Skills!I10/Skills!H10,1)+IF(Skills!H10&gt;0,MIN(Skills!I10,MAX(0,MAX(0,Inputs!$B$43-B1433)-((R1411-1)*(IF(Inputs!$B$38="pvp",15,MAX(0.1,Skills!D10-IF(Skills!E10=TRUE,Inputs!$B$32,0)))*(1-IF(AND(ArtifactsInput!$M$27,Inputs!$B$4="Chapter Hunt"),CHOOSE(ArtifactsInput!$N$27+1,20,24,28,32,36,40),0)/100)))))/Skills!H10,1)))/Inputs!$B$43),G1411*Q1411))*IF(Inputs!$B$38="pvp",1,(1+(Inputs!$B$21+Skills!Q10+(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2">
      <c r="A1412">
        <f>Skills!A11</f>
        <v/>
      </c>
      <c r="B1412">
        <f>Skills!B11</f>
        <v/>
      </c>
      <c r="C1412">
        <f>Inputs!$B$3&gt;=113</f>
        <v/>
      </c>
      <c r="D1412">
        <f>IF(Skills!C11=1,60+Inputs!$B$25+Inputs!$B$29,IF(Skills!C11=2,90+Inputs!$B$26+Inputs!$B$29,IF(Skills!C11=3,120+Inputs!$B$27+Inputs!$B$29,MAX(0,(Inputs!$B$3-100)*3)+Inputs!$B$28+Inputs!$B$29)))</f>
        <v/>
      </c>
      <c r="E1412">
        <f>INDEX(FactorTable!$B$2:$Y$301, MATCH(ROUND(MIN(300,MAX(1,D1412)),0), FactorTable!$A$2:$A$301,0), Skills!M11+1)</f>
        <v/>
      </c>
      <c r="F1412">
        <f>IF(Skills!N11=TRUE,(Skills!L11/10)*(E1412/1000),Skills!L11/10)+Skills!O11</f>
        <v/>
      </c>
      <c r="G1412">
        <f>Skills!G11*IF(Skills!H11&gt;0,Skills!I11/Skills!H11,1)</f>
        <v/>
      </c>
      <c r="H1412">
        <f>1-(1-Skills!J11/100)^Skills!K11</f>
        <v/>
      </c>
      <c r="I1412" t="inlineStr">
        <is>
          <t>1</t>
        </is>
      </c>
      <c r="J1412">
        <f>((Inputs!$B$6*(1+Inputs!$B$7/100))+(((Inputs!$B$12*(1+Inputs!$B$13/100))-(Inputs!$B$12*(1+Inputs!$B$13/100)))+0.25*(Inputs!$B$14-Inputs!$B$14))*(1+Inputs!$B$7/100))*(F1412/100)</f>
        <v/>
      </c>
      <c r="K1412">
        <f>J1412*(1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1412)</f>
        <v/>
      </c>
      <c r="L1412">
        <f>K1412*(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12">
        <f>L1412*(1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2">
        <f>L1412*(1-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1412*(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2">
        <f>(1-Summary!$B$11)*T1412+Summary!$B$11*V1412</f>
        <v/>
      </c>
      <c r="P1412">
        <f>IF(B1436=0,0,O1412/B1436)</f>
        <v/>
      </c>
      <c r="Q1412">
        <f>IFERROR(1/(IF(Inputs!$B$38="pvp",15,MAX(0.1,Skills!D11-IF(Skills!E11=TRUE,Inputs!$B$32,0)))*(1-IF(AND(ArtifactsInput!$M$27,Inputs!$B$4="Chapter Hunt"),CHOOSE(ArtifactsInput!$N$27+1,20,24,28,32,36,40),0)/100)),0)</f>
        <v/>
      </c>
      <c r="R1412">
        <f>IF(AND(Inputs!$B$38&lt;&gt;"pvp",Inputs!$B$43&gt;0),IF(MAX(0,Inputs!$B$43-B1433)&lt;=0,0,(INT(MAX(0,Inputs!$B$43-B1433)/(IF(Inputs!$B$38="pvp",15,MAX(0.1,Skills!D11-IF(Skills!E11=TRUE,Inputs!$B$32,0)))*(1-IF(AND(ArtifactsInput!$M$27,Inputs!$B$4="Chapter Hunt"),CHOOSE(ArtifactsInput!$N$27+1,20,24,28,32,36,40),0)/100)))+1)),0)</f>
        <v/>
      </c>
      <c r="S1412">
        <f>IFERROR(O1412/N1412,0)</f>
        <v/>
      </c>
      <c r="T1412">
        <f>IF(C1412,(H1412*N1412*IF(AND(Inputs!$B$38&lt;&gt;"pvp",Inputs!$B$43&gt;0),((Skills!G11*((R1412-1)*IF(Skills!H11&gt;0,Skills!I11/Skills!H11,1)+IF(Skills!H11&gt;0,MIN(Skills!I11,MAX(0,MAX(0,Inputs!$B$43-B1433)-((R1412-1)*(IF(Inputs!$B$38="pvp",15,MAX(0.1,Skills!D11-IF(Skills!E11=TRUE,Inputs!$B$32,0)))*(1-IF(AND(ArtifactsInput!$M$27,Inputs!$B$4="Chapter Hunt"),CHOOSE(ArtifactsInput!$N$27+1,20,24,28,32,36,40),0)/100)))))/Skills!H11,1)))/Inputs!$B$43),G1412*Q1412)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1412*(1-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1412*(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1412*(1-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1412*(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2">
        <f>IF(C1412,(H1412*N1412*IF(AND(Inputs!$B$38&lt;&gt;"pvp",Inputs!$B$43&gt;0),((Skills!G11*((R1412-1)*IF(Skills!H11&gt;0,Skills!I11/Skills!H11,1)+IF(Skills!H11&gt;0,MIN(Skills!I11,MAX(0,MAX(0,Inputs!$B$43-B1433)-((R1412-1)*(IF(Inputs!$B$38="pvp",15,MAX(0.1,Skills!D11-IF(Skills!E11=TRUE,Inputs!$B$32,0)))*(1-IF(AND(ArtifactsInput!$M$27,Inputs!$B$4="Chapter Hunt"),CHOOSE(ArtifactsInput!$N$27+1,20,24,28,32,36,40),0)/100)))))/Skills!H11,1)))/Inputs!$B$43),G1412*Q1412))*IF(Inputs!$B$38="pvp",1,(1+(Inputs!$B$21+Skills!Q11+(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3">
      <c r="A1413">
        <f>Skills!A12</f>
        <v/>
      </c>
      <c r="B1413">
        <f>Skills!B12</f>
        <v/>
      </c>
      <c r="C1413">
        <f>Inputs!$B$3&gt;=100</f>
        <v/>
      </c>
      <c r="D1413">
        <f>IF(Skills!C12=1,60+Inputs!$B$25+Inputs!$B$29,IF(Skills!C12=2,90+Inputs!$B$26+Inputs!$B$29,IF(Skills!C12=3,120+Inputs!$B$27+Inputs!$B$29,MAX(0,(Inputs!$B$3-100)*3)+Inputs!$B$28+Inputs!$B$29)))</f>
        <v/>
      </c>
      <c r="E1413">
        <f>INDEX(FactorTable!$B$2:$Y$301, MATCH(ROUND(MIN(300,MAX(1,D1413)),0), FactorTable!$A$2:$A$301,0), Skills!M12+1)</f>
        <v/>
      </c>
      <c r="F1413">
        <f>IF(Skills!N12=TRUE,(Skills!L12/10)*(E1413/1000),Skills!L12/10)+Skills!O12</f>
        <v/>
      </c>
      <c r="G1413" t="inlineStr"/>
      <c r="H1413" t="inlineStr"/>
      <c r="I1413" t="inlineStr">
        <is>
          <t>1</t>
        </is>
      </c>
      <c r="J1413" t="inlineStr"/>
      <c r="K1413" t="inlineStr"/>
      <c r="L1413" t="inlineStr"/>
      <c r="M1413" t="inlineStr"/>
      <c r="N1413" t="inlineStr"/>
      <c r="O1413" t="inlineStr"/>
      <c r="P1413" t="inlineStr"/>
      <c r="Q1413" t="inlineStr"/>
      <c r="R1413" t="inlineStr"/>
      <c r="S1413" t="inlineStr"/>
      <c r="T1413" t="inlineStr"/>
      <c r="V1413" t="inlineStr"/>
    </row>
    <row r="1414">
      <c r="A1414">
        <f>Skills!A13</f>
        <v/>
      </c>
      <c r="B1414">
        <f>Skills!B13</f>
        <v/>
      </c>
      <c r="C1414">
        <f>Inputs!$B$3&gt;=66</f>
        <v/>
      </c>
      <c r="D1414">
        <f>IF(Skills!C13=1,60+Inputs!$B$25+Inputs!$B$29,IF(Skills!C13=2,90+Inputs!$B$26+Inputs!$B$29,IF(Skills!C13=3,120+Inputs!$B$27+Inputs!$B$29,MAX(0,(Inputs!$B$3-100)*3)+Inputs!$B$28+Inputs!$B$29)))</f>
        <v/>
      </c>
      <c r="E1414">
        <f>INDEX(FactorTable!$B$2:$Y$301, MATCH(ROUND(MIN(300,MAX(1,D1414)),0), FactorTable!$A$2:$A$301,0), Skills!M13+1)</f>
        <v/>
      </c>
      <c r="F1414">
        <f>IF(Skills!N13=TRUE,(Skills!L13/10)*(E1414/1000),Skills!L13/10)+Skills!O13</f>
        <v/>
      </c>
      <c r="G1414">
        <f>Skills!G13*IF(Skills!H13&gt;0,Skills!I13/Skills!H13,1)</f>
        <v/>
      </c>
      <c r="H1414">
        <f>1-(1-Skills!J13/100)^Skills!K13</f>
        <v/>
      </c>
      <c r="I1414" t="inlineStr">
        <is>
          <t>1</t>
        </is>
      </c>
      <c r="J1414" t="inlineStr"/>
      <c r="K1414" t="inlineStr"/>
      <c r="L1414" t="inlineStr"/>
      <c r="M1414" t="inlineStr"/>
      <c r="N1414" t="inlineStr"/>
      <c r="O1414">
        <f>(1-Summary!$B$11)*T1414+Summary!$B$11*V1414</f>
        <v/>
      </c>
      <c r="P1414">
        <f>IF(B1436=0,0,O1414/B1436)</f>
        <v/>
      </c>
      <c r="Q1414" t="n">
        <v>0</v>
      </c>
      <c r="R1414" t="n">
        <v>0</v>
      </c>
      <c r="S1414">
        <f>IFERROR(O1414/N1414,0)</f>
        <v/>
      </c>
      <c r="T1414" t="n">
        <v>0</v>
      </c>
      <c r="V1414" t="n">
        <v>0</v>
      </c>
    </row>
    <row r="1415">
      <c r="A1415">
        <f>Skills!A14</f>
        <v/>
      </c>
      <c r="B1415">
        <f>Skills!B14</f>
        <v/>
      </c>
      <c r="C1415">
        <f>Inputs!$B$3&gt;=107</f>
        <v/>
      </c>
      <c r="D1415">
        <f>IF(Skills!C14=1,60+Inputs!$B$25+Inputs!$B$29,IF(Skills!C14=2,90+Inputs!$B$26+Inputs!$B$29,IF(Skills!C14=3,120+Inputs!$B$27+Inputs!$B$29,MAX(0,(Inputs!$B$3-100)*3)+Inputs!$B$28+Inputs!$B$29)))</f>
        <v/>
      </c>
      <c r="E1415">
        <f>INDEX(FactorTable!$B$2:$Y$301, MATCH(ROUND(MIN(300,MAX(1,D1415)),0), FactorTable!$A$2:$A$301,0), Skills!M14+1)</f>
        <v/>
      </c>
      <c r="F1415">
        <f>IF(Skills!N14=TRUE,(Skills!L14/10)*(E1415/1000),Skills!L14/10)+Skills!O14</f>
        <v/>
      </c>
      <c r="G1415">
        <f>Skills!G14*IF(Skills!H14&gt;0,Skills!I14/Skills!H14,1)</f>
        <v/>
      </c>
      <c r="H1415">
        <f>1-(1-Skills!J14/100)^Skills!K14</f>
        <v/>
      </c>
      <c r="I1415" t="inlineStr">
        <is>
          <t>1</t>
        </is>
      </c>
      <c r="J1415" t="inlineStr"/>
      <c r="K1415" t="inlineStr"/>
      <c r="L1415" t="inlineStr"/>
      <c r="M1415" t="inlineStr"/>
      <c r="N1415" t="inlineStr"/>
      <c r="O1415">
        <f>(1-Summary!$B$11)*T1415+Summary!$B$11*V1415</f>
        <v/>
      </c>
      <c r="P1415">
        <f>IF(B1436=0,0,O1415/B1436)</f>
        <v/>
      </c>
      <c r="Q1415" t="n">
        <v>0</v>
      </c>
      <c r="R1415" t="n">
        <v>0</v>
      </c>
      <c r="S1415">
        <f>IFERROR(O1415/N1415,0)</f>
        <v/>
      </c>
      <c r="T1415" t="n">
        <v>0</v>
      </c>
      <c r="V1415" t="n">
        <v>0</v>
      </c>
    </row>
    <row r="1416">
      <c r="A1416">
        <f>Skills!A15</f>
        <v/>
      </c>
      <c r="B1416">
        <f>Skills!B15</f>
        <v/>
      </c>
      <c r="C1416">
        <f>Inputs!$B$3&gt;=115</f>
        <v/>
      </c>
      <c r="D1416">
        <f>IF(Skills!C15=1,60+Inputs!$B$25+Inputs!$B$29,IF(Skills!C15=2,90+Inputs!$B$26+Inputs!$B$29,IF(Skills!C15=3,120+Inputs!$B$27+Inputs!$B$29,MAX(0,(Inputs!$B$3-100)*3)+Inputs!$B$28+Inputs!$B$29)))</f>
        <v/>
      </c>
      <c r="E1416">
        <f>INDEX(FactorTable!$B$2:$Y$301, MATCH(ROUND(MIN(300,MAX(1,D1416)),0), FactorTable!$A$2:$A$301,0), Skills!M15+1)</f>
        <v/>
      </c>
      <c r="F1416">
        <f>IF(Skills!N15=TRUE,(Skills!L15/10)*(E1416/1000),Skills!L15/10)+Skills!O15</f>
        <v/>
      </c>
      <c r="G1416">
        <f>Skills!G15*IF(Skills!H15&gt;0,Skills!I15/Skills!H15,1)</f>
        <v/>
      </c>
      <c r="H1416">
        <f>1-(1-Skills!J15/100)^Skills!K15</f>
        <v/>
      </c>
      <c r="I1416" t="inlineStr">
        <is>
          <t>1</t>
        </is>
      </c>
      <c r="J1416" t="inlineStr"/>
      <c r="K1416" t="inlineStr"/>
      <c r="L1416" t="inlineStr"/>
      <c r="M1416" t="inlineStr"/>
      <c r="N1416" t="inlineStr"/>
      <c r="O1416">
        <f>(1-Summary!$B$11)*T1416+Summary!$B$11*V1416</f>
        <v/>
      </c>
      <c r="P1416">
        <f>IF(B1436=0,0,O1416/B1436)</f>
        <v/>
      </c>
      <c r="Q1416" t="n">
        <v>0</v>
      </c>
      <c r="R1416" t="n">
        <v>0</v>
      </c>
      <c r="S1416">
        <f>IFERROR(O1416/N1416,0)</f>
        <v/>
      </c>
      <c r="T1416" t="n">
        <v>0</v>
      </c>
      <c r="V1416" t="n">
        <v>0</v>
      </c>
    </row>
    <row r="1417">
      <c r="A1417">
        <f>Skills!A16</f>
        <v/>
      </c>
      <c r="B1417">
        <f>Skills!B16</f>
        <v/>
      </c>
      <c r="C1417">
        <f>Inputs!$B$3&gt;=15</f>
        <v/>
      </c>
      <c r="D1417">
        <f>IF(Skills!C16=1,60+Inputs!$B$25+Inputs!$B$29,IF(Skills!C16=2,90+Inputs!$B$26+Inputs!$B$29,IF(Skills!C16=3,120+Inputs!$B$27+Inputs!$B$29,MAX(0,(Inputs!$B$3-100)*3)+Inputs!$B$28+Inputs!$B$29)))</f>
        <v/>
      </c>
      <c r="E1417">
        <f>INDEX(FactorTable!$B$2:$Y$301, MATCH(ROUND(MIN(300,MAX(1,D1417)),0), FactorTable!$A$2:$A$301,0), Skills!M16+1)</f>
        <v/>
      </c>
      <c r="F1417">
        <f>IF(Skills!N16=TRUE,(Skills!L16/10)*(E1417/1000),Skills!L16/10)+Skills!O16</f>
        <v/>
      </c>
      <c r="G1417">
        <f>Skills!G16*IF(Skills!H16&gt;0,Skills!I16/Skills!H16,1)</f>
        <v/>
      </c>
      <c r="H1417">
        <f>1-(1-Skills!J16/100)^Skills!K16</f>
        <v/>
      </c>
      <c r="I1417" t="inlineStr">
        <is>
          <t>1</t>
        </is>
      </c>
      <c r="J1417" t="inlineStr"/>
      <c r="K1417" t="inlineStr"/>
      <c r="L1417" t="inlineStr"/>
      <c r="M1417" t="inlineStr"/>
      <c r="N1417" t="inlineStr"/>
      <c r="O1417">
        <f>(1-Summary!$B$11)*T1417+Summary!$B$11*V1417</f>
        <v/>
      </c>
      <c r="P1417">
        <f>IF(B1436=0,0,O1417/B1436)</f>
        <v/>
      </c>
      <c r="Q1417" t="n">
        <v>0</v>
      </c>
      <c r="R1417" t="n">
        <v>0</v>
      </c>
      <c r="S1417">
        <f>IFERROR(O1417/N1417,0)</f>
        <v/>
      </c>
      <c r="T1417" t="n">
        <v>0</v>
      </c>
      <c r="V1417" t="n">
        <v>0</v>
      </c>
    </row>
    <row r="1418">
      <c r="A1418">
        <f>Skills!A17</f>
        <v/>
      </c>
      <c r="B1418">
        <f>Skills!B17</f>
        <v/>
      </c>
      <c r="C1418">
        <f>Inputs!$B$3&gt;=10</f>
        <v/>
      </c>
      <c r="D1418">
        <f>IF(Skills!C17=1,60+Inputs!$B$25+Inputs!$B$29,IF(Skills!C17=2,90+Inputs!$B$26+Inputs!$B$29,IF(Skills!C17=3,120+Inputs!$B$27+Inputs!$B$29,MAX(0,(Inputs!$B$3-100)*3)+Inputs!$B$28+Inputs!$B$29)))</f>
        <v/>
      </c>
      <c r="E1418">
        <f>INDEX(FactorTable!$B$2:$Y$301, MATCH(ROUND(MIN(300,MAX(1,D1418)),0), FactorTable!$A$2:$A$301,0), Skills!M17+1)</f>
        <v/>
      </c>
      <c r="F1418">
        <f>IF(Skills!N17=TRUE,(Skills!L17/10)*(E1418/1000),Skills!L17/10)+Skills!O17</f>
        <v/>
      </c>
      <c r="G1418">
        <f>Skills!G17*IF(Skills!H17&gt;0,Skills!I17/Skills!H17,1)</f>
        <v/>
      </c>
      <c r="H1418">
        <f>1-(1-Skills!J17/100)^Skills!K17</f>
        <v/>
      </c>
      <c r="I1418" t="inlineStr">
        <is>
          <t>1</t>
        </is>
      </c>
      <c r="J1418" t="inlineStr"/>
      <c r="K1418" t="inlineStr"/>
      <c r="L1418" t="inlineStr"/>
      <c r="M1418" t="inlineStr"/>
      <c r="N1418" t="inlineStr"/>
      <c r="O1418">
        <f>(1-Summary!$B$11)*T1418+Summary!$B$11*V1418</f>
        <v/>
      </c>
      <c r="P1418">
        <f>IF(B1436=0,0,O1418/B1436)</f>
        <v/>
      </c>
      <c r="Q1418" t="n">
        <v>0</v>
      </c>
      <c r="R1418" t="n">
        <v>0</v>
      </c>
      <c r="S1418">
        <f>IFERROR(O1418/N1418,0)</f>
        <v/>
      </c>
      <c r="T1418" t="n">
        <v>0</v>
      </c>
      <c r="V1418" t="n">
        <v>0</v>
      </c>
    </row>
    <row r="1419">
      <c r="A1419">
        <f>Skills!A18</f>
        <v/>
      </c>
      <c r="B1419">
        <f>Skills!B18</f>
        <v/>
      </c>
      <c r="C1419">
        <f>Inputs!$B$3&gt;=33</f>
        <v/>
      </c>
      <c r="D1419">
        <f>IF(Skills!C18=1,60+Inputs!$B$25+Inputs!$B$29,IF(Skills!C18=2,90+Inputs!$B$26+Inputs!$B$29,IF(Skills!C18=3,120+Inputs!$B$27+Inputs!$B$29,MAX(0,(Inputs!$B$3-100)*3)+Inputs!$B$28+Inputs!$B$29)))</f>
        <v/>
      </c>
      <c r="E1419">
        <f>INDEX(FactorTable!$B$2:$Y$301, MATCH(ROUND(MIN(300,MAX(1,D1419)),0), FactorTable!$A$2:$A$301,0), Skills!M18+1)</f>
        <v/>
      </c>
      <c r="F1419">
        <f>IF(Skills!N18=TRUE,(Skills!L18/10)*(E1419/1000),Skills!L18/10)+Skills!O18</f>
        <v/>
      </c>
      <c r="G1419">
        <f>Skills!G18*IF(Skills!H18&gt;0,Skills!I18/Skills!H18,1)</f>
        <v/>
      </c>
      <c r="H1419">
        <f>1-(1-Skills!J18/100)^Skills!K18</f>
        <v/>
      </c>
      <c r="I1419" t="inlineStr">
        <is>
          <t>1</t>
        </is>
      </c>
      <c r="J1419" t="inlineStr"/>
      <c r="K1419" t="inlineStr"/>
      <c r="L1419" t="inlineStr"/>
      <c r="M1419" t="inlineStr"/>
      <c r="N1419" t="inlineStr"/>
      <c r="O1419">
        <f>(1-Summary!$B$11)*T1419+Summary!$B$11*V1419</f>
        <v/>
      </c>
      <c r="P1419">
        <f>IF(B1436=0,0,O1419/B1436)</f>
        <v/>
      </c>
      <c r="Q1419" t="n">
        <v>0</v>
      </c>
      <c r="R1419" t="n">
        <v>0</v>
      </c>
      <c r="S1419">
        <f>IFERROR(O1419/N1419,0)</f>
        <v/>
      </c>
      <c r="T1419" t="n">
        <v>0</v>
      </c>
      <c r="V1419" t="n">
        <v>0</v>
      </c>
    </row>
    <row r="1420">
      <c r="A1420">
        <f>Skills!A19</f>
        <v/>
      </c>
      <c r="B1420">
        <f>Skills!B19</f>
        <v/>
      </c>
      <c r="C1420">
        <f>Inputs!$B$3&gt;=40</f>
        <v/>
      </c>
      <c r="D1420">
        <f>IF(Skills!C19=1,60+Inputs!$B$25+Inputs!$B$29,IF(Skills!C19=2,90+Inputs!$B$26+Inputs!$B$29,IF(Skills!C19=3,120+Inputs!$B$27+Inputs!$B$29,MAX(0,(Inputs!$B$3-100)*3)+Inputs!$B$28+Inputs!$B$29)))</f>
        <v/>
      </c>
      <c r="E1420">
        <f>INDEX(FactorTable!$B$2:$Y$301, MATCH(ROUND(MIN(300,MAX(1,D1420)),0), FactorTable!$A$2:$A$301,0), Skills!M19+1)</f>
        <v/>
      </c>
      <c r="F1420">
        <f>IF(Skills!N19=TRUE,(Skills!L19/10)*(E1420/1000),Skills!L19/10)+Skills!O19</f>
        <v/>
      </c>
      <c r="G1420">
        <f>Skills!G19*IF(Skills!H19&gt;0,Skills!I19/Skills!H19,1)</f>
        <v/>
      </c>
      <c r="H1420">
        <f>1-(1-Skills!J19/100)^Skills!K19</f>
        <v/>
      </c>
      <c r="I1420" t="inlineStr">
        <is>
          <t>1</t>
        </is>
      </c>
      <c r="J1420" t="inlineStr"/>
      <c r="K1420" t="inlineStr"/>
      <c r="L1420" t="inlineStr"/>
      <c r="M1420" t="inlineStr"/>
      <c r="N1420" t="inlineStr"/>
      <c r="O1420">
        <f>(1-Summary!$B$11)*T1420+Summary!$B$11*V1420</f>
        <v/>
      </c>
      <c r="P1420">
        <f>IF(B1436=0,0,O1420/B1436)</f>
        <v/>
      </c>
      <c r="Q1420" t="n">
        <v>0</v>
      </c>
      <c r="R1420" t="n">
        <v>0</v>
      </c>
      <c r="S1420">
        <f>IFERROR(O1420/N1420,0)</f>
        <v/>
      </c>
      <c r="T1420" t="n">
        <v>0</v>
      </c>
      <c r="V1420" t="n">
        <v>0</v>
      </c>
    </row>
    <row r="1421">
      <c r="A1421">
        <f>Skills!A20</f>
        <v/>
      </c>
      <c r="B1421">
        <f>Skills!B20</f>
        <v/>
      </c>
      <c r="C1421">
        <f>Inputs!$B$3&gt;=43</f>
        <v/>
      </c>
      <c r="D1421">
        <f>IF(Skills!C20=1,60+Inputs!$B$25+Inputs!$B$29,IF(Skills!C20=2,90+Inputs!$B$26+Inputs!$B$29,IF(Skills!C20=3,120+Inputs!$B$27+Inputs!$B$29,MAX(0,(Inputs!$B$3-100)*3)+Inputs!$B$28+Inputs!$B$29)))</f>
        <v/>
      </c>
      <c r="E1421">
        <f>INDEX(FactorTable!$B$2:$Y$301, MATCH(ROUND(MIN(300,MAX(1,D1421)),0), FactorTable!$A$2:$A$301,0), Skills!M20+1)</f>
        <v/>
      </c>
      <c r="F1421">
        <f>IF(Skills!N20=TRUE,(Skills!L20/10)*(E1421/1000),Skills!L20/10)+Skills!O20</f>
        <v/>
      </c>
      <c r="G1421">
        <f>Skills!G20*IF(Skills!H20&gt;0,Skills!I20/Skills!H20,1)</f>
        <v/>
      </c>
      <c r="H1421">
        <f>1-(1-Skills!J20/100)^Skills!K20</f>
        <v/>
      </c>
      <c r="I1421" t="inlineStr">
        <is>
          <t>1</t>
        </is>
      </c>
      <c r="J1421" t="inlineStr"/>
      <c r="K1421" t="inlineStr"/>
      <c r="L1421" t="inlineStr"/>
      <c r="M1421" t="inlineStr"/>
      <c r="N1421" t="inlineStr"/>
      <c r="O1421">
        <f>(1-Summary!$B$11)*T1421+Summary!$B$11*V1421</f>
        <v/>
      </c>
      <c r="P1421">
        <f>IF(B1436=0,0,O1421/B1436)</f>
        <v/>
      </c>
      <c r="Q1421" t="n">
        <v>0</v>
      </c>
      <c r="R1421" t="n">
        <v>0</v>
      </c>
      <c r="S1421">
        <f>IFERROR(O1421/N1421,0)</f>
        <v/>
      </c>
      <c r="T1421" t="n">
        <v>0</v>
      </c>
      <c r="V1421" t="n">
        <v>0</v>
      </c>
    </row>
    <row r="1422">
      <c r="A1422">
        <f>Skills!A21</f>
        <v/>
      </c>
      <c r="B1422">
        <f>Skills!B21</f>
        <v/>
      </c>
      <c r="C1422">
        <f>Inputs!$B$3&gt;=38</f>
        <v/>
      </c>
      <c r="D1422">
        <f>IF(Skills!C21=1,60+Inputs!$B$25+Inputs!$B$29,IF(Skills!C21=2,90+Inputs!$B$26+Inputs!$B$29,IF(Skills!C21=3,120+Inputs!$B$27+Inputs!$B$29,MAX(0,(Inputs!$B$3-100)*3)+Inputs!$B$28+Inputs!$B$29)))</f>
        <v/>
      </c>
      <c r="E1422">
        <f>INDEX(FactorTable!$B$2:$Y$301, MATCH(ROUND(MIN(300,MAX(1,D1422)),0), FactorTable!$A$2:$A$301,0), Skills!M21+1)</f>
        <v/>
      </c>
      <c r="F1422">
        <f>IF(Skills!N21=TRUE,(Skills!L21/10)*(E1422/1000),Skills!L21/10)+Skills!O21</f>
        <v/>
      </c>
      <c r="G1422">
        <f>Skills!G21*IF(Skills!H21&gt;0,Skills!I21/Skills!H21,1)</f>
        <v/>
      </c>
      <c r="H1422">
        <f>1-(1-Skills!J21/100)^Skills!K21</f>
        <v/>
      </c>
      <c r="I1422" t="inlineStr">
        <is>
          <t>1</t>
        </is>
      </c>
      <c r="J1422" t="inlineStr"/>
      <c r="K1422" t="inlineStr"/>
      <c r="L1422" t="inlineStr"/>
      <c r="M1422" t="inlineStr"/>
      <c r="N1422" t="inlineStr"/>
      <c r="O1422">
        <f>(1-Summary!$B$11)*T1422+Summary!$B$11*V1422</f>
        <v/>
      </c>
      <c r="P1422">
        <f>IF(B1436=0,0,O1422/B1436)</f>
        <v/>
      </c>
      <c r="Q1422" t="n">
        <v>0</v>
      </c>
      <c r="R1422" t="n">
        <v>0</v>
      </c>
      <c r="S1422">
        <f>IFERROR(O1422/N1422,0)</f>
        <v/>
      </c>
      <c r="T1422" t="n">
        <v>0</v>
      </c>
      <c r="V1422" t="n">
        <v>0</v>
      </c>
    </row>
    <row r="1423">
      <c r="A1423">
        <f>Skills!A22</f>
        <v/>
      </c>
      <c r="B1423">
        <f>Skills!B22</f>
        <v/>
      </c>
      <c r="C1423">
        <f>Inputs!$B$3&gt;=75</f>
        <v/>
      </c>
      <c r="D1423">
        <f>IF(Skills!C22=1,60+Inputs!$B$25+Inputs!$B$29,IF(Skills!C22=2,90+Inputs!$B$26+Inputs!$B$29,IF(Skills!C22=3,120+Inputs!$B$27+Inputs!$B$29,MAX(0,(Inputs!$B$3-100)*3)+Inputs!$B$28+Inputs!$B$29)))</f>
        <v/>
      </c>
      <c r="E1423">
        <f>INDEX(FactorTable!$B$2:$Y$301, MATCH(ROUND(MIN(300,MAX(1,D1423)),0), FactorTable!$A$2:$A$301,0), Skills!M22+1)</f>
        <v/>
      </c>
      <c r="F1423">
        <f>IF(Skills!N22=TRUE,(Skills!L22/10)*(E1423/1000),Skills!L22/10)+Skills!O22</f>
        <v/>
      </c>
      <c r="G1423">
        <f>Skills!G22*IF(Skills!H22&gt;0,Skills!I22/Skills!H22,1)</f>
        <v/>
      </c>
      <c r="H1423">
        <f>1-(1-Skills!J22/100)^Skills!K22</f>
        <v/>
      </c>
      <c r="I1423" t="inlineStr">
        <is>
          <t>1</t>
        </is>
      </c>
      <c r="J1423" t="inlineStr"/>
      <c r="K1423" t="inlineStr"/>
      <c r="L1423" t="inlineStr"/>
      <c r="M1423" t="inlineStr"/>
      <c r="N1423" t="inlineStr"/>
      <c r="O1423">
        <f>(1-Summary!$B$11)*T1423+Summary!$B$11*V1423</f>
        <v/>
      </c>
      <c r="P1423">
        <f>IF(B1436=0,0,O1423/B1436)</f>
        <v/>
      </c>
      <c r="Q1423" t="n">
        <v>0</v>
      </c>
      <c r="R1423" t="n">
        <v>0</v>
      </c>
      <c r="S1423">
        <f>IFERROR(O1423/N1423,0)</f>
        <v/>
      </c>
      <c r="T1423" t="n">
        <v>0</v>
      </c>
      <c r="V1423" t="n">
        <v>0</v>
      </c>
    </row>
    <row r="1425">
      <c r="A1425" t="inlineStr">
        <is>
          <t>Attack% Bucket Multiplier</t>
        </is>
      </c>
      <c r="B1425">
        <f>(1+(((C1414=TRUE)*F1414)+((C1420=TRUE)*(F1420-Calc!F19))+(IF(ArtifactsInput!$M$21,CHOOSE(ArtifactsInput!$N$21+1,25,30,35,40,45,50)*(IF(OR(Inputs!$B$4="Chapter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6">
      <c r="A1426" t="inlineStr">
        <is>
          <t>Global Crit Rate Bonus %</t>
        </is>
      </c>
      <c r="B1426" t="n">
        <v>0</v>
      </c>
    </row>
    <row r="1427">
      <c r="A1427" t="inlineStr">
        <is>
          <t>Attack Speed Buff Bonus % (unused)</t>
        </is>
      </c>
      <c r="B1427" t="n">
        <v>0</v>
      </c>
    </row>
    <row r="1428">
      <c r="A1428" t="inlineStr">
        <is>
          <t>Actions Per Second</t>
        </is>
      </c>
      <c r="B1428">
        <f>1+MIN(150,150*(1-(1-(Inputs!$B$11+((C1418=TRUE)*(F1418-Calc!F17))+((C1419=TRUE)*(F1419-Calc!F18)))/150)*(1-B1427/150)))/100</f>
        <v/>
      </c>
    </row>
    <row r="1429">
      <c r="A1429" t="inlineStr">
        <is>
          <t>Skill + Buff Cast Rate</t>
        </is>
      </c>
      <c r="B1429">
        <f>IF(AND(Inputs!$B$38&lt;&gt;"pvp",Inputs!$B$43&gt;0),SUMPRODUCT((Skills!E2:E22=TRUE)*(C1403:C1423=TRUE)*R1403:R1423*Skills!F2:F22)/Inputs!$B$43,SUMPRODUCT((Skills!E2:E22=TRUE)*(C1403:C1423=TRUE)*Q1403:Q1423*Skills!F2:F22))</f>
        <v/>
      </c>
    </row>
    <row r="1430">
      <c r="A1430" t="inlineStr">
        <is>
          <t>Hook Bomber Casts Per Second</t>
        </is>
      </c>
      <c r="B1430">
        <f>MAX(0,B1428-B1429)</f>
        <v/>
      </c>
    </row>
    <row r="1431">
      <c r="A1431" t="inlineStr">
        <is>
          <t>Global Critical Damage Bonus % (unused)</t>
        </is>
      </c>
      <c r="B1431" t="n">
        <v>0</v>
      </c>
    </row>
    <row r="1432">
      <c r="A1432" t="inlineStr">
        <is>
          <t>Global Final Damage Bonus % (Serpent Scale + Crossbones + Time Leap + Speed Infusion)</t>
        </is>
      </c>
      <c r="B1432">
        <f>((C1406=TRUE)*F1406*((10+IF(Inputs!$B$3&gt;=94,5,0))/((10+IF(Inputs!$B$3&gt;=94,5,0))+5/(B1430*(1+IF(Inputs!$B$3&gt;=104,1,0))))))+((C1415=TRUE)*F1415)+((C1416=TRUE)*F1416)+((Inputs!$B$3&gt;=110)*20*(B1428-1))</f>
        <v/>
      </c>
    </row>
    <row r="1433">
      <c r="A1433" t="inlineStr">
        <is>
          <t>Buff-Casting Startup Delay (s, fixed-duration only)</t>
        </is>
      </c>
      <c r="B1433">
        <f>IF(AND(Inputs!$B$38&lt;&gt;"pvp",Inputs!$B$43&gt;0),SUMPRODUCT((Skills!T2:T22&gt;0)*(Skills!E2:E22=TRUE)*(C1403:C1423=TRUE))/B1428,0)</f>
        <v/>
      </c>
    </row>
    <row r="1434">
      <c r="A1434" t="inlineStr">
        <is>
          <t>Boss-Only Total DPS (this block's swept value)</t>
        </is>
      </c>
      <c r="B1434">
        <f>SUM(T1403:T1423)</f>
        <v/>
      </c>
    </row>
    <row r="1435">
      <c r="A1435" t="inlineStr">
        <is>
          <t>Normal-Only Total DPS (this block's swept value)</t>
        </is>
      </c>
      <c r="B1435">
        <f>SUM(V1403:V1423)</f>
        <v/>
      </c>
    </row>
    <row r="1436">
      <c r="A1436" s="6" t="inlineStr">
        <is>
          <t>TOTAL DPS</t>
        </is>
      </c>
      <c r="B1436" s="6">
        <f>SUM(O1403:O1423)</f>
        <v/>
      </c>
    </row>
    <row r="1439">
      <c r="A1439" s="6" t="inlineStr">
        <is>
          <t>Stat: Zakum's Stone Piece (Equip)</t>
        </is>
      </c>
    </row>
    <row r="1440">
      <c r="A1440" s="5" t="inlineStr">
        <is>
          <t>Key</t>
        </is>
      </c>
      <c r="B1440" s="5" t="inlineStr">
        <is>
          <t>Name</t>
        </is>
      </c>
      <c r="C1440" s="5" t="inlineStr">
        <is>
          <t>Unlocked</t>
        </is>
      </c>
      <c r="D1440" s="5" t="inlineStr">
        <is>
          <t>InputLevel</t>
        </is>
      </c>
      <c r="E1440" s="5" t="inlineStr">
        <is>
          <t>Factor</t>
        </is>
      </c>
      <c r="F1440" s="5" t="inlineStr">
        <is>
          <t>CoefficientPercent</t>
        </is>
      </c>
      <c r="G1440" s="5" t="inlineStr">
        <is>
          <t>EffectiveHits</t>
        </is>
      </c>
      <c r="H1440" s="5" t="inlineStr">
        <is>
          <t>ProcProbability</t>
        </is>
      </c>
      <c r="I1440" s="5" t="inlineStr">
        <is>
          <t>MapleHeroMultiplier</t>
        </is>
      </c>
      <c r="J1440" s="5" t="inlineStr">
        <is>
          <t>BaseDamage</t>
        </is>
      </c>
      <c r="K1440" s="5" t="inlineStr">
        <is>
          <t>BaseHitDamage</t>
        </is>
      </c>
      <c r="L1440" s="5" t="inlineStr">
        <is>
          <t>NonCritAvg</t>
        </is>
      </c>
      <c r="M1440" s="5" t="inlineStr">
        <is>
          <t>CritAvg</t>
        </is>
      </c>
      <c r="N1440" s="5" t="inlineStr">
        <is>
          <t>ExpectedDamage(perHit)</t>
        </is>
      </c>
      <c r="O1440" s="5" t="inlineStr">
        <is>
          <t>DPS</t>
        </is>
      </c>
      <c r="P1440" s="5" t="inlineStr">
        <is>
          <t>% of Total</t>
        </is>
      </c>
      <c r="Q1440" s="5" t="inlineStr">
        <is>
          <t>InvCooldown</t>
        </is>
      </c>
      <c r="R1440" s="5" t="inlineStr">
        <is>
          <t>CastsInFight</t>
        </is>
      </c>
      <c r="S1440" s="5" t="inlineStr">
        <is>
          <t>HitRate(perSec)</t>
        </is>
      </c>
      <c r="U1440" t="inlineStr">
        <is>
          <t>helpers</t>
        </is>
      </c>
    </row>
    <row r="1441">
      <c r="A1441">
        <f>Skills!A2</f>
        <v/>
      </c>
      <c r="B1441">
        <f>Skills!B2</f>
        <v/>
      </c>
      <c r="C1441">
        <f>Inputs!$B$3&gt;=100</f>
        <v/>
      </c>
      <c r="D1441" t="inlineStr"/>
      <c r="E1441" t="inlineStr"/>
      <c r="F1441">
        <f>U1443+Skills!O2</f>
        <v/>
      </c>
      <c r="G1441">
        <f>Skills!G2*IF(Skills!H2&gt;0,Skills!I2/Skills!H2,1)</f>
        <v/>
      </c>
      <c r="H1441">
        <f>1-(1-Skills!J2/100)^Skills!K2</f>
        <v/>
      </c>
      <c r="I1441" t="inlineStr">
        <is>
          <t>1</t>
        </is>
      </c>
      <c r="J1441">
        <f>((Inputs!$B$6*(1+Inputs!$B$7/100))+(((Inputs!$B$12*(1+Inputs!$B$13/100))-(Inputs!$B$12*(1+Inputs!$B$13/100)))+0.25*(Inputs!$B$14-Inputs!$B$14))*(1+Inputs!$B$7/100))*(F1441/100)</f>
        <v/>
      </c>
      <c r="K1441">
        <f>J1441*(1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C1459=TRUE)*(F1459-Calc!F20)),(Inputs!$B$23+0+(IF(ArtifactsInput!$M$15,CHOOSE(ArtifactsInput!$N$15+1,25,30,35,40,45,50)/100*(Inputs!$B$11-Inputs!$B$11),0))))/100+(Inputs!$B$23+0+(IF(ArtifactsInput!$M$15,CHOOSE(ArtifactsInput!$N$15+1,25,30,35,40,45,50)/100*(Inputs!$B$11-Inputs!$B$11),0)))/100)/2</f>
        <v/>
      </c>
      <c r="M1441">
        <f>L1441*(1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(1-Summary!$B$11)*T1441+Summary!$B$11*V1441</f>
        <v/>
      </c>
      <c r="P1441">
        <f>IF(B1474=0,0,O1441/B1474)</f>
        <v/>
      </c>
      <c r="Q1441" t="n">
        <v>0</v>
      </c>
      <c r="R1441" t="n">
        <v>0</v>
      </c>
      <c r="S1441">
        <f>IFERROR(O1441/N1441,0)</f>
        <v/>
      </c>
      <c r="T1441">
        <f>IF(C1441,(Skills!G2*N1441*B1468)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1441*(1-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1">
        <f>MAX(0,(Inputs!$B$3-100)*3)+Inputs!$B$28+Inputs!$B$29</f>
        <v/>
      </c>
      <c r="V1441">
        <f>IF(C1441,(Skills!G2*N1441*B1468)*IF(Inputs!$B$38="pvp",1,(1+(Inputs!$B$21+Skills!Q2+(IF(ArtifactsInput!$M$33,CHOOSE(ArtifactsInput!$N$33+1,30,36,42,48,54,60),0))+(IF(AND(ArtifactsInput!$M$35,Inputs!$B$4&lt;&gt;"Chapter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Skills!A3</f>
        <v/>
      </c>
      <c r="B1442">
        <f>Skills!B3</f>
        <v/>
      </c>
      <c r="C1442">
        <f>Inputs!$B$3&gt;=35</f>
        <v/>
      </c>
      <c r="D1442">
        <f>IF(Skills!C3=1,60+Inputs!$B$25+Inputs!$B$29,IF(Skills!C3=2,90+Inputs!$B$26+Inputs!$B$29,IF(Skills!C3=3,120+Inputs!$B$27+Inputs!$B$29,MAX(0,(Inputs!$B$3-100)*3)+Inputs!$B$28+Inputs!$B$29)))</f>
        <v/>
      </c>
      <c r="E1442">
        <f>INDEX(FactorTable!$B$2:$Y$301, MATCH(ROUND(MIN(300,MAX(1,D1442)),0), FactorTable!$A$2:$A$301,0), Skills!M3+1)</f>
        <v/>
      </c>
      <c r="F1442">
        <f>IF(Skills!N3=TRUE,(Skills!L3/10)*(E1442/1000),Skills!L3/10)+Skills!O3</f>
        <v/>
      </c>
      <c r="G1442">
        <f>Skills!G3*IF(Skills!H3&gt;0,Skills!I3/Skills!H3,1)</f>
        <v/>
      </c>
      <c r="H1442">
        <f>1-(1-Skills!J3/100)^Skills!K3</f>
        <v/>
      </c>
      <c r="I1442" t="inlineStr">
        <is>
          <t>1</t>
        </is>
      </c>
      <c r="J1442">
        <f>((Inputs!$B$6*(1+Inputs!$B$7/100))+(((Inputs!$B$12*(1+Inputs!$B$13/100))-(Inputs!$B$12*(1+Inputs!$B$13/100)))+0.25*(Inputs!$B$14-Inputs!$B$14))*(1+Inputs!$B$7/100))*(F1442/100)</f>
        <v/>
      </c>
      <c r="K1442">
        <f>J1442*(1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1459=TRUE)*(F1459-Calc!F20)),(Inputs!$B$23+0+(IF(ArtifactsInput!$M$15,CHOOSE(ArtifactsInput!$N$15+1,25,30,35,40,45,50)/100*(Inputs!$B$11-Inputs!$B$11),0))))/100+(Inputs!$B$23+0+(IF(ArtifactsInput!$M$15,CHOOSE(ArtifactsInput!$N$15+1,25,30,35,40,45,50)/100*(Inputs!$B$11-Inputs!$B$11),0)))/100)/2</f>
        <v/>
      </c>
      <c r="M1442">
        <f>L1442*(1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IF(B1474=0,0,O1442/B1474)</f>
        <v/>
      </c>
      <c r="Q1442" t="n">
        <v>0</v>
      </c>
      <c r="R1442" t="n">
        <v>0</v>
      </c>
      <c r="S1442">
        <f>IFERROR(O1442/N1442,0)</f>
        <v/>
      </c>
      <c r="T1442">
        <f>IF(C1442,(Skills!G3*H1442*N1442*B1468)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2">
        <f>INDEX(FactorTable!$B$2:$Y$301, MATCH(ROUND(MIN(300,MAX(1,U1441)),0), FactorTable!$A$2:$A$301,0), 22)</f>
        <v/>
      </c>
      <c r="V1442">
        <f>IF(C1442,(Skills!G3*H1442*N1442*B1468)*IF(Inputs!$B$38="pvp",1,(1+(Inputs!$B$21+Skills!Q3+(IF(ArtifactsInput!$M$33,CHOOSE(ArtifactsInput!$N$33+1,30,36,42,48,54,60),0))+(IF(AND(ArtifactsInput!$M$35,Inputs!$B$4&lt;&gt;"Chapter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Skills!A4</f>
        <v/>
      </c>
      <c r="B1443">
        <f>Skills!B4</f>
        <v/>
      </c>
      <c r="C1443">
        <f>Inputs!$B$3&gt;=60</f>
        <v/>
      </c>
      <c r="D1443">
        <f>IF(Skills!C4=1,60+Inputs!$B$25+Inputs!$B$29,IF(Skills!C4=2,90+Inputs!$B$26+Inputs!$B$29,IF(Skills!C4=3,120+Inputs!$B$27+Inputs!$B$29,MAX(0,(Inputs!$B$3-100)*3)+Inputs!$B$28+Inputs!$B$29)))</f>
        <v/>
      </c>
      <c r="E1443">
        <f>INDEX(FactorTable!$B$2:$Y$301, MATCH(ROUND(MIN(300,MAX(1,D1443)),0), FactorTable!$A$2:$A$301,0), Skills!M4+1)</f>
        <v/>
      </c>
      <c r="F1443">
        <f>IF(Skills!N4=TRUE,(Skills!L4/10)*(E1443/1000),Skills!L4/10)+Skills!O4</f>
        <v/>
      </c>
      <c r="G1443">
        <f>Skills!G4*IF(Skills!H4&gt;0,Skills!I4/Skills!H4,1)</f>
        <v/>
      </c>
      <c r="H1443">
        <f>1-(1-Skills!J4/100)^Skills!K4</f>
        <v/>
      </c>
      <c r="I1443" t="inlineStr">
        <is>
          <t>1</t>
        </is>
      </c>
      <c r="J1443">
        <f>((Inputs!$B$6*(1+Inputs!$B$7/100))+(((Inputs!$B$12*(1+Inputs!$B$13/100))-(Inputs!$B$12*(1+Inputs!$B$13/100)))+0.25*(Inputs!$B$14-Inputs!$B$14))*(1+Inputs!$B$7/100))*(F1443/100)</f>
        <v/>
      </c>
      <c r="K1443">
        <f>J1443*(1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1451=TRUE,F1451,0)/100)*(1+(IF(Skills!A4="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C1459=TRUE)*(F1459-Calc!F20)),(Inputs!$B$23+0+(IF(ArtifactsInput!$M$15,CHOOSE(ArtifactsInput!$N$15+1,25,30,35,40,45,50)/100*(Inputs!$B$11-Inputs!$B$11),0))))/100+(Inputs!$B$23+0+(IF(ArtifactsInput!$M$15,CHOOSE(ArtifactsInput!$N$15+1,25,30,35,40,45,50)/100*(Inputs!$B$11-Inputs!$B$11),0)))/100)/2</f>
        <v/>
      </c>
      <c r="M1443">
        <f>L1443*(1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(1-Summary!$B$11)*T1443+Summary!$B$11*V1443</f>
        <v/>
      </c>
      <c r="P1443">
        <f>IF(B1474=0,0,O1443/B1474)</f>
        <v/>
      </c>
      <c r="Q1443" t="n">
        <v>0</v>
      </c>
      <c r="R1443" t="n">
        <v>0</v>
      </c>
      <c r="S1443">
        <f>IFERROR(O1443/N1443,0)</f>
        <v/>
      </c>
      <c r="T1443">
        <f>IF(C1443,(Skills!G4*H1443*N1443*B1468)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1443*(1-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3">
        <f>290*U1442/1000</f>
        <v/>
      </c>
      <c r="V1443">
        <f>IF(C1443,(Skills!G4*H1443*N1443*B1468)*IF(Inputs!$B$38="pvp",1,(1+(Inputs!$B$21+Skills!Q4+(IF(ArtifactsInput!$M$33,CHOOSE(ArtifactsInput!$N$33+1,30,36,42,48,54,60),0))+(IF(AND(ArtifactsInput!$M$35,Inputs!$B$4&lt;&gt;"Chapter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Skills!A5</f>
        <v/>
      </c>
      <c r="B1444">
        <f>Skills!B5</f>
        <v/>
      </c>
      <c r="C1444">
        <f>Inputs!$B$3&gt;=60</f>
        <v/>
      </c>
      <c r="D1444">
        <f>IF(Skills!C5=1,60+Inputs!$B$25+Inputs!$B$29,IF(Skills!C5=2,90+Inputs!$B$26+Inputs!$B$29,IF(Skills!C5=3,120+Inputs!$B$27+Inputs!$B$29,MAX(0,(Inputs!$B$3-100)*3)+Inputs!$B$28+Inputs!$B$29)))</f>
        <v/>
      </c>
      <c r="E1444">
        <f>INDEX(FactorTable!$B$2:$Y$301, MATCH(ROUND(MIN(300,MAX(1,D1444)),0), FactorTable!$A$2:$A$301,0), Skills!M5+1)</f>
        <v/>
      </c>
      <c r="F1444">
        <f>IF(Skills!N5=TRUE,(Skills!L5/10)*(E1444/1000),Skills!L5/10)+Skills!O5</f>
        <v/>
      </c>
      <c r="G1444">
        <f>Skills!G5*IF(Skills!H5&gt;0,Skills!I5/Skills!H5,1)</f>
        <v/>
      </c>
      <c r="H1444">
        <f>1-(1-Skills!J5/100)^Skills!K5</f>
        <v/>
      </c>
      <c r="I1444" t="inlineStr">
        <is>
          <t>1</t>
        </is>
      </c>
      <c r="J1444" t="inlineStr"/>
      <c r="K1444" t="inlineStr"/>
      <c r="L1444" t="inlineStr"/>
      <c r="M1444" t="inlineStr"/>
      <c r="N1444" t="inlineStr"/>
      <c r="O1444">
        <f>(1-Summary!$B$11)*T1444+Summary!$B$11*V1444</f>
        <v/>
      </c>
      <c r="P1444">
        <f>IF(B1474=0,0,O1444/B1474)</f>
        <v/>
      </c>
      <c r="Q1444" t="n">
        <v>0</v>
      </c>
      <c r="R1444" t="n">
        <v>0</v>
      </c>
      <c r="S1444">
        <f>IFERROR(O1444/N1444,0)</f>
        <v/>
      </c>
      <c r="T1444" t="n">
        <v>0</v>
      </c>
      <c r="V1444" t="n">
        <v>0</v>
      </c>
    </row>
    <row r="1445">
      <c r="A1445">
        <f>Skills!A6</f>
        <v/>
      </c>
      <c r="B1445">
        <f>Skills!B6</f>
        <v/>
      </c>
      <c r="C1445">
        <f>Inputs!$B$3&gt;=63</f>
        <v/>
      </c>
      <c r="D1445">
        <f>IF(Skills!C6=1,60+Inputs!$B$25+Inputs!$B$29,IF(Skills!C6=2,90+Inputs!$B$26+Inputs!$B$29,IF(Skills!C6=3,120+Inputs!$B$27+Inputs!$B$29,MAX(0,(Inputs!$B$3-100)*3)+Inputs!$B$28+Inputs!$B$29)))</f>
        <v/>
      </c>
      <c r="E1445">
        <f>INDEX(FactorTable!$B$2:$Y$301, MATCH(ROUND(MIN(300,MAX(1,D1445)),0), FactorTable!$A$2:$A$301,0), Skills!M6+1)</f>
        <v/>
      </c>
      <c r="F1445">
        <f>IF(Skills!N6=TRUE,(Skills!L6/10)*(E1445/1000),Skills!L6/10)+Skills!O6</f>
        <v/>
      </c>
      <c r="G1445">
        <f>Skills!G6*IF(Skills!H6&gt;0,Skills!I6/Skills!H6,1)</f>
        <v/>
      </c>
      <c r="H1445">
        <f>1-(1-Skills!J6/100)^Skills!K6</f>
        <v/>
      </c>
      <c r="I1445" t="inlineStr">
        <is>
          <t>1</t>
        </is>
      </c>
      <c r="J1445">
        <f>((Inputs!$B$6*(1+Inputs!$B$7/100))+(((Inputs!$B$12*(1+Inputs!$B$13/100))-(Inputs!$B$12*(1+Inputs!$B$13/100)))+0.25*(Inputs!$B$14-Inputs!$B$14))*(1+Inputs!$B$7/100))*(F1445/100)</f>
        <v/>
      </c>
      <c r="K1445">
        <f>J1445*(1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1445)</f>
        <v/>
      </c>
      <c r="L1445">
        <f>K1445*(MIN(Inputs!$B$22+((C1459=TRUE)*(F1459-Calc!F20)),(Inputs!$B$23+0+(IF(ArtifactsInput!$M$15,CHOOSE(ArtifactsInput!$N$15+1,25,30,35,40,45,50)/100*(Inputs!$B$11-Inputs!$B$11),0))))/100+(Inputs!$B$23+0+(IF(ArtifactsInput!$M$15,CHOOSE(ArtifactsInput!$N$15+1,25,30,35,40,45,50)/100*(Inputs!$B$11-Inputs!$B$11),0)))/100)/2</f>
        <v/>
      </c>
      <c r="M1445">
        <f>L1445*(1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5">
        <f>L1445*(1-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1445*(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5">
        <f>(1-Summary!$B$11)*T1445+Summary!$B$11*V1445</f>
        <v/>
      </c>
      <c r="P1445">
        <f>IF(B1474=0,0,O1445/B1474)</f>
        <v/>
      </c>
      <c r="Q1445">
        <f>IFERROR(1/(IF(Inputs!$B$38="pvp",15,MAX(0.1,Skills!D6-IF(Skills!E6=TRUE,Inputs!$B$32,0)))*(1-IF(AND(ArtifactsInput!$M$27,Inputs!$B$4="Chapter Hunt"),CHOOSE(ArtifactsInput!$N$27+1,20,24,28,32,36,40),0)/100)),0)</f>
        <v/>
      </c>
      <c r="R1445">
        <f>IF(AND(Inputs!$B$38&lt;&gt;"pvp",Inputs!$B$43&gt;0),IF(MAX(0,Inputs!$B$43-B1471)&lt;=0,0,(INT(MAX(0,Inputs!$B$43-B1471)/(IF(Inputs!$B$38="pvp",15,MAX(0.1,Skills!D6-IF(Skills!E6=TRUE,Inputs!$B$32,0)))*(1-IF(AND(ArtifactsInput!$M$27,Inputs!$B$4="Chapter Hunt"),CHOOSE(ArtifactsInput!$N$27+1,20,24,28,32,36,40),0)/100)))+1)),0)</f>
        <v/>
      </c>
      <c r="S1445">
        <f>IFERROR(O1445/N1445,0)</f>
        <v/>
      </c>
      <c r="T1445">
        <f>IF(C1445,(H1445*N1445*IF(AND(Inputs!$B$38&lt;&gt;"pvp",Inputs!$B$43&gt;0),((Skills!G6*((R1445-1)*IF(Skills!H6&gt;0,Skills!I6/Skills!H6,1)+IF(Skills!H6&gt;0,MIN(Skills!I6,MAX(0,MAX(0,Inputs!$B$43-B1471)-((R1445-1)*(IF(Inputs!$B$38="pvp",15,MAX(0.1,Skills!D6-IF(Skills!E6=TRUE,Inputs!$B$32,0)))*(1-IF(AND(ArtifactsInput!$M$27,Inputs!$B$4="Chapter Hunt"),CHOOSE(ArtifactsInput!$N$27+1,20,24,28,32,36,40),0)/100)))))/Skills!H6,1)))/Inputs!$B$43),G1445*Q1445)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1445*(1-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1445*(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1445*(1-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1445*(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5">
        <f>IF(C1445,(H1445*N1445*IF(AND(Inputs!$B$38&lt;&gt;"pvp",Inputs!$B$43&gt;0),((Skills!G6*((R1445-1)*IF(Skills!H6&gt;0,Skills!I6/Skills!H6,1)+IF(Skills!H6&gt;0,MIN(Skills!I6,MAX(0,MAX(0,Inputs!$B$43-B1471)-((R1445-1)*(IF(Inputs!$B$38="pvp",15,MAX(0.1,Skills!D6-IF(Skills!E6=TRUE,Inputs!$B$32,0)))*(1-IF(AND(ArtifactsInput!$M$27,Inputs!$B$4="Chapter Hunt"),CHOOSE(ArtifactsInput!$N$27+1,20,24,28,32,36,40),0)/100)))))/Skills!H6,1)))/Inputs!$B$43),G1445*Q1445))*IF(Inputs!$B$38="pvp",1,(1+(Inputs!$B$21+Skills!Q6+(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6">
      <c r="A1446">
        <f>Skills!A7</f>
        <v/>
      </c>
      <c r="B1446">
        <f>Skills!B7</f>
        <v/>
      </c>
      <c r="C1446">
        <f>Inputs!$B$3&gt;=100</f>
        <v/>
      </c>
      <c r="D1446">
        <f>IF(Skills!C7=1,60+Inputs!$B$25+Inputs!$B$29,IF(Skills!C7=2,90+Inputs!$B$26+Inputs!$B$29,IF(Skills!C7=3,120+Inputs!$B$27+Inputs!$B$29,MAX(0,(Inputs!$B$3-100)*3)+Inputs!$B$28+Inputs!$B$29)))</f>
        <v/>
      </c>
      <c r="E1446">
        <f>INDEX(FactorTable!$B$2:$Y$301, MATCH(ROUND(MIN(300,MAX(1,D1446)),0), FactorTable!$A$2:$A$301,0), Skills!M7+1)</f>
        <v/>
      </c>
      <c r="F1446">
        <f>IF(Skills!N7=TRUE,(Skills!L7/10)*(E1446/1000),Skills!L7/10)+Skills!O7</f>
        <v/>
      </c>
      <c r="G1446">
        <f>Skills!G7*IF(Skills!H7&gt;0,Skills!I7/Skills!H7,1)</f>
        <v/>
      </c>
      <c r="H1446">
        <f>1-(1-Skills!J7/100)^Skills!K7</f>
        <v/>
      </c>
      <c r="I1446" t="inlineStr">
        <is>
          <t>1</t>
        </is>
      </c>
      <c r="J1446">
        <f>((Inputs!$B$6*(1+Inputs!$B$7/100))+(((Inputs!$B$12*(1+Inputs!$B$13/100))-(Inputs!$B$12*(1+Inputs!$B$13/100)))+0.25*(Inputs!$B$14-Inputs!$B$14))*(1+Inputs!$B$7/100))*(F1446/100)</f>
        <v/>
      </c>
      <c r="K1446">
        <f>J1446*(1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C1459=TRUE)*(F1459-Calc!F20)),(Inputs!$B$23+0+(IF(ArtifactsInput!$M$15,CHOOSE(ArtifactsInput!$N$15+1,25,30,35,40,45,50)/100*(Inputs!$B$11-Inputs!$B$11),0))))/100+(Inputs!$B$23+0+(IF(ArtifactsInput!$M$15,CHOOSE(ArtifactsInput!$N$15+1,25,30,35,40,45,50)/100*(Inputs!$B$11-Inputs!$B$11),0)))/100)/2</f>
        <v/>
      </c>
      <c r="M1446">
        <f>L1446*(1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(1-Summary!$B$11)*T1446+Summary!$B$11*V1446</f>
        <v/>
      </c>
      <c r="P1446">
        <f>IF(B1474=0,0,O1446/B1474)</f>
        <v/>
      </c>
      <c r="Q1446">
        <f>IFERROR(1/(IF(Inputs!$B$38="pvp",15,MAX(0.1,Skills!D7-IF(Skills!E7=TRUE,Inputs!$B$32,0)))*(1-IF(AND(ArtifactsInput!$M$27,Inputs!$B$4="Chapter Hunt"),CHOOSE(ArtifactsInput!$N$27+1,20,24,28,32,36,40),0)/100)),0)</f>
        <v/>
      </c>
      <c r="R1446">
        <f>IF(AND(Inputs!$B$38&lt;&gt;"pvp",Inputs!$B$43&gt;0),IF(MAX(0,Inputs!$B$43-B1471)&lt;=0,0,(INT(MAX(0,Inputs!$B$43-B1471)/(IF(Inputs!$B$38="pvp",15,MAX(0.1,Skills!D7-IF(Skills!E7=TRUE,Inputs!$B$32,0)))*(1-IF(AND(ArtifactsInput!$M$27,Inputs!$B$4="Chapter Hunt"),CHOOSE(ArtifactsInput!$N$27+1,20,24,28,32,36,40),0)/100)))+1)),0)</f>
        <v/>
      </c>
      <c r="S1446">
        <f>IFERROR(O1446/N1446,0)</f>
        <v/>
      </c>
      <c r="T1446">
        <f>IF(C1446,(H1446*N1446*IF(AND(Inputs!$B$38&lt;&gt;"pvp",Inputs!$B$43&gt;0),((Skills!G7*((R1446-1)*IF(Skills!H7&gt;0,Skills!I7/Skills!H7,1)+IF(Skills!H7&gt;0,MIN(Skills!I7,MAX(0,MAX(0,Inputs!$B$43-B1471)-((R1446-1)*(IF(Inputs!$B$38="pvp",15,MAX(0.1,Skills!D7-IF(Skills!E7=TRUE,Inputs!$B$32,0)))*(1-IF(AND(ArtifactsInput!$M$27,Inputs!$B$4="Chapter Hunt"),CHOOSE(ArtifactsInput!$N$27+1,20,24,28,32,36,40),0)/100)))))/Skills!H7,1)))/Inputs!$B$43),G1446*Q1446)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1446*(1-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1446*(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1446*(1-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6">
        <f>IF(C1446,(H1446*N1446*IF(AND(Inputs!$B$38&lt;&gt;"pvp",Inputs!$B$43&gt;0),((Skills!G7*((R1446-1)*IF(Skills!H7&gt;0,Skills!I7/Skills!H7,1)+IF(Skills!H7&gt;0,MIN(Skills!I7,MAX(0,MAX(0,Inputs!$B$43-B1471)-((R1446-1)*(IF(Inputs!$B$38="pvp",15,MAX(0.1,Skills!D7-IF(Skills!E7=TRUE,Inputs!$B$32,0)))*(1-IF(AND(ArtifactsInput!$M$27,Inputs!$B$4="Chapter Hunt"),CHOOSE(ArtifactsInput!$N$27+1,20,24,28,32,36,40),0)/100)))))/Skills!H7,1)))/Inputs!$B$43),G1446*Q1446))*IF(Inputs!$B$38="pvp",1,(1+(Inputs!$B$21+Skills!Q7+(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Skills!A8</f>
        <v/>
      </c>
      <c r="B1447">
        <f>Skills!B8</f>
        <v/>
      </c>
      <c r="C1447">
        <f>Inputs!$B$3&gt;=110</f>
        <v/>
      </c>
      <c r="D1447">
        <f>IF(Skills!C8=1,60+Inputs!$B$25+Inputs!$B$29,IF(Skills!C8=2,90+Inputs!$B$26+Inputs!$B$29,IF(Skills!C8=3,120+Inputs!$B$27+Inputs!$B$29,MAX(0,(Inputs!$B$3-100)*3)+Inputs!$B$28+Inputs!$B$29)))</f>
        <v/>
      </c>
      <c r="E1447">
        <f>INDEX(FactorTable!$B$2:$Y$301, MATCH(ROUND(MIN(300,MAX(1,D1447)),0), FactorTable!$A$2:$A$301,0), Skills!M8+1)</f>
        <v/>
      </c>
      <c r="F1447">
        <f>IF(Skills!N8=TRUE,(Skills!L8/10)*(E1447/1000),Skills!L8/10)+Skills!O8</f>
        <v/>
      </c>
      <c r="G1447">
        <f>Skills!G8*IF(Skills!H8&gt;0,Skills!I8/Skills!H8,1)</f>
        <v/>
      </c>
      <c r="H1447">
        <f>1-(1-Skills!J8/100)^Skills!K8</f>
        <v/>
      </c>
      <c r="I1447" t="inlineStr">
        <is>
          <t>1</t>
        </is>
      </c>
      <c r="J1447">
        <f>((Inputs!$B$6*(1+Inputs!$B$7/100))+(((Inputs!$B$12*(1+Inputs!$B$13/100))-(Inputs!$B$12*(1+Inputs!$B$13/100)))+0.25*(Inputs!$B$14-Inputs!$B$14))*(1+Inputs!$B$7/100))*(F1447/100)</f>
        <v/>
      </c>
      <c r="K1447">
        <f>J1447*(1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C1459=TRUE)*(F1459-Calc!F20)),(Inputs!$B$23+0+(IF(ArtifactsInput!$M$15,CHOOSE(ArtifactsInput!$N$15+1,25,30,35,40,45,50)/100*(Inputs!$B$11-Inputs!$B$11),0))))/100+(Inputs!$B$23+0+(IF(ArtifactsInput!$M$15,CHOOSE(ArtifactsInput!$N$15+1,25,30,35,40,45,50)/100*(Inputs!$B$11-Inputs!$B$11),0)))/100)/2</f>
        <v/>
      </c>
      <c r="M1447">
        <f>L1447*(1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(1-Summary!$B$11)*T1447+Summary!$B$11*V1447</f>
        <v/>
      </c>
      <c r="P1447">
        <f>IF(B1474=0,0,O1447/B1474)</f>
        <v/>
      </c>
      <c r="Q1447">
        <f>IFERROR(1/(IF(Inputs!$B$38="pvp",15,MAX(0.1,Skills!D8-IF(Skills!E8=TRUE,Inputs!$B$32,0)))*(1-IF(AND(ArtifactsInput!$M$27,Inputs!$B$4="Chapter Hunt"),CHOOSE(ArtifactsInput!$N$27+1,20,24,28,32,36,40),0)/100)),0)</f>
        <v/>
      </c>
      <c r="R1447">
        <f>IF(AND(Inputs!$B$38&lt;&gt;"pvp",Inputs!$B$43&gt;0),IF(MAX(0,Inputs!$B$43-B1471)&lt;=0,0,(INT(MAX(0,Inputs!$B$43-B1471)/(IF(Inputs!$B$38="pvp",15,MAX(0.1,Skills!D8-IF(Skills!E8=TRUE,Inputs!$B$32,0)))*(1-IF(AND(ArtifactsInput!$M$27,Inputs!$B$4="Chapter Hunt"),CHOOSE(ArtifactsInput!$N$27+1,20,24,28,32,36,40),0)/100)))+1)),0)</f>
        <v/>
      </c>
      <c r="S1447">
        <f>IFERROR(O1447/N1447,0)</f>
        <v/>
      </c>
      <c r="T1447">
        <f>IF(C1447,(H1447*N1447*IF(AND(Inputs!$B$38&lt;&gt;"pvp",Inputs!$B$43&gt;0),((Skills!G8*((R1447-1)*IF(Skills!H8&gt;0,Skills!I8/Skills!H8,1)+IF(Skills!H8&gt;0,MIN(Skills!I8,MAX(0,MAX(0,Inputs!$B$43-B1471)-((R1447-1)*(IF(Inputs!$B$38="pvp",15,MAX(0.1,Skills!D8-IF(Skills!E8=TRUE,Inputs!$B$32,0)))*(1-IF(AND(ArtifactsInput!$M$27,Inputs!$B$4="Chapter Hunt"),CHOOSE(ArtifactsInput!$N$27+1,20,24,28,32,36,40),0)/100)))))/Skills!H8,1)))/Inputs!$B$43),G1447*Q1447)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1447*(1-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7">
        <f>IF(C1447,(H1447*N1447*IF(AND(Inputs!$B$38&lt;&gt;"pvp",Inputs!$B$43&gt;0),((Skills!G8*((R1447-1)*IF(Skills!H8&gt;0,Skills!I8/Skills!H8,1)+IF(Skills!H8&gt;0,MIN(Skills!I8,MAX(0,MAX(0,Inputs!$B$43-B1471)-((R1447-1)*(IF(Inputs!$B$38="pvp",15,MAX(0.1,Skills!D8-IF(Skills!E8=TRUE,Inputs!$B$32,0)))*(1-IF(AND(ArtifactsInput!$M$27,Inputs!$B$4="Chapter Hunt"),CHOOSE(ArtifactsInput!$N$27+1,20,24,28,32,36,40),0)/100)))))/Skills!H8,1)))/Inputs!$B$43),G1447*Q1447))*IF(Inputs!$B$38="pvp",1,(1+(Inputs!$B$21+Skills!Q8+(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Skills!A9</f>
        <v/>
      </c>
      <c r="B1448">
        <f>Skills!B9</f>
        <v/>
      </c>
      <c r="C1448">
        <f>Inputs!$B$3&gt;=110</f>
        <v/>
      </c>
      <c r="D1448">
        <f>IF(Skills!C9=1,60+Inputs!$B$25+Inputs!$B$29,IF(Skills!C9=2,90+Inputs!$B$26+Inputs!$B$29,IF(Skills!C9=3,120+Inputs!$B$27+Inputs!$B$29,MAX(0,(Inputs!$B$3-100)*3)+Inputs!$B$28+Inputs!$B$29)))</f>
        <v/>
      </c>
      <c r="E1448">
        <f>INDEX(FactorTable!$B$2:$Y$301, MATCH(ROUND(MIN(300,MAX(1,D1448)),0), FactorTable!$A$2:$A$301,0), Skills!M9+1)</f>
        <v/>
      </c>
      <c r="F1448">
        <f>IF(Skills!N9=TRUE,(Skills!L9/10)*(E1448/1000),Skills!L9/10)+Skills!O9</f>
        <v/>
      </c>
      <c r="G1448">
        <f>Skills!G9*IF(Skills!H9&gt;0,Skills!I9/Skills!H9,1)</f>
        <v/>
      </c>
      <c r="H1448">
        <f>1-(1-Skills!J9/100)^Skills!K9</f>
        <v/>
      </c>
      <c r="I1448" t="inlineStr">
        <is>
          <t>1</t>
        </is>
      </c>
      <c r="J1448">
        <f>((Inputs!$B$6*(1+Inputs!$B$7/100))+(((Inputs!$B$12*(1+Inputs!$B$13/100))-(Inputs!$B$12*(1+Inputs!$B$13/100)))+0.25*(Inputs!$B$14-Inputs!$B$14))*(1+Inputs!$B$7/100))*(F1448/100)</f>
        <v/>
      </c>
      <c r="K1448">
        <f>J1448*(1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1448)</f>
        <v/>
      </c>
      <c r="L1448">
        <f>K1448*(MIN(Inputs!$B$22+((C1459=TRUE)*(F1459-Calc!F20)),(Inputs!$B$23+0+(IF(ArtifactsInput!$M$15,CHOOSE(ArtifactsInput!$N$15+1,25,30,35,40,45,50)/100*(Inputs!$B$11-Inputs!$B$11),0))))/100+(Inputs!$B$23+0+(IF(ArtifactsInput!$M$15,CHOOSE(ArtifactsInput!$N$15+1,25,30,35,40,45,50)/100*(Inputs!$B$11-Inputs!$B$11),0)))/100)/2</f>
        <v/>
      </c>
      <c r="M1448">
        <f>L1448*(1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8">
        <f>L1448*(1-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1448*(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8">
        <f>(1-Summary!$B$11)*T1448+Summary!$B$11*V1448</f>
        <v/>
      </c>
      <c r="P1448">
        <f>IF(B1474=0,0,O1448/B1474)</f>
        <v/>
      </c>
      <c r="Q1448">
        <f>IFERROR(1/(IF(Inputs!$B$38="pvp",15,MAX(0.1,Skills!D9-IF(Skills!E9=TRUE,Inputs!$B$32,0)))*(1-IF(AND(ArtifactsInput!$M$27,Inputs!$B$4="Chapter Hunt"),CHOOSE(ArtifactsInput!$N$27+1,20,24,28,32,36,40),0)/100)),0)</f>
        <v/>
      </c>
      <c r="R1448">
        <f>IF(AND(Inputs!$B$38&lt;&gt;"pvp",Inputs!$B$43&gt;0),IF(MAX(0,Inputs!$B$43-B1471)&lt;=0,0,(INT(MAX(0,Inputs!$B$43-B1471)/(IF(Inputs!$B$38="pvp",15,MAX(0.1,Skills!D9-IF(Skills!E9=TRUE,Inputs!$B$32,0)))*(1-IF(AND(ArtifactsInput!$M$27,Inputs!$B$4="Chapter Hunt"),CHOOSE(ArtifactsInput!$N$27+1,20,24,28,32,36,40),0)/100)))+1)),0)</f>
        <v/>
      </c>
      <c r="S1448">
        <f>IFERROR(O1448/N1448,0)</f>
        <v/>
      </c>
      <c r="T1448">
        <f>IF(C1448,(H1448*N1448*IF(AND(Inputs!$B$38&lt;&gt;"pvp",Inputs!$B$43&gt;0),((Skills!G9*((R1448-1)*IF(Skills!H9&gt;0,Skills!I9/Skills!H9,1)+IF(Skills!H9&gt;0,MIN(Skills!I9,MAX(0,MAX(0,Inputs!$B$43-B1471)-((R1448-1)*(IF(Inputs!$B$38="pvp",15,MAX(0.1,Skills!D9-IF(Skills!E9=TRUE,Inputs!$B$32,0)))*(1-IF(AND(ArtifactsInput!$M$27,Inputs!$B$4="Chapter Hunt"),CHOOSE(ArtifactsInput!$N$27+1,20,24,28,32,36,40),0)/100)))))/Skills!H9,1)))/Inputs!$B$43),G1448*Q1448)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1448*(1-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1448*(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1448*(1-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1448*(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8">
        <f>IF(C1448,(H1448*N1448*IF(AND(Inputs!$B$38&lt;&gt;"pvp",Inputs!$B$43&gt;0),((Skills!G9*((R1448-1)*IF(Skills!H9&gt;0,Skills!I9/Skills!H9,1)+IF(Skills!H9&gt;0,MIN(Skills!I9,MAX(0,MAX(0,Inputs!$B$43-B1471)-((R1448-1)*(IF(Inputs!$B$38="pvp",15,MAX(0.1,Skills!D9-IF(Skills!E9=TRUE,Inputs!$B$32,0)))*(1-IF(AND(ArtifactsInput!$M$27,Inputs!$B$4="Chapter Hunt"),CHOOSE(ArtifactsInput!$N$27+1,20,24,28,32,36,40),0)/100)))))/Skills!H9,1)))/Inputs!$B$43),G1448*Q1448))*IF(Inputs!$B$38="pvp",1,(1+(Inputs!$B$21+Skills!Q9+(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9">
      <c r="A1449">
        <f>Skills!A10</f>
        <v/>
      </c>
      <c r="B1449">
        <f>Skills!B10</f>
        <v/>
      </c>
      <c r="C1449">
        <f>Inputs!$B$3&gt;=103</f>
        <v/>
      </c>
      <c r="D1449">
        <f>IF(Skills!C10=1,60+Inputs!$B$25+Inputs!$B$29,IF(Skills!C10=2,90+Inputs!$B$26+Inputs!$B$29,IF(Skills!C10=3,120+Inputs!$B$27+Inputs!$B$29,MAX(0,(Inputs!$B$3-100)*3)+Inputs!$B$28+Inputs!$B$29)))</f>
        <v/>
      </c>
      <c r="E1449">
        <f>INDEX(FactorTable!$B$2:$Y$301, MATCH(ROUND(MIN(300,MAX(1,D1449)),0), FactorTable!$A$2:$A$301,0), Skills!M10+1)</f>
        <v/>
      </c>
      <c r="F1449">
        <f>IF(Skills!N10=TRUE,(Skills!L10/10)*(E1449/1000),Skills!L10/10)+Skills!O10</f>
        <v/>
      </c>
      <c r="G1449">
        <f>Skills!G10*IF(Skills!H10&gt;0,Skills!I10/Skills!H10,1)</f>
        <v/>
      </c>
      <c r="H1449">
        <f>1-(1-Skills!J10/100)^Skills!K10</f>
        <v/>
      </c>
      <c r="I1449" t="inlineStr">
        <is>
          <t>1</t>
        </is>
      </c>
      <c r="J1449">
        <f>((Inputs!$B$6*(1+Inputs!$B$7/100))+(((Inputs!$B$12*(1+Inputs!$B$13/100))-(Inputs!$B$12*(1+Inputs!$B$13/100)))+0.25*(Inputs!$B$14-Inputs!$B$14))*(1+Inputs!$B$7/100))*(F1449/100)</f>
        <v/>
      </c>
      <c r="K1449">
        <f>J1449*(1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
      </c>
      <c r="L1449">
        <f>K1449*(MIN(Inputs!$B$22+((C1459=TRUE)*(F1459-Calc!F20)),(Inputs!$B$23+0+(IF(ArtifactsInput!$M$15,CHOOSE(ArtifactsInput!$N$15+1,25,30,35,40,45,50)/100*(Inputs!$B$11-Inputs!$B$11),0))))/100+(Inputs!$B$23+0+(IF(ArtifactsInput!$M$15,CHOOSE(ArtifactsInput!$N$15+1,25,30,35,40,45,50)/100*(Inputs!$B$11-Inputs!$B$11),0)))/100)/2</f>
        <v/>
      </c>
      <c r="M1449">
        <f>L1449*(1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9">
        <f>L1449*(1-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9">
        <f>(1-Summary!$B$11)*T1449+Summary!$B$11*V1449</f>
        <v/>
      </c>
      <c r="P1449">
        <f>IF(B1474=0,0,O1449/B1474)</f>
        <v/>
      </c>
      <c r="Q1449">
        <f>IFERROR(1/(IF(Inputs!$B$38="pvp",15,MAX(0.1,Skills!D10-IF(Skills!E10=TRUE,Inputs!$B$32,0)))*(1-IF(AND(ArtifactsInput!$M$27,Inputs!$B$4="Chapter Hunt"),CHOOSE(ArtifactsInput!$N$27+1,20,24,28,32,36,40),0)/100)),0)</f>
        <v/>
      </c>
      <c r="R1449">
        <f>IF(AND(Inputs!$B$38&lt;&gt;"pvp",Inputs!$B$43&gt;0),IF(MAX(0,Inputs!$B$43-B1471)&lt;=0,0,(INT(MAX(0,Inputs!$B$43-B1471)/(IF(Inputs!$B$38="pvp",15,MAX(0.1,Skills!D10-IF(Skills!E10=TRUE,Inputs!$B$32,0)))*(1-IF(AND(ArtifactsInput!$M$27,Inputs!$B$4="Chapter Hunt"),CHOOSE(ArtifactsInput!$N$27+1,20,24,28,32,36,40),0)/100)))+1)),0)</f>
        <v/>
      </c>
      <c r="S1449">
        <f>IFERROR(O1449/N1449,0)</f>
        <v/>
      </c>
      <c r="T1449">
        <f>IF(C1449,(H1449*N1449*IF(AND(Inputs!$B$38&lt;&gt;"pvp",Inputs!$B$43&gt;0),((Skills!G10*((R1449-1)*IF(Skills!H10&gt;0,Skills!I10/Skills!H10,1)+IF(Skills!H10&gt;0,MIN(Skills!I10,MAX(0,MAX(0,Inputs!$B$43-B1471)-((R1449-1)*(IF(Inputs!$B$38="pvp",15,MAX(0.1,Skills!D10-IF(Skills!E10=TRUE,Inputs!$B$32,0)))*(1-IF(AND(ArtifactsInput!$M$27,Inputs!$B$4="Chapter Hunt"),CHOOSE(ArtifactsInput!$N$27+1,20,24,28,32,36,40),0)/100)))))/Skills!H10,1)))/Inputs!$B$43),G1449*Q1449)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1449*(1-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9">
        <f>IF(C1449,(H1449*N1449*IF(AND(Inputs!$B$38&lt;&gt;"pvp",Inputs!$B$43&gt;0),((Skills!G10*((R1449-1)*IF(Skills!H10&gt;0,Skills!I10/Skills!H10,1)+IF(Skills!H10&gt;0,MIN(Skills!I10,MAX(0,MAX(0,Inputs!$B$43-B1471)-((R1449-1)*(IF(Inputs!$B$38="pvp",15,MAX(0.1,Skills!D10-IF(Skills!E10=TRUE,Inputs!$B$32,0)))*(1-IF(AND(ArtifactsInput!$M$27,Inputs!$B$4="Chapter Hunt"),CHOOSE(ArtifactsInput!$N$27+1,20,24,28,32,36,40),0)/100)))))/Skills!H10,1)))/Inputs!$B$43),G1449*Q1449))*IF(Inputs!$B$38="pvp",1,(1+(Inputs!$B$21+Skills!Q10+(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0">
      <c r="A1450">
        <f>Skills!A11</f>
        <v/>
      </c>
      <c r="B1450">
        <f>Skills!B11</f>
        <v/>
      </c>
      <c r="C1450">
        <f>Inputs!$B$3&gt;=113</f>
        <v/>
      </c>
      <c r="D1450">
        <f>IF(Skills!C11=1,60+Inputs!$B$25+Inputs!$B$29,IF(Skills!C11=2,90+Inputs!$B$26+Inputs!$B$29,IF(Skills!C11=3,120+Inputs!$B$27+Inputs!$B$29,MAX(0,(Inputs!$B$3-100)*3)+Inputs!$B$28+Inputs!$B$29)))</f>
        <v/>
      </c>
      <c r="E1450">
        <f>INDEX(FactorTable!$B$2:$Y$301, MATCH(ROUND(MIN(300,MAX(1,D1450)),0), FactorTable!$A$2:$A$301,0), Skills!M11+1)</f>
        <v/>
      </c>
      <c r="F1450">
        <f>IF(Skills!N11=TRUE,(Skills!L11/10)*(E1450/1000),Skills!L11/10)+Skills!O11</f>
        <v/>
      </c>
      <c r="G1450">
        <f>Skills!G11*IF(Skills!H11&gt;0,Skills!I11/Skills!H11,1)</f>
        <v/>
      </c>
      <c r="H1450">
        <f>1-(1-Skills!J11/100)^Skills!K11</f>
        <v/>
      </c>
      <c r="I1450" t="inlineStr">
        <is>
          <t>1</t>
        </is>
      </c>
      <c r="J1450">
        <f>((Inputs!$B$6*(1+Inputs!$B$7/100))+(((Inputs!$B$12*(1+Inputs!$B$13/100))-(Inputs!$B$12*(1+Inputs!$B$13/100)))+0.25*(Inputs!$B$14-Inputs!$B$14))*(1+Inputs!$B$7/100))*(F1450/100)</f>
        <v/>
      </c>
      <c r="K1450">
        <f>J1450*(1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1450)</f>
        <v/>
      </c>
      <c r="L1450">
        <f>K1450*(MIN(Inputs!$B$22+((C1459=TRUE)*(F1459-Calc!F20)),(Inputs!$B$23+0+(IF(ArtifactsInput!$M$15,CHOOSE(ArtifactsInput!$N$15+1,25,30,35,40,45,50)/100*(Inputs!$B$11-Inputs!$B$11),0))))/100+(Inputs!$B$23+0+(IF(ArtifactsInput!$M$15,CHOOSE(ArtifactsInput!$N$15+1,25,30,35,40,45,50)/100*(Inputs!$B$11-Inputs!$B$11),0)))/100)/2</f>
        <v/>
      </c>
      <c r="M1450">
        <f>L1450*(1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0">
        <f>L1450*(1-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1450*(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0">
        <f>(1-Summary!$B$11)*T1450+Summary!$B$11*V1450</f>
        <v/>
      </c>
      <c r="P1450">
        <f>IF(B1474=0,0,O1450/B1474)</f>
        <v/>
      </c>
      <c r="Q1450">
        <f>IFERROR(1/(IF(Inputs!$B$38="pvp",15,MAX(0.1,Skills!D11-IF(Skills!E11=TRUE,Inputs!$B$32,0)))*(1-IF(AND(ArtifactsInput!$M$27,Inputs!$B$4="Chapter Hunt"),CHOOSE(ArtifactsInput!$N$27+1,20,24,28,32,36,40),0)/100)),0)</f>
        <v/>
      </c>
      <c r="R1450">
        <f>IF(AND(Inputs!$B$38&lt;&gt;"pvp",Inputs!$B$43&gt;0),IF(MAX(0,Inputs!$B$43-B1471)&lt;=0,0,(INT(MAX(0,Inputs!$B$43-B1471)/(IF(Inputs!$B$38="pvp",15,MAX(0.1,Skills!D11-IF(Skills!E11=TRUE,Inputs!$B$32,0)))*(1-IF(AND(ArtifactsInput!$M$27,Inputs!$B$4="Chapter Hunt"),CHOOSE(ArtifactsInput!$N$27+1,20,24,28,32,36,40),0)/100)))+1)),0)</f>
        <v/>
      </c>
      <c r="S1450">
        <f>IFERROR(O1450/N1450,0)</f>
        <v/>
      </c>
      <c r="T1450">
        <f>IF(C1450,(H1450*N1450*IF(AND(Inputs!$B$38&lt;&gt;"pvp",Inputs!$B$43&gt;0),((Skills!G11*((R1450-1)*IF(Skills!H11&gt;0,Skills!I11/Skills!H11,1)+IF(Skills!H11&gt;0,MIN(Skills!I11,MAX(0,MAX(0,Inputs!$B$43-B1471)-((R1450-1)*(IF(Inputs!$B$38="pvp",15,MAX(0.1,Skills!D11-IF(Skills!E11=TRUE,Inputs!$B$32,0)))*(1-IF(AND(ArtifactsInput!$M$27,Inputs!$B$4="Chapter Hunt"),CHOOSE(ArtifactsInput!$N$27+1,20,24,28,32,36,40),0)/100)))))/Skills!H11,1)))/Inputs!$B$43),G1450*Q1450)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1450*(1-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1450*(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1450*(1-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1450*(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0">
        <f>IF(C1450,(H1450*N1450*IF(AND(Inputs!$B$38&lt;&gt;"pvp",Inputs!$B$43&gt;0),((Skills!G11*((R1450-1)*IF(Skills!H11&gt;0,Skills!I11/Skills!H11,1)+IF(Skills!H11&gt;0,MIN(Skills!I11,MAX(0,MAX(0,Inputs!$B$43-B1471)-((R1450-1)*(IF(Inputs!$B$38="pvp",15,MAX(0.1,Skills!D11-IF(Skills!E11=TRUE,Inputs!$B$32,0)))*(1-IF(AND(ArtifactsInput!$M$27,Inputs!$B$4="Chapter Hunt"),CHOOSE(ArtifactsInput!$N$27+1,20,24,28,32,36,40),0)/100)))))/Skills!H11,1)))/Inputs!$B$43),G1450*Q1450))*IF(Inputs!$B$38="pvp",1,(1+(Inputs!$B$21+Skills!Q11+(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1">
      <c r="A1451">
        <f>Skills!A12</f>
        <v/>
      </c>
      <c r="B1451">
        <f>Skills!B12</f>
        <v/>
      </c>
      <c r="C1451">
        <f>Inputs!$B$3&gt;=100</f>
        <v/>
      </c>
      <c r="D1451">
        <f>IF(Skills!C12=1,60+Inputs!$B$25+Inputs!$B$29,IF(Skills!C12=2,90+Inputs!$B$26+Inputs!$B$29,IF(Skills!C12=3,120+Inputs!$B$27+Inputs!$B$29,MAX(0,(Inputs!$B$3-100)*3)+Inputs!$B$28+Inputs!$B$29)))</f>
        <v/>
      </c>
      <c r="E1451">
        <f>INDEX(FactorTable!$B$2:$Y$301, MATCH(ROUND(MIN(300,MAX(1,D1451)),0), FactorTable!$A$2:$A$301,0), Skills!M12+1)</f>
        <v/>
      </c>
      <c r="F1451">
        <f>IF(Skills!N12=TRUE,(Skills!L12/10)*(E1451/1000),Skills!L12/10)+Skills!O12</f>
        <v/>
      </c>
      <c r="G1451" t="inlineStr"/>
      <c r="H1451" t="inlineStr"/>
      <c r="I1451" t="inlineStr">
        <is>
          <t>1</t>
        </is>
      </c>
      <c r="J1451" t="inlineStr"/>
      <c r="K1451" t="inlineStr"/>
      <c r="L1451" t="inlineStr"/>
      <c r="M1451" t="inlineStr"/>
      <c r="N1451" t="inlineStr"/>
      <c r="O1451" t="inlineStr"/>
      <c r="P1451" t="inlineStr"/>
      <c r="Q1451" t="inlineStr"/>
      <c r="R1451" t="inlineStr"/>
      <c r="S1451" t="inlineStr"/>
      <c r="T1451" t="inlineStr"/>
      <c r="V1451" t="inlineStr"/>
    </row>
    <row r="1452">
      <c r="A1452">
        <f>Skills!A13</f>
        <v/>
      </c>
      <c r="B1452">
        <f>Skills!B13</f>
        <v/>
      </c>
      <c r="C1452">
        <f>Inputs!$B$3&gt;=66</f>
        <v/>
      </c>
      <c r="D1452">
        <f>IF(Skills!C13=1,60+Inputs!$B$25+Inputs!$B$29,IF(Skills!C13=2,90+Inputs!$B$26+Inputs!$B$29,IF(Skills!C13=3,120+Inputs!$B$27+Inputs!$B$29,MAX(0,(Inputs!$B$3-100)*3)+Inputs!$B$28+Inputs!$B$29)))</f>
        <v/>
      </c>
      <c r="E1452">
        <f>INDEX(FactorTable!$B$2:$Y$301, MATCH(ROUND(MIN(300,MAX(1,D1452)),0), FactorTable!$A$2:$A$301,0), Skills!M13+1)</f>
        <v/>
      </c>
      <c r="F1452">
        <f>IF(Skills!N13=TRUE,(Skills!L13/10)*(E1452/1000),Skills!L13/10)+Skills!O13</f>
        <v/>
      </c>
      <c r="G1452">
        <f>Skills!G13*IF(Skills!H13&gt;0,Skills!I13/Skills!H13,1)</f>
        <v/>
      </c>
      <c r="H1452">
        <f>1-(1-Skills!J13/100)^Skills!K13</f>
        <v/>
      </c>
      <c r="I1452" t="inlineStr">
        <is>
          <t>1</t>
        </is>
      </c>
      <c r="J1452" t="inlineStr"/>
      <c r="K1452" t="inlineStr"/>
      <c r="L1452" t="inlineStr"/>
      <c r="M1452" t="inlineStr"/>
      <c r="N1452" t="inlineStr"/>
      <c r="O1452">
        <f>(1-Summary!$B$11)*T1452+Summary!$B$11*V1452</f>
        <v/>
      </c>
      <c r="P1452">
        <f>IF(B1474=0,0,O1452/B1474)</f>
        <v/>
      </c>
      <c r="Q1452" t="n">
        <v>0</v>
      </c>
      <c r="R1452" t="n">
        <v>0</v>
      </c>
      <c r="S1452">
        <f>IFERROR(O1452/N1452,0)</f>
        <v/>
      </c>
      <c r="T1452" t="n">
        <v>0</v>
      </c>
      <c r="V1452" t="n">
        <v>0</v>
      </c>
    </row>
    <row r="1453">
      <c r="A1453">
        <f>Skills!A14</f>
        <v/>
      </c>
      <c r="B1453">
        <f>Skills!B14</f>
        <v/>
      </c>
      <c r="C1453">
        <f>Inputs!$B$3&gt;=107</f>
        <v/>
      </c>
      <c r="D1453">
        <f>IF(Skills!C14=1,60+Inputs!$B$25+Inputs!$B$29,IF(Skills!C14=2,90+Inputs!$B$26+Inputs!$B$29,IF(Skills!C14=3,120+Inputs!$B$27+Inputs!$B$29,MAX(0,(Inputs!$B$3-100)*3)+Inputs!$B$28+Inputs!$B$29)))</f>
        <v/>
      </c>
      <c r="E1453">
        <f>INDEX(FactorTable!$B$2:$Y$301, MATCH(ROUND(MIN(300,MAX(1,D1453)),0), FactorTable!$A$2:$A$301,0), Skills!M14+1)</f>
        <v/>
      </c>
      <c r="F1453">
        <f>IF(Skills!N14=TRUE,(Skills!L14/10)*(E1453/1000),Skills!L14/10)+Skills!O14</f>
        <v/>
      </c>
      <c r="G1453">
        <f>Skills!G14*IF(Skills!H14&gt;0,Skills!I14/Skills!H14,1)</f>
        <v/>
      </c>
      <c r="H1453">
        <f>1-(1-Skills!J14/100)^Skills!K14</f>
        <v/>
      </c>
      <c r="I1453" t="inlineStr">
        <is>
          <t>1</t>
        </is>
      </c>
      <c r="J1453" t="inlineStr"/>
      <c r="K1453" t="inlineStr"/>
      <c r="L1453" t="inlineStr"/>
      <c r="M1453" t="inlineStr"/>
      <c r="N1453" t="inlineStr"/>
      <c r="O1453">
        <f>(1-Summary!$B$11)*T1453+Summary!$B$11*V1453</f>
        <v/>
      </c>
      <c r="P1453">
        <f>IF(B1474=0,0,O1453/B1474)</f>
        <v/>
      </c>
      <c r="Q1453" t="n">
        <v>0</v>
      </c>
      <c r="R1453" t="n">
        <v>0</v>
      </c>
      <c r="S1453">
        <f>IFERROR(O1453/N1453,0)</f>
        <v/>
      </c>
      <c r="T1453" t="n">
        <v>0</v>
      </c>
      <c r="V1453" t="n">
        <v>0</v>
      </c>
    </row>
    <row r="1454">
      <c r="A1454">
        <f>Skills!A15</f>
        <v/>
      </c>
      <c r="B1454">
        <f>Skills!B15</f>
        <v/>
      </c>
      <c r="C1454">
        <f>Inputs!$B$3&gt;=115</f>
        <v/>
      </c>
      <c r="D1454">
        <f>IF(Skills!C15=1,60+Inputs!$B$25+Inputs!$B$29,IF(Skills!C15=2,90+Inputs!$B$26+Inputs!$B$29,IF(Skills!C15=3,120+Inputs!$B$27+Inputs!$B$29,MAX(0,(Inputs!$B$3-100)*3)+Inputs!$B$28+Inputs!$B$29)))</f>
        <v/>
      </c>
      <c r="E1454">
        <f>INDEX(FactorTable!$B$2:$Y$301, MATCH(ROUND(MIN(300,MAX(1,D1454)),0), FactorTable!$A$2:$A$301,0), Skills!M15+1)</f>
        <v/>
      </c>
      <c r="F1454">
        <f>IF(Skills!N15=TRUE,(Skills!L15/10)*(E1454/1000),Skills!L15/10)+Skills!O15</f>
        <v/>
      </c>
      <c r="G1454">
        <f>Skills!G15*IF(Skills!H15&gt;0,Skills!I15/Skills!H15,1)</f>
        <v/>
      </c>
      <c r="H1454">
        <f>1-(1-Skills!J15/100)^Skills!K15</f>
        <v/>
      </c>
      <c r="I1454" t="inlineStr">
        <is>
          <t>1</t>
        </is>
      </c>
      <c r="J1454" t="inlineStr"/>
      <c r="K1454" t="inlineStr"/>
      <c r="L1454" t="inlineStr"/>
      <c r="M1454" t="inlineStr"/>
      <c r="N1454" t="inlineStr"/>
      <c r="O1454">
        <f>(1-Summary!$B$11)*T1454+Summary!$B$11*V1454</f>
        <v/>
      </c>
      <c r="P1454">
        <f>IF(B1474=0,0,O1454/B1474)</f>
        <v/>
      </c>
      <c r="Q1454" t="n">
        <v>0</v>
      </c>
      <c r="R1454" t="n">
        <v>0</v>
      </c>
      <c r="S1454">
        <f>IFERROR(O1454/N1454,0)</f>
        <v/>
      </c>
      <c r="T1454" t="n">
        <v>0</v>
      </c>
      <c r="V1454" t="n">
        <v>0</v>
      </c>
    </row>
    <row r="1455">
      <c r="A1455">
        <f>Skills!A16</f>
        <v/>
      </c>
      <c r="B1455">
        <f>Skills!B16</f>
        <v/>
      </c>
      <c r="C1455">
        <f>Inputs!$B$3&gt;=15</f>
        <v/>
      </c>
      <c r="D1455">
        <f>IF(Skills!C16=1,60+Inputs!$B$25+Inputs!$B$29,IF(Skills!C16=2,90+Inputs!$B$26+Inputs!$B$29,IF(Skills!C16=3,120+Inputs!$B$27+Inputs!$B$29,MAX(0,(Inputs!$B$3-100)*3)+Inputs!$B$28+Inputs!$B$29)))</f>
        <v/>
      </c>
      <c r="E1455">
        <f>INDEX(FactorTable!$B$2:$Y$301, MATCH(ROUND(MIN(300,MAX(1,D1455)),0), FactorTable!$A$2:$A$301,0), Skills!M16+1)</f>
        <v/>
      </c>
      <c r="F1455">
        <f>IF(Skills!N16=TRUE,(Skills!L16/10)*(E1455/1000),Skills!L16/10)+Skills!O16</f>
        <v/>
      </c>
      <c r="G1455">
        <f>Skills!G16*IF(Skills!H16&gt;0,Skills!I16/Skills!H16,1)</f>
        <v/>
      </c>
      <c r="H1455">
        <f>1-(1-Skills!J16/100)^Skills!K16</f>
        <v/>
      </c>
      <c r="I1455" t="inlineStr">
        <is>
          <t>1</t>
        </is>
      </c>
      <c r="J1455" t="inlineStr"/>
      <c r="K1455" t="inlineStr"/>
      <c r="L1455" t="inlineStr"/>
      <c r="M1455" t="inlineStr"/>
      <c r="N1455" t="inlineStr"/>
      <c r="O1455">
        <f>(1-Summary!$B$11)*T1455+Summary!$B$11*V1455</f>
        <v/>
      </c>
      <c r="P1455">
        <f>IF(B1474=0,0,O1455/B1474)</f>
        <v/>
      </c>
      <c r="Q1455" t="n">
        <v>0</v>
      </c>
      <c r="R1455" t="n">
        <v>0</v>
      </c>
      <c r="S1455">
        <f>IFERROR(O1455/N1455,0)</f>
        <v/>
      </c>
      <c r="T1455" t="n">
        <v>0</v>
      </c>
      <c r="V1455" t="n">
        <v>0</v>
      </c>
    </row>
    <row r="1456">
      <c r="A1456">
        <f>Skills!A17</f>
        <v/>
      </c>
      <c r="B1456">
        <f>Skills!B17</f>
        <v/>
      </c>
      <c r="C1456">
        <f>Inputs!$B$3&gt;=10</f>
        <v/>
      </c>
      <c r="D1456">
        <f>IF(Skills!C17=1,60+Inputs!$B$25+Inputs!$B$29,IF(Skills!C17=2,90+Inputs!$B$26+Inputs!$B$29,IF(Skills!C17=3,120+Inputs!$B$27+Inputs!$B$29,MAX(0,(Inputs!$B$3-100)*3)+Inputs!$B$28+Inputs!$B$29)))</f>
        <v/>
      </c>
      <c r="E1456">
        <f>INDEX(FactorTable!$B$2:$Y$301, MATCH(ROUND(MIN(300,MAX(1,D1456)),0), FactorTable!$A$2:$A$301,0), Skills!M17+1)</f>
        <v/>
      </c>
      <c r="F1456">
        <f>IF(Skills!N17=TRUE,(Skills!L17/10)*(E1456/1000),Skills!L17/10)+Skills!O17</f>
        <v/>
      </c>
      <c r="G1456">
        <f>Skills!G17*IF(Skills!H17&gt;0,Skills!I17/Skills!H17,1)</f>
        <v/>
      </c>
      <c r="H1456">
        <f>1-(1-Skills!J17/100)^Skills!K17</f>
        <v/>
      </c>
      <c r="I1456" t="inlineStr">
        <is>
          <t>1</t>
        </is>
      </c>
      <c r="J1456" t="inlineStr"/>
      <c r="K1456" t="inlineStr"/>
      <c r="L1456" t="inlineStr"/>
      <c r="M1456" t="inlineStr"/>
      <c r="N1456" t="inlineStr"/>
      <c r="O1456">
        <f>(1-Summary!$B$11)*T1456+Summary!$B$11*V1456</f>
        <v/>
      </c>
      <c r="P1456">
        <f>IF(B1474=0,0,O1456/B1474)</f>
        <v/>
      </c>
      <c r="Q1456" t="n">
        <v>0</v>
      </c>
      <c r="R1456" t="n">
        <v>0</v>
      </c>
      <c r="S1456">
        <f>IFERROR(O1456/N1456,0)</f>
        <v/>
      </c>
      <c r="T1456" t="n">
        <v>0</v>
      </c>
      <c r="V1456" t="n">
        <v>0</v>
      </c>
    </row>
    <row r="1457">
      <c r="A1457">
        <f>Skills!A18</f>
        <v/>
      </c>
      <c r="B1457">
        <f>Skills!B18</f>
        <v/>
      </c>
      <c r="C1457">
        <f>Inputs!$B$3&gt;=33</f>
        <v/>
      </c>
      <c r="D1457">
        <f>IF(Skills!C18=1,60+Inputs!$B$25+Inputs!$B$29,IF(Skills!C18=2,90+Inputs!$B$26+Inputs!$B$29,IF(Skills!C18=3,120+Inputs!$B$27+Inputs!$B$29,MAX(0,(Inputs!$B$3-100)*3)+Inputs!$B$28+Inputs!$B$29)))</f>
        <v/>
      </c>
      <c r="E1457">
        <f>INDEX(FactorTable!$B$2:$Y$301, MATCH(ROUND(MIN(300,MAX(1,D1457)),0), FactorTable!$A$2:$A$301,0), Skills!M18+1)</f>
        <v/>
      </c>
      <c r="F1457">
        <f>IF(Skills!N18=TRUE,(Skills!L18/10)*(E1457/1000),Skills!L18/10)+Skills!O18</f>
        <v/>
      </c>
      <c r="G1457">
        <f>Skills!G18*IF(Skills!H18&gt;0,Skills!I18/Skills!H18,1)</f>
        <v/>
      </c>
      <c r="H1457">
        <f>1-(1-Skills!J18/100)^Skills!K18</f>
        <v/>
      </c>
      <c r="I1457" t="inlineStr">
        <is>
          <t>1</t>
        </is>
      </c>
      <c r="J1457" t="inlineStr"/>
      <c r="K1457" t="inlineStr"/>
      <c r="L1457" t="inlineStr"/>
      <c r="M1457" t="inlineStr"/>
      <c r="N1457" t="inlineStr"/>
      <c r="O1457">
        <f>(1-Summary!$B$11)*T1457+Summary!$B$11*V1457</f>
        <v/>
      </c>
      <c r="P1457">
        <f>IF(B1474=0,0,O1457/B1474)</f>
        <v/>
      </c>
      <c r="Q1457" t="n">
        <v>0</v>
      </c>
      <c r="R1457" t="n">
        <v>0</v>
      </c>
      <c r="S1457">
        <f>IFERROR(O1457/N1457,0)</f>
        <v/>
      </c>
      <c r="T1457" t="n">
        <v>0</v>
      </c>
      <c r="V1457" t="n">
        <v>0</v>
      </c>
    </row>
    <row r="1458">
      <c r="A1458">
        <f>Skills!A19</f>
        <v/>
      </c>
      <c r="B1458">
        <f>Skills!B19</f>
        <v/>
      </c>
      <c r="C1458">
        <f>Inputs!$B$3&gt;=40</f>
        <v/>
      </c>
      <c r="D1458">
        <f>IF(Skills!C19=1,60+Inputs!$B$25+Inputs!$B$29,IF(Skills!C19=2,90+Inputs!$B$26+Inputs!$B$29,IF(Skills!C19=3,120+Inputs!$B$27+Inputs!$B$29,MAX(0,(Inputs!$B$3-100)*3)+Inputs!$B$28+Inputs!$B$29)))</f>
        <v/>
      </c>
      <c r="E1458">
        <f>INDEX(FactorTable!$B$2:$Y$301, MATCH(ROUND(MIN(300,MAX(1,D1458)),0), FactorTable!$A$2:$A$301,0), Skills!M19+1)</f>
        <v/>
      </c>
      <c r="F1458">
        <f>IF(Skills!N19=TRUE,(Skills!L19/10)*(E1458/1000),Skills!L19/10)+Skills!O19</f>
        <v/>
      </c>
      <c r="G1458">
        <f>Skills!G19*IF(Skills!H19&gt;0,Skills!I19/Skills!H19,1)</f>
        <v/>
      </c>
      <c r="H1458">
        <f>1-(1-Skills!J19/100)^Skills!K19</f>
        <v/>
      </c>
      <c r="I1458" t="inlineStr">
        <is>
          <t>1</t>
        </is>
      </c>
      <c r="J1458" t="inlineStr"/>
      <c r="K1458" t="inlineStr"/>
      <c r="L1458" t="inlineStr"/>
      <c r="M1458" t="inlineStr"/>
      <c r="N1458" t="inlineStr"/>
      <c r="O1458">
        <f>(1-Summary!$B$11)*T1458+Summary!$B$11*V1458</f>
        <v/>
      </c>
      <c r="P1458">
        <f>IF(B1474=0,0,O1458/B1474)</f>
        <v/>
      </c>
      <c r="Q1458" t="n">
        <v>0</v>
      </c>
      <c r="R1458" t="n">
        <v>0</v>
      </c>
      <c r="S1458">
        <f>IFERROR(O1458/N1458,0)</f>
        <v/>
      </c>
      <c r="T1458" t="n">
        <v>0</v>
      </c>
      <c r="V1458" t="n">
        <v>0</v>
      </c>
    </row>
    <row r="1459">
      <c r="A1459">
        <f>Skills!A20</f>
        <v/>
      </c>
      <c r="B1459">
        <f>Skills!B20</f>
        <v/>
      </c>
      <c r="C1459">
        <f>Inputs!$B$3&gt;=43</f>
        <v/>
      </c>
      <c r="D1459">
        <f>IF(Skills!C20=1,60+Inputs!$B$25+Inputs!$B$29,IF(Skills!C20=2,90+Inputs!$B$26+Inputs!$B$29,IF(Skills!C20=3,120+Inputs!$B$27+Inputs!$B$29,MAX(0,(Inputs!$B$3-100)*3)+Inputs!$B$28+Inputs!$B$29)))</f>
        <v/>
      </c>
      <c r="E1459">
        <f>INDEX(FactorTable!$B$2:$Y$301, MATCH(ROUND(MIN(300,MAX(1,D1459)),0), FactorTable!$A$2:$A$301,0), Skills!M20+1)</f>
        <v/>
      </c>
      <c r="F1459">
        <f>IF(Skills!N20=TRUE,(Skills!L20/10)*(E1459/1000),Skills!L20/10)+Skills!O20</f>
        <v/>
      </c>
      <c r="G1459">
        <f>Skills!G20*IF(Skills!H20&gt;0,Skills!I20/Skills!H20,1)</f>
        <v/>
      </c>
      <c r="H1459">
        <f>1-(1-Skills!J20/100)^Skills!K20</f>
        <v/>
      </c>
      <c r="I1459" t="inlineStr">
        <is>
          <t>1</t>
        </is>
      </c>
      <c r="J1459" t="inlineStr"/>
      <c r="K1459" t="inlineStr"/>
      <c r="L1459" t="inlineStr"/>
      <c r="M1459" t="inlineStr"/>
      <c r="N1459" t="inlineStr"/>
      <c r="O1459">
        <f>(1-Summary!$B$11)*T1459+Summary!$B$11*V1459</f>
        <v/>
      </c>
      <c r="P1459">
        <f>IF(B1474=0,0,O1459/B1474)</f>
        <v/>
      </c>
      <c r="Q1459" t="n">
        <v>0</v>
      </c>
      <c r="R1459" t="n">
        <v>0</v>
      </c>
      <c r="S1459">
        <f>IFERROR(O1459/N1459,0)</f>
        <v/>
      </c>
      <c r="T1459" t="n">
        <v>0</v>
      </c>
      <c r="V1459" t="n">
        <v>0</v>
      </c>
    </row>
    <row r="1460">
      <c r="A1460">
        <f>Skills!A21</f>
        <v/>
      </c>
      <c r="B1460">
        <f>Skills!B21</f>
        <v/>
      </c>
      <c r="C1460">
        <f>Inputs!$B$3&gt;=38</f>
        <v/>
      </c>
      <c r="D1460">
        <f>IF(Skills!C21=1,60+Inputs!$B$25+Inputs!$B$29,IF(Skills!C21=2,90+Inputs!$B$26+Inputs!$B$29,IF(Skills!C21=3,120+Inputs!$B$27+Inputs!$B$29,MAX(0,(Inputs!$B$3-100)*3)+Inputs!$B$28+Inputs!$B$29)))</f>
        <v/>
      </c>
      <c r="E1460">
        <f>INDEX(FactorTable!$B$2:$Y$301, MATCH(ROUND(MIN(300,MAX(1,D1460)),0), FactorTable!$A$2:$A$301,0), Skills!M21+1)</f>
        <v/>
      </c>
      <c r="F1460">
        <f>IF(Skills!N21=TRUE,(Skills!L21/10)*(E1460/1000),Skills!L21/10)+Skills!O21</f>
        <v/>
      </c>
      <c r="G1460">
        <f>Skills!G21*IF(Skills!H21&gt;0,Skills!I21/Skills!H21,1)</f>
        <v/>
      </c>
      <c r="H1460">
        <f>1-(1-Skills!J21/100)^Skills!K21</f>
        <v/>
      </c>
      <c r="I1460" t="inlineStr">
        <is>
          <t>1</t>
        </is>
      </c>
      <c r="J1460" t="inlineStr"/>
      <c r="K1460" t="inlineStr"/>
      <c r="L1460" t="inlineStr"/>
      <c r="M1460" t="inlineStr"/>
      <c r="N1460" t="inlineStr"/>
      <c r="O1460">
        <f>(1-Summary!$B$11)*T1460+Summary!$B$11*V1460</f>
        <v/>
      </c>
      <c r="P1460">
        <f>IF(B1474=0,0,O1460/B1474)</f>
        <v/>
      </c>
      <c r="Q1460" t="n">
        <v>0</v>
      </c>
      <c r="R1460" t="n">
        <v>0</v>
      </c>
      <c r="S1460">
        <f>IFERROR(O1460/N1460,0)</f>
        <v/>
      </c>
      <c r="T1460" t="n">
        <v>0</v>
      </c>
      <c r="V1460" t="n">
        <v>0</v>
      </c>
    </row>
    <row r="1461">
      <c r="A1461">
        <f>Skills!A22</f>
        <v/>
      </c>
      <c r="B1461">
        <f>Skills!B22</f>
        <v/>
      </c>
      <c r="C1461">
        <f>Inputs!$B$3&gt;=75</f>
        <v/>
      </c>
      <c r="D1461">
        <f>IF(Skills!C22=1,60+Inputs!$B$25+Inputs!$B$29,IF(Skills!C22=2,90+Inputs!$B$26+Inputs!$B$29,IF(Skills!C22=3,120+Inputs!$B$27+Inputs!$B$29,MAX(0,(Inputs!$B$3-100)*3)+Inputs!$B$28+Inputs!$B$29)))</f>
        <v/>
      </c>
      <c r="E1461">
        <f>INDEX(FactorTable!$B$2:$Y$301, MATCH(ROUND(MIN(300,MAX(1,D1461)),0), FactorTable!$A$2:$A$301,0), Skills!M22+1)</f>
        <v/>
      </c>
      <c r="F1461">
        <f>IF(Skills!N22=TRUE,(Skills!L22/10)*(E1461/1000),Skills!L22/10)+Skills!O22</f>
        <v/>
      </c>
      <c r="G1461">
        <f>Skills!G22*IF(Skills!H22&gt;0,Skills!I22/Skills!H22,1)</f>
        <v/>
      </c>
      <c r="H1461">
        <f>1-(1-Skills!J22/100)^Skills!K22</f>
        <v/>
      </c>
      <c r="I1461" t="inlineStr">
        <is>
          <t>1</t>
        </is>
      </c>
      <c r="J1461" t="inlineStr"/>
      <c r="K1461" t="inlineStr"/>
      <c r="L1461" t="inlineStr"/>
      <c r="M1461" t="inlineStr"/>
      <c r="N1461" t="inlineStr"/>
      <c r="O1461">
        <f>(1-Summary!$B$11)*T1461+Summary!$B$11*V1461</f>
        <v/>
      </c>
      <c r="P1461">
        <f>IF(B1474=0,0,O1461/B1474)</f>
        <v/>
      </c>
      <c r="Q1461" t="n">
        <v>0</v>
      </c>
      <c r="R1461" t="n">
        <v>0</v>
      </c>
      <c r="S1461">
        <f>IFERROR(O1461/N1461,0)</f>
        <v/>
      </c>
      <c r="T1461" t="n">
        <v>0</v>
      </c>
      <c r="V1461" t="n">
        <v>0</v>
      </c>
    </row>
    <row r="1463">
      <c r="A1463" t="inlineStr">
        <is>
          <t>Attack% Bucket Multiplier</t>
        </is>
      </c>
      <c r="B1463">
        <f>(1+(((C1452=TRUE)*F1452)+((C1458=TRUE)*(F1458-Calc!F19))+(IF(ArtifactsInput!$M$21,CHOOSE(ArtifactsInput!$N$21+1,25,30,35,40,45,50)*(IF(OR(Inputs!$B$4="Chapter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4">
      <c r="A1464" t="inlineStr">
        <is>
          <t>Global Crit Rate Bonus %</t>
        </is>
      </c>
      <c r="B1464" t="n">
        <v>0</v>
      </c>
    </row>
    <row r="1465">
      <c r="A1465" t="inlineStr">
        <is>
          <t>Attack Speed Buff Bonus % (unused)</t>
        </is>
      </c>
      <c r="B1465" t="n">
        <v>0</v>
      </c>
    </row>
    <row r="1466">
      <c r="A1466" t="inlineStr">
        <is>
          <t>Actions Per Second</t>
        </is>
      </c>
      <c r="B1466">
        <f>1+MIN(150,150*(1-(1-(Inputs!$B$11+((C1456=TRUE)*(F1456-Calc!F17))+((C1457=TRUE)*(F1457-Calc!F18)))/150)*(1-B1465/150)))/100</f>
        <v/>
      </c>
    </row>
    <row r="1467">
      <c r="A1467" t="inlineStr">
        <is>
          <t>Skill + Buff Cast Rate</t>
        </is>
      </c>
      <c r="B1467">
        <f>IF(AND(Inputs!$B$38&lt;&gt;"pvp",Inputs!$B$43&gt;0),SUMPRODUCT((Skills!E2:E22=TRUE)*(C1441:C1461=TRUE)*R1441:R1461*Skills!F2:F22)/Inputs!$B$43,SUMPRODUCT((Skills!E2:E22=TRUE)*(C1441:C1461=TRUE)*Q1441:Q1461*Skills!F2:F22))</f>
        <v/>
      </c>
    </row>
    <row r="1468">
      <c r="A1468" t="inlineStr">
        <is>
          <t>Hook Bomber Casts Per Second</t>
        </is>
      </c>
      <c r="B1468">
        <f>MAX(0,B1466-B1467)</f>
        <v/>
      </c>
    </row>
    <row r="1469">
      <c r="A1469" t="inlineStr">
        <is>
          <t>Global Critical Damage Bonus % (unused)</t>
        </is>
      </c>
      <c r="B1469" t="n">
        <v>0</v>
      </c>
    </row>
    <row r="1470">
      <c r="A1470" t="inlineStr">
        <is>
          <t>Global Final Damage Bonus % (Serpent Scale + Crossbones + Time Leap + Speed Infusion)</t>
        </is>
      </c>
      <c r="B1470">
        <f>((C1444=TRUE)*F1444*((10+IF(Inputs!$B$3&gt;=94,5,0))/((10+IF(Inputs!$B$3&gt;=94,5,0))+5/(B1468*(1+IF(Inputs!$B$3&gt;=104,1,0))))))+((C1453=TRUE)*F1453)+((C1454=TRUE)*F1454)+((Inputs!$B$3&gt;=110)*20*(B1466-1))</f>
        <v/>
      </c>
    </row>
    <row r="1471">
      <c r="A1471" t="inlineStr">
        <is>
          <t>Buff-Casting Startup Delay (s, fixed-duration only)</t>
        </is>
      </c>
      <c r="B1471">
        <f>IF(AND(Inputs!$B$38&lt;&gt;"pvp",Inputs!$B$43&gt;0),SUMPRODUCT((Skills!T2:T22&gt;0)*(Skills!E2:E22=TRUE)*(C1441:C1461=TRUE))/B1466,0)</f>
        <v/>
      </c>
    </row>
    <row r="1472">
      <c r="A1472" t="inlineStr">
        <is>
          <t>Boss-Only Total DPS (this block's swept value)</t>
        </is>
      </c>
      <c r="B1472">
        <f>SUM(T1441:T1461)</f>
        <v/>
      </c>
    </row>
    <row r="1473">
      <c r="A1473" t="inlineStr">
        <is>
          <t>Normal-Only Total DPS (this block's swept value)</t>
        </is>
      </c>
      <c r="B1473">
        <f>SUM(V1441:V1461)</f>
        <v/>
      </c>
    </row>
    <row r="1474">
      <c r="A1474" s="6" t="inlineStr">
        <is>
          <t>TOTAL DPS</t>
        </is>
      </c>
      <c r="B1474" s="6">
        <f>SUM(O1441:O1461)</f>
        <v/>
      </c>
    </row>
    <row r="1477">
      <c r="A1477" s="6" t="inlineStr">
        <is>
          <t>Stat: Horntail's Scale (Equip)</t>
        </is>
      </c>
    </row>
    <row r="1478">
      <c r="A1478" s="5" t="inlineStr">
        <is>
          <t>Key</t>
        </is>
      </c>
      <c r="B1478" s="5" t="inlineStr">
        <is>
          <t>Name</t>
        </is>
      </c>
      <c r="C1478" s="5" t="inlineStr">
        <is>
          <t>Unlocked</t>
        </is>
      </c>
      <c r="D1478" s="5" t="inlineStr">
        <is>
          <t>InputLevel</t>
        </is>
      </c>
      <c r="E1478" s="5" t="inlineStr">
        <is>
          <t>Factor</t>
        </is>
      </c>
      <c r="F1478" s="5" t="inlineStr">
        <is>
          <t>CoefficientPercent</t>
        </is>
      </c>
      <c r="G1478" s="5" t="inlineStr">
        <is>
          <t>EffectiveHits</t>
        </is>
      </c>
      <c r="H1478" s="5" t="inlineStr">
        <is>
          <t>ProcProbability</t>
        </is>
      </c>
      <c r="I1478" s="5" t="inlineStr">
        <is>
          <t>MapleHeroMultiplier</t>
        </is>
      </c>
      <c r="J1478" s="5" t="inlineStr">
        <is>
          <t>BaseDamage</t>
        </is>
      </c>
      <c r="K1478" s="5" t="inlineStr">
        <is>
          <t>BaseHitDamage</t>
        </is>
      </c>
      <c r="L1478" s="5" t="inlineStr">
        <is>
          <t>NonCritAvg</t>
        </is>
      </c>
      <c r="M1478" s="5" t="inlineStr">
        <is>
          <t>CritAvg</t>
        </is>
      </c>
      <c r="N1478" s="5" t="inlineStr">
        <is>
          <t>ExpectedDamage(perHit)</t>
        </is>
      </c>
      <c r="O1478" s="5" t="inlineStr">
        <is>
          <t>DPS</t>
        </is>
      </c>
      <c r="P1478" s="5" t="inlineStr">
        <is>
          <t>% of Total</t>
        </is>
      </c>
      <c r="Q1478" s="5" t="inlineStr">
        <is>
          <t>InvCooldown</t>
        </is>
      </c>
      <c r="R1478" s="5" t="inlineStr">
        <is>
          <t>CastsInFight</t>
        </is>
      </c>
      <c r="S1478" s="5" t="inlineStr">
        <is>
          <t>HitRate(perSec)</t>
        </is>
      </c>
      <c r="U1478" t="inlineStr">
        <is>
          <t>helpers</t>
        </is>
      </c>
    </row>
    <row r="1479">
      <c r="A1479">
        <f>Skills!A2</f>
        <v/>
      </c>
      <c r="B1479">
        <f>Skills!B2</f>
        <v/>
      </c>
      <c r="C1479">
        <f>Inputs!$B$3&gt;=100</f>
        <v/>
      </c>
      <c r="D1479" t="inlineStr"/>
      <c r="E1479" t="inlineStr"/>
      <c r="F1479">
        <f>U1481+Skills!O2</f>
        <v/>
      </c>
      <c r="G1479">
        <f>Skills!G2*IF(Skills!H2&gt;0,Skills!I2/Skills!H2,1)</f>
        <v/>
      </c>
      <c r="H1479">
        <f>1-(1-Skills!J2/100)^Skills!K2</f>
        <v/>
      </c>
      <c r="I1479" t="inlineStr">
        <is>
          <t>1</t>
        </is>
      </c>
      <c r="J1479">
        <f>((Inputs!$B$6*(1+Inputs!$B$7/100))+(((Inputs!$B$12*(1+Inputs!$B$13/100))-(Inputs!$B$12*(1+Inputs!$B$13/100)))+0.25*(Inputs!$B$14-Inputs!$B$14))*(1+Inputs!$B$7/100))*(F1479/100)</f>
        <v/>
      </c>
      <c r="K1479">
        <f>J1479*(1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C1497=TRUE)*(F1497-Calc!F20)),(Inputs!$B$23+0+(IF(ArtifactsInput!$M$15,CHOOSE(ArtifactsInput!$N$15+1,25,30,35,40,45,50)/100*(Inputs!$B$11-Inputs!$B$11),0))))/100+(Inputs!$B$23+0+(IF(ArtifactsInput!$M$15,CHOOSE(ArtifactsInput!$N$15+1,25,30,35,40,45,50)/100*(Inputs!$B$11-Inputs!$B$11),0)))/100)/2</f>
        <v/>
      </c>
      <c r="M1479">
        <f>L1479*(1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(1-Summary!$B$11)*T1479+Summary!$B$11*V1479</f>
        <v/>
      </c>
      <c r="P1479">
        <f>IF(B1512=0,0,O1479/B1512)</f>
        <v/>
      </c>
      <c r="Q1479" t="n">
        <v>0</v>
      </c>
      <c r="R1479" t="n">
        <v>0</v>
      </c>
      <c r="S1479">
        <f>IFERROR(O1479/N1479,0)</f>
        <v/>
      </c>
      <c r="T1479">
        <f>IF(C1479,(Skills!G2*N1479*B1506)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1479*(1-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9">
        <f>MAX(0,(Inputs!$B$3-100)*3)+Inputs!$B$28+Inputs!$B$29</f>
        <v/>
      </c>
      <c r="V1479">
        <f>IF(C1479,(Skills!G2*N1479*B1506)*IF(Inputs!$B$38="pvp",1,(1+(Inputs!$B$21+Skills!Q2+(IF(ArtifactsInput!$M$33,CHOOSE(ArtifactsInput!$N$33+1,30,36,42,48,54,60),0))+(IF(AND(ArtifactsInput!$M$35,Inputs!$B$4&lt;&gt;"Chapter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Skills!A3</f>
        <v/>
      </c>
      <c r="B1480">
        <f>Skills!B3</f>
        <v/>
      </c>
      <c r="C1480">
        <f>Inputs!$B$3&gt;=35</f>
        <v/>
      </c>
      <c r="D1480">
        <f>IF(Skills!C3=1,60+Inputs!$B$25+Inputs!$B$29,IF(Skills!C3=2,90+Inputs!$B$26+Inputs!$B$29,IF(Skills!C3=3,120+Inputs!$B$27+Inputs!$B$29,MAX(0,(Inputs!$B$3-100)*3)+Inputs!$B$28+Inputs!$B$29)))</f>
        <v/>
      </c>
      <c r="E1480">
        <f>INDEX(FactorTable!$B$2:$Y$301, MATCH(ROUND(MIN(300,MAX(1,D1480)),0), FactorTable!$A$2:$A$301,0), Skills!M3+1)</f>
        <v/>
      </c>
      <c r="F1480">
        <f>IF(Skills!N3=TRUE,(Skills!L3/10)*(E1480/1000),Skills!L3/10)+Skills!O3</f>
        <v/>
      </c>
      <c r="G1480">
        <f>Skills!G3*IF(Skills!H3&gt;0,Skills!I3/Skills!H3,1)</f>
        <v/>
      </c>
      <c r="H1480">
        <f>1-(1-Skills!J3/100)^Skills!K3</f>
        <v/>
      </c>
      <c r="I1480" t="inlineStr">
        <is>
          <t>1</t>
        </is>
      </c>
      <c r="J1480">
        <f>((Inputs!$B$6*(1+Inputs!$B$7/100))+(((Inputs!$B$12*(1+Inputs!$B$13/100))-(Inputs!$B$12*(1+Inputs!$B$13/100)))+0.25*(Inputs!$B$14-Inputs!$B$14))*(1+Inputs!$B$7/100))*(F1480/100)</f>
        <v/>
      </c>
      <c r="K1480">
        <f>J1480*(1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C1497=TRUE)*(F1497-Calc!F20)),(Inputs!$B$23+0+(IF(ArtifactsInput!$M$15,CHOOSE(ArtifactsInput!$N$15+1,25,30,35,40,45,50)/100*(Inputs!$B$11-Inputs!$B$11),0))))/100+(Inputs!$B$23+0+(IF(ArtifactsInput!$M$15,CHOOSE(ArtifactsInput!$N$15+1,25,30,35,40,45,50)/100*(Inputs!$B$11-Inputs!$B$11),0)))/100)/2</f>
        <v/>
      </c>
      <c r="M1480">
        <f>L1480*(1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(1-Summary!$B$11)*T1480+Summary!$B$11*V1480</f>
        <v/>
      </c>
      <c r="P1480">
        <f>IF(B1512=0,0,O1480/B1512)</f>
        <v/>
      </c>
      <c r="Q1480" t="n">
        <v>0</v>
      </c>
      <c r="R1480" t="n">
        <v>0</v>
      </c>
      <c r="S1480">
        <f>IFERROR(O1480/N1480,0)</f>
        <v/>
      </c>
      <c r="T1480">
        <f>IF(C1480,(Skills!G3*H1480*N1480*B1506)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1480*(1-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0">
        <f>INDEX(FactorTable!$B$2:$Y$301, MATCH(ROUND(MIN(300,MAX(1,U1479)),0), FactorTable!$A$2:$A$301,0), 22)</f>
        <v/>
      </c>
      <c r="V1480">
        <f>IF(C1480,(Skills!G3*H1480*N1480*B1506)*IF(Inputs!$B$38="pvp",1,(1+(Inputs!$B$21+Skills!Q3+(IF(ArtifactsInput!$M$33,CHOOSE(ArtifactsInput!$N$33+1,30,36,42,48,54,60),0))+(IF(AND(ArtifactsInput!$M$35,Inputs!$B$4&lt;&gt;"Chapter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1">
      <c r="A1481">
        <f>Skills!A4</f>
        <v/>
      </c>
      <c r="B1481">
        <f>Skills!B4</f>
        <v/>
      </c>
      <c r="C1481">
        <f>Inputs!$B$3&gt;=60</f>
        <v/>
      </c>
      <c r="D1481">
        <f>IF(Skills!C4=1,60+Inputs!$B$25+Inputs!$B$29,IF(Skills!C4=2,90+Inputs!$B$26+Inputs!$B$29,IF(Skills!C4=3,120+Inputs!$B$27+Inputs!$B$29,MAX(0,(Inputs!$B$3-100)*3)+Inputs!$B$28+Inputs!$B$29)))</f>
        <v/>
      </c>
      <c r="E1481">
        <f>INDEX(FactorTable!$B$2:$Y$301, MATCH(ROUND(MIN(300,MAX(1,D1481)),0), FactorTable!$A$2:$A$301,0), Skills!M4+1)</f>
        <v/>
      </c>
      <c r="F1481">
        <f>IF(Skills!N4=TRUE,(Skills!L4/10)*(E1481/1000),Skills!L4/10)+Skills!O4</f>
        <v/>
      </c>
      <c r="G1481">
        <f>Skills!G4*IF(Skills!H4&gt;0,Skills!I4/Skills!H4,1)</f>
        <v/>
      </c>
      <c r="H1481">
        <f>1-(1-Skills!J4/100)^Skills!K4</f>
        <v/>
      </c>
      <c r="I1481" t="inlineStr">
        <is>
          <t>1</t>
        </is>
      </c>
      <c r="J1481">
        <f>((Inputs!$B$6*(1+Inputs!$B$7/100))+(((Inputs!$B$12*(1+Inputs!$B$13/100))-(Inputs!$B$12*(1+Inputs!$B$13/100)))+0.25*(Inputs!$B$14-Inputs!$B$14))*(1+Inputs!$B$7/100))*(F1481/100)</f>
        <v/>
      </c>
      <c r="K1481">
        <f>J1481*(1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1489=TRUE,F1489,0)/100)*(1+(IF(Skills!A4="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1497=TRUE)*(F1497-Calc!F20)),(Inputs!$B$23+0+(IF(ArtifactsInput!$M$15,CHOOSE(ArtifactsInput!$N$15+1,25,30,35,40,45,50)/100*(Inputs!$B$11-Inputs!$B$11),0))))/100+(Inputs!$B$23+0+(IF(ArtifactsInput!$M$15,CHOOSE(ArtifactsInput!$N$15+1,25,30,35,40,45,50)/100*(Inputs!$B$11-Inputs!$B$11),0)))/100)/2</f>
        <v/>
      </c>
      <c r="M1481">
        <f>L1481*(1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IF(B1512=0,0,O1481/B1512)</f>
        <v/>
      </c>
      <c r="Q1481" t="n">
        <v>0</v>
      </c>
      <c r="R1481" t="n">
        <v>0</v>
      </c>
      <c r="S1481">
        <f>IFERROR(O1481/N1481,0)</f>
        <v/>
      </c>
      <c r="T1481">
        <f>IF(C1481,(Skills!G4*H1481*N1481*B1506)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1">
        <f>290*U1480/1000</f>
        <v/>
      </c>
      <c r="V1481">
        <f>IF(C1481,(Skills!G4*H1481*N1481*B1506)*IF(Inputs!$B$38="pvp",1,(1+(Inputs!$B$21+Skills!Q4+(IF(ArtifactsInput!$M$33,CHOOSE(ArtifactsInput!$N$33+1,30,36,42,48,54,60),0))+(IF(AND(ArtifactsInput!$M$35,Inputs!$B$4&lt;&gt;"Chapter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Skills!A5</f>
        <v/>
      </c>
      <c r="B1482">
        <f>Skills!B5</f>
        <v/>
      </c>
      <c r="C1482">
        <f>Inputs!$B$3&gt;=60</f>
        <v/>
      </c>
      <c r="D1482">
        <f>IF(Skills!C5=1,60+Inputs!$B$25+Inputs!$B$29,IF(Skills!C5=2,90+Inputs!$B$26+Inputs!$B$29,IF(Skills!C5=3,120+Inputs!$B$27+Inputs!$B$29,MAX(0,(Inputs!$B$3-100)*3)+Inputs!$B$28+Inputs!$B$29)))</f>
        <v/>
      </c>
      <c r="E1482">
        <f>INDEX(FactorTable!$B$2:$Y$301, MATCH(ROUND(MIN(300,MAX(1,D1482)),0), FactorTable!$A$2:$A$301,0), Skills!M5+1)</f>
        <v/>
      </c>
      <c r="F1482">
        <f>IF(Skills!N5=TRUE,(Skills!L5/10)*(E1482/1000),Skills!L5/10)+Skills!O5</f>
        <v/>
      </c>
      <c r="G1482">
        <f>Skills!G5*IF(Skills!H5&gt;0,Skills!I5/Skills!H5,1)</f>
        <v/>
      </c>
      <c r="H1482">
        <f>1-(1-Skills!J5/100)^Skills!K5</f>
        <v/>
      </c>
      <c r="I1482" t="inlineStr">
        <is>
          <t>1</t>
        </is>
      </c>
      <c r="J1482" t="inlineStr"/>
      <c r="K1482" t="inlineStr"/>
      <c r="L1482" t="inlineStr"/>
      <c r="M1482" t="inlineStr"/>
      <c r="N1482" t="inlineStr"/>
      <c r="O1482">
        <f>(1-Summary!$B$11)*T1482+Summary!$B$11*V1482</f>
        <v/>
      </c>
      <c r="P1482">
        <f>IF(B1512=0,0,O1482/B1512)</f>
        <v/>
      </c>
      <c r="Q1482" t="n">
        <v>0</v>
      </c>
      <c r="R1482" t="n">
        <v>0</v>
      </c>
      <c r="S1482">
        <f>IFERROR(O1482/N1482,0)</f>
        <v/>
      </c>
      <c r="T1482" t="n">
        <v>0</v>
      </c>
      <c r="V1482" t="n">
        <v>0</v>
      </c>
    </row>
    <row r="1483">
      <c r="A1483">
        <f>Skills!A6</f>
        <v/>
      </c>
      <c r="B1483">
        <f>Skills!B6</f>
        <v/>
      </c>
      <c r="C1483">
        <f>Inputs!$B$3&gt;=63</f>
        <v/>
      </c>
      <c r="D1483">
        <f>IF(Skills!C6=1,60+Inputs!$B$25+Inputs!$B$29,IF(Skills!C6=2,90+Inputs!$B$26+Inputs!$B$29,IF(Skills!C6=3,120+Inputs!$B$27+Inputs!$B$29,MAX(0,(Inputs!$B$3-100)*3)+Inputs!$B$28+Inputs!$B$29)))</f>
        <v/>
      </c>
      <c r="E1483">
        <f>INDEX(FactorTable!$B$2:$Y$301, MATCH(ROUND(MIN(300,MAX(1,D1483)),0), FactorTable!$A$2:$A$301,0), Skills!M6+1)</f>
        <v/>
      </c>
      <c r="F1483">
        <f>IF(Skills!N6=TRUE,(Skills!L6/10)*(E1483/1000),Skills!L6/10)+Skills!O6</f>
        <v/>
      </c>
      <c r="G1483">
        <f>Skills!G6*IF(Skills!H6&gt;0,Skills!I6/Skills!H6,1)</f>
        <v/>
      </c>
      <c r="H1483">
        <f>1-(1-Skills!J6/100)^Skills!K6</f>
        <v/>
      </c>
      <c r="I1483" t="inlineStr">
        <is>
          <t>1</t>
        </is>
      </c>
      <c r="J1483">
        <f>((Inputs!$B$6*(1+Inputs!$B$7/100))+(((Inputs!$B$12*(1+Inputs!$B$13/100))-(Inputs!$B$12*(1+Inputs!$B$13/100)))+0.25*(Inputs!$B$14-Inputs!$B$14))*(1+Inputs!$B$7/100))*(F1483/100)</f>
        <v/>
      </c>
      <c r="K1483">
        <f>J1483*(1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C1497=TRUE)*(F1497-Calc!F20)),(Inputs!$B$23+0+(IF(ArtifactsInput!$M$15,CHOOSE(ArtifactsInput!$N$15+1,25,30,35,40,45,50)/100*(Inputs!$B$11-Inputs!$B$11),0))))/100+(Inputs!$B$23+0+(IF(ArtifactsInput!$M$15,CHOOSE(ArtifactsInput!$N$15+1,25,30,35,40,45,50)/100*(Inputs!$B$11-Inputs!$B$11),0)))/100)/2</f>
        <v/>
      </c>
      <c r="M1483">
        <f>L1483*(1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(1-Summary!$B$11)*T1483+Summary!$B$11*V1483</f>
        <v/>
      </c>
      <c r="P1483">
        <f>IF(B1512=0,0,O1483/B1512)</f>
        <v/>
      </c>
      <c r="Q1483">
        <f>IFERROR(1/(IF(Inputs!$B$38="pvp",15,MAX(0.1,Skills!D6-IF(Skills!E6=TRUE,Inputs!$B$32,0)))*(1-IF(AND(ArtifactsInput!$M$27,Inputs!$B$4="Chapter Hunt"),CHOOSE(ArtifactsInput!$N$27+1,20,24,28,32,36,40),0)/100)),0)</f>
        <v/>
      </c>
      <c r="R1483">
        <f>IF(AND(Inputs!$B$38&lt;&gt;"pvp",Inputs!$B$43&gt;0),IF(MAX(0,Inputs!$B$43-B1509)&lt;=0,0,(INT(MAX(0,Inputs!$B$43-B1509)/(IF(Inputs!$B$38="pvp",15,MAX(0.1,Skills!D6-IF(Skills!E6=TRUE,Inputs!$B$32,0)))*(1-IF(AND(ArtifactsInput!$M$27,Inputs!$B$4="Chapter Hunt"),CHOOSE(ArtifactsInput!$N$27+1,20,24,28,32,36,40),0)/100)))+1)),0)</f>
        <v/>
      </c>
      <c r="S1483">
        <f>IFERROR(O1483/N1483,0)</f>
        <v/>
      </c>
      <c r="T1483">
        <f>IF(C1483,(H1483*N1483*IF(AND(Inputs!$B$38&lt;&gt;"pvp",Inputs!$B$43&gt;0),((Skills!G6*((R1483-1)*IF(Skills!H6&gt;0,Skills!I6/Skills!H6,1)+IF(Skills!H6&gt;0,MIN(Skills!I6,MAX(0,MAX(0,Inputs!$B$43-B1509)-((R1483-1)*(IF(Inputs!$B$38="pvp",15,MAX(0.1,Skills!D6-IF(Skills!E6=TRUE,Inputs!$B$32,0)))*(1-IF(AND(ArtifactsInput!$M$27,Inputs!$B$4="Chapter Hunt"),CHOOSE(ArtifactsInput!$N$27+1,20,24,28,32,36,40),0)/100)))))/Skills!H6,1)))/Inputs!$B$43),G1483*Q1483)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1483*(1-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3">
        <f>IF(C1483,(H1483*N1483*IF(AND(Inputs!$B$38&lt;&gt;"pvp",Inputs!$B$43&gt;0),((Skills!G6*((R1483-1)*IF(Skills!H6&gt;0,Skills!I6/Skills!H6,1)+IF(Skills!H6&gt;0,MIN(Skills!I6,MAX(0,MAX(0,Inputs!$B$43-B1509)-((R1483-1)*(IF(Inputs!$B$38="pvp",15,MAX(0.1,Skills!D6-IF(Skills!E6=TRUE,Inputs!$B$32,0)))*(1-IF(AND(ArtifactsInput!$M$27,Inputs!$B$4="Chapter Hunt"),CHOOSE(ArtifactsInput!$N$27+1,20,24,28,32,36,40),0)/100)))))/Skills!H6,1)))/Inputs!$B$43),G1483*Q1483))*IF(Inputs!$B$38="pvp",1,(1+(Inputs!$B$21+Skills!Q6+(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Skills!A7</f>
        <v/>
      </c>
      <c r="B1484">
        <f>Skills!B7</f>
        <v/>
      </c>
      <c r="C1484">
        <f>Inputs!$B$3&gt;=100</f>
        <v/>
      </c>
      <c r="D1484">
        <f>IF(Skills!C7=1,60+Inputs!$B$25+Inputs!$B$29,IF(Skills!C7=2,90+Inputs!$B$26+Inputs!$B$29,IF(Skills!C7=3,120+Inputs!$B$27+Inputs!$B$29,MAX(0,(Inputs!$B$3-100)*3)+Inputs!$B$28+Inputs!$B$29)))</f>
        <v/>
      </c>
      <c r="E1484">
        <f>INDEX(FactorTable!$B$2:$Y$301, MATCH(ROUND(MIN(300,MAX(1,D1484)),0), FactorTable!$A$2:$A$301,0), Skills!M7+1)</f>
        <v/>
      </c>
      <c r="F1484">
        <f>IF(Skills!N7=TRUE,(Skills!L7/10)*(E1484/1000),Skills!L7/10)+Skills!O7</f>
        <v/>
      </c>
      <c r="G1484">
        <f>Skills!G7*IF(Skills!H7&gt;0,Skills!I7/Skills!H7,1)</f>
        <v/>
      </c>
      <c r="H1484">
        <f>1-(1-Skills!J7/100)^Skills!K7</f>
        <v/>
      </c>
      <c r="I1484" t="inlineStr">
        <is>
          <t>1</t>
        </is>
      </c>
      <c r="J1484">
        <f>((Inputs!$B$6*(1+Inputs!$B$7/100))+(((Inputs!$B$12*(1+Inputs!$B$13/100))-(Inputs!$B$12*(1+Inputs!$B$13/100)))+0.25*(Inputs!$B$14-Inputs!$B$14))*(1+Inputs!$B$7/100))*(F1484/100)</f>
        <v/>
      </c>
      <c r="K1484">
        <f>J1484*(1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C1497=TRUE)*(F1497-Calc!F20)),(Inputs!$B$23+0+(IF(ArtifactsInput!$M$15,CHOOSE(ArtifactsInput!$N$15+1,25,30,35,40,45,50)/100*(Inputs!$B$11-Inputs!$B$11),0))))/100+(Inputs!$B$23+0+(IF(ArtifactsInput!$M$15,CHOOSE(ArtifactsInput!$N$15+1,25,30,35,40,45,50)/100*(Inputs!$B$11-Inputs!$B$11),0)))/100)/2</f>
        <v/>
      </c>
      <c r="M1484">
        <f>L1484*(1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4">
        <f>L1484*(1-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1484*(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4">
        <f>(1-Summary!$B$11)*T1484+Summary!$B$11*V1484</f>
        <v/>
      </c>
      <c r="P1484">
        <f>IF(B1512=0,0,O1484/B1512)</f>
        <v/>
      </c>
      <c r="Q1484">
        <f>IFERROR(1/(IF(Inputs!$B$38="pvp",15,MAX(0.1,Skills!D7-IF(Skills!E7=TRUE,Inputs!$B$32,0)))*(1-IF(AND(ArtifactsInput!$M$27,Inputs!$B$4="Chapter Hunt"),CHOOSE(ArtifactsInput!$N$27+1,20,24,28,32,36,40),0)/100)),0)</f>
        <v/>
      </c>
      <c r="R1484">
        <f>IF(AND(Inputs!$B$38&lt;&gt;"pvp",Inputs!$B$43&gt;0),IF(MAX(0,Inputs!$B$43-B1509)&lt;=0,0,(INT(MAX(0,Inputs!$B$43-B1509)/(IF(Inputs!$B$38="pvp",15,MAX(0.1,Skills!D7-IF(Skills!E7=TRUE,Inputs!$B$32,0)))*(1-IF(AND(ArtifactsInput!$M$27,Inputs!$B$4="Chapter Hunt"),CHOOSE(ArtifactsInput!$N$27+1,20,24,28,32,36,40),0)/100)))+1)),0)</f>
        <v/>
      </c>
      <c r="S1484">
        <f>IFERROR(O1484/N1484,0)</f>
        <v/>
      </c>
      <c r="T1484">
        <f>IF(C1484,(H1484*N1484*IF(AND(Inputs!$B$38&lt;&gt;"pvp",Inputs!$B$43&gt;0),((Skills!G7*((R1484-1)*IF(Skills!H7&gt;0,Skills!I7/Skills!H7,1)+IF(Skills!H7&gt;0,MIN(Skills!I7,MAX(0,MAX(0,Inputs!$B$43-B1509)-((R1484-1)*(IF(Inputs!$B$38="pvp",15,MAX(0.1,Skills!D7-IF(Skills!E7=TRUE,Inputs!$B$32,0)))*(1-IF(AND(ArtifactsInput!$M$27,Inputs!$B$4="Chapter Hunt"),CHOOSE(ArtifactsInput!$N$27+1,20,24,28,32,36,40),0)/100)))))/Skills!H7,1)))/Inputs!$B$43),G1484*Q1484)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1484*(1-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1484*(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1484*(1-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1484*(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4">
        <f>IF(C1484,(H1484*N1484*IF(AND(Inputs!$B$38&lt;&gt;"pvp",Inputs!$B$43&gt;0),((Skills!G7*((R1484-1)*IF(Skills!H7&gt;0,Skills!I7/Skills!H7,1)+IF(Skills!H7&gt;0,MIN(Skills!I7,MAX(0,MAX(0,Inputs!$B$43-B1509)-((R1484-1)*(IF(Inputs!$B$38="pvp",15,MAX(0.1,Skills!D7-IF(Skills!E7=TRUE,Inputs!$B$32,0)))*(1-IF(AND(ArtifactsInput!$M$27,Inputs!$B$4="Chapter Hunt"),CHOOSE(ArtifactsInput!$N$27+1,20,24,28,32,36,40),0)/100)))))/Skills!H7,1)))/Inputs!$B$43),G1484*Q1484))*IF(Inputs!$B$38="pvp",1,(1+(Inputs!$B$21+Skills!Q7+(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Skills!A8</f>
        <v/>
      </c>
      <c r="B1485">
        <f>Skills!B8</f>
        <v/>
      </c>
      <c r="C1485">
        <f>Inputs!$B$3&gt;=110</f>
        <v/>
      </c>
      <c r="D1485">
        <f>IF(Skills!C8=1,60+Inputs!$B$25+Inputs!$B$29,IF(Skills!C8=2,90+Inputs!$B$26+Inputs!$B$29,IF(Skills!C8=3,120+Inputs!$B$27+Inputs!$B$29,MAX(0,(Inputs!$B$3-100)*3)+Inputs!$B$28+Inputs!$B$29)))</f>
        <v/>
      </c>
      <c r="E1485">
        <f>INDEX(FactorTable!$B$2:$Y$301, MATCH(ROUND(MIN(300,MAX(1,D1485)),0), FactorTable!$A$2:$A$301,0), Skills!M8+1)</f>
        <v/>
      </c>
      <c r="F1485">
        <f>IF(Skills!N8=TRUE,(Skills!L8/10)*(E1485/1000),Skills!L8/10)+Skills!O8</f>
        <v/>
      </c>
      <c r="G1485">
        <f>Skills!G8*IF(Skills!H8&gt;0,Skills!I8/Skills!H8,1)</f>
        <v/>
      </c>
      <c r="H1485">
        <f>1-(1-Skills!J8/100)^Skills!K8</f>
        <v/>
      </c>
      <c r="I1485" t="inlineStr">
        <is>
          <t>1</t>
        </is>
      </c>
      <c r="J1485">
        <f>((Inputs!$B$6*(1+Inputs!$B$7/100))+(((Inputs!$B$12*(1+Inputs!$B$13/100))-(Inputs!$B$12*(1+Inputs!$B$13/100)))+0.25*(Inputs!$B$14-Inputs!$B$14))*(1+Inputs!$B$7/100))*(F1485/100)</f>
        <v/>
      </c>
      <c r="K1485">
        <f>J1485*(1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C1497=TRUE)*(F1497-Calc!F20)),(Inputs!$B$23+0+(IF(ArtifactsInput!$M$15,CHOOSE(ArtifactsInput!$N$15+1,25,30,35,40,45,50)/100*(Inputs!$B$11-Inputs!$B$11),0))))/100+(Inputs!$B$23+0+(IF(ArtifactsInput!$M$15,CHOOSE(ArtifactsInput!$N$15+1,25,30,35,40,45,50)/100*(Inputs!$B$11-Inputs!$B$11),0)))/100)/2</f>
        <v/>
      </c>
      <c r="M1485">
        <f>L1485*(1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(1-Summary!$B$11)*T1485+Summary!$B$11*V1485</f>
        <v/>
      </c>
      <c r="P1485">
        <f>IF(B1512=0,0,O1485/B1512)</f>
        <v/>
      </c>
      <c r="Q1485">
        <f>IFERROR(1/(IF(Inputs!$B$38="pvp",15,MAX(0.1,Skills!D8-IF(Skills!E8=TRUE,Inputs!$B$32,0)))*(1-IF(AND(ArtifactsInput!$M$27,Inputs!$B$4="Chapter Hunt"),CHOOSE(ArtifactsInput!$N$27+1,20,24,28,32,36,40),0)/100)),0)</f>
        <v/>
      </c>
      <c r="R1485">
        <f>IF(AND(Inputs!$B$38&lt;&gt;"pvp",Inputs!$B$43&gt;0),IF(MAX(0,Inputs!$B$43-B1509)&lt;=0,0,(INT(MAX(0,Inputs!$B$43-B1509)/(IF(Inputs!$B$38="pvp",15,MAX(0.1,Skills!D8-IF(Skills!E8=TRUE,Inputs!$B$32,0)))*(1-IF(AND(ArtifactsInput!$M$27,Inputs!$B$4="Chapter Hunt"),CHOOSE(ArtifactsInput!$N$27+1,20,24,28,32,36,40),0)/100)))+1)),0)</f>
        <v/>
      </c>
      <c r="S1485">
        <f>IFERROR(O1485/N1485,0)</f>
        <v/>
      </c>
      <c r="T1485">
        <f>IF(C1485,(H1485*N1485*IF(AND(Inputs!$B$38&lt;&gt;"pvp",Inputs!$B$43&gt;0),((Skills!G8*((R1485-1)*IF(Skills!H8&gt;0,Skills!I8/Skills!H8,1)+IF(Skills!H8&gt;0,MIN(Skills!I8,MAX(0,MAX(0,Inputs!$B$43-B1509)-((R1485-1)*(IF(Inputs!$B$38="pvp",15,MAX(0.1,Skills!D8-IF(Skills!E8=TRUE,Inputs!$B$32,0)))*(1-IF(AND(ArtifactsInput!$M$27,Inputs!$B$4="Chapter Hunt"),CHOOSE(ArtifactsInput!$N$27+1,20,24,28,32,36,40),0)/100)))))/Skills!H8,1)))/Inputs!$B$43),G1485*Q1485)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1485*(1-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5">
        <f>IF(C1485,(H1485*N1485*IF(AND(Inputs!$B$38&lt;&gt;"pvp",Inputs!$B$43&gt;0),((Skills!G8*((R1485-1)*IF(Skills!H8&gt;0,Skills!I8/Skills!H8,1)+IF(Skills!H8&gt;0,MIN(Skills!I8,MAX(0,MAX(0,Inputs!$B$43-B1509)-((R1485-1)*(IF(Inputs!$B$38="pvp",15,MAX(0.1,Skills!D8-IF(Skills!E8=TRUE,Inputs!$B$32,0)))*(1-IF(AND(ArtifactsInput!$M$27,Inputs!$B$4="Chapter Hunt"),CHOOSE(ArtifactsInput!$N$27+1,20,24,28,32,36,40),0)/100)))))/Skills!H8,1)))/Inputs!$B$43),G1485*Q1485))*IF(Inputs!$B$38="pvp",1,(1+(Inputs!$B$21+Skills!Q8+(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Skills!A9</f>
        <v/>
      </c>
      <c r="B1486">
        <f>Skills!B9</f>
        <v/>
      </c>
      <c r="C1486">
        <f>Inputs!$B$3&gt;=110</f>
        <v/>
      </c>
      <c r="D1486">
        <f>IF(Skills!C9=1,60+Inputs!$B$25+Inputs!$B$29,IF(Skills!C9=2,90+Inputs!$B$26+Inputs!$B$29,IF(Skills!C9=3,120+Inputs!$B$27+Inputs!$B$29,MAX(0,(Inputs!$B$3-100)*3)+Inputs!$B$28+Inputs!$B$29)))</f>
        <v/>
      </c>
      <c r="E1486">
        <f>INDEX(FactorTable!$B$2:$Y$301, MATCH(ROUND(MIN(300,MAX(1,D1486)),0), FactorTable!$A$2:$A$301,0), Skills!M9+1)</f>
        <v/>
      </c>
      <c r="F1486">
        <f>IF(Skills!N9=TRUE,(Skills!L9/10)*(E1486/1000),Skills!L9/10)+Skills!O9</f>
        <v/>
      </c>
      <c r="G1486">
        <f>Skills!G9*IF(Skills!H9&gt;0,Skills!I9/Skills!H9,1)</f>
        <v/>
      </c>
      <c r="H1486">
        <f>1-(1-Skills!J9/100)^Skills!K9</f>
        <v/>
      </c>
      <c r="I1486" t="inlineStr">
        <is>
          <t>1</t>
        </is>
      </c>
      <c r="J1486">
        <f>((Inputs!$B$6*(1+Inputs!$B$7/100))+(((Inputs!$B$12*(1+Inputs!$B$13/100))-(Inputs!$B$12*(1+Inputs!$B$13/100)))+0.25*(Inputs!$B$14-Inputs!$B$14))*(1+Inputs!$B$7/100))*(F1486/100)</f>
        <v/>
      </c>
      <c r="K1486">
        <f>J1486*(1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C1497=TRUE)*(F1497-Calc!F20)),(Inputs!$B$23+0+(IF(ArtifactsInput!$M$15,CHOOSE(ArtifactsInput!$N$15+1,25,30,35,40,45,50)/100*(Inputs!$B$11-Inputs!$B$11),0))))/100+(Inputs!$B$23+0+(IF(ArtifactsInput!$M$15,CHOOSE(ArtifactsInput!$N$15+1,25,30,35,40,45,50)/100*(Inputs!$B$11-Inputs!$B$11),0)))/100)/2</f>
        <v/>
      </c>
      <c r="M1486">
        <f>L1486*(1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(1-Summary!$B$11)*T1486+Summary!$B$11*V1486</f>
        <v/>
      </c>
      <c r="P1486">
        <f>IF(B1512=0,0,O1486/B1512)</f>
        <v/>
      </c>
      <c r="Q1486">
        <f>IFERROR(1/(IF(Inputs!$B$38="pvp",15,MAX(0.1,Skills!D9-IF(Skills!E9=TRUE,Inputs!$B$32,0)))*(1-IF(AND(ArtifactsInput!$M$27,Inputs!$B$4="Chapter Hunt"),CHOOSE(ArtifactsInput!$N$27+1,20,24,28,32,36,40),0)/100)),0)</f>
        <v/>
      </c>
      <c r="R1486">
        <f>IF(AND(Inputs!$B$38&lt;&gt;"pvp",Inputs!$B$43&gt;0),IF(MAX(0,Inputs!$B$43-B1509)&lt;=0,0,(INT(MAX(0,Inputs!$B$43-B1509)/(IF(Inputs!$B$38="pvp",15,MAX(0.1,Skills!D9-IF(Skills!E9=TRUE,Inputs!$B$32,0)))*(1-IF(AND(ArtifactsInput!$M$27,Inputs!$B$4="Chapter Hunt"),CHOOSE(ArtifactsInput!$N$27+1,20,24,28,32,36,40),0)/100)))+1)),0)</f>
        <v/>
      </c>
      <c r="S1486">
        <f>IFERROR(O1486/N1486,0)</f>
        <v/>
      </c>
      <c r="T1486">
        <f>IF(C1486,(H1486*N1486*IF(AND(Inputs!$B$38&lt;&gt;"pvp",Inputs!$B$43&gt;0),((Skills!G9*((R1486-1)*IF(Skills!H9&gt;0,Skills!I9/Skills!H9,1)+IF(Skills!H9&gt;0,MIN(Skills!I9,MAX(0,MAX(0,Inputs!$B$43-B1509)-((R1486-1)*(IF(Inputs!$B$38="pvp",15,MAX(0.1,Skills!D9-IF(Skills!E9=TRUE,Inputs!$B$32,0)))*(1-IF(AND(ArtifactsInput!$M$27,Inputs!$B$4="Chapter Hunt"),CHOOSE(ArtifactsInput!$N$27+1,20,24,28,32,36,40),0)/100)))))/Skills!H9,1)))/Inputs!$B$43),G1486*Q1486)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1486*(1-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6">
        <f>IF(C1486,(H1486*N1486*IF(AND(Inputs!$B$38&lt;&gt;"pvp",Inputs!$B$43&gt;0),((Skills!G9*((R1486-1)*IF(Skills!H9&gt;0,Skills!I9/Skills!H9,1)+IF(Skills!H9&gt;0,MIN(Skills!I9,MAX(0,MAX(0,Inputs!$B$43-B1509)-((R1486-1)*(IF(Inputs!$B$38="pvp",15,MAX(0.1,Skills!D9-IF(Skills!E9=TRUE,Inputs!$B$32,0)))*(1-IF(AND(ArtifactsInput!$M$27,Inputs!$B$4="Chapter Hunt"),CHOOSE(ArtifactsInput!$N$27+1,20,24,28,32,36,40),0)/100)))))/Skills!H9,1)))/Inputs!$B$43),G1486*Q1486))*IF(Inputs!$B$38="pvp",1,(1+(Inputs!$B$21+Skills!Q9+(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Skills!A10</f>
        <v/>
      </c>
      <c r="B1487">
        <f>Skills!B10</f>
        <v/>
      </c>
      <c r="C1487">
        <f>Inputs!$B$3&gt;=103</f>
        <v/>
      </c>
      <c r="D1487">
        <f>IF(Skills!C10=1,60+Inputs!$B$25+Inputs!$B$29,IF(Skills!C10=2,90+Inputs!$B$26+Inputs!$B$29,IF(Skills!C10=3,120+Inputs!$B$27+Inputs!$B$29,MAX(0,(Inputs!$B$3-100)*3)+Inputs!$B$28+Inputs!$B$29)))</f>
        <v/>
      </c>
      <c r="E1487">
        <f>INDEX(FactorTable!$B$2:$Y$301, MATCH(ROUND(MIN(300,MAX(1,D1487)),0), FactorTable!$A$2:$A$301,0), Skills!M10+1)</f>
        <v/>
      </c>
      <c r="F1487">
        <f>IF(Skills!N10=TRUE,(Skills!L10/10)*(E1487/1000),Skills!L10/10)+Skills!O10</f>
        <v/>
      </c>
      <c r="G1487">
        <f>Skills!G10*IF(Skills!H10&gt;0,Skills!I10/Skills!H10,1)</f>
        <v/>
      </c>
      <c r="H1487">
        <f>1-(1-Skills!J10/100)^Skills!K10</f>
        <v/>
      </c>
      <c r="I1487" t="inlineStr">
        <is>
          <t>1</t>
        </is>
      </c>
      <c r="J1487">
        <f>((Inputs!$B$6*(1+Inputs!$B$7/100))+(((Inputs!$B$12*(1+Inputs!$B$13/100))-(Inputs!$B$12*(1+Inputs!$B$13/100)))+0.25*(Inputs!$B$14-Inputs!$B$14))*(1+Inputs!$B$7/100))*(F1487/100)</f>
        <v/>
      </c>
      <c r="K1487">
        <f>J1487*(1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
      </c>
      <c r="L1487">
        <f>K1487*(MIN(Inputs!$B$22+((C1497=TRUE)*(F1497-Calc!F20)),(Inputs!$B$23+0+(IF(ArtifactsInput!$M$15,CHOOSE(ArtifactsInput!$N$15+1,25,30,35,40,45,50)/100*(Inputs!$B$11-Inputs!$B$11),0))))/100+(Inputs!$B$23+0+(IF(ArtifactsInput!$M$15,CHOOSE(ArtifactsInput!$N$15+1,25,30,35,40,45,50)/100*(Inputs!$B$11-Inputs!$B$11),0)))/100)/2</f>
        <v/>
      </c>
      <c r="M1487">
        <f>L1487*(1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7">
        <f>L1487*(1-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1487*(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7">
        <f>(1-Summary!$B$11)*T1487+Summary!$B$11*V1487</f>
        <v/>
      </c>
      <c r="P1487">
        <f>IF(B1512=0,0,O1487/B1512)</f>
        <v/>
      </c>
      <c r="Q1487">
        <f>IFERROR(1/(IF(Inputs!$B$38="pvp",15,MAX(0.1,Skills!D10-IF(Skills!E10=TRUE,Inputs!$B$32,0)))*(1-IF(AND(ArtifactsInput!$M$27,Inputs!$B$4="Chapter Hunt"),CHOOSE(ArtifactsInput!$N$27+1,20,24,28,32,36,40),0)/100)),0)</f>
        <v/>
      </c>
      <c r="R1487">
        <f>IF(AND(Inputs!$B$38&lt;&gt;"pvp",Inputs!$B$43&gt;0),IF(MAX(0,Inputs!$B$43-B1509)&lt;=0,0,(INT(MAX(0,Inputs!$B$43-B1509)/(IF(Inputs!$B$38="pvp",15,MAX(0.1,Skills!D10-IF(Skills!E10=TRUE,Inputs!$B$32,0)))*(1-IF(AND(ArtifactsInput!$M$27,Inputs!$B$4="Chapter Hunt"),CHOOSE(ArtifactsInput!$N$27+1,20,24,28,32,36,40),0)/100)))+1)),0)</f>
        <v/>
      </c>
      <c r="S1487">
        <f>IFERROR(O1487/N1487,0)</f>
        <v/>
      </c>
      <c r="T1487">
        <f>IF(C1487,(H1487*N1487*IF(AND(Inputs!$B$38&lt;&gt;"pvp",Inputs!$B$43&gt;0),((Skills!G10*((R1487-1)*IF(Skills!H10&gt;0,Skills!I10/Skills!H10,1)+IF(Skills!H10&gt;0,MIN(Skills!I10,MAX(0,MAX(0,Inputs!$B$43-B1509)-((R1487-1)*(IF(Inputs!$B$38="pvp",15,MAX(0.1,Skills!D10-IF(Skills!E10=TRUE,Inputs!$B$32,0)))*(1-IF(AND(ArtifactsInput!$M$27,Inputs!$B$4="Chapter Hunt"),CHOOSE(ArtifactsInput!$N$27+1,20,24,28,32,36,40),0)/100)))))/Skills!H10,1)))/Inputs!$B$43),G1487*Q1487)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1487*(1-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1487*(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1487*(1-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1487*(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7">
        <f>IF(C1487,(H1487*N1487*IF(AND(Inputs!$B$38&lt;&gt;"pvp",Inputs!$B$43&gt;0),((Skills!G10*((R1487-1)*IF(Skills!H10&gt;0,Skills!I10/Skills!H10,1)+IF(Skills!H10&gt;0,MIN(Skills!I10,MAX(0,MAX(0,Inputs!$B$43-B1509)-((R1487-1)*(IF(Inputs!$B$38="pvp",15,MAX(0.1,Skills!D10-IF(Skills!E10=TRUE,Inputs!$B$32,0)))*(1-IF(AND(ArtifactsInput!$M$27,Inputs!$B$4="Chapter Hunt"),CHOOSE(ArtifactsInput!$N$27+1,20,24,28,32,36,40),0)/100)))))/Skills!H10,1)))/Inputs!$B$43),G1487*Q1487))*IF(Inputs!$B$38="pvp",1,(1+(Inputs!$B$21+Skills!Q10+(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8">
      <c r="A1488">
        <f>Skills!A11</f>
        <v/>
      </c>
      <c r="B1488">
        <f>Skills!B11</f>
        <v/>
      </c>
      <c r="C1488">
        <f>Inputs!$B$3&gt;=113</f>
        <v/>
      </c>
      <c r="D1488">
        <f>IF(Skills!C11=1,60+Inputs!$B$25+Inputs!$B$29,IF(Skills!C11=2,90+Inputs!$B$26+Inputs!$B$29,IF(Skills!C11=3,120+Inputs!$B$27+Inputs!$B$29,MAX(0,(Inputs!$B$3-100)*3)+Inputs!$B$28+Inputs!$B$29)))</f>
        <v/>
      </c>
      <c r="E1488">
        <f>INDEX(FactorTable!$B$2:$Y$301, MATCH(ROUND(MIN(300,MAX(1,D1488)),0), FactorTable!$A$2:$A$301,0), Skills!M11+1)</f>
        <v/>
      </c>
      <c r="F1488">
        <f>IF(Skills!N11=TRUE,(Skills!L11/10)*(E1488/1000),Skills!L11/10)+Skills!O11</f>
        <v/>
      </c>
      <c r="G1488">
        <f>Skills!G11*IF(Skills!H11&gt;0,Skills!I11/Skills!H11,1)</f>
        <v/>
      </c>
      <c r="H1488">
        <f>1-(1-Skills!J11/100)^Skills!K11</f>
        <v/>
      </c>
      <c r="I1488" t="inlineStr">
        <is>
          <t>1</t>
        </is>
      </c>
      <c r="J1488">
        <f>((Inputs!$B$6*(1+Inputs!$B$7/100))+(((Inputs!$B$12*(1+Inputs!$B$13/100))-(Inputs!$B$12*(1+Inputs!$B$13/100)))+0.25*(Inputs!$B$14-Inputs!$B$14))*(1+Inputs!$B$7/100))*(F1488/100)</f>
        <v/>
      </c>
      <c r="K1488">
        <f>J1488*(1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1488)</f>
        <v/>
      </c>
      <c r="L1488">
        <f>K1488*(MIN(Inputs!$B$22+((C1497=TRUE)*(F1497-Calc!F20)),(Inputs!$B$23+0+(IF(ArtifactsInput!$M$15,CHOOSE(ArtifactsInput!$N$15+1,25,30,35,40,45,50)/100*(Inputs!$B$11-Inputs!$B$11),0))))/100+(Inputs!$B$23+0+(IF(ArtifactsInput!$M$15,CHOOSE(ArtifactsInput!$N$15+1,25,30,35,40,45,50)/100*(Inputs!$B$11-Inputs!$B$11),0)))/100)/2</f>
        <v/>
      </c>
      <c r="M1488">
        <f>L1488*(1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8">
        <f>L1488*(1-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1488*(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8">
        <f>(1-Summary!$B$11)*T1488+Summary!$B$11*V1488</f>
        <v/>
      </c>
      <c r="P1488">
        <f>IF(B1512=0,0,O1488/B1512)</f>
        <v/>
      </c>
      <c r="Q1488">
        <f>IFERROR(1/(IF(Inputs!$B$38="pvp",15,MAX(0.1,Skills!D11-IF(Skills!E11=TRUE,Inputs!$B$32,0)))*(1-IF(AND(ArtifactsInput!$M$27,Inputs!$B$4="Chapter Hunt"),CHOOSE(ArtifactsInput!$N$27+1,20,24,28,32,36,40),0)/100)),0)</f>
        <v/>
      </c>
      <c r="R1488">
        <f>IF(AND(Inputs!$B$38&lt;&gt;"pvp",Inputs!$B$43&gt;0),IF(MAX(0,Inputs!$B$43-B1509)&lt;=0,0,(INT(MAX(0,Inputs!$B$43-B1509)/(IF(Inputs!$B$38="pvp",15,MAX(0.1,Skills!D11-IF(Skills!E11=TRUE,Inputs!$B$32,0)))*(1-IF(AND(ArtifactsInput!$M$27,Inputs!$B$4="Chapter Hunt"),CHOOSE(ArtifactsInput!$N$27+1,20,24,28,32,36,40),0)/100)))+1)),0)</f>
        <v/>
      </c>
      <c r="S1488">
        <f>IFERROR(O1488/N1488,0)</f>
        <v/>
      </c>
      <c r="T1488">
        <f>IF(C1488,(H1488*N1488*IF(AND(Inputs!$B$38&lt;&gt;"pvp",Inputs!$B$43&gt;0),((Skills!G11*((R1488-1)*IF(Skills!H11&gt;0,Skills!I11/Skills!H11,1)+IF(Skills!H11&gt;0,MIN(Skills!I11,MAX(0,MAX(0,Inputs!$B$43-B1509)-((R1488-1)*(IF(Inputs!$B$38="pvp",15,MAX(0.1,Skills!D11-IF(Skills!E11=TRUE,Inputs!$B$32,0)))*(1-IF(AND(ArtifactsInput!$M$27,Inputs!$B$4="Chapter Hunt"),CHOOSE(ArtifactsInput!$N$27+1,20,24,28,32,36,40),0)/100)))))/Skills!H11,1)))/Inputs!$B$43),G1488*Q1488)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1488*(1-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1488*(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1488*(1-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1488*(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8">
        <f>IF(C1488,(H1488*N1488*IF(AND(Inputs!$B$38&lt;&gt;"pvp",Inputs!$B$43&gt;0),((Skills!G11*((R1488-1)*IF(Skills!H11&gt;0,Skills!I11/Skills!H11,1)+IF(Skills!H11&gt;0,MIN(Skills!I11,MAX(0,MAX(0,Inputs!$B$43-B1509)-((R1488-1)*(IF(Inputs!$B$38="pvp",15,MAX(0.1,Skills!D11-IF(Skills!E11=TRUE,Inputs!$B$32,0)))*(1-IF(AND(ArtifactsInput!$M$27,Inputs!$B$4="Chapter Hunt"),CHOOSE(ArtifactsInput!$N$27+1,20,24,28,32,36,40),0)/100)))))/Skills!H11,1)))/Inputs!$B$43),G1488*Q1488))*IF(Inputs!$B$38="pvp",1,(1+(Inputs!$B$21+Skills!Q11+(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9">
      <c r="A1489">
        <f>Skills!A12</f>
        <v/>
      </c>
      <c r="B1489">
        <f>Skills!B12</f>
        <v/>
      </c>
      <c r="C1489">
        <f>Inputs!$B$3&gt;=100</f>
        <v/>
      </c>
      <c r="D1489">
        <f>IF(Skills!C12=1,60+Inputs!$B$25+Inputs!$B$29,IF(Skills!C12=2,90+Inputs!$B$26+Inputs!$B$29,IF(Skills!C12=3,120+Inputs!$B$27+Inputs!$B$29,MAX(0,(Inputs!$B$3-100)*3)+Inputs!$B$28+Inputs!$B$29)))</f>
        <v/>
      </c>
      <c r="E1489">
        <f>INDEX(FactorTable!$B$2:$Y$301, MATCH(ROUND(MIN(300,MAX(1,D1489)),0), FactorTable!$A$2:$A$301,0), Skills!M12+1)</f>
        <v/>
      </c>
      <c r="F1489">
        <f>IF(Skills!N12=TRUE,(Skills!L12/10)*(E1489/1000),Skills!L12/10)+Skills!O12</f>
        <v/>
      </c>
      <c r="G1489" t="inlineStr"/>
      <c r="H1489" t="inlineStr"/>
      <c r="I1489" t="inlineStr">
        <is>
          <t>1</t>
        </is>
      </c>
      <c r="J1489" t="inlineStr"/>
      <c r="K1489" t="inlineStr"/>
      <c r="L1489" t="inlineStr"/>
      <c r="M1489" t="inlineStr"/>
      <c r="N1489" t="inlineStr"/>
      <c r="O1489" t="inlineStr"/>
      <c r="P1489" t="inlineStr"/>
      <c r="Q1489" t="inlineStr"/>
      <c r="R1489" t="inlineStr"/>
      <c r="S1489" t="inlineStr"/>
      <c r="T1489" t="inlineStr"/>
      <c r="V1489" t="inlineStr"/>
    </row>
    <row r="1490">
      <c r="A1490">
        <f>Skills!A13</f>
        <v/>
      </c>
      <c r="B1490">
        <f>Skills!B13</f>
        <v/>
      </c>
      <c r="C1490">
        <f>Inputs!$B$3&gt;=66</f>
        <v/>
      </c>
      <c r="D1490">
        <f>IF(Skills!C13=1,60+Inputs!$B$25+Inputs!$B$29,IF(Skills!C13=2,90+Inputs!$B$26+Inputs!$B$29,IF(Skills!C13=3,120+Inputs!$B$27+Inputs!$B$29,MAX(0,(Inputs!$B$3-100)*3)+Inputs!$B$28+Inputs!$B$29)))</f>
        <v/>
      </c>
      <c r="E1490">
        <f>INDEX(FactorTable!$B$2:$Y$301, MATCH(ROUND(MIN(300,MAX(1,D1490)),0), FactorTable!$A$2:$A$301,0), Skills!M13+1)</f>
        <v/>
      </c>
      <c r="F1490">
        <f>IF(Skills!N13=TRUE,(Skills!L13/10)*(E1490/1000),Skills!L13/10)+Skills!O13</f>
        <v/>
      </c>
      <c r="G1490">
        <f>Skills!G13*IF(Skills!H13&gt;0,Skills!I13/Skills!H13,1)</f>
        <v/>
      </c>
      <c r="H1490">
        <f>1-(1-Skills!J13/100)^Skills!K13</f>
        <v/>
      </c>
      <c r="I1490" t="inlineStr">
        <is>
          <t>1</t>
        </is>
      </c>
      <c r="J1490" t="inlineStr"/>
      <c r="K1490" t="inlineStr"/>
      <c r="L1490" t="inlineStr"/>
      <c r="M1490" t="inlineStr"/>
      <c r="N1490" t="inlineStr"/>
      <c r="O1490">
        <f>(1-Summary!$B$11)*T1490+Summary!$B$11*V1490</f>
        <v/>
      </c>
      <c r="P1490">
        <f>IF(B1512=0,0,O1490/B1512)</f>
        <v/>
      </c>
      <c r="Q1490" t="n">
        <v>0</v>
      </c>
      <c r="R1490" t="n">
        <v>0</v>
      </c>
      <c r="S1490">
        <f>IFERROR(O1490/N1490,0)</f>
        <v/>
      </c>
      <c r="T1490" t="n">
        <v>0</v>
      </c>
      <c r="V1490" t="n">
        <v>0</v>
      </c>
    </row>
    <row r="1491">
      <c r="A1491">
        <f>Skills!A14</f>
        <v/>
      </c>
      <c r="B1491">
        <f>Skills!B14</f>
        <v/>
      </c>
      <c r="C1491">
        <f>Inputs!$B$3&gt;=107</f>
        <v/>
      </c>
      <c r="D1491">
        <f>IF(Skills!C14=1,60+Inputs!$B$25+Inputs!$B$29,IF(Skills!C14=2,90+Inputs!$B$26+Inputs!$B$29,IF(Skills!C14=3,120+Inputs!$B$27+Inputs!$B$29,MAX(0,(Inputs!$B$3-100)*3)+Inputs!$B$28+Inputs!$B$29)))</f>
        <v/>
      </c>
      <c r="E1491">
        <f>INDEX(FactorTable!$B$2:$Y$301, MATCH(ROUND(MIN(300,MAX(1,D1491)),0), FactorTable!$A$2:$A$301,0), Skills!M14+1)</f>
        <v/>
      </c>
      <c r="F1491">
        <f>IF(Skills!N14=TRUE,(Skills!L14/10)*(E1491/1000),Skills!L14/10)+Skills!O14</f>
        <v/>
      </c>
      <c r="G1491">
        <f>Skills!G14*IF(Skills!H14&gt;0,Skills!I14/Skills!H14,1)</f>
        <v/>
      </c>
      <c r="H1491">
        <f>1-(1-Skills!J14/100)^Skills!K14</f>
        <v/>
      </c>
      <c r="I1491" t="inlineStr">
        <is>
          <t>1</t>
        </is>
      </c>
      <c r="J1491" t="inlineStr"/>
      <c r="K1491" t="inlineStr"/>
      <c r="L1491" t="inlineStr"/>
      <c r="M1491" t="inlineStr"/>
      <c r="N1491" t="inlineStr"/>
      <c r="O1491">
        <f>(1-Summary!$B$11)*T1491+Summary!$B$11*V1491</f>
        <v/>
      </c>
      <c r="P1491">
        <f>IF(B1512=0,0,O1491/B1512)</f>
        <v/>
      </c>
      <c r="Q1491" t="n">
        <v>0</v>
      </c>
      <c r="R1491" t="n">
        <v>0</v>
      </c>
      <c r="S1491">
        <f>IFERROR(O1491/N1491,0)</f>
        <v/>
      </c>
      <c r="T1491" t="n">
        <v>0</v>
      </c>
      <c r="V1491" t="n">
        <v>0</v>
      </c>
    </row>
    <row r="1492">
      <c r="A1492">
        <f>Skills!A15</f>
        <v/>
      </c>
      <c r="B1492">
        <f>Skills!B15</f>
        <v/>
      </c>
      <c r="C1492">
        <f>Inputs!$B$3&gt;=115</f>
        <v/>
      </c>
      <c r="D1492">
        <f>IF(Skills!C15=1,60+Inputs!$B$25+Inputs!$B$29,IF(Skills!C15=2,90+Inputs!$B$26+Inputs!$B$29,IF(Skills!C15=3,120+Inputs!$B$27+Inputs!$B$29,MAX(0,(Inputs!$B$3-100)*3)+Inputs!$B$28+Inputs!$B$29)))</f>
        <v/>
      </c>
      <c r="E1492">
        <f>INDEX(FactorTable!$B$2:$Y$301, MATCH(ROUND(MIN(300,MAX(1,D1492)),0), FactorTable!$A$2:$A$301,0), Skills!M15+1)</f>
        <v/>
      </c>
      <c r="F1492">
        <f>IF(Skills!N15=TRUE,(Skills!L15/10)*(E1492/1000),Skills!L15/10)+Skills!O15</f>
        <v/>
      </c>
      <c r="G1492">
        <f>Skills!G15*IF(Skills!H15&gt;0,Skills!I15/Skills!H15,1)</f>
        <v/>
      </c>
      <c r="H1492">
        <f>1-(1-Skills!J15/100)^Skills!K15</f>
        <v/>
      </c>
      <c r="I1492" t="inlineStr">
        <is>
          <t>1</t>
        </is>
      </c>
      <c r="J1492" t="inlineStr"/>
      <c r="K1492" t="inlineStr"/>
      <c r="L1492" t="inlineStr"/>
      <c r="M1492" t="inlineStr"/>
      <c r="N1492" t="inlineStr"/>
      <c r="O1492">
        <f>(1-Summary!$B$11)*T1492+Summary!$B$11*V1492</f>
        <v/>
      </c>
      <c r="P1492">
        <f>IF(B1512=0,0,O1492/B1512)</f>
        <v/>
      </c>
      <c r="Q1492" t="n">
        <v>0</v>
      </c>
      <c r="R1492" t="n">
        <v>0</v>
      </c>
      <c r="S1492">
        <f>IFERROR(O1492/N1492,0)</f>
        <v/>
      </c>
      <c r="T1492" t="n">
        <v>0</v>
      </c>
      <c r="V1492" t="n">
        <v>0</v>
      </c>
    </row>
    <row r="1493">
      <c r="A1493">
        <f>Skills!A16</f>
        <v/>
      </c>
      <c r="B1493">
        <f>Skills!B16</f>
        <v/>
      </c>
      <c r="C1493">
        <f>Inputs!$B$3&gt;=15</f>
        <v/>
      </c>
      <c r="D1493">
        <f>IF(Skills!C16=1,60+Inputs!$B$25+Inputs!$B$29,IF(Skills!C16=2,90+Inputs!$B$26+Inputs!$B$29,IF(Skills!C16=3,120+Inputs!$B$27+Inputs!$B$29,MAX(0,(Inputs!$B$3-100)*3)+Inputs!$B$28+Inputs!$B$29)))</f>
        <v/>
      </c>
      <c r="E1493">
        <f>INDEX(FactorTable!$B$2:$Y$301, MATCH(ROUND(MIN(300,MAX(1,D1493)),0), FactorTable!$A$2:$A$301,0), Skills!M16+1)</f>
        <v/>
      </c>
      <c r="F1493">
        <f>IF(Skills!N16=TRUE,(Skills!L16/10)*(E1493/1000),Skills!L16/10)+Skills!O16</f>
        <v/>
      </c>
      <c r="G1493">
        <f>Skills!G16*IF(Skills!H16&gt;0,Skills!I16/Skills!H16,1)</f>
        <v/>
      </c>
      <c r="H1493">
        <f>1-(1-Skills!J16/100)^Skills!K16</f>
        <v/>
      </c>
      <c r="I1493" t="inlineStr">
        <is>
          <t>1</t>
        </is>
      </c>
      <c r="J1493" t="inlineStr"/>
      <c r="K1493" t="inlineStr"/>
      <c r="L1493" t="inlineStr"/>
      <c r="M1493" t="inlineStr"/>
      <c r="N1493" t="inlineStr"/>
      <c r="O1493">
        <f>(1-Summary!$B$11)*T1493+Summary!$B$11*V1493</f>
        <v/>
      </c>
      <c r="P1493">
        <f>IF(B1512=0,0,O1493/B1512)</f>
        <v/>
      </c>
      <c r="Q1493" t="n">
        <v>0</v>
      </c>
      <c r="R1493" t="n">
        <v>0</v>
      </c>
      <c r="S1493">
        <f>IFERROR(O1493/N1493,0)</f>
        <v/>
      </c>
      <c r="T1493" t="n">
        <v>0</v>
      </c>
      <c r="V1493" t="n">
        <v>0</v>
      </c>
    </row>
    <row r="1494">
      <c r="A1494">
        <f>Skills!A17</f>
        <v/>
      </c>
      <c r="B1494">
        <f>Skills!B17</f>
        <v/>
      </c>
      <c r="C1494">
        <f>Inputs!$B$3&gt;=10</f>
        <v/>
      </c>
      <c r="D1494">
        <f>IF(Skills!C17=1,60+Inputs!$B$25+Inputs!$B$29,IF(Skills!C17=2,90+Inputs!$B$26+Inputs!$B$29,IF(Skills!C17=3,120+Inputs!$B$27+Inputs!$B$29,MAX(0,(Inputs!$B$3-100)*3)+Inputs!$B$28+Inputs!$B$29)))</f>
        <v/>
      </c>
      <c r="E1494">
        <f>INDEX(FactorTable!$B$2:$Y$301, MATCH(ROUND(MIN(300,MAX(1,D1494)),0), FactorTable!$A$2:$A$301,0), Skills!M17+1)</f>
        <v/>
      </c>
      <c r="F1494">
        <f>IF(Skills!N17=TRUE,(Skills!L17/10)*(E1494/1000),Skills!L17/10)+Skills!O17</f>
        <v/>
      </c>
      <c r="G1494">
        <f>Skills!G17*IF(Skills!H17&gt;0,Skills!I17/Skills!H17,1)</f>
        <v/>
      </c>
      <c r="H1494">
        <f>1-(1-Skills!J17/100)^Skills!K17</f>
        <v/>
      </c>
      <c r="I1494" t="inlineStr">
        <is>
          <t>1</t>
        </is>
      </c>
      <c r="J1494" t="inlineStr"/>
      <c r="K1494" t="inlineStr"/>
      <c r="L1494" t="inlineStr"/>
      <c r="M1494" t="inlineStr"/>
      <c r="N1494" t="inlineStr"/>
      <c r="O1494">
        <f>(1-Summary!$B$11)*T1494+Summary!$B$11*V1494</f>
        <v/>
      </c>
      <c r="P1494">
        <f>IF(B1512=0,0,O1494/B1512)</f>
        <v/>
      </c>
      <c r="Q1494" t="n">
        <v>0</v>
      </c>
      <c r="R1494" t="n">
        <v>0</v>
      </c>
      <c r="S1494">
        <f>IFERROR(O1494/N1494,0)</f>
        <v/>
      </c>
      <c r="T1494" t="n">
        <v>0</v>
      </c>
      <c r="V1494" t="n">
        <v>0</v>
      </c>
    </row>
    <row r="1495">
      <c r="A1495">
        <f>Skills!A18</f>
        <v/>
      </c>
      <c r="B1495">
        <f>Skills!B18</f>
        <v/>
      </c>
      <c r="C1495">
        <f>Inputs!$B$3&gt;=33</f>
        <v/>
      </c>
      <c r="D1495">
        <f>IF(Skills!C18=1,60+Inputs!$B$25+Inputs!$B$29,IF(Skills!C18=2,90+Inputs!$B$26+Inputs!$B$29,IF(Skills!C18=3,120+Inputs!$B$27+Inputs!$B$29,MAX(0,(Inputs!$B$3-100)*3)+Inputs!$B$28+Inputs!$B$29)))</f>
        <v/>
      </c>
      <c r="E1495">
        <f>INDEX(FactorTable!$B$2:$Y$301, MATCH(ROUND(MIN(300,MAX(1,D1495)),0), FactorTable!$A$2:$A$301,0), Skills!M18+1)</f>
        <v/>
      </c>
      <c r="F1495">
        <f>IF(Skills!N18=TRUE,(Skills!L18/10)*(E1495/1000),Skills!L18/10)+Skills!O18</f>
        <v/>
      </c>
      <c r="G1495">
        <f>Skills!G18*IF(Skills!H18&gt;0,Skills!I18/Skills!H18,1)</f>
        <v/>
      </c>
      <c r="H1495">
        <f>1-(1-Skills!J18/100)^Skills!K18</f>
        <v/>
      </c>
      <c r="I1495" t="inlineStr">
        <is>
          <t>1</t>
        </is>
      </c>
      <c r="J1495" t="inlineStr"/>
      <c r="K1495" t="inlineStr"/>
      <c r="L1495" t="inlineStr"/>
      <c r="M1495" t="inlineStr"/>
      <c r="N1495" t="inlineStr"/>
      <c r="O1495">
        <f>(1-Summary!$B$11)*T1495+Summary!$B$11*V1495</f>
        <v/>
      </c>
      <c r="P1495">
        <f>IF(B1512=0,0,O1495/B1512)</f>
        <v/>
      </c>
      <c r="Q1495" t="n">
        <v>0</v>
      </c>
      <c r="R1495" t="n">
        <v>0</v>
      </c>
      <c r="S1495">
        <f>IFERROR(O1495/N1495,0)</f>
        <v/>
      </c>
      <c r="T1495" t="n">
        <v>0</v>
      </c>
      <c r="V1495" t="n">
        <v>0</v>
      </c>
    </row>
    <row r="1496">
      <c r="A1496">
        <f>Skills!A19</f>
        <v/>
      </c>
      <c r="B1496">
        <f>Skills!B19</f>
        <v/>
      </c>
      <c r="C1496">
        <f>Inputs!$B$3&gt;=40</f>
        <v/>
      </c>
      <c r="D1496">
        <f>IF(Skills!C19=1,60+Inputs!$B$25+Inputs!$B$29,IF(Skills!C19=2,90+Inputs!$B$26+Inputs!$B$29,IF(Skills!C19=3,120+Inputs!$B$27+Inputs!$B$29,MAX(0,(Inputs!$B$3-100)*3)+Inputs!$B$28+Inputs!$B$29)))</f>
        <v/>
      </c>
      <c r="E1496">
        <f>INDEX(FactorTable!$B$2:$Y$301, MATCH(ROUND(MIN(300,MAX(1,D1496)),0), FactorTable!$A$2:$A$301,0), Skills!M19+1)</f>
        <v/>
      </c>
      <c r="F1496">
        <f>IF(Skills!N19=TRUE,(Skills!L19/10)*(E1496/1000),Skills!L19/10)+Skills!O19</f>
        <v/>
      </c>
      <c r="G1496">
        <f>Skills!G19*IF(Skills!H19&gt;0,Skills!I19/Skills!H19,1)</f>
        <v/>
      </c>
      <c r="H1496">
        <f>1-(1-Skills!J19/100)^Skills!K19</f>
        <v/>
      </c>
      <c r="I1496" t="inlineStr">
        <is>
          <t>1</t>
        </is>
      </c>
      <c r="J1496" t="inlineStr"/>
      <c r="K1496" t="inlineStr"/>
      <c r="L1496" t="inlineStr"/>
      <c r="M1496" t="inlineStr"/>
      <c r="N1496" t="inlineStr"/>
      <c r="O1496">
        <f>(1-Summary!$B$11)*T1496+Summary!$B$11*V1496</f>
        <v/>
      </c>
      <c r="P1496">
        <f>IF(B1512=0,0,O1496/B1512)</f>
        <v/>
      </c>
      <c r="Q1496" t="n">
        <v>0</v>
      </c>
      <c r="R1496" t="n">
        <v>0</v>
      </c>
      <c r="S1496">
        <f>IFERROR(O1496/N1496,0)</f>
        <v/>
      </c>
      <c r="T1496" t="n">
        <v>0</v>
      </c>
      <c r="V1496" t="n">
        <v>0</v>
      </c>
    </row>
    <row r="1497">
      <c r="A1497">
        <f>Skills!A20</f>
        <v/>
      </c>
      <c r="B1497">
        <f>Skills!B20</f>
        <v/>
      </c>
      <c r="C1497">
        <f>Inputs!$B$3&gt;=43</f>
        <v/>
      </c>
      <c r="D1497">
        <f>IF(Skills!C20=1,60+Inputs!$B$25+Inputs!$B$29,IF(Skills!C20=2,90+Inputs!$B$26+Inputs!$B$29,IF(Skills!C20=3,120+Inputs!$B$27+Inputs!$B$29,MAX(0,(Inputs!$B$3-100)*3)+Inputs!$B$28+Inputs!$B$29)))</f>
        <v/>
      </c>
      <c r="E1497">
        <f>INDEX(FactorTable!$B$2:$Y$301, MATCH(ROUND(MIN(300,MAX(1,D1497)),0), FactorTable!$A$2:$A$301,0), Skills!M20+1)</f>
        <v/>
      </c>
      <c r="F1497">
        <f>IF(Skills!N20=TRUE,(Skills!L20/10)*(E1497/1000),Skills!L20/10)+Skills!O20</f>
        <v/>
      </c>
      <c r="G1497">
        <f>Skills!G20*IF(Skills!H20&gt;0,Skills!I20/Skills!H20,1)</f>
        <v/>
      </c>
      <c r="H1497">
        <f>1-(1-Skills!J20/100)^Skills!K20</f>
        <v/>
      </c>
      <c r="I1497" t="inlineStr">
        <is>
          <t>1</t>
        </is>
      </c>
      <c r="J1497" t="inlineStr"/>
      <c r="K1497" t="inlineStr"/>
      <c r="L1497" t="inlineStr"/>
      <c r="M1497" t="inlineStr"/>
      <c r="N1497" t="inlineStr"/>
      <c r="O1497">
        <f>(1-Summary!$B$11)*T1497+Summary!$B$11*V1497</f>
        <v/>
      </c>
      <c r="P1497">
        <f>IF(B1512=0,0,O1497/B1512)</f>
        <v/>
      </c>
      <c r="Q1497" t="n">
        <v>0</v>
      </c>
      <c r="R1497" t="n">
        <v>0</v>
      </c>
      <c r="S1497">
        <f>IFERROR(O1497/N1497,0)</f>
        <v/>
      </c>
      <c r="T1497" t="n">
        <v>0</v>
      </c>
      <c r="V1497" t="n">
        <v>0</v>
      </c>
    </row>
    <row r="1498">
      <c r="A1498">
        <f>Skills!A21</f>
        <v/>
      </c>
      <c r="B1498">
        <f>Skills!B21</f>
        <v/>
      </c>
      <c r="C1498">
        <f>Inputs!$B$3&gt;=38</f>
        <v/>
      </c>
      <c r="D1498">
        <f>IF(Skills!C21=1,60+Inputs!$B$25+Inputs!$B$29,IF(Skills!C21=2,90+Inputs!$B$26+Inputs!$B$29,IF(Skills!C21=3,120+Inputs!$B$27+Inputs!$B$29,MAX(0,(Inputs!$B$3-100)*3)+Inputs!$B$28+Inputs!$B$29)))</f>
        <v/>
      </c>
      <c r="E1498">
        <f>INDEX(FactorTable!$B$2:$Y$301, MATCH(ROUND(MIN(300,MAX(1,D1498)),0), FactorTable!$A$2:$A$301,0), Skills!M21+1)</f>
        <v/>
      </c>
      <c r="F1498">
        <f>IF(Skills!N21=TRUE,(Skills!L21/10)*(E1498/1000),Skills!L21/10)+Skills!O21</f>
        <v/>
      </c>
      <c r="G1498">
        <f>Skills!G21*IF(Skills!H21&gt;0,Skills!I21/Skills!H21,1)</f>
        <v/>
      </c>
      <c r="H1498">
        <f>1-(1-Skills!J21/100)^Skills!K21</f>
        <v/>
      </c>
      <c r="I1498" t="inlineStr">
        <is>
          <t>1</t>
        </is>
      </c>
      <c r="J1498" t="inlineStr"/>
      <c r="K1498" t="inlineStr"/>
      <c r="L1498" t="inlineStr"/>
      <c r="M1498" t="inlineStr"/>
      <c r="N1498" t="inlineStr"/>
      <c r="O1498">
        <f>(1-Summary!$B$11)*T1498+Summary!$B$11*V1498</f>
        <v/>
      </c>
      <c r="P1498">
        <f>IF(B1512=0,0,O1498/B1512)</f>
        <v/>
      </c>
      <c r="Q1498" t="n">
        <v>0</v>
      </c>
      <c r="R1498" t="n">
        <v>0</v>
      </c>
      <c r="S1498">
        <f>IFERROR(O1498/N1498,0)</f>
        <v/>
      </c>
      <c r="T1498" t="n">
        <v>0</v>
      </c>
      <c r="V1498" t="n">
        <v>0</v>
      </c>
    </row>
    <row r="1499">
      <c r="A1499">
        <f>Skills!A22</f>
        <v/>
      </c>
      <c r="B1499">
        <f>Skills!B22</f>
        <v/>
      </c>
      <c r="C1499">
        <f>Inputs!$B$3&gt;=75</f>
        <v/>
      </c>
      <c r="D1499">
        <f>IF(Skills!C22=1,60+Inputs!$B$25+Inputs!$B$29,IF(Skills!C22=2,90+Inputs!$B$26+Inputs!$B$29,IF(Skills!C22=3,120+Inputs!$B$27+Inputs!$B$29,MAX(0,(Inputs!$B$3-100)*3)+Inputs!$B$28+Inputs!$B$29)))</f>
        <v/>
      </c>
      <c r="E1499">
        <f>INDEX(FactorTable!$B$2:$Y$301, MATCH(ROUND(MIN(300,MAX(1,D1499)),0), FactorTable!$A$2:$A$301,0), Skills!M22+1)</f>
        <v/>
      </c>
      <c r="F1499">
        <f>IF(Skills!N22=TRUE,(Skills!L22/10)*(E1499/1000),Skills!L22/10)+Skills!O22</f>
        <v/>
      </c>
      <c r="G1499">
        <f>Skills!G22*IF(Skills!H22&gt;0,Skills!I22/Skills!H22,1)</f>
        <v/>
      </c>
      <c r="H1499">
        <f>1-(1-Skills!J22/100)^Skills!K22</f>
        <v/>
      </c>
      <c r="I1499" t="inlineStr">
        <is>
          <t>1</t>
        </is>
      </c>
      <c r="J1499" t="inlineStr"/>
      <c r="K1499" t="inlineStr"/>
      <c r="L1499" t="inlineStr"/>
      <c r="M1499" t="inlineStr"/>
      <c r="N1499" t="inlineStr"/>
      <c r="O1499">
        <f>(1-Summary!$B$11)*T1499+Summary!$B$11*V1499</f>
        <v/>
      </c>
      <c r="P1499">
        <f>IF(B1512=0,0,O1499/B1512)</f>
        <v/>
      </c>
      <c r="Q1499" t="n">
        <v>0</v>
      </c>
      <c r="R1499" t="n">
        <v>0</v>
      </c>
      <c r="S1499">
        <f>IFERROR(O1499/N1499,0)</f>
        <v/>
      </c>
      <c r="T1499" t="n">
        <v>0</v>
      </c>
      <c r="V1499" t="n">
        <v>0</v>
      </c>
    </row>
    <row r="1501">
      <c r="A1501" t="inlineStr">
        <is>
          <t>Attack% Bucket Multiplier</t>
        </is>
      </c>
      <c r="B1501">
        <f>(1+(((C1490=TRUE)*F1490)+((C1496=TRUE)*(F1496-Calc!F19))+(IF(ArtifactsInput!$M$21,CHOOSE(ArtifactsInput!$N$21+1,25,30,35,40,45,50)*(IF(OR(Inputs!$B$4="Chapter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02">
      <c r="A1502" t="inlineStr">
        <is>
          <t>Global Crit Rate Bonus %</t>
        </is>
      </c>
      <c r="B1502" t="n">
        <v>0</v>
      </c>
    </row>
    <row r="1503">
      <c r="A1503" t="inlineStr">
        <is>
          <t>Attack Speed Buff Bonus % (unused)</t>
        </is>
      </c>
      <c r="B1503" t="n">
        <v>0</v>
      </c>
    </row>
    <row r="1504">
      <c r="A1504" t="inlineStr">
        <is>
          <t>Actions Per Second</t>
        </is>
      </c>
      <c r="B1504">
        <f>1+MIN(150,150*(1-(1-(Inputs!$B$11+((C1494=TRUE)*(F1494-Calc!F17))+((C1495=TRUE)*(F1495-Calc!F18)))/150)*(1-B1503/150)))/100</f>
        <v/>
      </c>
    </row>
    <row r="1505">
      <c r="A1505" t="inlineStr">
        <is>
          <t>Skill + Buff Cast Rate</t>
        </is>
      </c>
      <c r="B1505">
        <f>IF(AND(Inputs!$B$38&lt;&gt;"pvp",Inputs!$B$43&gt;0),SUMPRODUCT((Skills!E2:E22=TRUE)*(C1479:C1499=TRUE)*R1479:R1499*Skills!F2:F22)/Inputs!$B$43,SUMPRODUCT((Skills!E2:E22=TRUE)*(C1479:C1499=TRUE)*Q1479:Q1499*Skills!F2:F22))</f>
        <v/>
      </c>
    </row>
    <row r="1506">
      <c r="A1506" t="inlineStr">
        <is>
          <t>Hook Bomber Casts Per Second</t>
        </is>
      </c>
      <c r="B1506">
        <f>MAX(0,B1504-B1505)</f>
        <v/>
      </c>
    </row>
    <row r="1507">
      <c r="A1507" t="inlineStr">
        <is>
          <t>Global Critical Damage Bonus % (unused)</t>
        </is>
      </c>
      <c r="B1507" t="n">
        <v>0</v>
      </c>
    </row>
    <row r="1508">
      <c r="A1508" t="inlineStr">
        <is>
          <t>Global Final Damage Bonus % (Serpent Scale + Crossbones + Time Leap + Speed Infusion)</t>
        </is>
      </c>
      <c r="B1508">
        <f>((C1482=TRUE)*F1482*((10+IF(Inputs!$B$3&gt;=94,5,0))/((10+IF(Inputs!$B$3&gt;=94,5,0))+5/(B1506*(1+IF(Inputs!$B$3&gt;=104,1,0))))))+((C1491=TRUE)*F1491)+((C1492=TRUE)*F1492)+((Inputs!$B$3&gt;=110)*20*(B1504-1))</f>
        <v/>
      </c>
    </row>
    <row r="1509">
      <c r="A1509" t="inlineStr">
        <is>
          <t>Buff-Casting Startup Delay (s, fixed-duration only)</t>
        </is>
      </c>
      <c r="B1509">
        <f>IF(AND(Inputs!$B$38&lt;&gt;"pvp",Inputs!$B$43&gt;0),SUMPRODUCT((Skills!T2:T22&gt;0)*(Skills!E2:E22=TRUE)*(C1479:C1499=TRUE))/B1504,0)</f>
        <v/>
      </c>
    </row>
    <row r="1510">
      <c r="A1510" t="inlineStr">
        <is>
          <t>Boss-Only Total DPS (this block's swept value)</t>
        </is>
      </c>
      <c r="B1510">
        <f>SUM(T1479:T1499)</f>
        <v/>
      </c>
    </row>
    <row r="1511">
      <c r="A1511" t="inlineStr">
        <is>
          <t>Normal-Only Total DPS (this block's swept value)</t>
        </is>
      </c>
      <c r="B1511">
        <f>SUM(V1479:V1499)</f>
        <v/>
      </c>
    </row>
    <row r="1512">
      <c r="A1512" s="6" t="inlineStr">
        <is>
          <t>TOTAL DPS</t>
        </is>
      </c>
      <c r="B1512" s="6">
        <f>SUM(O1479:O1499)</f>
        <v/>
      </c>
    </row>
    <row r="1515">
      <c r="A1515" s="6" t="inlineStr">
        <is>
          <t>Stat: Pink Bean's Giant Rib (Equip)</t>
        </is>
      </c>
    </row>
    <row r="1516">
      <c r="A1516" s="5" t="inlineStr">
        <is>
          <t>Key</t>
        </is>
      </c>
      <c r="B1516" s="5" t="inlineStr">
        <is>
          <t>Name</t>
        </is>
      </c>
      <c r="C1516" s="5" t="inlineStr">
        <is>
          <t>Unlocked</t>
        </is>
      </c>
      <c r="D1516" s="5" t="inlineStr">
        <is>
          <t>InputLevel</t>
        </is>
      </c>
      <c r="E1516" s="5" t="inlineStr">
        <is>
          <t>Factor</t>
        </is>
      </c>
      <c r="F1516" s="5" t="inlineStr">
        <is>
          <t>CoefficientPercent</t>
        </is>
      </c>
      <c r="G1516" s="5" t="inlineStr">
        <is>
          <t>EffectiveHits</t>
        </is>
      </c>
      <c r="H1516" s="5" t="inlineStr">
        <is>
          <t>ProcProbability</t>
        </is>
      </c>
      <c r="I1516" s="5" t="inlineStr">
        <is>
          <t>MapleHeroMultiplier</t>
        </is>
      </c>
      <c r="J1516" s="5" t="inlineStr">
        <is>
          <t>BaseDamage</t>
        </is>
      </c>
      <c r="K1516" s="5" t="inlineStr">
        <is>
          <t>BaseHitDamage</t>
        </is>
      </c>
      <c r="L1516" s="5" t="inlineStr">
        <is>
          <t>NonCritAvg</t>
        </is>
      </c>
      <c r="M1516" s="5" t="inlineStr">
        <is>
          <t>CritAvg</t>
        </is>
      </c>
      <c r="N1516" s="5" t="inlineStr">
        <is>
          <t>ExpectedDamage(perHit)</t>
        </is>
      </c>
      <c r="O1516" s="5" t="inlineStr">
        <is>
          <t>DPS</t>
        </is>
      </c>
      <c r="P1516" s="5" t="inlineStr">
        <is>
          <t>% of Total</t>
        </is>
      </c>
      <c r="Q1516" s="5" t="inlineStr">
        <is>
          <t>InvCooldown</t>
        </is>
      </c>
      <c r="R1516" s="5" t="inlineStr">
        <is>
          <t>CastsInFight</t>
        </is>
      </c>
      <c r="S1516" s="5" t="inlineStr">
        <is>
          <t>HitRate(perSec)</t>
        </is>
      </c>
      <c r="U1516" t="inlineStr">
        <is>
          <t>helpers</t>
        </is>
      </c>
    </row>
    <row r="1517">
      <c r="A1517">
        <f>Skills!A2</f>
        <v/>
      </c>
      <c r="B1517">
        <f>Skills!B2</f>
        <v/>
      </c>
      <c r="C1517">
        <f>Inputs!$B$3&gt;=100</f>
        <v/>
      </c>
      <c r="D1517" t="inlineStr"/>
      <c r="E1517" t="inlineStr"/>
      <c r="F1517">
        <f>U1519+Skills!O2</f>
        <v/>
      </c>
      <c r="G1517">
        <f>Skills!G2*IF(Skills!H2&gt;0,Skills!I2/Skills!H2,1)</f>
        <v/>
      </c>
      <c r="H1517">
        <f>1-(1-Skills!J2/100)^Skills!K2</f>
        <v/>
      </c>
      <c r="I1517" t="inlineStr">
        <is>
          <t>1</t>
        </is>
      </c>
      <c r="J1517">
        <f>((Inputs!$B$6*(1+Inputs!$B$7/100))+(((Inputs!$B$12*(1+Inputs!$B$13/100))-(Inputs!$B$12*(1+Inputs!$B$13/100)))+0.25*(Inputs!$B$14-Inputs!$B$14))*(1+Inputs!$B$7/100))*(F1517/100)</f>
        <v/>
      </c>
      <c r="K1517">
        <f>J1517*(1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1535=TRUE)*(F1535-Calc!F20)),(Inputs!$B$23+0+(IF(ArtifactsInput!$M$15,CHOOSE(ArtifactsInput!$N$15+1,25,30,35,40,45,50)/100*(Inputs!$B$11-Inputs!$B$11),0))))/100+(Inputs!$B$23+0+(IF(ArtifactsInput!$M$15,CHOOSE(ArtifactsInput!$N$15+1,25,30,35,40,45,50)/100*(Inputs!$B$11-Inputs!$B$11),0)))/100)/2</f>
        <v/>
      </c>
      <c r="M1517">
        <f>L1517*(1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IF(B1550=0,0,O1517/B1550)</f>
        <v/>
      </c>
      <c r="Q1517" t="n">
        <v>0</v>
      </c>
      <c r="R1517" t="n">
        <v>0</v>
      </c>
      <c r="S1517">
        <f>IFERROR(O1517/N1517,0)</f>
        <v/>
      </c>
      <c r="T1517">
        <f>IF(C1517,(Skills!G2*N1517*B1544)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7">
        <f>MAX(0,(Inputs!$B$3-100)*3)+Inputs!$B$28+Inputs!$B$29</f>
        <v/>
      </c>
      <c r="V1517">
        <f>IF(C1517,(Skills!G2*N1517*B1544)*IF(Inputs!$B$38="pvp",1,(1+(Inputs!$B$21+Skills!Q2+(IF(ArtifactsInput!$M$33,CHOOSE(ArtifactsInput!$N$33+1,30,36,42,48,54,60),0))+(IF(AND(ArtifactsInput!$M$35,Inputs!$B$4&lt;&gt;"Chapter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Skills!A3</f>
        <v/>
      </c>
      <c r="B1518">
        <f>Skills!B3</f>
        <v/>
      </c>
      <c r="C1518">
        <f>Inputs!$B$3&gt;=35</f>
        <v/>
      </c>
      <c r="D1518">
        <f>IF(Skills!C3=1,60+Inputs!$B$25+Inputs!$B$29,IF(Skills!C3=2,90+Inputs!$B$26+Inputs!$B$29,IF(Skills!C3=3,120+Inputs!$B$27+Inputs!$B$29,MAX(0,(Inputs!$B$3-100)*3)+Inputs!$B$28+Inputs!$B$29)))</f>
        <v/>
      </c>
      <c r="E1518">
        <f>INDEX(FactorTable!$B$2:$Y$301, MATCH(ROUND(MIN(300,MAX(1,D1518)),0), FactorTable!$A$2:$A$301,0), Skills!M3+1)</f>
        <v/>
      </c>
      <c r="F1518">
        <f>IF(Skills!N3=TRUE,(Skills!L3/10)*(E1518/1000),Skills!L3/10)+Skills!O3</f>
        <v/>
      </c>
      <c r="G1518">
        <f>Skills!G3*IF(Skills!H3&gt;0,Skills!I3/Skills!H3,1)</f>
        <v/>
      </c>
      <c r="H1518">
        <f>1-(1-Skills!J3/100)^Skills!K3</f>
        <v/>
      </c>
      <c r="I1518" t="inlineStr">
        <is>
          <t>1</t>
        </is>
      </c>
      <c r="J1518">
        <f>((Inputs!$B$6*(1+Inputs!$B$7/100))+(((Inputs!$B$12*(1+Inputs!$B$13/100))-(Inputs!$B$12*(1+Inputs!$B$13/100)))+0.25*(Inputs!$B$14-Inputs!$B$14))*(1+Inputs!$B$7/100))*(F1518/100)</f>
        <v/>
      </c>
      <c r="K1518">
        <f>J1518*(1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1535=TRUE)*(F1535-Calc!F20)),(Inputs!$B$23+0+(IF(ArtifactsInput!$M$15,CHOOSE(ArtifactsInput!$N$15+1,25,30,35,40,45,50)/100*(Inputs!$B$11-Inputs!$B$11),0))))/100+(Inputs!$B$23+0+(IF(ArtifactsInput!$M$15,CHOOSE(ArtifactsInput!$N$15+1,25,30,35,40,45,50)/100*(Inputs!$B$11-Inputs!$B$11),0)))/100)/2</f>
        <v/>
      </c>
      <c r="M1518">
        <f>L1518*(1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IF(B1550=0,0,O1518/B1550)</f>
        <v/>
      </c>
      <c r="Q1518" t="n">
        <v>0</v>
      </c>
      <c r="R1518" t="n">
        <v>0</v>
      </c>
      <c r="S1518">
        <f>IFERROR(O1518/N1518,0)</f>
        <v/>
      </c>
      <c r="T1518">
        <f>IF(C1518,(Skills!G3*H1518*N1518*B1544)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8">
        <f>INDEX(FactorTable!$B$2:$Y$301, MATCH(ROUND(MIN(300,MAX(1,U1517)),0), FactorTable!$A$2:$A$301,0), 22)</f>
        <v/>
      </c>
      <c r="V1518">
        <f>IF(C1518,(Skills!G3*H1518*N1518*B1544)*IF(Inputs!$B$38="pvp",1,(1+(Inputs!$B$21+Skills!Q3+(IF(ArtifactsInput!$M$33,CHOOSE(ArtifactsInput!$N$33+1,30,36,42,48,54,60),0))+(IF(AND(ArtifactsInput!$M$35,Inputs!$B$4&lt;&gt;"Chapter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Skills!A4</f>
        <v/>
      </c>
      <c r="B1519">
        <f>Skills!B4</f>
        <v/>
      </c>
      <c r="C1519">
        <f>Inputs!$B$3&gt;=60</f>
        <v/>
      </c>
      <c r="D1519">
        <f>IF(Skills!C4=1,60+Inputs!$B$25+Inputs!$B$29,IF(Skills!C4=2,90+Inputs!$B$26+Inputs!$B$29,IF(Skills!C4=3,120+Inputs!$B$27+Inputs!$B$29,MAX(0,(Inputs!$B$3-100)*3)+Inputs!$B$28+Inputs!$B$29)))</f>
        <v/>
      </c>
      <c r="E1519">
        <f>INDEX(FactorTable!$B$2:$Y$301, MATCH(ROUND(MIN(300,MAX(1,D1519)),0), FactorTable!$A$2:$A$301,0), Skills!M4+1)</f>
        <v/>
      </c>
      <c r="F1519">
        <f>IF(Skills!N4=TRUE,(Skills!L4/10)*(E1519/1000),Skills!L4/10)+Skills!O4</f>
        <v/>
      </c>
      <c r="G1519">
        <f>Skills!G4*IF(Skills!H4&gt;0,Skills!I4/Skills!H4,1)</f>
        <v/>
      </c>
      <c r="H1519">
        <f>1-(1-Skills!J4/100)^Skills!K4</f>
        <v/>
      </c>
      <c r="I1519" t="inlineStr">
        <is>
          <t>1</t>
        </is>
      </c>
      <c r="J1519">
        <f>((Inputs!$B$6*(1+Inputs!$B$7/100))+(((Inputs!$B$12*(1+Inputs!$B$13/100))-(Inputs!$B$12*(1+Inputs!$B$13/100)))+0.25*(Inputs!$B$14-Inputs!$B$14))*(1+Inputs!$B$7/100))*(F1519/100)</f>
        <v/>
      </c>
      <c r="K1519">
        <f>J1519*(1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1527=TRUE,F1527,0)/100)*(1+(IF(Skills!A4="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C1535=TRUE)*(F1535-Calc!F20)),(Inputs!$B$23+0+(IF(ArtifactsInput!$M$15,CHOOSE(ArtifactsInput!$N$15+1,25,30,35,40,45,50)/100*(Inputs!$B$11-Inputs!$B$11),0))))/100+(Inputs!$B$23+0+(IF(ArtifactsInput!$M$15,CHOOSE(ArtifactsInput!$N$15+1,25,30,35,40,45,50)/100*(Inputs!$B$11-Inputs!$B$11),0)))/100)/2</f>
        <v/>
      </c>
      <c r="M1519">
        <f>L1519*(1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9">
        <f>L1519*(1-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1519*(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9">
        <f>(1-Summary!$B$11)*T1519+Summary!$B$11*V1519</f>
        <v/>
      </c>
      <c r="P1519">
        <f>IF(B1550=0,0,O1519/B1550)</f>
        <v/>
      </c>
      <c r="Q1519" t="n">
        <v>0</v>
      </c>
      <c r="R1519" t="n">
        <v>0</v>
      </c>
      <c r="S1519">
        <f>IFERROR(O1519/N1519,0)</f>
        <v/>
      </c>
      <c r="T1519">
        <f>IF(C1519,(Skills!G4*H1519*N1519*B1544)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1519*(1-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1519*(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1519*(1-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1519*(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9">
        <f>290*U1518/1000</f>
        <v/>
      </c>
      <c r="V1519">
        <f>IF(C1519,(Skills!G4*H1519*N1519*B1544)*IF(Inputs!$B$38="pvp",1,(1+(Inputs!$B$21+Skills!Q4+(IF(ArtifactsInput!$M$33,CHOOSE(ArtifactsInput!$N$33+1,30,36,42,48,54,60),0))+(IF(AND(ArtifactsInput!$M$35,Inputs!$B$4&lt;&gt;"Chapter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Skills!A5</f>
        <v/>
      </c>
      <c r="B1520">
        <f>Skills!B5</f>
        <v/>
      </c>
      <c r="C1520">
        <f>Inputs!$B$3&gt;=60</f>
        <v/>
      </c>
      <c r="D1520">
        <f>IF(Skills!C5=1,60+Inputs!$B$25+Inputs!$B$29,IF(Skills!C5=2,90+Inputs!$B$26+Inputs!$B$29,IF(Skills!C5=3,120+Inputs!$B$27+Inputs!$B$29,MAX(0,(Inputs!$B$3-100)*3)+Inputs!$B$28+Inputs!$B$29)))</f>
        <v/>
      </c>
      <c r="E1520">
        <f>INDEX(FactorTable!$B$2:$Y$301, MATCH(ROUND(MIN(300,MAX(1,D1520)),0), FactorTable!$A$2:$A$301,0), Skills!M5+1)</f>
        <v/>
      </c>
      <c r="F1520">
        <f>IF(Skills!N5=TRUE,(Skills!L5/10)*(E1520/1000),Skills!L5/10)+Skills!O5</f>
        <v/>
      </c>
      <c r="G1520">
        <f>Skills!G5*IF(Skills!H5&gt;0,Skills!I5/Skills!H5,1)</f>
        <v/>
      </c>
      <c r="H1520">
        <f>1-(1-Skills!J5/100)^Skills!K5</f>
        <v/>
      </c>
      <c r="I1520" t="inlineStr">
        <is>
          <t>1</t>
        </is>
      </c>
      <c r="J1520" t="inlineStr"/>
      <c r="K1520" t="inlineStr"/>
      <c r="L1520" t="inlineStr"/>
      <c r="M1520" t="inlineStr"/>
      <c r="N1520" t="inlineStr"/>
      <c r="O1520">
        <f>(1-Summary!$B$11)*T1520+Summary!$B$11*V1520</f>
        <v/>
      </c>
      <c r="P1520">
        <f>IF(B1550=0,0,O1520/B1550)</f>
        <v/>
      </c>
      <c r="Q1520" t="n">
        <v>0</v>
      </c>
      <c r="R1520" t="n">
        <v>0</v>
      </c>
      <c r="S1520">
        <f>IFERROR(O1520/N1520,0)</f>
        <v/>
      </c>
      <c r="T1520" t="n">
        <v>0</v>
      </c>
      <c r="V1520" t="n">
        <v>0</v>
      </c>
    </row>
    <row r="1521">
      <c r="A1521">
        <f>Skills!A6</f>
        <v/>
      </c>
      <c r="B1521">
        <f>Skills!B6</f>
        <v/>
      </c>
      <c r="C1521">
        <f>Inputs!$B$3&gt;=63</f>
        <v/>
      </c>
      <c r="D1521">
        <f>IF(Skills!C6=1,60+Inputs!$B$25+Inputs!$B$29,IF(Skills!C6=2,90+Inputs!$B$26+Inputs!$B$29,IF(Skills!C6=3,120+Inputs!$B$27+Inputs!$B$29,MAX(0,(Inputs!$B$3-100)*3)+Inputs!$B$28+Inputs!$B$29)))</f>
        <v/>
      </c>
      <c r="E1521">
        <f>INDEX(FactorTable!$B$2:$Y$301, MATCH(ROUND(MIN(300,MAX(1,D1521)),0), FactorTable!$A$2:$A$301,0), Skills!M6+1)</f>
        <v/>
      </c>
      <c r="F1521">
        <f>IF(Skills!N6=TRUE,(Skills!L6/10)*(E1521/1000),Skills!L6/10)+Skills!O6</f>
        <v/>
      </c>
      <c r="G1521">
        <f>Skills!G6*IF(Skills!H6&gt;0,Skills!I6/Skills!H6,1)</f>
        <v/>
      </c>
      <c r="H1521">
        <f>1-(1-Skills!J6/100)^Skills!K6</f>
        <v/>
      </c>
      <c r="I1521" t="inlineStr">
        <is>
          <t>1</t>
        </is>
      </c>
      <c r="J1521">
        <f>((Inputs!$B$6*(1+Inputs!$B$7/100))+(((Inputs!$B$12*(1+Inputs!$B$13/100))-(Inputs!$B$12*(1+Inputs!$B$13/100)))+0.25*(Inputs!$B$14-Inputs!$B$14))*(1+Inputs!$B$7/100))*(F1521/100)</f>
        <v/>
      </c>
      <c r="K1521">
        <f>J1521*(1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1535=TRUE)*(F1535-Calc!F20)),(Inputs!$B$23+0+(IF(ArtifactsInput!$M$15,CHOOSE(ArtifactsInput!$N$15+1,25,30,35,40,45,50)/100*(Inputs!$B$11-Inputs!$B$11),0))))/100+(Inputs!$B$23+0+(IF(ArtifactsInput!$M$15,CHOOSE(ArtifactsInput!$N$15+1,25,30,35,40,45,50)/100*(Inputs!$B$11-Inputs!$B$11),0)))/100)/2</f>
        <v/>
      </c>
      <c r="M1521">
        <f>L1521*(1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IF(B1550=0,0,O1521/B1550)</f>
        <v/>
      </c>
      <c r="Q1521">
        <f>IFERROR(1/(IF(Inputs!$B$38="pvp",15,MAX(0.1,Skills!D6-IF(Skills!E6=TRUE,Inputs!$B$32,0)))*(1-IF(AND(ArtifactsInput!$M$27,Inputs!$B$4="Chapter Hunt"),CHOOSE(ArtifactsInput!$N$27+1,20,24,28,32,36,40),0)/100)),0)</f>
        <v/>
      </c>
      <c r="R1521">
        <f>IF(AND(Inputs!$B$38&lt;&gt;"pvp",Inputs!$B$43&gt;0),IF(MAX(0,Inputs!$B$43-B1547)&lt;=0,0,(INT(MAX(0,Inputs!$B$43-B1547)/(IF(Inputs!$B$38="pvp",15,MAX(0.1,Skills!D6-IF(Skills!E6=TRUE,Inputs!$B$32,0)))*(1-IF(AND(ArtifactsInput!$M$27,Inputs!$B$4="Chapter Hunt"),CHOOSE(ArtifactsInput!$N$27+1,20,24,28,32,36,40),0)/100)))+1)),0)</f>
        <v/>
      </c>
      <c r="S1521">
        <f>IFERROR(O1521/N1521,0)</f>
        <v/>
      </c>
      <c r="T1521">
        <f>IF(C1521,(H1521*N1521*IF(AND(Inputs!$B$38&lt;&gt;"pvp",Inputs!$B$43&gt;0),((Skills!G6*((R1521-1)*IF(Skills!H6&gt;0,Skills!I6/Skills!H6,1)+IF(Skills!H6&gt;0,MIN(Skills!I6,MAX(0,MAX(0,Inputs!$B$43-B1547)-((R1521-1)*(IF(Inputs!$B$38="pvp",15,MAX(0.1,Skills!D6-IF(Skills!E6=TRUE,Inputs!$B$32,0)))*(1-IF(AND(ArtifactsInput!$M$27,Inputs!$B$4="Chapter Hunt"),CHOOSE(ArtifactsInput!$N$27+1,20,24,28,32,36,40),0)/100)))))/Skills!H6,1)))/Inputs!$B$43),G1521*Q1521)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6*((R1521-1)*IF(Skills!H6&gt;0,Skills!I6/Skills!H6,1)+IF(Skills!H6&gt;0,MIN(Skills!I6,MAX(0,MAX(0,Inputs!$B$43-B1547)-((R1521-1)*(IF(Inputs!$B$38="pvp",15,MAX(0.1,Skills!D6-IF(Skills!E6=TRUE,Inputs!$B$32,0)))*(1-IF(AND(ArtifactsInput!$M$27,Inputs!$B$4="Chapter Hunt"),CHOOSE(ArtifactsInput!$N$27+1,20,24,28,32,36,40),0)/100)))))/Skills!H6,1)))/Inputs!$B$43),G1521*Q1521))*IF(Inputs!$B$38="pvp",1,(1+(Inputs!$B$21+Skills!Q6+(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Skills!A7</f>
        <v/>
      </c>
      <c r="B1522">
        <f>Skills!B7</f>
        <v/>
      </c>
      <c r="C1522">
        <f>Inputs!$B$3&gt;=100</f>
        <v/>
      </c>
      <c r="D1522">
        <f>IF(Skills!C7=1,60+Inputs!$B$25+Inputs!$B$29,IF(Skills!C7=2,90+Inputs!$B$26+Inputs!$B$29,IF(Skills!C7=3,120+Inputs!$B$27+Inputs!$B$29,MAX(0,(Inputs!$B$3-100)*3)+Inputs!$B$28+Inputs!$B$29)))</f>
        <v/>
      </c>
      <c r="E1522">
        <f>INDEX(FactorTable!$B$2:$Y$301, MATCH(ROUND(MIN(300,MAX(1,D1522)),0), FactorTable!$A$2:$A$301,0), Skills!M7+1)</f>
        <v/>
      </c>
      <c r="F1522">
        <f>IF(Skills!N7=TRUE,(Skills!L7/10)*(E1522/1000),Skills!L7/10)+Skills!O7</f>
        <v/>
      </c>
      <c r="G1522">
        <f>Skills!G7*IF(Skills!H7&gt;0,Skills!I7/Skills!H7,1)</f>
        <v/>
      </c>
      <c r="H1522">
        <f>1-(1-Skills!J7/100)^Skills!K7</f>
        <v/>
      </c>
      <c r="I1522" t="inlineStr">
        <is>
          <t>1</t>
        </is>
      </c>
      <c r="J1522">
        <f>((Inputs!$B$6*(1+Inputs!$B$7/100))+(((Inputs!$B$12*(1+Inputs!$B$13/100))-(Inputs!$B$12*(1+Inputs!$B$13/100)))+0.25*(Inputs!$B$14-Inputs!$B$14))*(1+Inputs!$B$7/100))*(F1522/100)</f>
        <v/>
      </c>
      <c r="K1522">
        <f>J1522*(1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1535=TRUE)*(F1535-Calc!F20)),(Inputs!$B$23+0+(IF(ArtifactsInput!$M$15,CHOOSE(ArtifactsInput!$N$15+1,25,30,35,40,45,50)/100*(Inputs!$B$11-Inputs!$B$11),0))))/100+(Inputs!$B$23+0+(IF(ArtifactsInput!$M$15,CHOOSE(ArtifactsInput!$N$15+1,25,30,35,40,45,50)/100*(Inputs!$B$11-Inputs!$B$11),0)))/100)/2</f>
        <v/>
      </c>
      <c r="M1522">
        <f>L1522*(1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IF(B1550=0,0,O1522/B1550)</f>
        <v/>
      </c>
      <c r="Q1522">
        <f>IFERROR(1/(IF(Inputs!$B$38="pvp",15,MAX(0.1,Skills!D7-IF(Skills!E7=TRUE,Inputs!$B$32,0)))*(1-IF(AND(ArtifactsInput!$M$27,Inputs!$B$4="Chapter Hunt"),CHOOSE(ArtifactsInput!$N$27+1,20,24,28,32,36,40),0)/100)),0)</f>
        <v/>
      </c>
      <c r="R1522">
        <f>IF(AND(Inputs!$B$38&lt;&gt;"pvp",Inputs!$B$43&gt;0),IF(MAX(0,Inputs!$B$43-B1547)&lt;=0,0,(INT(MAX(0,Inputs!$B$43-B1547)/(IF(Inputs!$B$38="pvp",15,MAX(0.1,Skills!D7-IF(Skills!E7=TRUE,Inputs!$B$32,0)))*(1-IF(AND(ArtifactsInput!$M$27,Inputs!$B$4="Chapter Hunt"),CHOOSE(ArtifactsInput!$N$27+1,20,24,28,32,36,40),0)/100)))+1)),0)</f>
        <v/>
      </c>
      <c r="S1522">
        <f>IFERROR(O1522/N1522,0)</f>
        <v/>
      </c>
      <c r="T1522">
        <f>IF(C1522,(H1522*N1522*IF(AND(Inputs!$B$38&lt;&gt;"pvp",Inputs!$B$43&gt;0),((Skills!G7*((R1522-1)*IF(Skills!H7&gt;0,Skills!I7/Skills!H7,1)+IF(Skills!H7&gt;0,MIN(Skills!I7,MAX(0,MAX(0,Inputs!$B$43-B1547)-((R1522-1)*(IF(Inputs!$B$38="pvp",15,MAX(0.1,Skills!D7-IF(Skills!E7=TRUE,Inputs!$B$32,0)))*(1-IF(AND(ArtifactsInput!$M$27,Inputs!$B$4="Chapter Hunt"),CHOOSE(ArtifactsInput!$N$27+1,20,24,28,32,36,40),0)/100)))))/Skills!H7,1)))/Inputs!$B$43),G1522*Q1522)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7*((R1522-1)*IF(Skills!H7&gt;0,Skills!I7/Skills!H7,1)+IF(Skills!H7&gt;0,MIN(Skills!I7,MAX(0,MAX(0,Inputs!$B$43-B1547)-((R1522-1)*(IF(Inputs!$B$38="pvp",15,MAX(0.1,Skills!D7-IF(Skills!E7=TRUE,Inputs!$B$32,0)))*(1-IF(AND(ArtifactsInput!$M$27,Inputs!$B$4="Chapter Hunt"),CHOOSE(ArtifactsInput!$N$27+1,20,24,28,32,36,40),0)/100)))))/Skills!H7,1)))/Inputs!$B$43),G1522*Q1522))*IF(Inputs!$B$38="pvp",1,(1+(Inputs!$B$21+Skills!Q7+(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Skills!A8</f>
        <v/>
      </c>
      <c r="B1523">
        <f>Skills!B8</f>
        <v/>
      </c>
      <c r="C1523">
        <f>Inputs!$B$3&gt;=110</f>
        <v/>
      </c>
      <c r="D1523">
        <f>IF(Skills!C8=1,60+Inputs!$B$25+Inputs!$B$29,IF(Skills!C8=2,90+Inputs!$B$26+Inputs!$B$29,IF(Skills!C8=3,120+Inputs!$B$27+Inputs!$B$29,MAX(0,(Inputs!$B$3-100)*3)+Inputs!$B$28+Inputs!$B$29)))</f>
        <v/>
      </c>
      <c r="E1523">
        <f>INDEX(FactorTable!$B$2:$Y$301, MATCH(ROUND(MIN(300,MAX(1,D1523)),0), FactorTable!$A$2:$A$301,0), Skills!M8+1)</f>
        <v/>
      </c>
      <c r="F1523">
        <f>IF(Skills!N8=TRUE,(Skills!L8/10)*(E1523/1000),Skills!L8/10)+Skills!O8</f>
        <v/>
      </c>
      <c r="G1523">
        <f>Skills!G8*IF(Skills!H8&gt;0,Skills!I8/Skills!H8,1)</f>
        <v/>
      </c>
      <c r="H1523">
        <f>1-(1-Skills!J8/100)^Skills!K8</f>
        <v/>
      </c>
      <c r="I1523" t="inlineStr">
        <is>
          <t>1</t>
        </is>
      </c>
      <c r="J1523">
        <f>((Inputs!$B$6*(1+Inputs!$B$7/100))+(((Inputs!$B$12*(1+Inputs!$B$13/100))-(Inputs!$B$12*(1+Inputs!$B$13/100)))+0.25*(Inputs!$B$14-Inputs!$B$14))*(1+Inputs!$B$7/100))*(F1523/100)</f>
        <v/>
      </c>
      <c r="K1523">
        <f>J1523*(1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1523)</f>
        <v/>
      </c>
      <c r="L1523">
        <f>K1523*(MIN(Inputs!$B$22+((C1535=TRUE)*(F1535-Calc!F20)),(Inputs!$B$23+0+(IF(ArtifactsInput!$M$15,CHOOSE(ArtifactsInput!$N$15+1,25,30,35,40,45,50)/100*(Inputs!$B$11-Inputs!$B$11),0))))/100+(Inputs!$B$23+0+(IF(ArtifactsInput!$M$15,CHOOSE(ArtifactsInput!$N$15+1,25,30,35,40,45,50)/100*(Inputs!$B$11-Inputs!$B$11),0)))/100)/2</f>
        <v/>
      </c>
      <c r="M1523">
        <f>L1523*(1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3">
        <f>L1523*(1-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1523*(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3">
        <f>(1-Summary!$B$11)*T1523+Summary!$B$11*V1523</f>
        <v/>
      </c>
      <c r="P1523">
        <f>IF(B1550=0,0,O1523/B1550)</f>
        <v/>
      </c>
      <c r="Q1523">
        <f>IFERROR(1/(IF(Inputs!$B$38="pvp",15,MAX(0.1,Skills!D8-IF(Skills!E8=TRUE,Inputs!$B$32,0)))*(1-IF(AND(ArtifactsInput!$M$27,Inputs!$B$4="Chapter Hunt"),CHOOSE(ArtifactsInput!$N$27+1,20,24,28,32,36,40),0)/100)),0)</f>
        <v/>
      </c>
      <c r="R1523">
        <f>IF(AND(Inputs!$B$38&lt;&gt;"pvp",Inputs!$B$43&gt;0),IF(MAX(0,Inputs!$B$43-B1547)&lt;=0,0,(INT(MAX(0,Inputs!$B$43-B1547)/(IF(Inputs!$B$38="pvp",15,MAX(0.1,Skills!D8-IF(Skills!E8=TRUE,Inputs!$B$32,0)))*(1-IF(AND(ArtifactsInput!$M$27,Inputs!$B$4="Chapter Hunt"),CHOOSE(ArtifactsInput!$N$27+1,20,24,28,32,36,40),0)/100)))+1)),0)</f>
        <v/>
      </c>
      <c r="S1523">
        <f>IFERROR(O1523/N1523,0)</f>
        <v/>
      </c>
      <c r="T1523">
        <f>IF(C1523,(H1523*N1523*IF(AND(Inputs!$B$38&lt;&gt;"pvp",Inputs!$B$43&gt;0),((Skills!G8*((R1523-1)*IF(Skills!H8&gt;0,Skills!I8/Skills!H8,1)+IF(Skills!H8&gt;0,MIN(Skills!I8,MAX(0,MAX(0,Inputs!$B$43-B1547)-((R1523-1)*(IF(Inputs!$B$38="pvp",15,MAX(0.1,Skills!D8-IF(Skills!E8=TRUE,Inputs!$B$32,0)))*(1-IF(AND(ArtifactsInput!$M$27,Inputs!$B$4="Chapter Hunt"),CHOOSE(ArtifactsInput!$N$27+1,20,24,28,32,36,40),0)/100)))))/Skills!H8,1)))/Inputs!$B$43),G1523*Q1523)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1523*(1-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1523*(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1523*(1-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1523*(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3">
        <f>IF(C1523,(H1523*N1523*IF(AND(Inputs!$B$38&lt;&gt;"pvp",Inputs!$B$43&gt;0),((Skills!G8*((R1523-1)*IF(Skills!H8&gt;0,Skills!I8/Skills!H8,1)+IF(Skills!H8&gt;0,MIN(Skills!I8,MAX(0,MAX(0,Inputs!$B$43-B1547)-((R1523-1)*(IF(Inputs!$B$38="pvp",15,MAX(0.1,Skills!D8-IF(Skills!E8=TRUE,Inputs!$B$32,0)))*(1-IF(AND(ArtifactsInput!$M$27,Inputs!$B$4="Chapter Hunt"),CHOOSE(ArtifactsInput!$N$27+1,20,24,28,32,36,40),0)/100)))))/Skills!H8,1)))/Inputs!$B$43),G1523*Q1523))*IF(Inputs!$B$38="pvp",1,(1+(Inputs!$B$21+Skills!Q8+(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4">
      <c r="A1524">
        <f>Skills!A9</f>
        <v/>
      </c>
      <c r="B1524">
        <f>Skills!B9</f>
        <v/>
      </c>
      <c r="C1524">
        <f>Inputs!$B$3&gt;=110</f>
        <v/>
      </c>
      <c r="D1524">
        <f>IF(Skills!C9=1,60+Inputs!$B$25+Inputs!$B$29,IF(Skills!C9=2,90+Inputs!$B$26+Inputs!$B$29,IF(Skills!C9=3,120+Inputs!$B$27+Inputs!$B$29,MAX(0,(Inputs!$B$3-100)*3)+Inputs!$B$28+Inputs!$B$29)))</f>
        <v/>
      </c>
      <c r="E1524">
        <f>INDEX(FactorTable!$B$2:$Y$301, MATCH(ROUND(MIN(300,MAX(1,D1524)),0), FactorTable!$A$2:$A$301,0), Skills!M9+1)</f>
        <v/>
      </c>
      <c r="F1524">
        <f>IF(Skills!N9=TRUE,(Skills!L9/10)*(E1524/1000),Skills!L9/10)+Skills!O9</f>
        <v/>
      </c>
      <c r="G1524">
        <f>Skills!G9*IF(Skills!H9&gt;0,Skills!I9/Skills!H9,1)</f>
        <v/>
      </c>
      <c r="H1524">
        <f>1-(1-Skills!J9/100)^Skills!K9</f>
        <v/>
      </c>
      <c r="I1524" t="inlineStr">
        <is>
          <t>1</t>
        </is>
      </c>
      <c r="J1524">
        <f>((Inputs!$B$6*(1+Inputs!$B$7/100))+(((Inputs!$B$12*(1+Inputs!$B$13/100))-(Inputs!$B$12*(1+Inputs!$B$13/100)))+0.25*(Inputs!$B$14-Inputs!$B$14))*(1+Inputs!$B$7/100))*(F1524/100)</f>
        <v/>
      </c>
      <c r="K1524">
        <f>J1524*(1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C1535=TRUE)*(F1535-Calc!F20)),(Inputs!$B$23+0+(IF(ArtifactsInput!$M$15,CHOOSE(ArtifactsInput!$N$15+1,25,30,35,40,45,50)/100*(Inputs!$B$11-Inputs!$B$11),0))))/100+(Inputs!$B$23+0+(IF(ArtifactsInput!$M$15,CHOOSE(ArtifactsInput!$N$15+1,25,30,35,40,45,50)/100*(Inputs!$B$11-Inputs!$B$11),0)))/100)/2</f>
        <v/>
      </c>
      <c r="M1524">
        <f>L1524*(1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4">
        <f>L1524*(1-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4">
        <f>(1-Summary!$B$11)*T1524+Summary!$B$11*V1524</f>
        <v/>
      </c>
      <c r="P1524">
        <f>IF(B1550=0,0,O1524/B1550)</f>
        <v/>
      </c>
      <c r="Q1524">
        <f>IFERROR(1/(IF(Inputs!$B$38="pvp",15,MAX(0.1,Skills!D9-IF(Skills!E9=TRUE,Inputs!$B$32,0)))*(1-IF(AND(ArtifactsInput!$M$27,Inputs!$B$4="Chapter Hunt"),CHOOSE(ArtifactsInput!$N$27+1,20,24,28,32,36,40),0)/100)),0)</f>
        <v/>
      </c>
      <c r="R1524">
        <f>IF(AND(Inputs!$B$38&lt;&gt;"pvp",Inputs!$B$43&gt;0),IF(MAX(0,Inputs!$B$43-B1547)&lt;=0,0,(INT(MAX(0,Inputs!$B$43-B1547)/(IF(Inputs!$B$38="pvp",15,MAX(0.1,Skills!D9-IF(Skills!E9=TRUE,Inputs!$B$32,0)))*(1-IF(AND(ArtifactsInput!$M$27,Inputs!$B$4="Chapter Hunt"),CHOOSE(ArtifactsInput!$N$27+1,20,24,28,32,36,40),0)/100)))+1)),0)</f>
        <v/>
      </c>
      <c r="S1524">
        <f>IFERROR(O1524/N1524,0)</f>
        <v/>
      </c>
      <c r="T1524">
        <f>IF(C1524,(H1524*N1524*IF(AND(Inputs!$B$38&lt;&gt;"pvp",Inputs!$B$43&gt;0),((Skills!G9*((R1524-1)*IF(Skills!H9&gt;0,Skills!I9/Skills!H9,1)+IF(Skills!H9&gt;0,MIN(Skills!I9,MAX(0,MAX(0,Inputs!$B$43-B1547)-((R1524-1)*(IF(Inputs!$B$38="pvp",15,MAX(0.1,Skills!D9-IF(Skills!E9=TRUE,Inputs!$B$32,0)))*(1-IF(AND(ArtifactsInput!$M$27,Inputs!$B$4="Chapter Hunt"),CHOOSE(ArtifactsInput!$N$27+1,20,24,28,32,36,40),0)/100)))))/Skills!H9,1)))/Inputs!$B$43),G1524*Q1524)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1524*(1-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4">
        <f>IF(C1524,(H1524*N1524*IF(AND(Inputs!$B$38&lt;&gt;"pvp",Inputs!$B$43&gt;0),((Skills!G9*((R1524-1)*IF(Skills!H9&gt;0,Skills!I9/Skills!H9,1)+IF(Skills!H9&gt;0,MIN(Skills!I9,MAX(0,MAX(0,Inputs!$B$43-B1547)-((R1524-1)*(IF(Inputs!$B$38="pvp",15,MAX(0.1,Skills!D9-IF(Skills!E9=TRUE,Inputs!$B$32,0)))*(1-IF(AND(ArtifactsInput!$M$27,Inputs!$B$4="Chapter Hunt"),CHOOSE(ArtifactsInput!$N$27+1,20,24,28,32,36,40),0)/100)))))/Skills!H9,1)))/Inputs!$B$43),G1524*Q1524))*IF(Inputs!$B$38="pvp",1,(1+(Inputs!$B$21+Skills!Q9+(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5">
      <c r="A1525">
        <f>Skills!A10</f>
        <v/>
      </c>
      <c r="B1525">
        <f>Skills!B10</f>
        <v/>
      </c>
      <c r="C1525">
        <f>Inputs!$B$3&gt;=103</f>
        <v/>
      </c>
      <c r="D1525">
        <f>IF(Skills!C10=1,60+Inputs!$B$25+Inputs!$B$29,IF(Skills!C10=2,90+Inputs!$B$26+Inputs!$B$29,IF(Skills!C10=3,120+Inputs!$B$27+Inputs!$B$29,MAX(0,(Inputs!$B$3-100)*3)+Inputs!$B$28+Inputs!$B$29)))</f>
        <v/>
      </c>
      <c r="E1525">
        <f>INDEX(FactorTable!$B$2:$Y$301, MATCH(ROUND(MIN(300,MAX(1,D1525)),0), FactorTable!$A$2:$A$301,0), Skills!M10+1)</f>
        <v/>
      </c>
      <c r="F1525">
        <f>IF(Skills!N10=TRUE,(Skills!L10/10)*(E1525/1000),Skills!L10/10)+Skills!O10</f>
        <v/>
      </c>
      <c r="G1525">
        <f>Skills!G10*IF(Skills!H10&gt;0,Skills!I10/Skills!H10,1)</f>
        <v/>
      </c>
      <c r="H1525">
        <f>1-(1-Skills!J10/100)^Skills!K10</f>
        <v/>
      </c>
      <c r="I1525" t="inlineStr">
        <is>
          <t>1</t>
        </is>
      </c>
      <c r="J1525">
        <f>((Inputs!$B$6*(1+Inputs!$B$7/100))+(((Inputs!$B$12*(1+Inputs!$B$13/100))-(Inputs!$B$12*(1+Inputs!$B$13/100)))+0.25*(Inputs!$B$14-Inputs!$B$14))*(1+Inputs!$B$7/100))*(F1525/100)</f>
        <v/>
      </c>
      <c r="K1525">
        <f>J1525*(1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C1535=TRUE)*(F1535-Calc!F20)),(Inputs!$B$23+0+(IF(ArtifactsInput!$M$15,CHOOSE(ArtifactsInput!$N$15+1,25,30,35,40,45,50)/100*(Inputs!$B$11-Inputs!$B$11),0))))/100+(Inputs!$B$23+0+(IF(ArtifactsInput!$M$15,CHOOSE(ArtifactsInput!$N$15+1,25,30,35,40,45,50)/100*(Inputs!$B$11-Inputs!$B$11),0)))/100)/2</f>
        <v/>
      </c>
      <c r="M1525">
        <f>L1525*(1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(1-Summary!$B$11)*T1525+Summary!$B$11*V1525</f>
        <v/>
      </c>
      <c r="P1525">
        <f>IF(B1550=0,0,O1525/B1550)</f>
        <v/>
      </c>
      <c r="Q1525">
        <f>IFERROR(1/(IF(Inputs!$B$38="pvp",15,MAX(0.1,Skills!D10-IF(Skills!E10=TRUE,Inputs!$B$32,0)))*(1-IF(AND(ArtifactsInput!$M$27,Inputs!$B$4="Chapter Hunt"),CHOOSE(ArtifactsInput!$N$27+1,20,24,28,32,36,40),0)/100)),0)</f>
        <v/>
      </c>
      <c r="R1525">
        <f>IF(AND(Inputs!$B$38&lt;&gt;"pvp",Inputs!$B$43&gt;0),IF(MAX(0,Inputs!$B$43-B1547)&lt;=0,0,(INT(MAX(0,Inputs!$B$43-B1547)/(IF(Inputs!$B$38="pvp",15,MAX(0.1,Skills!D10-IF(Skills!E10=TRUE,Inputs!$B$32,0)))*(1-IF(AND(ArtifactsInput!$M$27,Inputs!$B$4="Chapter Hunt"),CHOOSE(ArtifactsInput!$N$27+1,20,24,28,32,36,40),0)/100)))+1)),0)</f>
        <v/>
      </c>
      <c r="S1525">
        <f>IFERROR(O1525/N1525,0)</f>
        <v/>
      </c>
      <c r="T1525">
        <f>IF(C1525,(H1525*N1525*IF(AND(Inputs!$B$38&lt;&gt;"pvp",Inputs!$B$43&gt;0),((Skills!G10*((R1525-1)*IF(Skills!H10&gt;0,Skills!I10/Skills!H10,1)+IF(Skills!H10&gt;0,MIN(Skills!I10,MAX(0,MAX(0,Inputs!$B$43-B1547)-((R1525-1)*(IF(Inputs!$B$38="pvp",15,MAX(0.1,Skills!D10-IF(Skills!E10=TRUE,Inputs!$B$32,0)))*(1-IF(AND(ArtifactsInput!$M$27,Inputs!$B$4="Chapter Hunt"),CHOOSE(ArtifactsInput!$N$27+1,20,24,28,32,36,40),0)/100)))))/Skills!H10,1)))/Inputs!$B$43),G1525*Q1525)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1525*(1-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5">
        <f>IF(C1525,(H1525*N1525*IF(AND(Inputs!$B$38&lt;&gt;"pvp",Inputs!$B$43&gt;0),((Skills!G10*((R1525-1)*IF(Skills!H10&gt;0,Skills!I10/Skills!H10,1)+IF(Skills!H10&gt;0,MIN(Skills!I10,MAX(0,MAX(0,Inputs!$B$43-B1547)-((R1525-1)*(IF(Inputs!$B$38="pvp",15,MAX(0.1,Skills!D10-IF(Skills!E10=TRUE,Inputs!$B$32,0)))*(1-IF(AND(ArtifactsInput!$M$27,Inputs!$B$4="Chapter Hunt"),CHOOSE(ArtifactsInput!$N$27+1,20,24,28,32,36,40),0)/100)))))/Skills!H10,1)))/Inputs!$B$43),G1525*Q1525))*IF(Inputs!$B$38="pvp",1,(1+(Inputs!$B$21+Skills!Q10+(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6">
      <c r="A1526">
        <f>Skills!A11</f>
        <v/>
      </c>
      <c r="B1526">
        <f>Skills!B11</f>
        <v/>
      </c>
      <c r="C1526">
        <f>Inputs!$B$3&gt;=113</f>
        <v/>
      </c>
      <c r="D1526">
        <f>IF(Skills!C11=1,60+Inputs!$B$25+Inputs!$B$29,IF(Skills!C11=2,90+Inputs!$B$26+Inputs!$B$29,IF(Skills!C11=3,120+Inputs!$B$27+Inputs!$B$29,MAX(0,(Inputs!$B$3-100)*3)+Inputs!$B$28+Inputs!$B$29)))</f>
        <v/>
      </c>
      <c r="E1526">
        <f>INDEX(FactorTable!$B$2:$Y$301, MATCH(ROUND(MIN(300,MAX(1,D1526)),0), FactorTable!$A$2:$A$301,0), Skills!M11+1)</f>
        <v/>
      </c>
      <c r="F1526">
        <f>IF(Skills!N11=TRUE,(Skills!L11/10)*(E1526/1000),Skills!L11/10)+Skills!O11</f>
        <v/>
      </c>
      <c r="G1526">
        <f>Skills!G11*IF(Skills!H11&gt;0,Skills!I11/Skills!H11,1)</f>
        <v/>
      </c>
      <c r="H1526">
        <f>1-(1-Skills!J11/100)^Skills!K11</f>
        <v/>
      </c>
      <c r="I1526" t="inlineStr">
        <is>
          <t>1</t>
        </is>
      </c>
      <c r="J1526">
        <f>((Inputs!$B$6*(1+Inputs!$B$7/100))+(((Inputs!$B$12*(1+Inputs!$B$13/100))-(Inputs!$B$12*(1+Inputs!$B$13/100)))+0.25*(Inputs!$B$14-Inputs!$B$14))*(1+Inputs!$B$7/100))*(F1526/100)</f>
        <v/>
      </c>
      <c r="K1526">
        <f>J1526*(1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1526)</f>
        <v/>
      </c>
      <c r="L1526">
        <f>K1526*(MIN(Inputs!$B$22+((C1535=TRUE)*(F1535-Calc!F20)),(Inputs!$B$23+0+(IF(ArtifactsInput!$M$15,CHOOSE(ArtifactsInput!$N$15+1,25,30,35,40,45,50)/100*(Inputs!$B$11-Inputs!$B$11),0))))/100+(Inputs!$B$23+0+(IF(ArtifactsInput!$M$15,CHOOSE(ArtifactsInput!$N$15+1,25,30,35,40,45,50)/100*(Inputs!$B$11-Inputs!$B$11),0)))/100)/2</f>
        <v/>
      </c>
      <c r="M1526">
        <f>L1526*(1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6">
        <f>L1526*(1-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1526*(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6">
        <f>(1-Summary!$B$11)*T1526+Summary!$B$11*V1526</f>
        <v/>
      </c>
      <c r="P1526">
        <f>IF(B1550=0,0,O1526/B1550)</f>
        <v/>
      </c>
      <c r="Q1526">
        <f>IFERROR(1/(IF(Inputs!$B$38="pvp",15,MAX(0.1,Skills!D11-IF(Skills!E11=TRUE,Inputs!$B$32,0)))*(1-IF(AND(ArtifactsInput!$M$27,Inputs!$B$4="Chapter Hunt"),CHOOSE(ArtifactsInput!$N$27+1,20,24,28,32,36,40),0)/100)),0)</f>
        <v/>
      </c>
      <c r="R1526">
        <f>IF(AND(Inputs!$B$38&lt;&gt;"pvp",Inputs!$B$43&gt;0),IF(MAX(0,Inputs!$B$43-B1547)&lt;=0,0,(INT(MAX(0,Inputs!$B$43-B1547)/(IF(Inputs!$B$38="pvp",15,MAX(0.1,Skills!D11-IF(Skills!E11=TRUE,Inputs!$B$32,0)))*(1-IF(AND(ArtifactsInput!$M$27,Inputs!$B$4="Chapter Hunt"),CHOOSE(ArtifactsInput!$N$27+1,20,24,28,32,36,40),0)/100)))+1)),0)</f>
        <v/>
      </c>
      <c r="S1526">
        <f>IFERROR(O1526/N1526,0)</f>
        <v/>
      </c>
      <c r="T1526">
        <f>IF(C1526,(H1526*N1526*IF(AND(Inputs!$B$38&lt;&gt;"pvp",Inputs!$B$43&gt;0),((Skills!G11*((R1526-1)*IF(Skills!H11&gt;0,Skills!I11/Skills!H11,1)+IF(Skills!H11&gt;0,MIN(Skills!I11,MAX(0,MAX(0,Inputs!$B$43-B1547)-((R1526-1)*(IF(Inputs!$B$38="pvp",15,MAX(0.1,Skills!D11-IF(Skills!E11=TRUE,Inputs!$B$32,0)))*(1-IF(AND(ArtifactsInput!$M$27,Inputs!$B$4="Chapter Hunt"),CHOOSE(ArtifactsInput!$N$27+1,20,24,28,32,36,40),0)/100)))))/Skills!H11,1)))/Inputs!$B$43),G1526*Q1526)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1526*(1-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1526*(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1526*(1-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1526*(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6">
        <f>IF(C1526,(H1526*N1526*IF(AND(Inputs!$B$38&lt;&gt;"pvp",Inputs!$B$43&gt;0),((Skills!G11*((R1526-1)*IF(Skills!H11&gt;0,Skills!I11/Skills!H11,1)+IF(Skills!H11&gt;0,MIN(Skills!I11,MAX(0,MAX(0,Inputs!$B$43-B1547)-((R1526-1)*(IF(Inputs!$B$38="pvp",15,MAX(0.1,Skills!D11-IF(Skills!E11=TRUE,Inputs!$B$32,0)))*(1-IF(AND(ArtifactsInput!$M$27,Inputs!$B$4="Chapter Hunt"),CHOOSE(ArtifactsInput!$N$27+1,20,24,28,32,36,40),0)/100)))))/Skills!H11,1)))/Inputs!$B$43),G1526*Q1526))*IF(Inputs!$B$38="pvp",1,(1+(Inputs!$B$21+Skills!Q11+(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7">
      <c r="A1527">
        <f>Skills!A12</f>
        <v/>
      </c>
      <c r="B1527">
        <f>Skills!B12</f>
        <v/>
      </c>
      <c r="C1527">
        <f>Inputs!$B$3&gt;=100</f>
        <v/>
      </c>
      <c r="D1527">
        <f>IF(Skills!C12=1,60+Inputs!$B$25+Inputs!$B$29,IF(Skills!C12=2,90+Inputs!$B$26+Inputs!$B$29,IF(Skills!C12=3,120+Inputs!$B$27+Inputs!$B$29,MAX(0,(Inputs!$B$3-100)*3)+Inputs!$B$28+Inputs!$B$29)))</f>
        <v/>
      </c>
      <c r="E1527">
        <f>INDEX(FactorTable!$B$2:$Y$301, MATCH(ROUND(MIN(300,MAX(1,D1527)),0), FactorTable!$A$2:$A$301,0), Skills!M12+1)</f>
        <v/>
      </c>
      <c r="F1527">
        <f>IF(Skills!N12=TRUE,(Skills!L12/10)*(E1527/1000),Skills!L12/10)+Skills!O12</f>
        <v/>
      </c>
      <c r="G1527" t="inlineStr"/>
      <c r="H1527" t="inlineStr"/>
      <c r="I1527" t="inlineStr">
        <is>
          <t>1</t>
        </is>
      </c>
      <c r="J1527" t="inlineStr"/>
      <c r="K1527" t="inlineStr"/>
      <c r="L1527" t="inlineStr"/>
      <c r="M1527" t="inlineStr"/>
      <c r="N1527" t="inlineStr"/>
      <c r="O1527" t="inlineStr"/>
      <c r="P1527" t="inlineStr"/>
      <c r="Q1527" t="inlineStr"/>
      <c r="R1527" t="inlineStr"/>
      <c r="S1527" t="inlineStr"/>
      <c r="T1527" t="inlineStr"/>
      <c r="V1527" t="inlineStr"/>
    </row>
    <row r="1528">
      <c r="A1528">
        <f>Skills!A13</f>
        <v/>
      </c>
      <c r="B1528">
        <f>Skills!B13</f>
        <v/>
      </c>
      <c r="C1528">
        <f>Inputs!$B$3&gt;=66</f>
        <v/>
      </c>
      <c r="D1528">
        <f>IF(Skills!C13=1,60+Inputs!$B$25+Inputs!$B$29,IF(Skills!C13=2,90+Inputs!$B$26+Inputs!$B$29,IF(Skills!C13=3,120+Inputs!$B$27+Inputs!$B$29,MAX(0,(Inputs!$B$3-100)*3)+Inputs!$B$28+Inputs!$B$29)))</f>
        <v/>
      </c>
      <c r="E1528">
        <f>INDEX(FactorTable!$B$2:$Y$301, MATCH(ROUND(MIN(300,MAX(1,D1528)),0), FactorTable!$A$2:$A$301,0), Skills!M13+1)</f>
        <v/>
      </c>
      <c r="F1528">
        <f>IF(Skills!N13=TRUE,(Skills!L13/10)*(E1528/1000),Skills!L13/10)+Skills!O13</f>
        <v/>
      </c>
      <c r="G1528">
        <f>Skills!G13*IF(Skills!H13&gt;0,Skills!I13/Skills!H13,1)</f>
        <v/>
      </c>
      <c r="H1528">
        <f>1-(1-Skills!J13/100)^Skills!K13</f>
        <v/>
      </c>
      <c r="I1528" t="inlineStr">
        <is>
          <t>1</t>
        </is>
      </c>
      <c r="J1528" t="inlineStr"/>
      <c r="K1528" t="inlineStr"/>
      <c r="L1528" t="inlineStr"/>
      <c r="M1528" t="inlineStr"/>
      <c r="N1528" t="inlineStr"/>
      <c r="O1528">
        <f>(1-Summary!$B$11)*T1528+Summary!$B$11*V1528</f>
        <v/>
      </c>
      <c r="P1528">
        <f>IF(B1550=0,0,O1528/B1550)</f>
        <v/>
      </c>
      <c r="Q1528" t="n">
        <v>0</v>
      </c>
      <c r="R1528" t="n">
        <v>0</v>
      </c>
      <c r="S1528">
        <f>IFERROR(O1528/N1528,0)</f>
        <v/>
      </c>
      <c r="T1528" t="n">
        <v>0</v>
      </c>
      <c r="V1528" t="n">
        <v>0</v>
      </c>
    </row>
    <row r="1529">
      <c r="A1529">
        <f>Skills!A14</f>
        <v/>
      </c>
      <c r="B1529">
        <f>Skills!B14</f>
        <v/>
      </c>
      <c r="C1529">
        <f>Inputs!$B$3&gt;=107</f>
        <v/>
      </c>
      <c r="D1529">
        <f>IF(Skills!C14=1,60+Inputs!$B$25+Inputs!$B$29,IF(Skills!C14=2,90+Inputs!$B$26+Inputs!$B$29,IF(Skills!C14=3,120+Inputs!$B$27+Inputs!$B$29,MAX(0,(Inputs!$B$3-100)*3)+Inputs!$B$28+Inputs!$B$29)))</f>
        <v/>
      </c>
      <c r="E1529">
        <f>INDEX(FactorTable!$B$2:$Y$301, MATCH(ROUND(MIN(300,MAX(1,D1529)),0), FactorTable!$A$2:$A$301,0), Skills!M14+1)</f>
        <v/>
      </c>
      <c r="F1529">
        <f>IF(Skills!N14=TRUE,(Skills!L14/10)*(E1529/1000),Skills!L14/10)+Skills!O14</f>
        <v/>
      </c>
      <c r="G1529">
        <f>Skills!G14*IF(Skills!H14&gt;0,Skills!I14/Skills!H14,1)</f>
        <v/>
      </c>
      <c r="H1529">
        <f>1-(1-Skills!J14/100)^Skills!K14</f>
        <v/>
      </c>
      <c r="I1529" t="inlineStr">
        <is>
          <t>1</t>
        </is>
      </c>
      <c r="J1529" t="inlineStr"/>
      <c r="K1529" t="inlineStr"/>
      <c r="L1529" t="inlineStr"/>
      <c r="M1529" t="inlineStr"/>
      <c r="N1529" t="inlineStr"/>
      <c r="O1529">
        <f>(1-Summary!$B$11)*T1529+Summary!$B$11*V1529</f>
        <v/>
      </c>
      <c r="P1529">
        <f>IF(B1550=0,0,O1529/B1550)</f>
        <v/>
      </c>
      <c r="Q1529" t="n">
        <v>0</v>
      </c>
      <c r="R1529" t="n">
        <v>0</v>
      </c>
      <c r="S1529">
        <f>IFERROR(O1529/N1529,0)</f>
        <v/>
      </c>
      <c r="T1529" t="n">
        <v>0</v>
      </c>
      <c r="V1529" t="n">
        <v>0</v>
      </c>
    </row>
    <row r="1530">
      <c r="A1530">
        <f>Skills!A15</f>
        <v/>
      </c>
      <c r="B1530">
        <f>Skills!B15</f>
        <v/>
      </c>
      <c r="C1530">
        <f>Inputs!$B$3&gt;=115</f>
        <v/>
      </c>
      <c r="D1530">
        <f>IF(Skills!C15=1,60+Inputs!$B$25+Inputs!$B$29,IF(Skills!C15=2,90+Inputs!$B$26+Inputs!$B$29,IF(Skills!C15=3,120+Inputs!$B$27+Inputs!$B$29,MAX(0,(Inputs!$B$3-100)*3)+Inputs!$B$28+Inputs!$B$29)))</f>
        <v/>
      </c>
      <c r="E1530">
        <f>INDEX(FactorTable!$B$2:$Y$301, MATCH(ROUND(MIN(300,MAX(1,D1530)),0), FactorTable!$A$2:$A$301,0), Skills!M15+1)</f>
        <v/>
      </c>
      <c r="F1530">
        <f>IF(Skills!N15=TRUE,(Skills!L15/10)*(E1530/1000),Skills!L15/10)+Skills!O15</f>
        <v/>
      </c>
      <c r="G1530">
        <f>Skills!G15*IF(Skills!H15&gt;0,Skills!I15/Skills!H15,1)</f>
        <v/>
      </c>
      <c r="H1530">
        <f>1-(1-Skills!J15/100)^Skills!K15</f>
        <v/>
      </c>
      <c r="I1530" t="inlineStr">
        <is>
          <t>1</t>
        </is>
      </c>
      <c r="J1530" t="inlineStr"/>
      <c r="K1530" t="inlineStr"/>
      <c r="L1530" t="inlineStr"/>
      <c r="M1530" t="inlineStr"/>
      <c r="N1530" t="inlineStr"/>
      <c r="O1530">
        <f>(1-Summary!$B$11)*T1530+Summary!$B$11*V1530</f>
        <v/>
      </c>
      <c r="P1530">
        <f>IF(B1550=0,0,O1530/B1550)</f>
        <v/>
      </c>
      <c r="Q1530" t="n">
        <v>0</v>
      </c>
      <c r="R1530" t="n">
        <v>0</v>
      </c>
      <c r="S1530">
        <f>IFERROR(O1530/N1530,0)</f>
        <v/>
      </c>
      <c r="T1530" t="n">
        <v>0</v>
      </c>
      <c r="V1530" t="n">
        <v>0</v>
      </c>
    </row>
    <row r="1531">
      <c r="A1531">
        <f>Skills!A16</f>
        <v/>
      </c>
      <c r="B1531">
        <f>Skills!B16</f>
        <v/>
      </c>
      <c r="C1531">
        <f>Inputs!$B$3&gt;=15</f>
        <v/>
      </c>
      <c r="D1531">
        <f>IF(Skills!C16=1,60+Inputs!$B$25+Inputs!$B$29,IF(Skills!C16=2,90+Inputs!$B$26+Inputs!$B$29,IF(Skills!C16=3,120+Inputs!$B$27+Inputs!$B$29,MAX(0,(Inputs!$B$3-100)*3)+Inputs!$B$28+Inputs!$B$29)))</f>
        <v/>
      </c>
      <c r="E1531">
        <f>INDEX(FactorTable!$B$2:$Y$301, MATCH(ROUND(MIN(300,MAX(1,D1531)),0), FactorTable!$A$2:$A$301,0), Skills!M16+1)</f>
        <v/>
      </c>
      <c r="F1531">
        <f>IF(Skills!N16=TRUE,(Skills!L16/10)*(E1531/1000),Skills!L16/10)+Skills!O16</f>
        <v/>
      </c>
      <c r="G1531">
        <f>Skills!G16*IF(Skills!H16&gt;0,Skills!I16/Skills!H16,1)</f>
        <v/>
      </c>
      <c r="H1531">
        <f>1-(1-Skills!J16/100)^Skills!K16</f>
        <v/>
      </c>
      <c r="I1531" t="inlineStr">
        <is>
          <t>1</t>
        </is>
      </c>
      <c r="J1531" t="inlineStr"/>
      <c r="K1531" t="inlineStr"/>
      <c r="L1531" t="inlineStr"/>
      <c r="M1531" t="inlineStr"/>
      <c r="N1531" t="inlineStr"/>
      <c r="O1531">
        <f>(1-Summary!$B$11)*T1531+Summary!$B$11*V1531</f>
        <v/>
      </c>
      <c r="P1531">
        <f>IF(B1550=0,0,O1531/B1550)</f>
        <v/>
      </c>
      <c r="Q1531" t="n">
        <v>0</v>
      </c>
      <c r="R1531" t="n">
        <v>0</v>
      </c>
      <c r="S1531">
        <f>IFERROR(O1531/N1531,0)</f>
        <v/>
      </c>
      <c r="T1531" t="n">
        <v>0</v>
      </c>
      <c r="V1531" t="n">
        <v>0</v>
      </c>
    </row>
    <row r="1532">
      <c r="A1532">
        <f>Skills!A17</f>
        <v/>
      </c>
      <c r="B1532">
        <f>Skills!B17</f>
        <v/>
      </c>
      <c r="C1532">
        <f>Inputs!$B$3&gt;=10</f>
        <v/>
      </c>
      <c r="D1532">
        <f>IF(Skills!C17=1,60+Inputs!$B$25+Inputs!$B$29,IF(Skills!C17=2,90+Inputs!$B$26+Inputs!$B$29,IF(Skills!C17=3,120+Inputs!$B$27+Inputs!$B$29,MAX(0,(Inputs!$B$3-100)*3)+Inputs!$B$28+Inputs!$B$29)))</f>
        <v/>
      </c>
      <c r="E1532">
        <f>INDEX(FactorTable!$B$2:$Y$301, MATCH(ROUND(MIN(300,MAX(1,D1532)),0), FactorTable!$A$2:$A$301,0), Skills!M17+1)</f>
        <v/>
      </c>
      <c r="F1532">
        <f>IF(Skills!N17=TRUE,(Skills!L17/10)*(E1532/1000),Skills!L17/10)+Skills!O17</f>
        <v/>
      </c>
      <c r="G1532">
        <f>Skills!G17*IF(Skills!H17&gt;0,Skills!I17/Skills!H17,1)</f>
        <v/>
      </c>
      <c r="H1532">
        <f>1-(1-Skills!J17/100)^Skills!K17</f>
        <v/>
      </c>
      <c r="I1532" t="inlineStr">
        <is>
          <t>1</t>
        </is>
      </c>
      <c r="J1532" t="inlineStr"/>
      <c r="K1532" t="inlineStr"/>
      <c r="L1532" t="inlineStr"/>
      <c r="M1532" t="inlineStr"/>
      <c r="N1532" t="inlineStr"/>
      <c r="O1532">
        <f>(1-Summary!$B$11)*T1532+Summary!$B$11*V1532</f>
        <v/>
      </c>
      <c r="P1532">
        <f>IF(B1550=0,0,O1532/B1550)</f>
        <v/>
      </c>
      <c r="Q1532" t="n">
        <v>0</v>
      </c>
      <c r="R1532" t="n">
        <v>0</v>
      </c>
      <c r="S1532">
        <f>IFERROR(O1532/N1532,0)</f>
        <v/>
      </c>
      <c r="T1532" t="n">
        <v>0</v>
      </c>
      <c r="V1532" t="n">
        <v>0</v>
      </c>
    </row>
    <row r="1533">
      <c r="A1533">
        <f>Skills!A18</f>
        <v/>
      </c>
      <c r="B1533">
        <f>Skills!B18</f>
        <v/>
      </c>
      <c r="C1533">
        <f>Inputs!$B$3&gt;=33</f>
        <v/>
      </c>
      <c r="D1533">
        <f>IF(Skills!C18=1,60+Inputs!$B$25+Inputs!$B$29,IF(Skills!C18=2,90+Inputs!$B$26+Inputs!$B$29,IF(Skills!C18=3,120+Inputs!$B$27+Inputs!$B$29,MAX(0,(Inputs!$B$3-100)*3)+Inputs!$B$28+Inputs!$B$29)))</f>
        <v/>
      </c>
      <c r="E1533">
        <f>INDEX(FactorTable!$B$2:$Y$301, MATCH(ROUND(MIN(300,MAX(1,D1533)),0), FactorTable!$A$2:$A$301,0), Skills!M18+1)</f>
        <v/>
      </c>
      <c r="F1533">
        <f>IF(Skills!N18=TRUE,(Skills!L18/10)*(E1533/1000),Skills!L18/10)+Skills!O18</f>
        <v/>
      </c>
      <c r="G1533">
        <f>Skills!G18*IF(Skills!H18&gt;0,Skills!I18/Skills!H18,1)</f>
        <v/>
      </c>
      <c r="H1533">
        <f>1-(1-Skills!J18/100)^Skills!K18</f>
        <v/>
      </c>
      <c r="I1533" t="inlineStr">
        <is>
          <t>1</t>
        </is>
      </c>
      <c r="J1533" t="inlineStr"/>
      <c r="K1533" t="inlineStr"/>
      <c r="L1533" t="inlineStr"/>
      <c r="M1533" t="inlineStr"/>
      <c r="N1533" t="inlineStr"/>
      <c r="O1533">
        <f>(1-Summary!$B$11)*T1533+Summary!$B$11*V1533</f>
        <v/>
      </c>
      <c r="P1533">
        <f>IF(B1550=0,0,O1533/B1550)</f>
        <v/>
      </c>
      <c r="Q1533" t="n">
        <v>0</v>
      </c>
      <c r="R1533" t="n">
        <v>0</v>
      </c>
      <c r="S1533">
        <f>IFERROR(O1533/N1533,0)</f>
        <v/>
      </c>
      <c r="T1533" t="n">
        <v>0</v>
      </c>
      <c r="V1533" t="n">
        <v>0</v>
      </c>
    </row>
    <row r="1534">
      <c r="A1534">
        <f>Skills!A19</f>
        <v/>
      </c>
      <c r="B1534">
        <f>Skills!B19</f>
        <v/>
      </c>
      <c r="C1534">
        <f>Inputs!$B$3&gt;=40</f>
        <v/>
      </c>
      <c r="D1534">
        <f>IF(Skills!C19=1,60+Inputs!$B$25+Inputs!$B$29,IF(Skills!C19=2,90+Inputs!$B$26+Inputs!$B$29,IF(Skills!C19=3,120+Inputs!$B$27+Inputs!$B$29,MAX(0,(Inputs!$B$3-100)*3)+Inputs!$B$28+Inputs!$B$29)))</f>
        <v/>
      </c>
      <c r="E1534">
        <f>INDEX(FactorTable!$B$2:$Y$301, MATCH(ROUND(MIN(300,MAX(1,D1534)),0), FactorTable!$A$2:$A$301,0), Skills!M19+1)</f>
        <v/>
      </c>
      <c r="F1534">
        <f>IF(Skills!N19=TRUE,(Skills!L19/10)*(E1534/1000),Skills!L19/10)+Skills!O19</f>
        <v/>
      </c>
      <c r="G1534">
        <f>Skills!G19*IF(Skills!H19&gt;0,Skills!I19/Skills!H19,1)</f>
        <v/>
      </c>
      <c r="H1534">
        <f>1-(1-Skills!J19/100)^Skills!K19</f>
        <v/>
      </c>
      <c r="I1534" t="inlineStr">
        <is>
          <t>1</t>
        </is>
      </c>
      <c r="J1534" t="inlineStr"/>
      <c r="K1534" t="inlineStr"/>
      <c r="L1534" t="inlineStr"/>
      <c r="M1534" t="inlineStr"/>
      <c r="N1534" t="inlineStr"/>
      <c r="O1534">
        <f>(1-Summary!$B$11)*T1534+Summary!$B$11*V1534</f>
        <v/>
      </c>
      <c r="P1534">
        <f>IF(B1550=0,0,O1534/B1550)</f>
        <v/>
      </c>
      <c r="Q1534" t="n">
        <v>0</v>
      </c>
      <c r="R1534" t="n">
        <v>0</v>
      </c>
      <c r="S1534">
        <f>IFERROR(O1534/N1534,0)</f>
        <v/>
      </c>
      <c r="T1534" t="n">
        <v>0</v>
      </c>
      <c r="V1534" t="n">
        <v>0</v>
      </c>
    </row>
    <row r="1535">
      <c r="A1535">
        <f>Skills!A20</f>
        <v/>
      </c>
      <c r="B1535">
        <f>Skills!B20</f>
        <v/>
      </c>
      <c r="C1535">
        <f>Inputs!$B$3&gt;=43</f>
        <v/>
      </c>
      <c r="D1535">
        <f>IF(Skills!C20=1,60+Inputs!$B$25+Inputs!$B$29,IF(Skills!C20=2,90+Inputs!$B$26+Inputs!$B$29,IF(Skills!C20=3,120+Inputs!$B$27+Inputs!$B$29,MAX(0,(Inputs!$B$3-100)*3)+Inputs!$B$28+Inputs!$B$29)))</f>
        <v/>
      </c>
      <c r="E1535">
        <f>INDEX(FactorTable!$B$2:$Y$301, MATCH(ROUND(MIN(300,MAX(1,D1535)),0), FactorTable!$A$2:$A$301,0), Skills!M20+1)</f>
        <v/>
      </c>
      <c r="F1535">
        <f>IF(Skills!N20=TRUE,(Skills!L20/10)*(E1535/1000),Skills!L20/10)+Skills!O20</f>
        <v/>
      </c>
      <c r="G1535">
        <f>Skills!G20*IF(Skills!H20&gt;0,Skills!I20/Skills!H20,1)</f>
        <v/>
      </c>
      <c r="H1535">
        <f>1-(1-Skills!J20/100)^Skills!K20</f>
        <v/>
      </c>
      <c r="I1535" t="inlineStr">
        <is>
          <t>1</t>
        </is>
      </c>
      <c r="J1535" t="inlineStr"/>
      <c r="K1535" t="inlineStr"/>
      <c r="L1535" t="inlineStr"/>
      <c r="M1535" t="inlineStr"/>
      <c r="N1535" t="inlineStr"/>
      <c r="O1535">
        <f>(1-Summary!$B$11)*T1535+Summary!$B$11*V1535</f>
        <v/>
      </c>
      <c r="P1535">
        <f>IF(B1550=0,0,O1535/B1550)</f>
        <v/>
      </c>
      <c r="Q1535" t="n">
        <v>0</v>
      </c>
      <c r="R1535" t="n">
        <v>0</v>
      </c>
      <c r="S1535">
        <f>IFERROR(O1535/N1535,0)</f>
        <v/>
      </c>
      <c r="T1535" t="n">
        <v>0</v>
      </c>
      <c r="V1535" t="n">
        <v>0</v>
      </c>
    </row>
    <row r="1536">
      <c r="A1536">
        <f>Skills!A21</f>
        <v/>
      </c>
      <c r="B1536">
        <f>Skills!B21</f>
        <v/>
      </c>
      <c r="C1536">
        <f>Inputs!$B$3&gt;=38</f>
        <v/>
      </c>
      <c r="D1536">
        <f>IF(Skills!C21=1,60+Inputs!$B$25+Inputs!$B$29,IF(Skills!C21=2,90+Inputs!$B$26+Inputs!$B$29,IF(Skills!C21=3,120+Inputs!$B$27+Inputs!$B$29,MAX(0,(Inputs!$B$3-100)*3)+Inputs!$B$28+Inputs!$B$29)))</f>
        <v/>
      </c>
      <c r="E1536">
        <f>INDEX(FactorTable!$B$2:$Y$301, MATCH(ROUND(MIN(300,MAX(1,D1536)),0), FactorTable!$A$2:$A$301,0), Skills!M21+1)</f>
        <v/>
      </c>
      <c r="F1536">
        <f>IF(Skills!N21=TRUE,(Skills!L21/10)*(E1536/1000),Skills!L21/10)+Skills!O21</f>
        <v/>
      </c>
      <c r="G1536">
        <f>Skills!G21*IF(Skills!H21&gt;0,Skills!I21/Skills!H21,1)</f>
        <v/>
      </c>
      <c r="H1536">
        <f>1-(1-Skills!J21/100)^Skills!K21</f>
        <v/>
      </c>
      <c r="I1536" t="inlineStr">
        <is>
          <t>1</t>
        </is>
      </c>
      <c r="J1536" t="inlineStr"/>
      <c r="K1536" t="inlineStr"/>
      <c r="L1536" t="inlineStr"/>
      <c r="M1536" t="inlineStr"/>
      <c r="N1536" t="inlineStr"/>
      <c r="O1536">
        <f>(1-Summary!$B$11)*T1536+Summary!$B$11*V1536</f>
        <v/>
      </c>
      <c r="P1536">
        <f>IF(B1550=0,0,O1536/B1550)</f>
        <v/>
      </c>
      <c r="Q1536" t="n">
        <v>0</v>
      </c>
      <c r="R1536" t="n">
        <v>0</v>
      </c>
      <c r="S1536">
        <f>IFERROR(O1536/N1536,0)</f>
        <v/>
      </c>
      <c r="T1536" t="n">
        <v>0</v>
      </c>
      <c r="V1536" t="n">
        <v>0</v>
      </c>
    </row>
    <row r="1537">
      <c r="A1537">
        <f>Skills!A22</f>
        <v/>
      </c>
      <c r="B1537">
        <f>Skills!B22</f>
        <v/>
      </c>
      <c r="C1537">
        <f>Inputs!$B$3&gt;=75</f>
        <v/>
      </c>
      <c r="D1537">
        <f>IF(Skills!C22=1,60+Inputs!$B$25+Inputs!$B$29,IF(Skills!C22=2,90+Inputs!$B$26+Inputs!$B$29,IF(Skills!C22=3,120+Inputs!$B$27+Inputs!$B$29,MAX(0,(Inputs!$B$3-100)*3)+Inputs!$B$28+Inputs!$B$29)))</f>
        <v/>
      </c>
      <c r="E1537">
        <f>INDEX(FactorTable!$B$2:$Y$301, MATCH(ROUND(MIN(300,MAX(1,D1537)),0), FactorTable!$A$2:$A$301,0), Skills!M22+1)</f>
        <v/>
      </c>
      <c r="F1537">
        <f>IF(Skills!N22=TRUE,(Skills!L22/10)*(E1537/1000),Skills!L22/10)+Skills!O22</f>
        <v/>
      </c>
      <c r="G1537">
        <f>Skills!G22*IF(Skills!H22&gt;0,Skills!I22/Skills!H22,1)</f>
        <v/>
      </c>
      <c r="H1537">
        <f>1-(1-Skills!J22/100)^Skills!K22</f>
        <v/>
      </c>
      <c r="I1537" t="inlineStr">
        <is>
          <t>1</t>
        </is>
      </c>
      <c r="J1537" t="inlineStr"/>
      <c r="K1537" t="inlineStr"/>
      <c r="L1537" t="inlineStr"/>
      <c r="M1537" t="inlineStr"/>
      <c r="N1537" t="inlineStr"/>
      <c r="O1537">
        <f>(1-Summary!$B$11)*T1537+Summary!$B$11*V1537</f>
        <v/>
      </c>
      <c r="P1537">
        <f>IF(B1550=0,0,O1537/B1550)</f>
        <v/>
      </c>
      <c r="Q1537" t="n">
        <v>0</v>
      </c>
      <c r="R1537" t="n">
        <v>0</v>
      </c>
      <c r="S1537">
        <f>IFERROR(O1537/N1537,0)</f>
        <v/>
      </c>
      <c r="T1537" t="n">
        <v>0</v>
      </c>
      <c r="V1537" t="n">
        <v>0</v>
      </c>
    </row>
    <row r="1539">
      <c r="A1539" t="inlineStr">
        <is>
          <t>Attack% Bucket Multiplier</t>
        </is>
      </c>
      <c r="B1539">
        <f>(1+(((C1528=TRUE)*F1528)+((C1534=TRUE)*(F1534-Calc!F19))+(IF(ArtifactsInput!$M$21,CHOOSE(ArtifactsInput!$N$21+1,25,30,35,40,45,50)*(IF(OR(Inputs!$B$4="Chapter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0">
      <c r="A1540" t="inlineStr">
        <is>
          <t>Global Crit Rate Bonus %</t>
        </is>
      </c>
      <c r="B1540" t="n">
        <v>0</v>
      </c>
    </row>
    <row r="1541">
      <c r="A1541" t="inlineStr">
        <is>
          <t>Attack Speed Buff Bonus % (unused)</t>
        </is>
      </c>
      <c r="B1541" t="n">
        <v>0</v>
      </c>
    </row>
    <row r="1542">
      <c r="A1542" t="inlineStr">
        <is>
          <t>Actions Per Second</t>
        </is>
      </c>
      <c r="B1542">
        <f>1+MIN(150,150*(1-(1-(Inputs!$B$11+((C1532=TRUE)*(F1532-Calc!F17))+((C1533=TRUE)*(F1533-Calc!F18)))/150)*(1-B1541/150)))/100</f>
        <v/>
      </c>
    </row>
    <row r="1543">
      <c r="A1543" t="inlineStr">
        <is>
          <t>Skill + Buff Cast Rate</t>
        </is>
      </c>
      <c r="B1543">
        <f>IF(AND(Inputs!$B$38&lt;&gt;"pvp",Inputs!$B$43&gt;0),SUMPRODUCT((Skills!E2:E22=TRUE)*(C1517:C1537=TRUE)*R1517:R1537*Skills!F2:F22)/Inputs!$B$43,SUMPRODUCT((Skills!E2:E22=TRUE)*(C1517:C1537=TRUE)*Q1517:Q1537*Skills!F2:F22))</f>
        <v/>
      </c>
    </row>
    <row r="1544">
      <c r="A1544" t="inlineStr">
        <is>
          <t>Hook Bomber Casts Per Second</t>
        </is>
      </c>
      <c r="B1544">
        <f>MAX(0,B1542-B1543)</f>
        <v/>
      </c>
    </row>
    <row r="1545">
      <c r="A1545" t="inlineStr">
        <is>
          <t>Global Critical Damage Bonus % (unused)</t>
        </is>
      </c>
      <c r="B1545" t="n">
        <v>0</v>
      </c>
    </row>
    <row r="1546">
      <c r="A1546" t="inlineStr">
        <is>
          <t>Global Final Damage Bonus % (Serpent Scale + Crossbones + Time Leap + Speed Infusion)</t>
        </is>
      </c>
      <c r="B1546">
        <f>((C1520=TRUE)*F1520*((10+IF(Inputs!$B$3&gt;=94,5,0))/((10+IF(Inputs!$B$3&gt;=94,5,0))+5/(B1544*(1+IF(Inputs!$B$3&gt;=104,1,0))))))+((C1529=TRUE)*F1529)+((C1530=TRUE)*F1530)+((Inputs!$B$3&gt;=110)*20*(B1542-1))</f>
        <v/>
      </c>
    </row>
    <row r="1547">
      <c r="A1547" t="inlineStr">
        <is>
          <t>Buff-Casting Startup Delay (s, fixed-duration only)</t>
        </is>
      </c>
      <c r="B1547">
        <f>IF(AND(Inputs!$B$38&lt;&gt;"pvp",Inputs!$B$43&gt;0),SUMPRODUCT((Skills!T2:T22&gt;0)*(Skills!E2:E22=TRUE)*(C1517:C1537=TRUE))/B1542,0)</f>
        <v/>
      </c>
    </row>
    <row r="1548">
      <c r="A1548" t="inlineStr">
        <is>
          <t>Boss-Only Total DPS (this block's swept value)</t>
        </is>
      </c>
      <c r="B1548">
        <f>SUM(T1517:T1537)</f>
        <v/>
      </c>
    </row>
    <row r="1549">
      <c r="A1549" t="inlineStr">
        <is>
          <t>Normal-Only Total DPS (this block's swept value)</t>
        </is>
      </c>
      <c r="B1549">
        <f>SUM(V1517:V1537)</f>
        <v/>
      </c>
    </row>
    <row r="1550">
      <c r="A1550" s="6" t="inlineStr">
        <is>
          <t>TOTAL DPS</t>
        </is>
      </c>
      <c r="B1550" s="6">
        <f>SUM(O1517:O1537)</f>
        <v/>
      </c>
    </row>
    <row r="1553">
      <c r="A1553" s="6" t="inlineStr">
        <is>
          <t>Stat: Chalice (Equip)</t>
        </is>
      </c>
    </row>
    <row r="1554">
      <c r="A1554" s="5" t="inlineStr">
        <is>
          <t>Key</t>
        </is>
      </c>
      <c r="B1554" s="5" t="inlineStr">
        <is>
          <t>Name</t>
        </is>
      </c>
      <c r="C1554" s="5" t="inlineStr">
        <is>
          <t>Unlocked</t>
        </is>
      </c>
      <c r="D1554" s="5" t="inlineStr">
        <is>
          <t>InputLevel</t>
        </is>
      </c>
      <c r="E1554" s="5" t="inlineStr">
        <is>
          <t>Factor</t>
        </is>
      </c>
      <c r="F1554" s="5" t="inlineStr">
        <is>
          <t>CoefficientPercent</t>
        </is>
      </c>
      <c r="G1554" s="5" t="inlineStr">
        <is>
          <t>EffectiveHits</t>
        </is>
      </c>
      <c r="H1554" s="5" t="inlineStr">
        <is>
          <t>ProcProbability</t>
        </is>
      </c>
      <c r="I1554" s="5" t="inlineStr">
        <is>
          <t>MapleHeroMultiplier</t>
        </is>
      </c>
      <c r="J1554" s="5" t="inlineStr">
        <is>
          <t>BaseDamage</t>
        </is>
      </c>
      <c r="K1554" s="5" t="inlineStr">
        <is>
          <t>BaseHitDamage</t>
        </is>
      </c>
      <c r="L1554" s="5" t="inlineStr">
        <is>
          <t>NonCritAvg</t>
        </is>
      </c>
      <c r="M1554" s="5" t="inlineStr">
        <is>
          <t>CritAvg</t>
        </is>
      </c>
      <c r="N1554" s="5" t="inlineStr">
        <is>
          <t>ExpectedDamage(perHit)</t>
        </is>
      </c>
      <c r="O1554" s="5" t="inlineStr">
        <is>
          <t>DPS</t>
        </is>
      </c>
      <c r="P1554" s="5" t="inlineStr">
        <is>
          <t>% of Total</t>
        </is>
      </c>
      <c r="Q1554" s="5" t="inlineStr">
        <is>
          <t>InvCooldown</t>
        </is>
      </c>
      <c r="R1554" s="5" t="inlineStr">
        <is>
          <t>CastsInFight</t>
        </is>
      </c>
      <c r="S1554" s="5" t="inlineStr">
        <is>
          <t>HitRate(perSec)</t>
        </is>
      </c>
      <c r="U1554" t="inlineStr">
        <is>
          <t>helpers</t>
        </is>
      </c>
    </row>
    <row r="1555">
      <c r="A1555">
        <f>Skills!A2</f>
        <v/>
      </c>
      <c r="B1555">
        <f>Skills!B2</f>
        <v/>
      </c>
      <c r="C1555">
        <f>Inputs!$B$3&gt;=100</f>
        <v/>
      </c>
      <c r="D1555" t="inlineStr"/>
      <c r="E1555" t="inlineStr"/>
      <c r="F1555">
        <f>U1557+Skills!O2</f>
        <v/>
      </c>
      <c r="G1555">
        <f>Skills!G2*IF(Skills!H2&gt;0,Skills!I2/Skills!H2,1)</f>
        <v/>
      </c>
      <c r="H1555">
        <f>1-(1-Skills!J2/100)^Skills!K2</f>
        <v/>
      </c>
      <c r="I1555" t="inlineStr">
        <is>
          <t>1</t>
        </is>
      </c>
      <c r="J1555">
        <f>((Inputs!$B$6*(1+Inputs!$B$7/100))+(((Inputs!$B$12*(1+Inputs!$B$13/100))-(Inputs!$B$12*(1+Inputs!$B$13/100)))+0.25*(Inputs!$B$14-Inputs!$B$14))*(1+Inputs!$B$7/100))*(F1555/100)</f>
        <v/>
      </c>
      <c r="K1555">
        <f>J1555*(1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C1573=TRUE)*(F1573-Calc!F20)),(Inputs!$B$23+0+(IF(ArtifactsInput!$M$15,CHOOSE(ArtifactsInput!$N$15+1,25,30,35,40,45,50)/100*(Inputs!$B$11-Inputs!$B$11),0))))/100+(Inputs!$B$23+0+(IF(ArtifactsInput!$M$15,CHOOSE(ArtifactsInput!$N$15+1,25,30,35,40,45,50)/100*(Inputs!$B$11-Inputs!$B$11),0)))/100)/2</f>
        <v/>
      </c>
      <c r="M1555">
        <f>L1555*(1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(1-Summary!$B$11)*T1555+Summary!$B$11*V1555</f>
        <v/>
      </c>
      <c r="P1555">
        <f>IF(B1588=0,0,O1555/B1588)</f>
        <v/>
      </c>
      <c r="Q1555" t="n">
        <v>0</v>
      </c>
      <c r="R1555" t="n">
        <v>0</v>
      </c>
      <c r="S1555">
        <f>IFERROR(O1555/N1555,0)</f>
        <v/>
      </c>
      <c r="T1555">
        <f>IF(C1555,(Skills!G2*N1555*B1582)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1555*(1-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MAX(0,(Inputs!$B$3-100)*3)+Inputs!$B$28+Inputs!$B$29</f>
        <v/>
      </c>
      <c r="V1555">
        <f>IF(C1555,(Skills!G2*N1555*B1582)*IF(Inputs!$B$38="pvp",1,(1+(Inputs!$B$21+Skills!Q2+(IF(ArtifactsInput!$M$33,CHOOSE(ArtifactsInput!$N$33+1,30,36,42,48,54,60),0))+(IF(AND(ArtifactsInput!$M$35,Inputs!$B$4&lt;&gt;"Chapter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Skills!A3</f>
        <v/>
      </c>
      <c r="B1556">
        <f>Skills!B3</f>
        <v/>
      </c>
      <c r="C1556">
        <f>Inputs!$B$3&gt;=35</f>
        <v/>
      </c>
      <c r="D1556">
        <f>IF(Skills!C3=1,60+Inputs!$B$25+Inputs!$B$29,IF(Skills!C3=2,90+Inputs!$B$26+Inputs!$B$29,IF(Skills!C3=3,120+Inputs!$B$27+Inputs!$B$29,MAX(0,(Inputs!$B$3-100)*3)+Inputs!$B$28+Inputs!$B$29)))</f>
        <v/>
      </c>
      <c r="E1556">
        <f>INDEX(FactorTable!$B$2:$Y$301, MATCH(ROUND(MIN(300,MAX(1,D1556)),0), FactorTable!$A$2:$A$301,0), Skills!M3+1)</f>
        <v/>
      </c>
      <c r="F1556">
        <f>IF(Skills!N3=TRUE,(Skills!L3/10)*(E1556/1000),Skills!L3/10)+Skills!O3</f>
        <v/>
      </c>
      <c r="G1556">
        <f>Skills!G3*IF(Skills!H3&gt;0,Skills!I3/Skills!H3,1)</f>
        <v/>
      </c>
      <c r="H1556">
        <f>1-(1-Skills!J3/100)^Skills!K3</f>
        <v/>
      </c>
      <c r="I1556" t="inlineStr">
        <is>
          <t>1</t>
        </is>
      </c>
      <c r="J1556">
        <f>((Inputs!$B$6*(1+Inputs!$B$7/100))+(((Inputs!$B$12*(1+Inputs!$B$13/100))-(Inputs!$B$12*(1+Inputs!$B$13/100)))+0.25*(Inputs!$B$14-Inputs!$B$14))*(1+Inputs!$B$7/100))*(F1556/100)</f>
        <v/>
      </c>
      <c r="K1556">
        <f>J1556*(1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C1573=TRUE)*(F1573-Calc!F20)),(Inputs!$B$23+0+(IF(ArtifactsInput!$M$15,CHOOSE(ArtifactsInput!$N$15+1,25,30,35,40,45,50)/100*(Inputs!$B$11-Inputs!$B$11),0))))/100+(Inputs!$B$23+0+(IF(ArtifactsInput!$M$15,CHOOSE(ArtifactsInput!$N$15+1,25,30,35,40,45,50)/100*(Inputs!$B$11-Inputs!$B$11),0)))/100)/2</f>
        <v/>
      </c>
      <c r="M1556">
        <f>L1556*(1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(1-Summary!$B$11)*T1556+Summary!$B$11*V1556</f>
        <v/>
      </c>
      <c r="P1556">
        <f>IF(B1588=0,0,O1556/B1588)</f>
        <v/>
      </c>
      <c r="Q1556" t="n">
        <v>0</v>
      </c>
      <c r="R1556" t="n">
        <v>0</v>
      </c>
      <c r="S1556">
        <f>IFERROR(O1556/N1556,0)</f>
        <v/>
      </c>
      <c r="T1556">
        <f>IF(C1556,(Skills!G3*H1556*N1556*B1582)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1556*(1-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6">
        <f>INDEX(FactorTable!$B$2:$Y$301, MATCH(ROUND(MIN(300,MAX(1,U1555)),0), FactorTable!$A$2:$A$301,0), 22)</f>
        <v/>
      </c>
      <c r="V1556">
        <f>IF(C1556,(Skills!G3*H1556*N1556*B1582)*IF(Inputs!$B$38="pvp",1,(1+(Inputs!$B$21+Skills!Q3+(IF(ArtifactsInput!$M$33,CHOOSE(ArtifactsInput!$N$33+1,30,36,42,48,54,60),0))+(IF(AND(ArtifactsInput!$M$35,Inputs!$B$4&lt;&gt;"Chapter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Skills!A4</f>
        <v/>
      </c>
      <c r="B1557">
        <f>Skills!B4</f>
        <v/>
      </c>
      <c r="C1557">
        <f>Inputs!$B$3&gt;=60</f>
        <v/>
      </c>
      <c r="D1557">
        <f>IF(Skills!C4=1,60+Inputs!$B$25+Inputs!$B$29,IF(Skills!C4=2,90+Inputs!$B$26+Inputs!$B$29,IF(Skills!C4=3,120+Inputs!$B$27+Inputs!$B$29,MAX(0,(Inputs!$B$3-100)*3)+Inputs!$B$28+Inputs!$B$29)))</f>
        <v/>
      </c>
      <c r="E1557">
        <f>INDEX(FactorTable!$B$2:$Y$301, MATCH(ROUND(MIN(300,MAX(1,D1557)),0), FactorTable!$A$2:$A$301,0), Skills!M4+1)</f>
        <v/>
      </c>
      <c r="F1557">
        <f>IF(Skills!N4=TRUE,(Skills!L4/10)*(E1557/1000),Skills!L4/10)+Skills!O4</f>
        <v/>
      </c>
      <c r="G1557">
        <f>Skills!G4*IF(Skills!H4&gt;0,Skills!I4/Skills!H4,1)</f>
        <v/>
      </c>
      <c r="H1557">
        <f>1-(1-Skills!J4/100)^Skills!K4</f>
        <v/>
      </c>
      <c r="I1557" t="inlineStr">
        <is>
          <t>1</t>
        </is>
      </c>
      <c r="J1557">
        <f>((Inputs!$B$6*(1+Inputs!$B$7/100))+(((Inputs!$B$12*(1+Inputs!$B$13/100))-(Inputs!$B$12*(1+Inputs!$B$13/100)))+0.25*(Inputs!$B$14-Inputs!$B$14))*(1+Inputs!$B$7/100))*(F1557/100)</f>
        <v/>
      </c>
      <c r="K1557">
        <f>J1557*(1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1565=TRUE,F1565,0)/100)*(1+(IF(Skills!A4="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C1573=TRUE)*(F1573-Calc!F20)),(Inputs!$B$23+0+(IF(ArtifactsInput!$M$15,CHOOSE(ArtifactsInput!$N$15+1,25,30,35,40,45,50)/100*(Inputs!$B$11-Inputs!$B$11),0))))/100+(Inputs!$B$23+0+(IF(ArtifactsInput!$M$15,CHOOSE(ArtifactsInput!$N$15+1,25,30,35,40,45,50)/100*(Inputs!$B$11-Inputs!$B$11),0)))/100)/2</f>
        <v/>
      </c>
      <c r="M1557">
        <f>L1557*(1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(1-Summary!$B$11)*T1557+Summary!$B$11*V1557</f>
        <v/>
      </c>
      <c r="P1557">
        <f>IF(B1588=0,0,O1557/B1588)</f>
        <v/>
      </c>
      <c r="Q1557" t="n">
        <v>0</v>
      </c>
      <c r="R1557" t="n">
        <v>0</v>
      </c>
      <c r="S1557">
        <f>IFERROR(O1557/N1557,0)</f>
        <v/>
      </c>
      <c r="T1557">
        <f>IF(C1557,(Skills!G4*H1557*N1557*B1582)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1557*(1-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7">
        <f>290*U1556/1000</f>
        <v/>
      </c>
      <c r="V1557">
        <f>IF(C1557,(Skills!G4*H1557*N1557*B1582)*IF(Inputs!$B$38="pvp",1,(1+(Inputs!$B$21+Skills!Q4+(IF(ArtifactsInput!$M$33,CHOOSE(ArtifactsInput!$N$33+1,30,36,42,48,54,60),0))+(IF(AND(ArtifactsInput!$M$35,Inputs!$B$4&lt;&gt;"Chapter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Skills!A5</f>
        <v/>
      </c>
      <c r="B1558">
        <f>Skills!B5</f>
        <v/>
      </c>
      <c r="C1558">
        <f>Inputs!$B$3&gt;=60</f>
        <v/>
      </c>
      <c r="D1558">
        <f>IF(Skills!C5=1,60+Inputs!$B$25+Inputs!$B$29,IF(Skills!C5=2,90+Inputs!$B$26+Inputs!$B$29,IF(Skills!C5=3,120+Inputs!$B$27+Inputs!$B$29,MAX(0,(Inputs!$B$3-100)*3)+Inputs!$B$28+Inputs!$B$29)))</f>
        <v/>
      </c>
      <c r="E1558">
        <f>INDEX(FactorTable!$B$2:$Y$301, MATCH(ROUND(MIN(300,MAX(1,D1558)),0), FactorTable!$A$2:$A$301,0), Skills!M5+1)</f>
        <v/>
      </c>
      <c r="F1558">
        <f>IF(Skills!N5=TRUE,(Skills!L5/10)*(E1558/1000),Skills!L5/10)+Skills!O5</f>
        <v/>
      </c>
      <c r="G1558">
        <f>Skills!G5*IF(Skills!H5&gt;0,Skills!I5/Skills!H5,1)</f>
        <v/>
      </c>
      <c r="H1558">
        <f>1-(1-Skills!J5/100)^Skills!K5</f>
        <v/>
      </c>
      <c r="I1558" t="inlineStr">
        <is>
          <t>1</t>
        </is>
      </c>
      <c r="J1558" t="inlineStr"/>
      <c r="K1558" t="inlineStr"/>
      <c r="L1558" t="inlineStr"/>
      <c r="M1558" t="inlineStr"/>
      <c r="N1558" t="inlineStr"/>
      <c r="O1558">
        <f>(1-Summary!$B$11)*T1558+Summary!$B$11*V1558</f>
        <v/>
      </c>
      <c r="P1558">
        <f>IF(B1588=0,0,O1558/B1588)</f>
        <v/>
      </c>
      <c r="Q1558" t="n">
        <v>0</v>
      </c>
      <c r="R1558" t="n">
        <v>0</v>
      </c>
      <c r="S1558">
        <f>IFERROR(O1558/N1558,0)</f>
        <v/>
      </c>
      <c r="T1558" t="n">
        <v>0</v>
      </c>
      <c r="V1558" t="n">
        <v>0</v>
      </c>
    </row>
    <row r="1559">
      <c r="A1559">
        <f>Skills!A6</f>
        <v/>
      </c>
      <c r="B1559">
        <f>Skills!B6</f>
        <v/>
      </c>
      <c r="C1559">
        <f>Inputs!$B$3&gt;=63</f>
        <v/>
      </c>
      <c r="D1559">
        <f>IF(Skills!C6=1,60+Inputs!$B$25+Inputs!$B$29,IF(Skills!C6=2,90+Inputs!$B$26+Inputs!$B$29,IF(Skills!C6=3,120+Inputs!$B$27+Inputs!$B$29,MAX(0,(Inputs!$B$3-100)*3)+Inputs!$B$28+Inputs!$B$29)))</f>
        <v/>
      </c>
      <c r="E1559">
        <f>INDEX(FactorTable!$B$2:$Y$301, MATCH(ROUND(MIN(300,MAX(1,D1559)),0), FactorTable!$A$2:$A$301,0), Skills!M6+1)</f>
        <v/>
      </c>
      <c r="F1559">
        <f>IF(Skills!N6=TRUE,(Skills!L6/10)*(E1559/1000),Skills!L6/10)+Skills!O6</f>
        <v/>
      </c>
      <c r="G1559">
        <f>Skills!G6*IF(Skills!H6&gt;0,Skills!I6/Skills!H6,1)</f>
        <v/>
      </c>
      <c r="H1559">
        <f>1-(1-Skills!J6/100)^Skills!K6</f>
        <v/>
      </c>
      <c r="I1559" t="inlineStr">
        <is>
          <t>1</t>
        </is>
      </c>
      <c r="J1559">
        <f>((Inputs!$B$6*(1+Inputs!$B$7/100))+(((Inputs!$B$12*(1+Inputs!$B$13/100))-(Inputs!$B$12*(1+Inputs!$B$13/100)))+0.25*(Inputs!$B$14-Inputs!$B$14))*(1+Inputs!$B$7/100))*(F1559/100)</f>
        <v/>
      </c>
      <c r="K1559">
        <f>J1559*(1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C1573=TRUE)*(F1573-Calc!F20)),(Inputs!$B$23+0+(IF(ArtifactsInput!$M$15,CHOOSE(ArtifactsInput!$N$15+1,25,30,35,40,45,50)/100*(Inputs!$B$11-Inputs!$B$11),0))))/100+(Inputs!$B$23+0+(IF(ArtifactsInput!$M$15,CHOOSE(ArtifactsInput!$N$15+1,25,30,35,40,45,50)/100*(Inputs!$B$11-Inputs!$B$11),0)))/100)/2</f>
        <v/>
      </c>
      <c r="M1559">
        <f>L1559*(1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(1-Summary!$B$11)*T1559+Summary!$B$11*V1559</f>
        <v/>
      </c>
      <c r="P1559">
        <f>IF(B1588=0,0,O1559/B1588)</f>
        <v/>
      </c>
      <c r="Q1559">
        <f>IFERROR(1/(IF(Inputs!$B$38="pvp",15,MAX(0.1,Skills!D6-IF(Skills!E6=TRUE,Inputs!$B$32,0)))*(1-IF(AND(ArtifactsInput!$M$27,Inputs!$B$4="Chapter Hunt"),CHOOSE(ArtifactsInput!$N$27+1,20,24,28,32,36,40),0)/100)),0)</f>
        <v/>
      </c>
      <c r="R1559">
        <f>IF(AND(Inputs!$B$38&lt;&gt;"pvp",Inputs!$B$43&gt;0),IF(MAX(0,Inputs!$B$43-B1585)&lt;=0,0,(INT(MAX(0,Inputs!$B$43-B1585)/(IF(Inputs!$B$38="pvp",15,MAX(0.1,Skills!D6-IF(Skills!E6=TRUE,Inputs!$B$32,0)))*(1-IF(AND(ArtifactsInput!$M$27,Inputs!$B$4="Chapter Hunt"),CHOOSE(ArtifactsInput!$N$27+1,20,24,28,32,36,40),0)/100)))+1)),0)</f>
        <v/>
      </c>
      <c r="S1559">
        <f>IFERROR(O1559/N1559,0)</f>
        <v/>
      </c>
      <c r="T1559">
        <f>IF(C1559,(H1559*N1559*IF(AND(Inputs!$B$38&lt;&gt;"pvp",Inputs!$B$43&gt;0),((Skills!G6*((R1559-1)*IF(Skills!H6&gt;0,Skills!I6/Skills!H6,1)+IF(Skills!H6&gt;0,MIN(Skills!I6,MAX(0,MAX(0,Inputs!$B$43-B1585)-((R1559-1)*(IF(Inputs!$B$38="pvp",15,MAX(0.1,Skills!D6-IF(Skills!E6=TRUE,Inputs!$B$32,0)))*(1-IF(AND(ArtifactsInput!$M$27,Inputs!$B$4="Chapter Hunt"),CHOOSE(ArtifactsInput!$N$27+1,20,24,28,32,36,40),0)/100)))))/Skills!H6,1)))/Inputs!$B$43),G1559*Q1559)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1559*(1-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9">
        <f>IF(C1559,(H1559*N1559*IF(AND(Inputs!$B$38&lt;&gt;"pvp",Inputs!$B$43&gt;0),((Skills!G6*((R1559-1)*IF(Skills!H6&gt;0,Skills!I6/Skills!H6,1)+IF(Skills!H6&gt;0,MIN(Skills!I6,MAX(0,MAX(0,Inputs!$B$43-B1585)-((R1559-1)*(IF(Inputs!$B$38="pvp",15,MAX(0.1,Skills!D6-IF(Skills!E6=TRUE,Inputs!$B$32,0)))*(1-IF(AND(ArtifactsInput!$M$27,Inputs!$B$4="Chapter Hunt"),CHOOSE(ArtifactsInput!$N$27+1,20,24,28,32,36,40),0)/100)))))/Skills!H6,1)))/Inputs!$B$43),G1559*Q1559))*IF(Inputs!$B$38="pvp",1,(1+(Inputs!$B$21+Skills!Q6+(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Skills!A7</f>
        <v/>
      </c>
      <c r="B1560">
        <f>Skills!B7</f>
        <v/>
      </c>
      <c r="C1560">
        <f>Inputs!$B$3&gt;=100</f>
        <v/>
      </c>
      <c r="D1560">
        <f>IF(Skills!C7=1,60+Inputs!$B$25+Inputs!$B$29,IF(Skills!C7=2,90+Inputs!$B$26+Inputs!$B$29,IF(Skills!C7=3,120+Inputs!$B$27+Inputs!$B$29,MAX(0,(Inputs!$B$3-100)*3)+Inputs!$B$28+Inputs!$B$29)))</f>
        <v/>
      </c>
      <c r="E1560">
        <f>INDEX(FactorTable!$B$2:$Y$301, MATCH(ROUND(MIN(300,MAX(1,D1560)),0), FactorTable!$A$2:$A$301,0), Skills!M7+1)</f>
        <v/>
      </c>
      <c r="F1560">
        <f>IF(Skills!N7=TRUE,(Skills!L7/10)*(E1560/1000),Skills!L7/10)+Skills!O7</f>
        <v/>
      </c>
      <c r="G1560">
        <f>Skills!G7*IF(Skills!H7&gt;0,Skills!I7/Skills!H7,1)</f>
        <v/>
      </c>
      <c r="H1560">
        <f>1-(1-Skills!J7/100)^Skills!K7</f>
        <v/>
      </c>
      <c r="I1560" t="inlineStr">
        <is>
          <t>1</t>
        </is>
      </c>
      <c r="J1560">
        <f>((Inputs!$B$6*(1+Inputs!$B$7/100))+(((Inputs!$B$12*(1+Inputs!$B$13/100))-(Inputs!$B$12*(1+Inputs!$B$13/100)))+0.25*(Inputs!$B$14-Inputs!$B$14))*(1+Inputs!$B$7/100))*(F1560/100)</f>
        <v/>
      </c>
      <c r="K1560">
        <f>J1560*(1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C1573=TRUE)*(F1573-Calc!F20)),(Inputs!$B$23+0+(IF(ArtifactsInput!$M$15,CHOOSE(ArtifactsInput!$N$15+1,25,30,35,40,45,50)/100*(Inputs!$B$11-Inputs!$B$11),0))))/100+(Inputs!$B$23+0+(IF(ArtifactsInput!$M$15,CHOOSE(ArtifactsInput!$N$15+1,25,30,35,40,45,50)/100*(Inputs!$B$11-Inputs!$B$11),0)))/100)/2</f>
        <v/>
      </c>
      <c r="M1560">
        <f>L1560*(1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(1-Summary!$B$11)*T1560+Summary!$B$11*V1560</f>
        <v/>
      </c>
      <c r="P1560">
        <f>IF(B1588=0,0,O1560/B1588)</f>
        <v/>
      </c>
      <c r="Q1560">
        <f>IFERROR(1/(IF(Inputs!$B$38="pvp",15,MAX(0.1,Skills!D7-IF(Skills!E7=TRUE,Inputs!$B$32,0)))*(1-IF(AND(ArtifactsInput!$M$27,Inputs!$B$4="Chapter Hunt"),CHOOSE(ArtifactsInput!$N$27+1,20,24,28,32,36,40),0)/100)),0)</f>
        <v/>
      </c>
      <c r="R1560">
        <f>IF(AND(Inputs!$B$38&lt;&gt;"pvp",Inputs!$B$43&gt;0),IF(MAX(0,Inputs!$B$43-B1585)&lt;=0,0,(INT(MAX(0,Inputs!$B$43-B1585)/(IF(Inputs!$B$38="pvp",15,MAX(0.1,Skills!D7-IF(Skills!E7=TRUE,Inputs!$B$32,0)))*(1-IF(AND(ArtifactsInput!$M$27,Inputs!$B$4="Chapter Hunt"),CHOOSE(ArtifactsInput!$N$27+1,20,24,28,32,36,40),0)/100)))+1)),0)</f>
        <v/>
      </c>
      <c r="S1560">
        <f>IFERROR(O1560/N1560,0)</f>
        <v/>
      </c>
      <c r="T1560">
        <f>IF(C1560,(H1560*N1560*IF(AND(Inputs!$B$38&lt;&gt;"pvp",Inputs!$B$43&gt;0),((Skills!G7*((R1560-1)*IF(Skills!H7&gt;0,Skills!I7/Skills!H7,1)+IF(Skills!H7&gt;0,MIN(Skills!I7,MAX(0,MAX(0,Inputs!$B$43-B1585)-((R1560-1)*(IF(Inputs!$B$38="pvp",15,MAX(0.1,Skills!D7-IF(Skills!E7=TRUE,Inputs!$B$32,0)))*(1-IF(AND(ArtifactsInput!$M$27,Inputs!$B$4="Chapter Hunt"),CHOOSE(ArtifactsInput!$N$27+1,20,24,28,32,36,40),0)/100)))))/Skills!H7,1)))/Inputs!$B$43),G1560*Q1560)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1560*(1-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0">
        <f>IF(C1560,(H1560*N1560*IF(AND(Inputs!$B$38&lt;&gt;"pvp",Inputs!$B$43&gt;0),((Skills!G7*((R1560-1)*IF(Skills!H7&gt;0,Skills!I7/Skills!H7,1)+IF(Skills!H7&gt;0,MIN(Skills!I7,MAX(0,MAX(0,Inputs!$B$43-B1585)-((R1560-1)*(IF(Inputs!$B$38="pvp",15,MAX(0.1,Skills!D7-IF(Skills!E7=TRUE,Inputs!$B$32,0)))*(1-IF(AND(ArtifactsInput!$M$27,Inputs!$B$4="Chapter Hunt"),CHOOSE(ArtifactsInput!$N$27+1,20,24,28,32,36,40),0)/100)))))/Skills!H7,1)))/Inputs!$B$43),G1560*Q1560))*IF(Inputs!$B$38="pvp",1,(1+(Inputs!$B$21+Skills!Q7+(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Skills!A8</f>
        <v/>
      </c>
      <c r="B1561">
        <f>Skills!B8</f>
        <v/>
      </c>
      <c r="C1561">
        <f>Inputs!$B$3&gt;=110</f>
        <v/>
      </c>
      <c r="D1561">
        <f>IF(Skills!C8=1,60+Inputs!$B$25+Inputs!$B$29,IF(Skills!C8=2,90+Inputs!$B$26+Inputs!$B$29,IF(Skills!C8=3,120+Inputs!$B$27+Inputs!$B$29,MAX(0,(Inputs!$B$3-100)*3)+Inputs!$B$28+Inputs!$B$29)))</f>
        <v/>
      </c>
      <c r="E1561">
        <f>INDEX(FactorTable!$B$2:$Y$301, MATCH(ROUND(MIN(300,MAX(1,D1561)),0), FactorTable!$A$2:$A$301,0), Skills!M8+1)</f>
        <v/>
      </c>
      <c r="F1561">
        <f>IF(Skills!N8=TRUE,(Skills!L8/10)*(E1561/1000),Skills!L8/10)+Skills!O8</f>
        <v/>
      </c>
      <c r="G1561">
        <f>Skills!G8*IF(Skills!H8&gt;0,Skills!I8/Skills!H8,1)</f>
        <v/>
      </c>
      <c r="H1561">
        <f>1-(1-Skills!J8/100)^Skills!K8</f>
        <v/>
      </c>
      <c r="I1561" t="inlineStr">
        <is>
          <t>1</t>
        </is>
      </c>
      <c r="J1561">
        <f>((Inputs!$B$6*(1+Inputs!$B$7/100))+(((Inputs!$B$12*(1+Inputs!$B$13/100))-(Inputs!$B$12*(1+Inputs!$B$13/100)))+0.25*(Inputs!$B$14-Inputs!$B$14))*(1+Inputs!$B$7/100))*(F1561/100)</f>
        <v/>
      </c>
      <c r="K1561">
        <f>J1561*(1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1573=TRUE)*(F1573-Calc!F20)),(Inputs!$B$23+0+(IF(ArtifactsInput!$M$15,CHOOSE(ArtifactsInput!$N$15+1,25,30,35,40,45,50)/100*(Inputs!$B$11-Inputs!$B$11),0))))/100+(Inputs!$B$23+0+(IF(ArtifactsInput!$M$15,CHOOSE(ArtifactsInput!$N$15+1,25,30,35,40,45,50)/100*(Inputs!$B$11-Inputs!$B$11),0)))/100)/2</f>
        <v/>
      </c>
      <c r="M1561">
        <f>L1561*(1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IF(B1588=0,0,O1561/B1588)</f>
        <v/>
      </c>
      <c r="Q1561">
        <f>IFERROR(1/(IF(Inputs!$B$38="pvp",15,MAX(0.1,Skills!D8-IF(Skills!E8=TRUE,Inputs!$B$32,0)))*(1-IF(AND(ArtifactsInput!$M$27,Inputs!$B$4="Chapter Hunt"),CHOOSE(ArtifactsInput!$N$27+1,20,24,28,32,36,40),0)/100)),0)</f>
        <v/>
      </c>
      <c r="R1561">
        <f>IF(AND(Inputs!$B$38&lt;&gt;"pvp",Inputs!$B$43&gt;0),IF(MAX(0,Inputs!$B$43-B1585)&lt;=0,0,(INT(MAX(0,Inputs!$B$43-B1585)/(IF(Inputs!$B$38="pvp",15,MAX(0.1,Skills!D8-IF(Skills!E8=TRUE,Inputs!$B$32,0)))*(1-IF(AND(ArtifactsInput!$M$27,Inputs!$B$4="Chapter Hunt"),CHOOSE(ArtifactsInput!$N$27+1,20,24,28,32,36,40),0)/100)))+1)),0)</f>
        <v/>
      </c>
      <c r="S1561">
        <f>IFERROR(O1561/N1561,0)</f>
        <v/>
      </c>
      <c r="T1561">
        <f>IF(C1561,(H1561*N1561*IF(AND(Inputs!$B$38&lt;&gt;"pvp",Inputs!$B$43&gt;0),((Skills!G8*((R1561-1)*IF(Skills!H8&gt;0,Skills!I8/Skills!H8,1)+IF(Skills!H8&gt;0,MIN(Skills!I8,MAX(0,MAX(0,Inputs!$B$43-B1585)-((R1561-1)*(IF(Inputs!$B$38="pvp",15,MAX(0.1,Skills!D8-IF(Skills!E8=TRUE,Inputs!$B$32,0)))*(1-IF(AND(ArtifactsInput!$M$27,Inputs!$B$4="Chapter Hunt"),CHOOSE(ArtifactsInput!$N$27+1,20,24,28,32,36,40),0)/100)))))/Skills!H8,1)))/Inputs!$B$43),G1561*Q1561)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8*((R1561-1)*IF(Skills!H8&gt;0,Skills!I8/Skills!H8,1)+IF(Skills!H8&gt;0,MIN(Skills!I8,MAX(0,MAX(0,Inputs!$B$43-B1585)-((R1561-1)*(IF(Inputs!$B$38="pvp",15,MAX(0.1,Skills!D8-IF(Skills!E8=TRUE,Inputs!$B$32,0)))*(1-IF(AND(ArtifactsInput!$M$27,Inputs!$B$4="Chapter Hunt"),CHOOSE(ArtifactsInput!$N$27+1,20,24,28,32,36,40),0)/100)))))/Skills!H8,1)))/Inputs!$B$43),G1561*Q1561))*IF(Inputs!$B$38="pvp",1,(1+(Inputs!$B$21+Skills!Q8+(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Skills!A9</f>
        <v/>
      </c>
      <c r="B1562">
        <f>Skills!B9</f>
        <v/>
      </c>
      <c r="C1562">
        <f>Inputs!$B$3&gt;=110</f>
        <v/>
      </c>
      <c r="D1562">
        <f>IF(Skills!C9=1,60+Inputs!$B$25+Inputs!$B$29,IF(Skills!C9=2,90+Inputs!$B$26+Inputs!$B$29,IF(Skills!C9=3,120+Inputs!$B$27+Inputs!$B$29,MAX(0,(Inputs!$B$3-100)*3)+Inputs!$B$28+Inputs!$B$29)))</f>
        <v/>
      </c>
      <c r="E1562">
        <f>INDEX(FactorTable!$B$2:$Y$301, MATCH(ROUND(MIN(300,MAX(1,D1562)),0), FactorTable!$A$2:$A$301,0), Skills!M9+1)</f>
        <v/>
      </c>
      <c r="F1562">
        <f>IF(Skills!N9=TRUE,(Skills!L9/10)*(E1562/1000),Skills!L9/10)+Skills!O9</f>
        <v/>
      </c>
      <c r="G1562">
        <f>Skills!G9*IF(Skills!H9&gt;0,Skills!I9/Skills!H9,1)</f>
        <v/>
      </c>
      <c r="H1562">
        <f>1-(1-Skills!J9/100)^Skills!K9</f>
        <v/>
      </c>
      <c r="I1562" t="inlineStr">
        <is>
          <t>1</t>
        </is>
      </c>
      <c r="J1562">
        <f>((Inputs!$B$6*(1+Inputs!$B$7/100))+(((Inputs!$B$12*(1+Inputs!$B$13/100))-(Inputs!$B$12*(1+Inputs!$B$13/100)))+0.25*(Inputs!$B$14-Inputs!$B$14))*(1+Inputs!$B$7/100))*(F1562/100)</f>
        <v/>
      </c>
      <c r="K1562">
        <f>J1562*(1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1573=TRUE)*(F1573-Calc!F20)),(Inputs!$B$23+0+(IF(ArtifactsInput!$M$15,CHOOSE(ArtifactsInput!$N$15+1,25,30,35,40,45,50)/100*(Inputs!$B$11-Inputs!$B$11),0))))/100+(Inputs!$B$23+0+(IF(ArtifactsInput!$M$15,CHOOSE(ArtifactsInput!$N$15+1,25,30,35,40,45,50)/100*(Inputs!$B$11-Inputs!$B$11),0)))/100)/2</f>
        <v/>
      </c>
      <c r="M1562">
        <f>L1562*(1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IF(B1588=0,0,O1562/B1588)</f>
        <v/>
      </c>
      <c r="Q1562">
        <f>IFERROR(1/(IF(Inputs!$B$38="pvp",15,MAX(0.1,Skills!D9-IF(Skills!E9=TRUE,Inputs!$B$32,0)))*(1-IF(AND(ArtifactsInput!$M$27,Inputs!$B$4="Chapter Hunt"),CHOOSE(ArtifactsInput!$N$27+1,20,24,28,32,36,40),0)/100)),0)</f>
        <v/>
      </c>
      <c r="R1562">
        <f>IF(AND(Inputs!$B$38&lt;&gt;"pvp",Inputs!$B$43&gt;0),IF(MAX(0,Inputs!$B$43-B1585)&lt;=0,0,(INT(MAX(0,Inputs!$B$43-B1585)/(IF(Inputs!$B$38="pvp",15,MAX(0.1,Skills!D9-IF(Skills!E9=TRUE,Inputs!$B$32,0)))*(1-IF(AND(ArtifactsInput!$M$27,Inputs!$B$4="Chapter Hunt"),CHOOSE(ArtifactsInput!$N$27+1,20,24,28,32,36,40),0)/100)))+1)),0)</f>
        <v/>
      </c>
      <c r="S1562">
        <f>IFERROR(O1562/N1562,0)</f>
        <v/>
      </c>
      <c r="T1562">
        <f>IF(C1562,(H1562*N1562*IF(AND(Inputs!$B$38&lt;&gt;"pvp",Inputs!$B$43&gt;0),((Skills!G9*((R1562-1)*IF(Skills!H9&gt;0,Skills!I9/Skills!H9,1)+IF(Skills!H9&gt;0,MIN(Skills!I9,MAX(0,MAX(0,Inputs!$B$43-B1585)-((R1562-1)*(IF(Inputs!$B$38="pvp",15,MAX(0.1,Skills!D9-IF(Skills!E9=TRUE,Inputs!$B$32,0)))*(1-IF(AND(ArtifactsInput!$M$27,Inputs!$B$4="Chapter Hunt"),CHOOSE(ArtifactsInput!$N$27+1,20,24,28,32,36,40),0)/100)))))/Skills!H9,1)))/Inputs!$B$43),G1562*Q1562)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9*((R1562-1)*IF(Skills!H9&gt;0,Skills!I9/Skills!H9,1)+IF(Skills!H9&gt;0,MIN(Skills!I9,MAX(0,MAX(0,Inputs!$B$43-B1585)-((R1562-1)*(IF(Inputs!$B$38="pvp",15,MAX(0.1,Skills!D9-IF(Skills!E9=TRUE,Inputs!$B$32,0)))*(1-IF(AND(ArtifactsInput!$M$27,Inputs!$B$4="Chapter Hunt"),CHOOSE(ArtifactsInput!$N$27+1,20,24,28,32,36,40),0)/100)))))/Skills!H9,1)))/Inputs!$B$43),G1562*Q1562))*IF(Inputs!$B$38="pvp",1,(1+(Inputs!$B$21+Skills!Q9+(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Skills!A10</f>
        <v/>
      </c>
      <c r="B1563">
        <f>Skills!B10</f>
        <v/>
      </c>
      <c r="C1563">
        <f>Inputs!$B$3&gt;=103</f>
        <v/>
      </c>
      <c r="D1563">
        <f>IF(Skills!C10=1,60+Inputs!$B$25+Inputs!$B$29,IF(Skills!C10=2,90+Inputs!$B$26+Inputs!$B$29,IF(Skills!C10=3,120+Inputs!$B$27+Inputs!$B$29,MAX(0,(Inputs!$B$3-100)*3)+Inputs!$B$28+Inputs!$B$29)))</f>
        <v/>
      </c>
      <c r="E1563">
        <f>INDEX(FactorTable!$B$2:$Y$301, MATCH(ROUND(MIN(300,MAX(1,D1563)),0), FactorTable!$A$2:$A$301,0), Skills!M10+1)</f>
        <v/>
      </c>
      <c r="F1563">
        <f>IF(Skills!N10=TRUE,(Skills!L10/10)*(E1563/1000),Skills!L10/10)+Skills!O10</f>
        <v/>
      </c>
      <c r="G1563">
        <f>Skills!G10*IF(Skills!H10&gt;0,Skills!I10/Skills!H10,1)</f>
        <v/>
      </c>
      <c r="H1563">
        <f>1-(1-Skills!J10/100)^Skills!K10</f>
        <v/>
      </c>
      <c r="I1563" t="inlineStr">
        <is>
          <t>1</t>
        </is>
      </c>
      <c r="J1563">
        <f>((Inputs!$B$6*(1+Inputs!$B$7/100))+(((Inputs!$B$12*(1+Inputs!$B$13/100))-(Inputs!$B$12*(1+Inputs!$B$13/100)))+0.25*(Inputs!$B$14-Inputs!$B$14))*(1+Inputs!$B$7/100))*(F1563/100)</f>
        <v/>
      </c>
      <c r="K1563">
        <f>J1563*(1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C1573=TRUE)*(F1573-Calc!F20)),(Inputs!$B$23+0+(IF(ArtifactsInput!$M$15,CHOOSE(ArtifactsInput!$N$15+1,25,30,35,40,45,50)/100*(Inputs!$B$11-Inputs!$B$11),0))))/100+(Inputs!$B$23+0+(IF(ArtifactsInput!$M$15,CHOOSE(ArtifactsInput!$N$15+1,25,30,35,40,45,50)/100*(Inputs!$B$11-Inputs!$B$11),0)))/100)/2</f>
        <v/>
      </c>
      <c r="M1563">
        <f>L1563*(1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(1-Summary!$B$11)*T1563+Summary!$B$11*V1563</f>
        <v/>
      </c>
      <c r="P1563">
        <f>IF(B1588=0,0,O1563/B1588)</f>
        <v/>
      </c>
      <c r="Q1563">
        <f>IFERROR(1/(IF(Inputs!$B$38="pvp",15,MAX(0.1,Skills!D10-IF(Skills!E10=TRUE,Inputs!$B$32,0)))*(1-IF(AND(ArtifactsInput!$M$27,Inputs!$B$4="Chapter Hunt"),CHOOSE(ArtifactsInput!$N$27+1,20,24,28,32,36,40),0)/100)),0)</f>
        <v/>
      </c>
      <c r="R1563">
        <f>IF(AND(Inputs!$B$38&lt;&gt;"pvp",Inputs!$B$43&gt;0),IF(MAX(0,Inputs!$B$43-B1585)&lt;=0,0,(INT(MAX(0,Inputs!$B$43-B1585)/(IF(Inputs!$B$38="pvp",15,MAX(0.1,Skills!D10-IF(Skills!E10=TRUE,Inputs!$B$32,0)))*(1-IF(AND(ArtifactsInput!$M$27,Inputs!$B$4="Chapter Hunt"),CHOOSE(ArtifactsInput!$N$27+1,20,24,28,32,36,40),0)/100)))+1)),0)</f>
        <v/>
      </c>
      <c r="S1563">
        <f>IFERROR(O1563/N1563,0)</f>
        <v/>
      </c>
      <c r="T1563">
        <f>IF(C1563,(H1563*N1563*IF(AND(Inputs!$B$38&lt;&gt;"pvp",Inputs!$B$43&gt;0),((Skills!G10*((R1563-1)*IF(Skills!H10&gt;0,Skills!I10/Skills!H10,1)+IF(Skills!H10&gt;0,MIN(Skills!I10,MAX(0,MAX(0,Inputs!$B$43-B1585)-((R1563-1)*(IF(Inputs!$B$38="pvp",15,MAX(0.1,Skills!D10-IF(Skills!E10=TRUE,Inputs!$B$32,0)))*(1-IF(AND(ArtifactsInput!$M$27,Inputs!$B$4="Chapter Hunt"),CHOOSE(ArtifactsInput!$N$27+1,20,24,28,32,36,40),0)/100)))))/Skills!H10,1)))/Inputs!$B$43),G1563*Q1563)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1563*(1-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3">
        <f>IF(C1563,(H1563*N1563*IF(AND(Inputs!$B$38&lt;&gt;"pvp",Inputs!$B$43&gt;0),((Skills!G10*((R1563-1)*IF(Skills!H10&gt;0,Skills!I10/Skills!H10,1)+IF(Skills!H10&gt;0,MIN(Skills!I10,MAX(0,MAX(0,Inputs!$B$43-B1585)-((R1563-1)*(IF(Inputs!$B$38="pvp",15,MAX(0.1,Skills!D10-IF(Skills!E10=TRUE,Inputs!$B$32,0)))*(1-IF(AND(ArtifactsInput!$M$27,Inputs!$B$4="Chapter Hunt"),CHOOSE(ArtifactsInput!$N$27+1,20,24,28,32,36,40),0)/100)))))/Skills!H10,1)))/Inputs!$B$43),G1563*Q1563))*IF(Inputs!$B$38="pvp",1,(1+(Inputs!$B$21+Skills!Q10+(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Skills!A11</f>
        <v/>
      </c>
      <c r="B1564">
        <f>Skills!B11</f>
        <v/>
      </c>
      <c r="C1564">
        <f>Inputs!$B$3&gt;=113</f>
        <v/>
      </c>
      <c r="D1564">
        <f>IF(Skills!C11=1,60+Inputs!$B$25+Inputs!$B$29,IF(Skills!C11=2,90+Inputs!$B$26+Inputs!$B$29,IF(Skills!C11=3,120+Inputs!$B$27+Inputs!$B$29,MAX(0,(Inputs!$B$3-100)*3)+Inputs!$B$28+Inputs!$B$29)))</f>
        <v/>
      </c>
      <c r="E1564">
        <f>INDEX(FactorTable!$B$2:$Y$301, MATCH(ROUND(MIN(300,MAX(1,D1564)),0), FactorTable!$A$2:$A$301,0), Skills!M11+1)</f>
        <v/>
      </c>
      <c r="F1564">
        <f>IF(Skills!N11=TRUE,(Skills!L11/10)*(E1564/1000),Skills!L11/10)+Skills!O11</f>
        <v/>
      </c>
      <c r="G1564">
        <f>Skills!G11*IF(Skills!H11&gt;0,Skills!I11/Skills!H11,1)</f>
        <v/>
      </c>
      <c r="H1564">
        <f>1-(1-Skills!J11/100)^Skills!K11</f>
        <v/>
      </c>
      <c r="I1564" t="inlineStr">
        <is>
          <t>1</t>
        </is>
      </c>
      <c r="J1564">
        <f>((Inputs!$B$6*(1+Inputs!$B$7/100))+(((Inputs!$B$12*(1+Inputs!$B$13/100))-(Inputs!$B$12*(1+Inputs!$B$13/100)))+0.25*(Inputs!$B$14-Inputs!$B$14))*(1+Inputs!$B$7/100))*(F1564/100)</f>
        <v/>
      </c>
      <c r="K1564">
        <f>J1564*(1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1564)</f>
        <v/>
      </c>
      <c r="L1564">
        <f>K1564*(MIN(Inputs!$B$22+((C1573=TRUE)*(F1573-Calc!F20)),(Inputs!$B$23+0+(IF(ArtifactsInput!$M$15,CHOOSE(ArtifactsInput!$N$15+1,25,30,35,40,45,50)/100*(Inputs!$B$11-Inputs!$B$11),0))))/100+(Inputs!$B$23+0+(IF(ArtifactsInput!$M$15,CHOOSE(ArtifactsInput!$N$15+1,25,30,35,40,45,50)/100*(Inputs!$B$11-Inputs!$B$11),0)))/100)/2</f>
        <v/>
      </c>
      <c r="M1564">
        <f>L1564*(1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4">
        <f>L1564*(1-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1564*(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4">
        <f>(1-Summary!$B$11)*T1564+Summary!$B$11*V1564</f>
        <v/>
      </c>
      <c r="P1564">
        <f>IF(B1588=0,0,O1564/B1588)</f>
        <v/>
      </c>
      <c r="Q1564">
        <f>IFERROR(1/(IF(Inputs!$B$38="pvp",15,MAX(0.1,Skills!D11-IF(Skills!E11=TRUE,Inputs!$B$32,0)))*(1-IF(AND(ArtifactsInput!$M$27,Inputs!$B$4="Chapter Hunt"),CHOOSE(ArtifactsInput!$N$27+1,20,24,28,32,36,40),0)/100)),0)</f>
        <v/>
      </c>
      <c r="R1564">
        <f>IF(AND(Inputs!$B$38&lt;&gt;"pvp",Inputs!$B$43&gt;0),IF(MAX(0,Inputs!$B$43-B1585)&lt;=0,0,(INT(MAX(0,Inputs!$B$43-B1585)/(IF(Inputs!$B$38="pvp",15,MAX(0.1,Skills!D11-IF(Skills!E11=TRUE,Inputs!$B$32,0)))*(1-IF(AND(ArtifactsInput!$M$27,Inputs!$B$4="Chapter Hunt"),CHOOSE(ArtifactsInput!$N$27+1,20,24,28,32,36,40),0)/100)))+1)),0)</f>
        <v/>
      </c>
      <c r="S1564">
        <f>IFERROR(O1564/N1564,0)</f>
        <v/>
      </c>
      <c r="T1564">
        <f>IF(C1564,(H1564*N1564*IF(AND(Inputs!$B$38&lt;&gt;"pvp",Inputs!$B$43&gt;0),((Skills!G11*((R1564-1)*IF(Skills!H11&gt;0,Skills!I11/Skills!H11,1)+IF(Skills!H11&gt;0,MIN(Skills!I11,MAX(0,MAX(0,Inputs!$B$43-B1585)-((R1564-1)*(IF(Inputs!$B$38="pvp",15,MAX(0.1,Skills!D11-IF(Skills!E11=TRUE,Inputs!$B$32,0)))*(1-IF(AND(ArtifactsInput!$M$27,Inputs!$B$4="Chapter Hunt"),CHOOSE(ArtifactsInput!$N$27+1,20,24,28,32,36,40),0)/100)))))/Skills!H11,1)))/Inputs!$B$43),G1564*Q1564)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1564*(1-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1564*(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1564*(1-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1564*(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4">
        <f>IF(C1564,(H1564*N1564*IF(AND(Inputs!$B$38&lt;&gt;"pvp",Inputs!$B$43&gt;0),((Skills!G11*((R1564-1)*IF(Skills!H11&gt;0,Skills!I11/Skills!H11,1)+IF(Skills!H11&gt;0,MIN(Skills!I11,MAX(0,MAX(0,Inputs!$B$43-B1585)-((R1564-1)*(IF(Inputs!$B$38="pvp",15,MAX(0.1,Skills!D11-IF(Skills!E11=TRUE,Inputs!$B$32,0)))*(1-IF(AND(ArtifactsInput!$M$27,Inputs!$B$4="Chapter Hunt"),CHOOSE(ArtifactsInput!$N$27+1,20,24,28,32,36,40),0)/100)))))/Skills!H11,1)))/Inputs!$B$43),G1564*Q1564))*IF(Inputs!$B$38="pvp",1,(1+(Inputs!$B$21+Skills!Q11+(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5">
      <c r="A1565">
        <f>Skills!A12</f>
        <v/>
      </c>
      <c r="B1565">
        <f>Skills!B12</f>
        <v/>
      </c>
      <c r="C1565">
        <f>Inputs!$B$3&gt;=100</f>
        <v/>
      </c>
      <c r="D1565">
        <f>IF(Skills!C12=1,60+Inputs!$B$25+Inputs!$B$29,IF(Skills!C12=2,90+Inputs!$B$26+Inputs!$B$29,IF(Skills!C12=3,120+Inputs!$B$27+Inputs!$B$29,MAX(0,(Inputs!$B$3-100)*3)+Inputs!$B$28+Inputs!$B$29)))</f>
        <v/>
      </c>
      <c r="E1565">
        <f>INDEX(FactorTable!$B$2:$Y$301, MATCH(ROUND(MIN(300,MAX(1,D1565)),0), FactorTable!$A$2:$A$301,0), Skills!M12+1)</f>
        <v/>
      </c>
      <c r="F1565">
        <f>IF(Skills!N12=TRUE,(Skills!L12/10)*(E1565/1000),Skills!L12/10)+Skills!O12</f>
        <v/>
      </c>
      <c r="G1565" t="inlineStr"/>
      <c r="H1565" t="inlineStr"/>
      <c r="I1565" t="inlineStr">
        <is>
          <t>1</t>
        </is>
      </c>
      <c r="J1565" t="inlineStr"/>
      <c r="K1565" t="inlineStr"/>
      <c r="L1565" t="inlineStr"/>
      <c r="M1565" t="inlineStr"/>
      <c r="N1565" t="inlineStr"/>
      <c r="O1565" t="inlineStr"/>
      <c r="P1565" t="inlineStr"/>
      <c r="Q1565" t="inlineStr"/>
      <c r="R1565" t="inlineStr"/>
      <c r="S1565" t="inlineStr"/>
      <c r="T1565" t="inlineStr"/>
      <c r="V1565" t="inlineStr"/>
    </row>
    <row r="1566">
      <c r="A1566">
        <f>Skills!A13</f>
        <v/>
      </c>
      <c r="B1566">
        <f>Skills!B13</f>
        <v/>
      </c>
      <c r="C1566">
        <f>Inputs!$B$3&gt;=66</f>
        <v/>
      </c>
      <c r="D1566">
        <f>IF(Skills!C13=1,60+Inputs!$B$25+Inputs!$B$29,IF(Skills!C13=2,90+Inputs!$B$26+Inputs!$B$29,IF(Skills!C13=3,120+Inputs!$B$27+Inputs!$B$29,MAX(0,(Inputs!$B$3-100)*3)+Inputs!$B$28+Inputs!$B$29)))</f>
        <v/>
      </c>
      <c r="E1566">
        <f>INDEX(FactorTable!$B$2:$Y$301, MATCH(ROUND(MIN(300,MAX(1,D1566)),0), FactorTable!$A$2:$A$301,0), Skills!M13+1)</f>
        <v/>
      </c>
      <c r="F1566">
        <f>IF(Skills!N13=TRUE,(Skills!L13/10)*(E1566/1000),Skills!L13/10)+Skills!O13</f>
        <v/>
      </c>
      <c r="G1566">
        <f>Skills!G13*IF(Skills!H13&gt;0,Skills!I13/Skills!H13,1)</f>
        <v/>
      </c>
      <c r="H1566">
        <f>1-(1-Skills!J13/100)^Skills!K13</f>
        <v/>
      </c>
      <c r="I1566" t="inlineStr">
        <is>
          <t>1</t>
        </is>
      </c>
      <c r="J1566" t="inlineStr"/>
      <c r="K1566" t="inlineStr"/>
      <c r="L1566" t="inlineStr"/>
      <c r="M1566" t="inlineStr"/>
      <c r="N1566" t="inlineStr"/>
      <c r="O1566">
        <f>(1-Summary!$B$11)*T1566+Summary!$B$11*V1566</f>
        <v/>
      </c>
      <c r="P1566">
        <f>IF(B1588=0,0,O1566/B1588)</f>
        <v/>
      </c>
      <c r="Q1566" t="n">
        <v>0</v>
      </c>
      <c r="R1566" t="n">
        <v>0</v>
      </c>
      <c r="S1566">
        <f>IFERROR(O1566/N1566,0)</f>
        <v/>
      </c>
      <c r="T1566" t="n">
        <v>0</v>
      </c>
      <c r="V1566" t="n">
        <v>0</v>
      </c>
    </row>
    <row r="1567">
      <c r="A1567">
        <f>Skills!A14</f>
        <v/>
      </c>
      <c r="B1567">
        <f>Skills!B14</f>
        <v/>
      </c>
      <c r="C1567">
        <f>Inputs!$B$3&gt;=107</f>
        <v/>
      </c>
      <c r="D1567">
        <f>IF(Skills!C14=1,60+Inputs!$B$25+Inputs!$B$29,IF(Skills!C14=2,90+Inputs!$B$26+Inputs!$B$29,IF(Skills!C14=3,120+Inputs!$B$27+Inputs!$B$29,MAX(0,(Inputs!$B$3-100)*3)+Inputs!$B$28+Inputs!$B$29)))</f>
        <v/>
      </c>
      <c r="E1567">
        <f>INDEX(FactorTable!$B$2:$Y$301, MATCH(ROUND(MIN(300,MAX(1,D1567)),0), FactorTable!$A$2:$A$301,0), Skills!M14+1)</f>
        <v/>
      </c>
      <c r="F1567">
        <f>IF(Skills!N14=TRUE,(Skills!L14/10)*(E1567/1000),Skills!L14/10)+Skills!O14</f>
        <v/>
      </c>
      <c r="G1567">
        <f>Skills!G14*IF(Skills!H14&gt;0,Skills!I14/Skills!H14,1)</f>
        <v/>
      </c>
      <c r="H1567">
        <f>1-(1-Skills!J14/100)^Skills!K14</f>
        <v/>
      </c>
      <c r="I1567" t="inlineStr">
        <is>
          <t>1</t>
        </is>
      </c>
      <c r="J1567" t="inlineStr"/>
      <c r="K1567" t="inlineStr"/>
      <c r="L1567" t="inlineStr"/>
      <c r="M1567" t="inlineStr"/>
      <c r="N1567" t="inlineStr"/>
      <c r="O1567">
        <f>(1-Summary!$B$11)*T1567+Summary!$B$11*V1567</f>
        <v/>
      </c>
      <c r="P1567">
        <f>IF(B1588=0,0,O1567/B1588)</f>
        <v/>
      </c>
      <c r="Q1567" t="n">
        <v>0</v>
      </c>
      <c r="R1567" t="n">
        <v>0</v>
      </c>
      <c r="S1567">
        <f>IFERROR(O1567/N1567,0)</f>
        <v/>
      </c>
      <c r="T1567" t="n">
        <v>0</v>
      </c>
      <c r="V1567" t="n">
        <v>0</v>
      </c>
    </row>
    <row r="1568">
      <c r="A1568">
        <f>Skills!A15</f>
        <v/>
      </c>
      <c r="B1568">
        <f>Skills!B15</f>
        <v/>
      </c>
      <c r="C1568">
        <f>Inputs!$B$3&gt;=115</f>
        <v/>
      </c>
      <c r="D1568">
        <f>IF(Skills!C15=1,60+Inputs!$B$25+Inputs!$B$29,IF(Skills!C15=2,90+Inputs!$B$26+Inputs!$B$29,IF(Skills!C15=3,120+Inputs!$B$27+Inputs!$B$29,MAX(0,(Inputs!$B$3-100)*3)+Inputs!$B$28+Inputs!$B$29)))</f>
        <v/>
      </c>
      <c r="E1568">
        <f>INDEX(FactorTable!$B$2:$Y$301, MATCH(ROUND(MIN(300,MAX(1,D1568)),0), FactorTable!$A$2:$A$301,0), Skills!M15+1)</f>
        <v/>
      </c>
      <c r="F1568">
        <f>IF(Skills!N15=TRUE,(Skills!L15/10)*(E1568/1000),Skills!L15/10)+Skills!O15</f>
        <v/>
      </c>
      <c r="G1568">
        <f>Skills!G15*IF(Skills!H15&gt;0,Skills!I15/Skills!H15,1)</f>
        <v/>
      </c>
      <c r="H1568">
        <f>1-(1-Skills!J15/100)^Skills!K15</f>
        <v/>
      </c>
      <c r="I1568" t="inlineStr">
        <is>
          <t>1</t>
        </is>
      </c>
      <c r="J1568" t="inlineStr"/>
      <c r="K1568" t="inlineStr"/>
      <c r="L1568" t="inlineStr"/>
      <c r="M1568" t="inlineStr"/>
      <c r="N1568" t="inlineStr"/>
      <c r="O1568">
        <f>(1-Summary!$B$11)*T1568+Summary!$B$11*V1568</f>
        <v/>
      </c>
      <c r="P1568">
        <f>IF(B1588=0,0,O1568/B1588)</f>
        <v/>
      </c>
      <c r="Q1568" t="n">
        <v>0</v>
      </c>
      <c r="R1568" t="n">
        <v>0</v>
      </c>
      <c r="S1568">
        <f>IFERROR(O1568/N1568,0)</f>
        <v/>
      </c>
      <c r="T1568" t="n">
        <v>0</v>
      </c>
      <c r="V1568" t="n">
        <v>0</v>
      </c>
    </row>
    <row r="1569">
      <c r="A1569">
        <f>Skills!A16</f>
        <v/>
      </c>
      <c r="B1569">
        <f>Skills!B16</f>
        <v/>
      </c>
      <c r="C1569">
        <f>Inputs!$B$3&gt;=15</f>
        <v/>
      </c>
      <c r="D1569">
        <f>IF(Skills!C16=1,60+Inputs!$B$25+Inputs!$B$29,IF(Skills!C16=2,90+Inputs!$B$26+Inputs!$B$29,IF(Skills!C16=3,120+Inputs!$B$27+Inputs!$B$29,MAX(0,(Inputs!$B$3-100)*3)+Inputs!$B$28+Inputs!$B$29)))</f>
        <v/>
      </c>
      <c r="E1569">
        <f>INDEX(FactorTable!$B$2:$Y$301, MATCH(ROUND(MIN(300,MAX(1,D1569)),0), FactorTable!$A$2:$A$301,0), Skills!M16+1)</f>
        <v/>
      </c>
      <c r="F1569">
        <f>IF(Skills!N16=TRUE,(Skills!L16/10)*(E1569/1000),Skills!L16/10)+Skills!O16</f>
        <v/>
      </c>
      <c r="G1569">
        <f>Skills!G16*IF(Skills!H16&gt;0,Skills!I16/Skills!H16,1)</f>
        <v/>
      </c>
      <c r="H1569">
        <f>1-(1-Skills!J16/100)^Skills!K16</f>
        <v/>
      </c>
      <c r="I1569" t="inlineStr">
        <is>
          <t>1</t>
        </is>
      </c>
      <c r="J1569" t="inlineStr"/>
      <c r="K1569" t="inlineStr"/>
      <c r="L1569" t="inlineStr"/>
      <c r="M1569" t="inlineStr"/>
      <c r="N1569" t="inlineStr"/>
      <c r="O1569">
        <f>(1-Summary!$B$11)*T1569+Summary!$B$11*V1569</f>
        <v/>
      </c>
      <c r="P1569">
        <f>IF(B1588=0,0,O1569/B1588)</f>
        <v/>
      </c>
      <c r="Q1569" t="n">
        <v>0</v>
      </c>
      <c r="R1569" t="n">
        <v>0</v>
      </c>
      <c r="S1569">
        <f>IFERROR(O1569/N1569,0)</f>
        <v/>
      </c>
      <c r="T1569" t="n">
        <v>0</v>
      </c>
      <c r="V1569" t="n">
        <v>0</v>
      </c>
    </row>
    <row r="1570">
      <c r="A1570">
        <f>Skills!A17</f>
        <v/>
      </c>
      <c r="B1570">
        <f>Skills!B17</f>
        <v/>
      </c>
      <c r="C1570">
        <f>Inputs!$B$3&gt;=10</f>
        <v/>
      </c>
      <c r="D1570">
        <f>IF(Skills!C17=1,60+Inputs!$B$25+Inputs!$B$29,IF(Skills!C17=2,90+Inputs!$B$26+Inputs!$B$29,IF(Skills!C17=3,120+Inputs!$B$27+Inputs!$B$29,MAX(0,(Inputs!$B$3-100)*3)+Inputs!$B$28+Inputs!$B$29)))</f>
        <v/>
      </c>
      <c r="E1570">
        <f>INDEX(FactorTable!$B$2:$Y$301, MATCH(ROUND(MIN(300,MAX(1,D1570)),0), FactorTable!$A$2:$A$301,0), Skills!M17+1)</f>
        <v/>
      </c>
      <c r="F1570">
        <f>IF(Skills!N17=TRUE,(Skills!L17/10)*(E1570/1000),Skills!L17/10)+Skills!O17</f>
        <v/>
      </c>
      <c r="G1570">
        <f>Skills!G17*IF(Skills!H17&gt;0,Skills!I17/Skills!H17,1)</f>
        <v/>
      </c>
      <c r="H1570">
        <f>1-(1-Skills!J17/100)^Skills!K17</f>
        <v/>
      </c>
      <c r="I1570" t="inlineStr">
        <is>
          <t>1</t>
        </is>
      </c>
      <c r="J1570" t="inlineStr"/>
      <c r="K1570" t="inlineStr"/>
      <c r="L1570" t="inlineStr"/>
      <c r="M1570" t="inlineStr"/>
      <c r="N1570" t="inlineStr"/>
      <c r="O1570">
        <f>(1-Summary!$B$11)*T1570+Summary!$B$11*V1570</f>
        <v/>
      </c>
      <c r="P1570">
        <f>IF(B1588=0,0,O1570/B1588)</f>
        <v/>
      </c>
      <c r="Q1570" t="n">
        <v>0</v>
      </c>
      <c r="R1570" t="n">
        <v>0</v>
      </c>
      <c r="S1570">
        <f>IFERROR(O1570/N1570,0)</f>
        <v/>
      </c>
      <c r="T1570" t="n">
        <v>0</v>
      </c>
      <c r="V1570" t="n">
        <v>0</v>
      </c>
    </row>
    <row r="1571">
      <c r="A1571">
        <f>Skills!A18</f>
        <v/>
      </c>
      <c r="B1571">
        <f>Skills!B18</f>
        <v/>
      </c>
      <c r="C1571">
        <f>Inputs!$B$3&gt;=33</f>
        <v/>
      </c>
      <c r="D1571">
        <f>IF(Skills!C18=1,60+Inputs!$B$25+Inputs!$B$29,IF(Skills!C18=2,90+Inputs!$B$26+Inputs!$B$29,IF(Skills!C18=3,120+Inputs!$B$27+Inputs!$B$29,MAX(0,(Inputs!$B$3-100)*3)+Inputs!$B$28+Inputs!$B$29)))</f>
        <v/>
      </c>
      <c r="E1571">
        <f>INDEX(FactorTable!$B$2:$Y$301, MATCH(ROUND(MIN(300,MAX(1,D1571)),0), FactorTable!$A$2:$A$301,0), Skills!M18+1)</f>
        <v/>
      </c>
      <c r="F1571">
        <f>IF(Skills!N18=TRUE,(Skills!L18/10)*(E1571/1000),Skills!L18/10)+Skills!O18</f>
        <v/>
      </c>
      <c r="G1571">
        <f>Skills!G18*IF(Skills!H18&gt;0,Skills!I18/Skills!H18,1)</f>
        <v/>
      </c>
      <c r="H1571">
        <f>1-(1-Skills!J18/100)^Skills!K18</f>
        <v/>
      </c>
      <c r="I1571" t="inlineStr">
        <is>
          <t>1</t>
        </is>
      </c>
      <c r="J1571" t="inlineStr"/>
      <c r="K1571" t="inlineStr"/>
      <c r="L1571" t="inlineStr"/>
      <c r="M1571" t="inlineStr"/>
      <c r="N1571" t="inlineStr"/>
      <c r="O1571">
        <f>(1-Summary!$B$11)*T1571+Summary!$B$11*V1571</f>
        <v/>
      </c>
      <c r="P1571">
        <f>IF(B1588=0,0,O1571/B1588)</f>
        <v/>
      </c>
      <c r="Q1571" t="n">
        <v>0</v>
      </c>
      <c r="R1571" t="n">
        <v>0</v>
      </c>
      <c r="S1571">
        <f>IFERROR(O1571/N1571,0)</f>
        <v/>
      </c>
      <c r="T1571" t="n">
        <v>0</v>
      </c>
      <c r="V1571" t="n">
        <v>0</v>
      </c>
    </row>
    <row r="1572">
      <c r="A1572">
        <f>Skills!A19</f>
        <v/>
      </c>
      <c r="B1572">
        <f>Skills!B19</f>
        <v/>
      </c>
      <c r="C1572">
        <f>Inputs!$B$3&gt;=40</f>
        <v/>
      </c>
      <c r="D1572">
        <f>IF(Skills!C19=1,60+Inputs!$B$25+Inputs!$B$29,IF(Skills!C19=2,90+Inputs!$B$26+Inputs!$B$29,IF(Skills!C19=3,120+Inputs!$B$27+Inputs!$B$29,MAX(0,(Inputs!$B$3-100)*3)+Inputs!$B$28+Inputs!$B$29)))</f>
        <v/>
      </c>
      <c r="E1572">
        <f>INDEX(FactorTable!$B$2:$Y$301, MATCH(ROUND(MIN(300,MAX(1,D1572)),0), FactorTable!$A$2:$A$301,0), Skills!M19+1)</f>
        <v/>
      </c>
      <c r="F1572">
        <f>IF(Skills!N19=TRUE,(Skills!L19/10)*(E1572/1000),Skills!L19/10)+Skills!O19</f>
        <v/>
      </c>
      <c r="G1572">
        <f>Skills!G19*IF(Skills!H19&gt;0,Skills!I19/Skills!H19,1)</f>
        <v/>
      </c>
      <c r="H1572">
        <f>1-(1-Skills!J19/100)^Skills!K19</f>
        <v/>
      </c>
      <c r="I1572" t="inlineStr">
        <is>
          <t>1</t>
        </is>
      </c>
      <c r="J1572" t="inlineStr"/>
      <c r="K1572" t="inlineStr"/>
      <c r="L1572" t="inlineStr"/>
      <c r="M1572" t="inlineStr"/>
      <c r="N1572" t="inlineStr"/>
      <c r="O1572">
        <f>(1-Summary!$B$11)*T1572+Summary!$B$11*V1572</f>
        <v/>
      </c>
      <c r="P1572">
        <f>IF(B1588=0,0,O1572/B1588)</f>
        <v/>
      </c>
      <c r="Q1572" t="n">
        <v>0</v>
      </c>
      <c r="R1572" t="n">
        <v>0</v>
      </c>
      <c r="S1572">
        <f>IFERROR(O1572/N1572,0)</f>
        <v/>
      </c>
      <c r="T1572" t="n">
        <v>0</v>
      </c>
      <c r="V1572" t="n">
        <v>0</v>
      </c>
    </row>
    <row r="1573">
      <c r="A1573">
        <f>Skills!A20</f>
        <v/>
      </c>
      <c r="B1573">
        <f>Skills!B20</f>
        <v/>
      </c>
      <c r="C1573">
        <f>Inputs!$B$3&gt;=43</f>
        <v/>
      </c>
      <c r="D1573">
        <f>IF(Skills!C20=1,60+Inputs!$B$25+Inputs!$B$29,IF(Skills!C20=2,90+Inputs!$B$26+Inputs!$B$29,IF(Skills!C20=3,120+Inputs!$B$27+Inputs!$B$29,MAX(0,(Inputs!$B$3-100)*3)+Inputs!$B$28+Inputs!$B$29)))</f>
        <v/>
      </c>
      <c r="E1573">
        <f>INDEX(FactorTable!$B$2:$Y$301, MATCH(ROUND(MIN(300,MAX(1,D1573)),0), FactorTable!$A$2:$A$301,0), Skills!M20+1)</f>
        <v/>
      </c>
      <c r="F1573">
        <f>IF(Skills!N20=TRUE,(Skills!L20/10)*(E1573/1000),Skills!L20/10)+Skills!O20</f>
        <v/>
      </c>
      <c r="G1573">
        <f>Skills!G20*IF(Skills!H20&gt;0,Skills!I20/Skills!H20,1)</f>
        <v/>
      </c>
      <c r="H1573">
        <f>1-(1-Skills!J20/100)^Skills!K20</f>
        <v/>
      </c>
      <c r="I1573" t="inlineStr">
        <is>
          <t>1</t>
        </is>
      </c>
      <c r="J1573" t="inlineStr"/>
      <c r="K1573" t="inlineStr"/>
      <c r="L1573" t="inlineStr"/>
      <c r="M1573" t="inlineStr"/>
      <c r="N1573" t="inlineStr"/>
      <c r="O1573">
        <f>(1-Summary!$B$11)*T1573+Summary!$B$11*V1573</f>
        <v/>
      </c>
      <c r="P1573">
        <f>IF(B1588=0,0,O1573/B1588)</f>
        <v/>
      </c>
      <c r="Q1573" t="n">
        <v>0</v>
      </c>
      <c r="R1573" t="n">
        <v>0</v>
      </c>
      <c r="S1573">
        <f>IFERROR(O1573/N1573,0)</f>
        <v/>
      </c>
      <c r="T1573" t="n">
        <v>0</v>
      </c>
      <c r="V1573" t="n">
        <v>0</v>
      </c>
    </row>
    <row r="1574">
      <c r="A1574">
        <f>Skills!A21</f>
        <v/>
      </c>
      <c r="B1574">
        <f>Skills!B21</f>
        <v/>
      </c>
      <c r="C1574">
        <f>Inputs!$B$3&gt;=38</f>
        <v/>
      </c>
      <c r="D1574">
        <f>IF(Skills!C21=1,60+Inputs!$B$25+Inputs!$B$29,IF(Skills!C21=2,90+Inputs!$B$26+Inputs!$B$29,IF(Skills!C21=3,120+Inputs!$B$27+Inputs!$B$29,MAX(0,(Inputs!$B$3-100)*3)+Inputs!$B$28+Inputs!$B$29)))</f>
        <v/>
      </c>
      <c r="E1574">
        <f>INDEX(FactorTable!$B$2:$Y$301, MATCH(ROUND(MIN(300,MAX(1,D1574)),0), FactorTable!$A$2:$A$301,0), Skills!M21+1)</f>
        <v/>
      </c>
      <c r="F1574">
        <f>IF(Skills!N21=TRUE,(Skills!L21/10)*(E1574/1000),Skills!L21/10)+Skills!O21</f>
        <v/>
      </c>
      <c r="G1574">
        <f>Skills!G21*IF(Skills!H21&gt;0,Skills!I21/Skills!H21,1)</f>
        <v/>
      </c>
      <c r="H1574">
        <f>1-(1-Skills!J21/100)^Skills!K21</f>
        <v/>
      </c>
      <c r="I1574" t="inlineStr">
        <is>
          <t>1</t>
        </is>
      </c>
      <c r="J1574" t="inlineStr"/>
      <c r="K1574" t="inlineStr"/>
      <c r="L1574" t="inlineStr"/>
      <c r="M1574" t="inlineStr"/>
      <c r="N1574" t="inlineStr"/>
      <c r="O1574">
        <f>(1-Summary!$B$11)*T1574+Summary!$B$11*V1574</f>
        <v/>
      </c>
      <c r="P1574">
        <f>IF(B1588=0,0,O1574/B1588)</f>
        <v/>
      </c>
      <c r="Q1574" t="n">
        <v>0</v>
      </c>
      <c r="R1574" t="n">
        <v>0</v>
      </c>
      <c r="S1574">
        <f>IFERROR(O1574/N1574,0)</f>
        <v/>
      </c>
      <c r="T1574" t="n">
        <v>0</v>
      </c>
      <c r="V1574" t="n">
        <v>0</v>
      </c>
    </row>
    <row r="1575">
      <c r="A1575">
        <f>Skills!A22</f>
        <v/>
      </c>
      <c r="B1575">
        <f>Skills!B22</f>
        <v/>
      </c>
      <c r="C1575">
        <f>Inputs!$B$3&gt;=75</f>
        <v/>
      </c>
      <c r="D1575">
        <f>IF(Skills!C22=1,60+Inputs!$B$25+Inputs!$B$29,IF(Skills!C22=2,90+Inputs!$B$26+Inputs!$B$29,IF(Skills!C22=3,120+Inputs!$B$27+Inputs!$B$29,MAX(0,(Inputs!$B$3-100)*3)+Inputs!$B$28+Inputs!$B$29)))</f>
        <v/>
      </c>
      <c r="E1575">
        <f>INDEX(FactorTable!$B$2:$Y$301, MATCH(ROUND(MIN(300,MAX(1,D1575)),0), FactorTable!$A$2:$A$301,0), Skills!M22+1)</f>
        <v/>
      </c>
      <c r="F1575">
        <f>IF(Skills!N22=TRUE,(Skills!L22/10)*(E1575/1000),Skills!L22/10)+Skills!O22</f>
        <v/>
      </c>
      <c r="G1575">
        <f>Skills!G22*IF(Skills!H22&gt;0,Skills!I22/Skills!H22,1)</f>
        <v/>
      </c>
      <c r="H1575">
        <f>1-(1-Skills!J22/100)^Skills!K22</f>
        <v/>
      </c>
      <c r="I1575" t="inlineStr">
        <is>
          <t>1</t>
        </is>
      </c>
      <c r="J1575" t="inlineStr"/>
      <c r="K1575" t="inlineStr"/>
      <c r="L1575" t="inlineStr"/>
      <c r="M1575" t="inlineStr"/>
      <c r="N1575" t="inlineStr"/>
      <c r="O1575">
        <f>(1-Summary!$B$11)*T1575+Summary!$B$11*V1575</f>
        <v/>
      </c>
      <c r="P1575">
        <f>IF(B1588=0,0,O1575/B1588)</f>
        <v/>
      </c>
      <c r="Q1575" t="n">
        <v>0</v>
      </c>
      <c r="R1575" t="n">
        <v>0</v>
      </c>
      <c r="S1575">
        <f>IFERROR(O1575/N1575,0)</f>
        <v/>
      </c>
      <c r="T1575" t="n">
        <v>0</v>
      </c>
      <c r="V1575" t="n">
        <v>0</v>
      </c>
    </row>
    <row r="1577">
      <c r="A1577" t="inlineStr">
        <is>
          <t>Attack% Bucket Multiplier</t>
        </is>
      </c>
      <c r="B1577">
        <f>(1+(((C1566=TRUE)*F1566)+((C1572=TRUE)*(F1572-Calc!F19))+(IF(ArtifactsInput!$M$21,CHOOSE(ArtifactsInput!$N$21+1,25,30,35,40,45,50)*(IF(OR(Inputs!$B$4="Chapter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8">
      <c r="A1578" t="inlineStr">
        <is>
          <t>Global Crit Rate Bonus %</t>
        </is>
      </c>
      <c r="B1578" t="n">
        <v>0</v>
      </c>
    </row>
    <row r="1579">
      <c r="A1579" t="inlineStr">
        <is>
          <t>Attack Speed Buff Bonus % (unused)</t>
        </is>
      </c>
      <c r="B1579" t="n">
        <v>0</v>
      </c>
    </row>
    <row r="1580">
      <c r="A1580" t="inlineStr">
        <is>
          <t>Actions Per Second</t>
        </is>
      </c>
      <c r="B1580">
        <f>1+MIN(150,150*(1-(1-(Inputs!$B$11+((C1570=TRUE)*(F1570-Calc!F17))+((C1571=TRUE)*(F1571-Calc!F18)))/150)*(1-B1579/150)))/100</f>
        <v/>
      </c>
    </row>
    <row r="1581">
      <c r="A1581" t="inlineStr">
        <is>
          <t>Skill + Buff Cast Rate</t>
        </is>
      </c>
      <c r="B1581">
        <f>IF(AND(Inputs!$B$38&lt;&gt;"pvp",Inputs!$B$43&gt;0),SUMPRODUCT((Skills!E2:E22=TRUE)*(C1555:C1575=TRUE)*R1555:R1575*Skills!F2:F22)/Inputs!$B$43,SUMPRODUCT((Skills!E2:E22=TRUE)*(C1555:C1575=TRUE)*Q1555:Q1575*Skills!F2:F22))</f>
        <v/>
      </c>
    </row>
    <row r="1582">
      <c r="A1582" t="inlineStr">
        <is>
          <t>Hook Bomber Casts Per Second</t>
        </is>
      </c>
      <c r="B1582">
        <f>MAX(0,B1580-B1581)</f>
        <v/>
      </c>
    </row>
    <row r="1583">
      <c r="A1583" t="inlineStr">
        <is>
          <t>Global Critical Damage Bonus % (unused)</t>
        </is>
      </c>
      <c r="B1583" t="n">
        <v>0</v>
      </c>
    </row>
    <row r="1584">
      <c r="A1584" t="inlineStr">
        <is>
          <t>Global Final Damage Bonus % (Serpent Scale + Crossbones + Time Leap + Speed Infusion)</t>
        </is>
      </c>
      <c r="B1584">
        <f>((C1558=TRUE)*F1558*((10+IF(Inputs!$B$3&gt;=94,5,0))/((10+IF(Inputs!$B$3&gt;=94,5,0))+5/(B1582*(1+IF(Inputs!$B$3&gt;=104,1,0))))))+((C1567=TRUE)*F1567)+((C1568=TRUE)*F1568)+((Inputs!$B$3&gt;=110)*20*(B1580-1))</f>
        <v/>
      </c>
    </row>
    <row r="1585">
      <c r="A1585" t="inlineStr">
        <is>
          <t>Buff-Casting Startup Delay (s, fixed-duration only)</t>
        </is>
      </c>
      <c r="B1585">
        <f>IF(AND(Inputs!$B$38&lt;&gt;"pvp",Inputs!$B$43&gt;0),SUMPRODUCT((Skills!T2:T22&gt;0)*(Skills!E2:E22=TRUE)*(C1555:C1575=TRUE))/B1580,0)</f>
        <v/>
      </c>
    </row>
    <row r="1586">
      <c r="A1586" t="inlineStr">
        <is>
          <t>Boss-Only Total DPS (this block's swept value)</t>
        </is>
      </c>
      <c r="B1586">
        <f>SUM(T1555:T1575)</f>
        <v/>
      </c>
    </row>
    <row r="1587">
      <c r="A1587" t="inlineStr">
        <is>
          <t>Normal-Only Total DPS (this block's swept value)</t>
        </is>
      </c>
      <c r="B1587">
        <f>SUM(V1555:V1575)</f>
        <v/>
      </c>
    </row>
    <row r="1588">
      <c r="A1588" s="6" t="inlineStr">
        <is>
          <t>TOTAL DPS</t>
        </is>
      </c>
      <c r="B1588" s="6">
        <f>SUM(O1555:O1575)</f>
        <v/>
      </c>
    </row>
    <row r="1591">
      <c r="A1591" s="6" t="inlineStr">
        <is>
          <t>Stat: Old Music Box (Equip)</t>
        </is>
      </c>
    </row>
    <row r="1592">
      <c r="A1592" s="5" t="inlineStr">
        <is>
          <t>Key</t>
        </is>
      </c>
      <c r="B1592" s="5" t="inlineStr">
        <is>
          <t>Name</t>
        </is>
      </c>
      <c r="C1592" s="5" t="inlineStr">
        <is>
          <t>Unlocked</t>
        </is>
      </c>
      <c r="D1592" s="5" t="inlineStr">
        <is>
          <t>InputLevel</t>
        </is>
      </c>
      <c r="E1592" s="5" t="inlineStr">
        <is>
          <t>Factor</t>
        </is>
      </c>
      <c r="F1592" s="5" t="inlineStr">
        <is>
          <t>CoefficientPercent</t>
        </is>
      </c>
      <c r="G1592" s="5" t="inlineStr">
        <is>
          <t>EffectiveHits</t>
        </is>
      </c>
      <c r="H1592" s="5" t="inlineStr">
        <is>
          <t>ProcProbability</t>
        </is>
      </c>
      <c r="I1592" s="5" t="inlineStr">
        <is>
          <t>MapleHeroMultiplier</t>
        </is>
      </c>
      <c r="J1592" s="5" t="inlineStr">
        <is>
          <t>BaseDamage</t>
        </is>
      </c>
      <c r="K1592" s="5" t="inlineStr">
        <is>
          <t>BaseHitDamage</t>
        </is>
      </c>
      <c r="L1592" s="5" t="inlineStr">
        <is>
          <t>NonCritAvg</t>
        </is>
      </c>
      <c r="M1592" s="5" t="inlineStr">
        <is>
          <t>CritAvg</t>
        </is>
      </c>
      <c r="N1592" s="5" t="inlineStr">
        <is>
          <t>ExpectedDamage(perHit)</t>
        </is>
      </c>
      <c r="O1592" s="5" t="inlineStr">
        <is>
          <t>DPS</t>
        </is>
      </c>
      <c r="P1592" s="5" t="inlineStr">
        <is>
          <t>% of Total</t>
        </is>
      </c>
      <c r="Q1592" s="5" t="inlineStr">
        <is>
          <t>InvCooldown</t>
        </is>
      </c>
      <c r="R1592" s="5" t="inlineStr">
        <is>
          <t>CastsInFight</t>
        </is>
      </c>
      <c r="S1592" s="5" t="inlineStr">
        <is>
          <t>HitRate(perSec)</t>
        </is>
      </c>
      <c r="U1592" t="inlineStr">
        <is>
          <t>helpers</t>
        </is>
      </c>
    </row>
    <row r="1593">
      <c r="A1593">
        <f>Skills!A2</f>
        <v/>
      </c>
      <c r="B1593">
        <f>Skills!B2</f>
        <v/>
      </c>
      <c r="C1593">
        <f>Inputs!$B$3&gt;=100</f>
        <v/>
      </c>
      <c r="D1593" t="inlineStr"/>
      <c r="E1593" t="inlineStr"/>
      <c r="F1593">
        <f>U1595+Skills!O2</f>
        <v/>
      </c>
      <c r="G1593">
        <f>Skills!G2*IF(Skills!H2&gt;0,Skills!I2/Skills!H2,1)</f>
        <v/>
      </c>
      <c r="H1593">
        <f>1-(1-Skills!J2/100)^Skills!K2</f>
        <v/>
      </c>
      <c r="I1593" t="inlineStr">
        <is>
          <t>1</t>
        </is>
      </c>
      <c r="J1593">
        <f>((Inputs!$B$6*(1+Inputs!$B$7/100))+(((Inputs!$B$12*(1+Inputs!$B$13/100))-(Inputs!$B$12*(1+Inputs!$B$13/100)))+0.25*(Inputs!$B$14-Inputs!$B$14))*(1+Inputs!$B$7/100))*(F1593/100)</f>
        <v/>
      </c>
      <c r="K1593">
        <f>J1593*(1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1593)</f>
        <v/>
      </c>
      <c r="L1593">
        <f>K1593*(MIN(Inputs!$B$22+((C1611=TRUE)*(F1611-Calc!F20)),(Inputs!$B$23+0+(IF(ArtifactsInput!$M$15,CHOOSE(ArtifactsInput!$N$15+1,25,30,35,40,45,50)/100*(Inputs!$B$11-Inputs!$B$11),0))))/100+(Inputs!$B$23+0+(IF(ArtifactsInput!$M$15,CHOOSE(ArtifactsInput!$N$15+1,25,30,35,40,45,50)/100*(Inputs!$B$11-Inputs!$B$11),0)))/100)/2</f>
        <v/>
      </c>
      <c r="M1593">
        <f>L1593*(1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IF(B1626=0,0,O1593/B1626)</f>
        <v/>
      </c>
      <c r="Q1593" t="n">
        <v>0</v>
      </c>
      <c r="R1593" t="n">
        <v>0</v>
      </c>
      <c r="S1593">
        <f>IFERROR(O1593/N1593,0)</f>
        <v/>
      </c>
      <c r="T1593">
        <f>IF(C1593,(Skills!G2*N1593*B1620)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3">
        <f>MAX(0,(Inputs!$B$3-100)*3)+Inputs!$B$28+Inputs!$B$29</f>
        <v/>
      </c>
      <c r="V1593">
        <f>IF(C1593,(Skills!G2*N1593*B1620)*IF(Inputs!$B$38="pvp",1,(1+(Inputs!$B$21+Skills!Q2+(IF(ArtifactsInput!$M$33,CHOOSE(ArtifactsInput!$N$33+1,30,36,42,48,54,60),0))+(IF(AND(ArtifactsInput!$M$35,Inputs!$B$4&lt;&gt;"Chapter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Skills!A3</f>
        <v/>
      </c>
      <c r="B1594">
        <f>Skills!B3</f>
        <v/>
      </c>
      <c r="C1594">
        <f>Inputs!$B$3&gt;=35</f>
        <v/>
      </c>
      <c r="D1594">
        <f>IF(Skills!C3=1,60+Inputs!$B$25+Inputs!$B$29,IF(Skills!C3=2,90+Inputs!$B$26+Inputs!$B$29,IF(Skills!C3=3,120+Inputs!$B$27+Inputs!$B$29,MAX(0,(Inputs!$B$3-100)*3)+Inputs!$B$28+Inputs!$B$29)))</f>
        <v/>
      </c>
      <c r="E1594">
        <f>INDEX(FactorTable!$B$2:$Y$301, MATCH(ROUND(MIN(300,MAX(1,D1594)),0), FactorTable!$A$2:$A$301,0), Skills!M3+1)</f>
        <v/>
      </c>
      <c r="F1594">
        <f>IF(Skills!N3=TRUE,(Skills!L3/10)*(E1594/1000),Skills!L3/10)+Skills!O3</f>
        <v/>
      </c>
      <c r="G1594">
        <f>Skills!G3*IF(Skills!H3&gt;0,Skills!I3/Skills!H3,1)</f>
        <v/>
      </c>
      <c r="H1594">
        <f>1-(1-Skills!J3/100)^Skills!K3</f>
        <v/>
      </c>
      <c r="I1594" t="inlineStr">
        <is>
          <t>1</t>
        </is>
      </c>
      <c r="J1594">
        <f>((Inputs!$B$6*(1+Inputs!$B$7/100))+(((Inputs!$B$12*(1+Inputs!$B$13/100))-(Inputs!$B$12*(1+Inputs!$B$13/100)))+0.25*(Inputs!$B$14-Inputs!$B$14))*(1+Inputs!$B$7/100))*(F1594/100)</f>
        <v/>
      </c>
      <c r="K1594">
        <f>J1594*(1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C1611=TRUE)*(F1611-Calc!F20)),(Inputs!$B$23+0+(IF(ArtifactsInput!$M$15,CHOOSE(ArtifactsInput!$N$15+1,25,30,35,40,45,50)/100*(Inputs!$B$11-Inputs!$B$11),0))))/100+(Inputs!$B$23+0+(IF(ArtifactsInput!$M$15,CHOOSE(ArtifactsInput!$N$15+1,25,30,35,40,45,50)/100*(Inputs!$B$11-Inputs!$B$11),0)))/100)/2</f>
        <v/>
      </c>
      <c r="M1594">
        <f>L1594*(1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IF(B1626=0,0,O1594/B1626)</f>
        <v/>
      </c>
      <c r="Q1594" t="n">
        <v>0</v>
      </c>
      <c r="R1594" t="n">
        <v>0</v>
      </c>
      <c r="S1594">
        <f>IFERROR(O1594/N1594,0)</f>
        <v/>
      </c>
      <c r="T1594">
        <f>IF(C1594,(Skills!G3*H1594*N1594*B1620)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4">
        <f>INDEX(FactorTable!$B$2:$Y$301, MATCH(ROUND(MIN(300,MAX(1,U1593)),0), FactorTable!$A$2:$A$301,0), 22)</f>
        <v/>
      </c>
      <c r="V1594">
        <f>IF(C1594,(Skills!G3*H1594*N1594*B1620)*IF(Inputs!$B$38="pvp",1,(1+(Inputs!$B$21+Skills!Q3+(IF(ArtifactsInput!$M$33,CHOOSE(ArtifactsInput!$N$33+1,30,36,42,48,54,60),0))+(IF(AND(ArtifactsInput!$M$35,Inputs!$B$4&lt;&gt;"Chapter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Skills!A4</f>
        <v/>
      </c>
      <c r="B1595">
        <f>Skills!B4</f>
        <v/>
      </c>
      <c r="C1595">
        <f>Inputs!$B$3&gt;=60</f>
        <v/>
      </c>
      <c r="D1595">
        <f>IF(Skills!C4=1,60+Inputs!$B$25+Inputs!$B$29,IF(Skills!C4=2,90+Inputs!$B$26+Inputs!$B$29,IF(Skills!C4=3,120+Inputs!$B$27+Inputs!$B$29,MAX(0,(Inputs!$B$3-100)*3)+Inputs!$B$28+Inputs!$B$29)))</f>
        <v/>
      </c>
      <c r="E1595">
        <f>INDEX(FactorTable!$B$2:$Y$301, MATCH(ROUND(MIN(300,MAX(1,D1595)),0), FactorTable!$A$2:$A$301,0), Skills!M4+1)</f>
        <v/>
      </c>
      <c r="F1595">
        <f>IF(Skills!N4=TRUE,(Skills!L4/10)*(E1595/1000),Skills!L4/10)+Skills!O4</f>
        <v/>
      </c>
      <c r="G1595">
        <f>Skills!G4*IF(Skills!H4&gt;0,Skills!I4/Skills!H4,1)</f>
        <v/>
      </c>
      <c r="H1595">
        <f>1-(1-Skills!J4/100)^Skills!K4</f>
        <v/>
      </c>
      <c r="I1595" t="inlineStr">
        <is>
          <t>1</t>
        </is>
      </c>
      <c r="J1595">
        <f>((Inputs!$B$6*(1+Inputs!$B$7/100))+(((Inputs!$B$12*(1+Inputs!$B$13/100))-(Inputs!$B$12*(1+Inputs!$B$13/100)))+0.25*(Inputs!$B$14-Inputs!$B$14))*(1+Inputs!$B$7/100))*(F1595/100)</f>
        <v/>
      </c>
      <c r="K1595">
        <f>J1595*(1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1603=TRUE,F1603,0)/100)*(1+(IF(Skills!A4="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C1611=TRUE)*(F1611-Calc!F20)),(Inputs!$B$23+0+(IF(ArtifactsInput!$M$15,CHOOSE(ArtifactsInput!$N$15+1,25,30,35,40,45,50)/100*(Inputs!$B$11-Inputs!$B$11),0))))/100+(Inputs!$B$23+0+(IF(ArtifactsInput!$M$15,CHOOSE(ArtifactsInput!$N$15+1,25,30,35,40,45,50)/100*(Inputs!$B$11-Inputs!$B$11),0)))/100)/2</f>
        <v/>
      </c>
      <c r="M1595">
        <f>L1595*(1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(1-Summary!$B$11)*T1595+Summary!$B$11*V1595</f>
        <v/>
      </c>
      <c r="P1595">
        <f>IF(B1626=0,0,O1595/B1626)</f>
        <v/>
      </c>
      <c r="Q1595" t="n">
        <v>0</v>
      </c>
      <c r="R1595" t="n">
        <v>0</v>
      </c>
      <c r="S1595">
        <f>IFERROR(O1595/N1595,0)</f>
        <v/>
      </c>
      <c r="T1595">
        <f>IF(C1595,(Skills!G4*H1595*N1595*B1620)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1595*(1-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290*U1594/1000</f>
        <v/>
      </c>
      <c r="V1595">
        <f>IF(C1595,(Skills!G4*H1595*N1595*B1620)*IF(Inputs!$B$38="pvp",1,(1+(Inputs!$B$21+Skills!Q4+(IF(ArtifactsInput!$M$33,CHOOSE(ArtifactsInput!$N$33+1,30,36,42,48,54,60),0))+(IF(AND(ArtifactsInput!$M$35,Inputs!$B$4&lt;&gt;"Chapter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Skills!A5</f>
        <v/>
      </c>
      <c r="B1596">
        <f>Skills!B5</f>
        <v/>
      </c>
      <c r="C1596">
        <f>Inputs!$B$3&gt;=60</f>
        <v/>
      </c>
      <c r="D1596">
        <f>IF(Skills!C5=1,60+Inputs!$B$25+Inputs!$B$29,IF(Skills!C5=2,90+Inputs!$B$26+Inputs!$B$29,IF(Skills!C5=3,120+Inputs!$B$27+Inputs!$B$29,MAX(0,(Inputs!$B$3-100)*3)+Inputs!$B$28+Inputs!$B$29)))</f>
        <v/>
      </c>
      <c r="E1596">
        <f>INDEX(FactorTable!$B$2:$Y$301, MATCH(ROUND(MIN(300,MAX(1,D1596)),0), FactorTable!$A$2:$A$301,0), Skills!M5+1)</f>
        <v/>
      </c>
      <c r="F1596">
        <f>IF(Skills!N5=TRUE,(Skills!L5/10)*(E1596/1000),Skills!L5/10)+Skills!O5</f>
        <v/>
      </c>
      <c r="G1596">
        <f>Skills!G5*IF(Skills!H5&gt;0,Skills!I5/Skills!H5,1)</f>
        <v/>
      </c>
      <c r="H1596">
        <f>1-(1-Skills!J5/100)^Skills!K5</f>
        <v/>
      </c>
      <c r="I1596" t="inlineStr">
        <is>
          <t>1</t>
        </is>
      </c>
      <c r="J1596" t="inlineStr"/>
      <c r="K1596" t="inlineStr"/>
      <c r="L1596" t="inlineStr"/>
      <c r="M1596" t="inlineStr"/>
      <c r="N1596" t="inlineStr"/>
      <c r="O1596">
        <f>(1-Summary!$B$11)*T1596+Summary!$B$11*V1596</f>
        <v/>
      </c>
      <c r="P1596">
        <f>IF(B1626=0,0,O1596/B1626)</f>
        <v/>
      </c>
      <c r="Q1596" t="n">
        <v>0</v>
      </c>
      <c r="R1596" t="n">
        <v>0</v>
      </c>
      <c r="S1596">
        <f>IFERROR(O1596/N1596,0)</f>
        <v/>
      </c>
      <c r="T1596" t="n">
        <v>0</v>
      </c>
      <c r="V1596" t="n">
        <v>0</v>
      </c>
    </row>
    <row r="1597">
      <c r="A1597">
        <f>Skills!A6</f>
        <v/>
      </c>
      <c r="B1597">
        <f>Skills!B6</f>
        <v/>
      </c>
      <c r="C1597">
        <f>Inputs!$B$3&gt;=63</f>
        <v/>
      </c>
      <c r="D1597">
        <f>IF(Skills!C6=1,60+Inputs!$B$25+Inputs!$B$29,IF(Skills!C6=2,90+Inputs!$B$26+Inputs!$B$29,IF(Skills!C6=3,120+Inputs!$B$27+Inputs!$B$29,MAX(0,(Inputs!$B$3-100)*3)+Inputs!$B$28+Inputs!$B$29)))</f>
        <v/>
      </c>
      <c r="E1597">
        <f>INDEX(FactorTable!$B$2:$Y$301, MATCH(ROUND(MIN(300,MAX(1,D1597)),0), FactorTable!$A$2:$A$301,0), Skills!M6+1)</f>
        <v/>
      </c>
      <c r="F1597">
        <f>IF(Skills!N6=TRUE,(Skills!L6/10)*(E1597/1000),Skills!L6/10)+Skills!O6</f>
        <v/>
      </c>
      <c r="G1597">
        <f>Skills!G6*IF(Skills!H6&gt;0,Skills!I6/Skills!H6,1)</f>
        <v/>
      </c>
      <c r="H1597">
        <f>1-(1-Skills!J6/100)^Skills!K6</f>
        <v/>
      </c>
      <c r="I1597" t="inlineStr">
        <is>
          <t>1</t>
        </is>
      </c>
      <c r="J1597">
        <f>((Inputs!$B$6*(1+Inputs!$B$7/100))+(((Inputs!$B$12*(1+Inputs!$B$13/100))-(Inputs!$B$12*(1+Inputs!$B$13/100)))+0.25*(Inputs!$B$14-Inputs!$B$14))*(1+Inputs!$B$7/100))*(F1597/100)</f>
        <v/>
      </c>
      <c r="K1597">
        <f>J1597*(1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C1611=TRUE)*(F1611-Calc!F20)),(Inputs!$B$23+0+(IF(ArtifactsInput!$M$15,CHOOSE(ArtifactsInput!$N$15+1,25,30,35,40,45,50)/100*(Inputs!$B$11-Inputs!$B$11),0))))/100+(Inputs!$B$23+0+(IF(ArtifactsInput!$M$15,CHOOSE(ArtifactsInput!$N$15+1,25,30,35,40,45,50)/100*(Inputs!$B$11-Inputs!$B$11),0)))/100)/2</f>
        <v/>
      </c>
      <c r="M1597">
        <f>L1597*(1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(1-Summary!$B$11)*T1597+Summary!$B$11*V1597</f>
        <v/>
      </c>
      <c r="P1597">
        <f>IF(B1626=0,0,O1597/B1626)</f>
        <v/>
      </c>
      <c r="Q1597">
        <f>IFERROR(1/(IF(Inputs!$B$38="pvp",15,MAX(0.1,Skills!D6-IF(Skills!E6=TRUE,Inputs!$B$32,0)))*(1-IF(AND(ArtifactsInput!$M$27,Inputs!$B$4="Chapter Hunt"),CHOOSE(ArtifactsInput!$N$27+1,20,24,28,32,36,40),0)/100)),0)</f>
        <v/>
      </c>
      <c r="R1597">
        <f>IF(AND(Inputs!$B$38&lt;&gt;"pvp",Inputs!$B$43&gt;0),IF(MAX(0,Inputs!$B$43-B1623)&lt;=0,0,(INT(MAX(0,Inputs!$B$43-B1623)/(IF(Inputs!$B$38="pvp",15,MAX(0.1,Skills!D6-IF(Skills!E6=TRUE,Inputs!$B$32,0)))*(1-IF(AND(ArtifactsInput!$M$27,Inputs!$B$4="Chapter Hunt"),CHOOSE(ArtifactsInput!$N$27+1,20,24,28,32,36,40),0)/100)))+1)),0)</f>
        <v/>
      </c>
      <c r="S1597">
        <f>IFERROR(O1597/N1597,0)</f>
        <v/>
      </c>
      <c r="T1597">
        <f>IF(C1597,(H1597*N1597*IF(AND(Inputs!$B$38&lt;&gt;"pvp",Inputs!$B$43&gt;0),((Skills!G6*((R1597-1)*IF(Skills!H6&gt;0,Skills!I6/Skills!H6,1)+IF(Skills!H6&gt;0,MIN(Skills!I6,MAX(0,MAX(0,Inputs!$B$43-B1623)-((R1597-1)*(IF(Inputs!$B$38="pvp",15,MAX(0.1,Skills!D6-IF(Skills!E6=TRUE,Inputs!$B$32,0)))*(1-IF(AND(ArtifactsInput!$M$27,Inputs!$B$4="Chapter Hunt"),CHOOSE(ArtifactsInput!$N$27+1,20,24,28,32,36,40),0)/100)))))/Skills!H6,1)))/Inputs!$B$43),G1597*Q1597)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1597*(1-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7">
        <f>IF(C1597,(H1597*N1597*IF(AND(Inputs!$B$38&lt;&gt;"pvp",Inputs!$B$43&gt;0),((Skills!G6*((R1597-1)*IF(Skills!H6&gt;0,Skills!I6/Skills!H6,1)+IF(Skills!H6&gt;0,MIN(Skills!I6,MAX(0,MAX(0,Inputs!$B$43-B1623)-((R1597-1)*(IF(Inputs!$B$38="pvp",15,MAX(0.1,Skills!D6-IF(Skills!E6=TRUE,Inputs!$B$32,0)))*(1-IF(AND(ArtifactsInput!$M$27,Inputs!$B$4="Chapter Hunt"),CHOOSE(ArtifactsInput!$N$27+1,20,24,28,32,36,40),0)/100)))))/Skills!H6,1)))/Inputs!$B$43),G1597*Q1597))*IF(Inputs!$B$38="pvp",1,(1+(Inputs!$B$21+Skills!Q6+(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Skills!A7</f>
        <v/>
      </c>
      <c r="B1598">
        <f>Skills!B7</f>
        <v/>
      </c>
      <c r="C1598">
        <f>Inputs!$B$3&gt;=100</f>
        <v/>
      </c>
      <c r="D1598">
        <f>IF(Skills!C7=1,60+Inputs!$B$25+Inputs!$B$29,IF(Skills!C7=2,90+Inputs!$B$26+Inputs!$B$29,IF(Skills!C7=3,120+Inputs!$B$27+Inputs!$B$29,MAX(0,(Inputs!$B$3-100)*3)+Inputs!$B$28+Inputs!$B$29)))</f>
        <v/>
      </c>
      <c r="E1598">
        <f>INDEX(FactorTable!$B$2:$Y$301, MATCH(ROUND(MIN(300,MAX(1,D1598)),0), FactorTable!$A$2:$A$301,0), Skills!M7+1)</f>
        <v/>
      </c>
      <c r="F1598">
        <f>IF(Skills!N7=TRUE,(Skills!L7/10)*(E1598/1000),Skills!L7/10)+Skills!O7</f>
        <v/>
      </c>
      <c r="G1598">
        <f>Skills!G7*IF(Skills!H7&gt;0,Skills!I7/Skills!H7,1)</f>
        <v/>
      </c>
      <c r="H1598">
        <f>1-(1-Skills!J7/100)^Skills!K7</f>
        <v/>
      </c>
      <c r="I1598" t="inlineStr">
        <is>
          <t>1</t>
        </is>
      </c>
      <c r="J1598">
        <f>((Inputs!$B$6*(1+Inputs!$B$7/100))+(((Inputs!$B$12*(1+Inputs!$B$13/100))-(Inputs!$B$12*(1+Inputs!$B$13/100)))+0.25*(Inputs!$B$14-Inputs!$B$14))*(1+Inputs!$B$7/100))*(F1598/100)</f>
        <v/>
      </c>
      <c r="K1598">
        <f>J1598*(1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C1611=TRUE)*(F1611-Calc!F20)),(Inputs!$B$23+0+(IF(ArtifactsInput!$M$15,CHOOSE(ArtifactsInput!$N$15+1,25,30,35,40,45,50)/100*(Inputs!$B$11-Inputs!$B$11),0))))/100+(Inputs!$B$23+0+(IF(ArtifactsInput!$M$15,CHOOSE(ArtifactsInput!$N$15+1,25,30,35,40,45,50)/100*(Inputs!$B$11-Inputs!$B$11),0)))/100)/2</f>
        <v/>
      </c>
      <c r="M1598">
        <f>L1598*(1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(1-Summary!$B$11)*T1598+Summary!$B$11*V1598</f>
        <v/>
      </c>
      <c r="P1598">
        <f>IF(B1626=0,0,O1598/B1626)</f>
        <v/>
      </c>
      <c r="Q1598">
        <f>IFERROR(1/(IF(Inputs!$B$38="pvp",15,MAX(0.1,Skills!D7-IF(Skills!E7=TRUE,Inputs!$B$32,0)))*(1-IF(AND(ArtifactsInput!$M$27,Inputs!$B$4="Chapter Hunt"),CHOOSE(ArtifactsInput!$N$27+1,20,24,28,32,36,40),0)/100)),0)</f>
        <v/>
      </c>
      <c r="R1598">
        <f>IF(AND(Inputs!$B$38&lt;&gt;"pvp",Inputs!$B$43&gt;0),IF(MAX(0,Inputs!$B$43-B1623)&lt;=0,0,(INT(MAX(0,Inputs!$B$43-B1623)/(IF(Inputs!$B$38="pvp",15,MAX(0.1,Skills!D7-IF(Skills!E7=TRUE,Inputs!$B$32,0)))*(1-IF(AND(ArtifactsInput!$M$27,Inputs!$B$4="Chapter Hunt"),CHOOSE(ArtifactsInput!$N$27+1,20,24,28,32,36,40),0)/100)))+1)),0)</f>
        <v/>
      </c>
      <c r="S1598">
        <f>IFERROR(O1598/N1598,0)</f>
        <v/>
      </c>
      <c r="T1598">
        <f>IF(C1598,(H1598*N1598*IF(AND(Inputs!$B$38&lt;&gt;"pvp",Inputs!$B$43&gt;0),((Skills!G7*((R1598-1)*IF(Skills!H7&gt;0,Skills!I7/Skills!H7,1)+IF(Skills!H7&gt;0,MIN(Skills!I7,MAX(0,MAX(0,Inputs!$B$43-B1623)-((R1598-1)*(IF(Inputs!$B$38="pvp",15,MAX(0.1,Skills!D7-IF(Skills!E7=TRUE,Inputs!$B$32,0)))*(1-IF(AND(ArtifactsInput!$M$27,Inputs!$B$4="Chapter Hunt"),CHOOSE(ArtifactsInput!$N$27+1,20,24,28,32,36,40),0)/100)))))/Skills!H7,1)))/Inputs!$B$43),G1598*Q1598)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1598*(1-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8">
        <f>IF(C1598,(H1598*N1598*IF(AND(Inputs!$B$38&lt;&gt;"pvp",Inputs!$B$43&gt;0),((Skills!G7*((R1598-1)*IF(Skills!H7&gt;0,Skills!I7/Skills!H7,1)+IF(Skills!H7&gt;0,MIN(Skills!I7,MAX(0,MAX(0,Inputs!$B$43-B1623)-((R1598-1)*(IF(Inputs!$B$38="pvp",15,MAX(0.1,Skills!D7-IF(Skills!E7=TRUE,Inputs!$B$32,0)))*(1-IF(AND(ArtifactsInput!$M$27,Inputs!$B$4="Chapter Hunt"),CHOOSE(ArtifactsInput!$N$27+1,20,24,28,32,36,40),0)/100)))))/Skills!H7,1)))/Inputs!$B$43),G1598*Q1598))*IF(Inputs!$B$38="pvp",1,(1+(Inputs!$B$21+Skills!Q7+(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Skills!A8</f>
        <v/>
      </c>
      <c r="B1599">
        <f>Skills!B8</f>
        <v/>
      </c>
      <c r="C1599">
        <f>Inputs!$B$3&gt;=110</f>
        <v/>
      </c>
      <c r="D1599">
        <f>IF(Skills!C8=1,60+Inputs!$B$25+Inputs!$B$29,IF(Skills!C8=2,90+Inputs!$B$26+Inputs!$B$29,IF(Skills!C8=3,120+Inputs!$B$27+Inputs!$B$29,MAX(0,(Inputs!$B$3-100)*3)+Inputs!$B$28+Inputs!$B$29)))</f>
        <v/>
      </c>
      <c r="E1599">
        <f>INDEX(FactorTable!$B$2:$Y$301, MATCH(ROUND(MIN(300,MAX(1,D1599)),0), FactorTable!$A$2:$A$301,0), Skills!M8+1)</f>
        <v/>
      </c>
      <c r="F1599">
        <f>IF(Skills!N8=TRUE,(Skills!L8/10)*(E1599/1000),Skills!L8/10)+Skills!O8</f>
        <v/>
      </c>
      <c r="G1599">
        <f>Skills!G8*IF(Skills!H8&gt;0,Skills!I8/Skills!H8,1)</f>
        <v/>
      </c>
      <c r="H1599">
        <f>1-(1-Skills!J8/100)^Skills!K8</f>
        <v/>
      </c>
      <c r="I1599" t="inlineStr">
        <is>
          <t>1</t>
        </is>
      </c>
      <c r="J1599">
        <f>((Inputs!$B$6*(1+Inputs!$B$7/100))+(((Inputs!$B$12*(1+Inputs!$B$13/100))-(Inputs!$B$12*(1+Inputs!$B$13/100)))+0.25*(Inputs!$B$14-Inputs!$B$14))*(1+Inputs!$B$7/100))*(F1599/100)</f>
        <v/>
      </c>
      <c r="K1599">
        <f>J1599*(1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C1611=TRUE)*(F1611-Calc!F20)),(Inputs!$B$23+0+(IF(ArtifactsInput!$M$15,CHOOSE(ArtifactsInput!$N$15+1,25,30,35,40,45,50)/100*(Inputs!$B$11-Inputs!$B$11),0))))/100+(Inputs!$B$23+0+(IF(ArtifactsInput!$M$15,CHOOSE(ArtifactsInput!$N$15+1,25,30,35,40,45,50)/100*(Inputs!$B$11-Inputs!$B$11),0)))/100)/2</f>
        <v/>
      </c>
      <c r="M1599">
        <f>L1599*(1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(1-Summary!$B$11)*T1599+Summary!$B$11*V1599</f>
        <v/>
      </c>
      <c r="P1599">
        <f>IF(B1626=0,0,O1599/B1626)</f>
        <v/>
      </c>
      <c r="Q1599">
        <f>IFERROR(1/(IF(Inputs!$B$38="pvp",15,MAX(0.1,Skills!D8-IF(Skills!E8=TRUE,Inputs!$B$32,0)))*(1-IF(AND(ArtifactsInput!$M$27,Inputs!$B$4="Chapter Hunt"),CHOOSE(ArtifactsInput!$N$27+1,20,24,28,32,36,40),0)/100)),0)</f>
        <v/>
      </c>
      <c r="R1599">
        <f>IF(AND(Inputs!$B$38&lt;&gt;"pvp",Inputs!$B$43&gt;0),IF(MAX(0,Inputs!$B$43-B1623)&lt;=0,0,(INT(MAX(0,Inputs!$B$43-B1623)/(IF(Inputs!$B$38="pvp",15,MAX(0.1,Skills!D8-IF(Skills!E8=TRUE,Inputs!$B$32,0)))*(1-IF(AND(ArtifactsInput!$M$27,Inputs!$B$4="Chapter Hunt"),CHOOSE(ArtifactsInput!$N$27+1,20,24,28,32,36,40),0)/100)))+1)),0)</f>
        <v/>
      </c>
      <c r="S1599">
        <f>IFERROR(O1599/N1599,0)</f>
        <v/>
      </c>
      <c r="T1599">
        <f>IF(C1599,(H1599*N1599*IF(AND(Inputs!$B$38&lt;&gt;"pvp",Inputs!$B$43&gt;0),((Skills!G8*((R1599-1)*IF(Skills!H8&gt;0,Skills!I8/Skills!H8,1)+IF(Skills!H8&gt;0,MIN(Skills!I8,MAX(0,MAX(0,Inputs!$B$43-B1623)-((R1599-1)*(IF(Inputs!$B$38="pvp",15,MAX(0.1,Skills!D8-IF(Skills!E8=TRUE,Inputs!$B$32,0)))*(1-IF(AND(ArtifactsInput!$M$27,Inputs!$B$4="Chapter Hunt"),CHOOSE(ArtifactsInput!$N$27+1,20,24,28,32,36,40),0)/100)))))/Skills!H8,1)))/Inputs!$B$43),G1599*Q1599)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1599*(1-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9">
        <f>IF(C1599,(H1599*N1599*IF(AND(Inputs!$B$38&lt;&gt;"pvp",Inputs!$B$43&gt;0),((Skills!G8*((R1599-1)*IF(Skills!H8&gt;0,Skills!I8/Skills!H8,1)+IF(Skills!H8&gt;0,MIN(Skills!I8,MAX(0,MAX(0,Inputs!$B$43-B1623)-((R1599-1)*(IF(Inputs!$B$38="pvp",15,MAX(0.1,Skills!D8-IF(Skills!E8=TRUE,Inputs!$B$32,0)))*(1-IF(AND(ArtifactsInput!$M$27,Inputs!$B$4="Chapter Hunt"),CHOOSE(ArtifactsInput!$N$27+1,20,24,28,32,36,40),0)/100)))))/Skills!H8,1)))/Inputs!$B$43),G1599*Q1599))*IF(Inputs!$B$38="pvp",1,(1+(Inputs!$B$21+Skills!Q8+(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Skills!A9</f>
        <v/>
      </c>
      <c r="B1600">
        <f>Skills!B9</f>
        <v/>
      </c>
      <c r="C1600">
        <f>Inputs!$B$3&gt;=110</f>
        <v/>
      </c>
      <c r="D1600">
        <f>IF(Skills!C9=1,60+Inputs!$B$25+Inputs!$B$29,IF(Skills!C9=2,90+Inputs!$B$26+Inputs!$B$29,IF(Skills!C9=3,120+Inputs!$B$27+Inputs!$B$29,MAX(0,(Inputs!$B$3-100)*3)+Inputs!$B$28+Inputs!$B$29)))</f>
        <v/>
      </c>
      <c r="E1600">
        <f>INDEX(FactorTable!$B$2:$Y$301, MATCH(ROUND(MIN(300,MAX(1,D1600)),0), FactorTable!$A$2:$A$301,0), Skills!M9+1)</f>
        <v/>
      </c>
      <c r="F1600">
        <f>IF(Skills!N9=TRUE,(Skills!L9/10)*(E1600/1000),Skills!L9/10)+Skills!O9</f>
        <v/>
      </c>
      <c r="G1600">
        <f>Skills!G9*IF(Skills!H9&gt;0,Skills!I9/Skills!H9,1)</f>
        <v/>
      </c>
      <c r="H1600">
        <f>1-(1-Skills!J9/100)^Skills!K9</f>
        <v/>
      </c>
      <c r="I1600" t="inlineStr">
        <is>
          <t>1</t>
        </is>
      </c>
      <c r="J1600">
        <f>((Inputs!$B$6*(1+Inputs!$B$7/100))+(((Inputs!$B$12*(1+Inputs!$B$13/100))-(Inputs!$B$12*(1+Inputs!$B$13/100)))+0.25*(Inputs!$B$14-Inputs!$B$14))*(1+Inputs!$B$7/100))*(F1600/100)</f>
        <v/>
      </c>
      <c r="K1600">
        <f>J1600*(1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C1611=TRUE)*(F1611-Calc!F20)),(Inputs!$B$23+0+(IF(ArtifactsInput!$M$15,CHOOSE(ArtifactsInput!$N$15+1,25,30,35,40,45,50)/100*(Inputs!$B$11-Inputs!$B$11),0))))/100+(Inputs!$B$23+0+(IF(ArtifactsInput!$M$15,CHOOSE(ArtifactsInput!$N$15+1,25,30,35,40,45,50)/100*(Inputs!$B$11-Inputs!$B$11),0)))/100)/2</f>
        <v/>
      </c>
      <c r="M1600">
        <f>L1600*(1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(1-Summary!$B$11)*T1600+Summary!$B$11*V1600</f>
        <v/>
      </c>
      <c r="P1600">
        <f>IF(B1626=0,0,O1600/B1626)</f>
        <v/>
      </c>
      <c r="Q1600">
        <f>IFERROR(1/(IF(Inputs!$B$38="pvp",15,MAX(0.1,Skills!D9-IF(Skills!E9=TRUE,Inputs!$B$32,0)))*(1-IF(AND(ArtifactsInput!$M$27,Inputs!$B$4="Chapter Hunt"),CHOOSE(ArtifactsInput!$N$27+1,20,24,28,32,36,40),0)/100)),0)</f>
        <v/>
      </c>
      <c r="R1600">
        <f>IF(AND(Inputs!$B$38&lt;&gt;"pvp",Inputs!$B$43&gt;0),IF(MAX(0,Inputs!$B$43-B1623)&lt;=0,0,(INT(MAX(0,Inputs!$B$43-B1623)/(IF(Inputs!$B$38="pvp",15,MAX(0.1,Skills!D9-IF(Skills!E9=TRUE,Inputs!$B$32,0)))*(1-IF(AND(ArtifactsInput!$M$27,Inputs!$B$4="Chapter Hunt"),CHOOSE(ArtifactsInput!$N$27+1,20,24,28,32,36,40),0)/100)))+1)),0)</f>
        <v/>
      </c>
      <c r="S1600">
        <f>IFERROR(O1600/N1600,0)</f>
        <v/>
      </c>
      <c r="T1600">
        <f>IF(C1600,(H1600*N1600*IF(AND(Inputs!$B$38&lt;&gt;"pvp",Inputs!$B$43&gt;0),((Skills!G9*((R1600-1)*IF(Skills!H9&gt;0,Skills!I9/Skills!H9,1)+IF(Skills!H9&gt;0,MIN(Skills!I9,MAX(0,MAX(0,Inputs!$B$43-B1623)-((R1600-1)*(IF(Inputs!$B$38="pvp",15,MAX(0.1,Skills!D9-IF(Skills!E9=TRUE,Inputs!$B$32,0)))*(1-IF(AND(ArtifactsInput!$M$27,Inputs!$B$4="Chapter Hunt"),CHOOSE(ArtifactsInput!$N$27+1,20,24,28,32,36,40),0)/100)))))/Skills!H9,1)))/Inputs!$B$43),G1600*Q1600)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1600*(1-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0">
        <f>IF(C1600,(H1600*N1600*IF(AND(Inputs!$B$38&lt;&gt;"pvp",Inputs!$B$43&gt;0),((Skills!G9*((R1600-1)*IF(Skills!H9&gt;0,Skills!I9/Skills!H9,1)+IF(Skills!H9&gt;0,MIN(Skills!I9,MAX(0,MAX(0,Inputs!$B$43-B1623)-((R1600-1)*(IF(Inputs!$B$38="pvp",15,MAX(0.1,Skills!D9-IF(Skills!E9=TRUE,Inputs!$B$32,0)))*(1-IF(AND(ArtifactsInput!$M$27,Inputs!$B$4="Chapter Hunt"),CHOOSE(ArtifactsInput!$N$27+1,20,24,28,32,36,40),0)/100)))))/Skills!H9,1)))/Inputs!$B$43),G1600*Q1600))*IF(Inputs!$B$38="pvp",1,(1+(Inputs!$B$21+Skills!Q9+(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Skills!A10</f>
        <v/>
      </c>
      <c r="B1601">
        <f>Skills!B10</f>
        <v/>
      </c>
      <c r="C1601">
        <f>Inputs!$B$3&gt;=103</f>
        <v/>
      </c>
      <c r="D1601">
        <f>IF(Skills!C10=1,60+Inputs!$B$25+Inputs!$B$29,IF(Skills!C10=2,90+Inputs!$B$26+Inputs!$B$29,IF(Skills!C10=3,120+Inputs!$B$27+Inputs!$B$29,MAX(0,(Inputs!$B$3-100)*3)+Inputs!$B$28+Inputs!$B$29)))</f>
        <v/>
      </c>
      <c r="E1601">
        <f>INDEX(FactorTable!$B$2:$Y$301, MATCH(ROUND(MIN(300,MAX(1,D1601)),0), FactorTable!$A$2:$A$301,0), Skills!M10+1)</f>
        <v/>
      </c>
      <c r="F1601">
        <f>IF(Skills!N10=TRUE,(Skills!L10/10)*(E1601/1000),Skills!L10/10)+Skills!O10</f>
        <v/>
      </c>
      <c r="G1601">
        <f>Skills!G10*IF(Skills!H10&gt;0,Skills!I10/Skills!H10,1)</f>
        <v/>
      </c>
      <c r="H1601">
        <f>1-(1-Skills!J10/100)^Skills!K10</f>
        <v/>
      </c>
      <c r="I1601" t="inlineStr">
        <is>
          <t>1</t>
        </is>
      </c>
      <c r="J1601">
        <f>((Inputs!$B$6*(1+Inputs!$B$7/100))+(((Inputs!$B$12*(1+Inputs!$B$13/100))-(Inputs!$B$12*(1+Inputs!$B$13/100)))+0.25*(Inputs!$B$14-Inputs!$B$14))*(1+Inputs!$B$7/100))*(F1601/100)</f>
        <v/>
      </c>
      <c r="K1601">
        <f>J1601*(1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C1611=TRUE)*(F1611-Calc!F20)),(Inputs!$B$23+0+(IF(ArtifactsInput!$M$15,CHOOSE(ArtifactsInput!$N$15+1,25,30,35,40,45,50)/100*(Inputs!$B$11-Inputs!$B$11),0))))/100+(Inputs!$B$23+0+(IF(ArtifactsInput!$M$15,CHOOSE(ArtifactsInput!$N$15+1,25,30,35,40,45,50)/100*(Inputs!$B$11-Inputs!$B$11),0)))/100)/2</f>
        <v/>
      </c>
      <c r="M1601">
        <f>L1601*(1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(1-Summary!$B$11)*T1601+Summary!$B$11*V1601</f>
        <v/>
      </c>
      <c r="P1601">
        <f>IF(B1626=0,0,O1601/B1626)</f>
        <v/>
      </c>
      <c r="Q1601">
        <f>IFERROR(1/(IF(Inputs!$B$38="pvp",15,MAX(0.1,Skills!D10-IF(Skills!E10=TRUE,Inputs!$B$32,0)))*(1-IF(AND(ArtifactsInput!$M$27,Inputs!$B$4="Chapter Hunt"),CHOOSE(ArtifactsInput!$N$27+1,20,24,28,32,36,40),0)/100)),0)</f>
        <v/>
      </c>
      <c r="R1601">
        <f>IF(AND(Inputs!$B$38&lt;&gt;"pvp",Inputs!$B$43&gt;0),IF(MAX(0,Inputs!$B$43-B1623)&lt;=0,0,(INT(MAX(0,Inputs!$B$43-B1623)/(IF(Inputs!$B$38="pvp",15,MAX(0.1,Skills!D10-IF(Skills!E10=TRUE,Inputs!$B$32,0)))*(1-IF(AND(ArtifactsInput!$M$27,Inputs!$B$4="Chapter Hunt"),CHOOSE(ArtifactsInput!$N$27+1,20,24,28,32,36,40),0)/100)))+1)),0)</f>
        <v/>
      </c>
      <c r="S1601">
        <f>IFERROR(O1601/N1601,0)</f>
        <v/>
      </c>
      <c r="T1601">
        <f>IF(C1601,(H1601*N1601*IF(AND(Inputs!$B$38&lt;&gt;"pvp",Inputs!$B$43&gt;0),((Skills!G10*((R1601-1)*IF(Skills!H10&gt;0,Skills!I10/Skills!H10,1)+IF(Skills!H10&gt;0,MIN(Skills!I10,MAX(0,MAX(0,Inputs!$B$43-B1623)-((R1601-1)*(IF(Inputs!$B$38="pvp",15,MAX(0.1,Skills!D10-IF(Skills!E10=TRUE,Inputs!$B$32,0)))*(1-IF(AND(ArtifactsInput!$M$27,Inputs!$B$4="Chapter Hunt"),CHOOSE(ArtifactsInput!$N$27+1,20,24,28,32,36,40),0)/100)))))/Skills!H10,1)))/Inputs!$B$43),G1601*Q1601)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1">
        <f>IF(C1601,(H1601*N1601*IF(AND(Inputs!$B$38&lt;&gt;"pvp",Inputs!$B$43&gt;0),((Skills!G10*((R1601-1)*IF(Skills!H10&gt;0,Skills!I10/Skills!H10,1)+IF(Skills!H10&gt;0,MIN(Skills!I10,MAX(0,MAX(0,Inputs!$B$43-B1623)-((R1601-1)*(IF(Inputs!$B$38="pvp",15,MAX(0.1,Skills!D10-IF(Skills!E10=TRUE,Inputs!$B$32,0)))*(1-IF(AND(ArtifactsInput!$M$27,Inputs!$B$4="Chapter Hunt"),CHOOSE(ArtifactsInput!$N$27+1,20,24,28,32,36,40),0)/100)))))/Skills!H10,1)))/Inputs!$B$43),G1601*Q1601))*IF(Inputs!$B$38="pvp",1,(1+(Inputs!$B$21+Skills!Q10+(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Skills!A11</f>
        <v/>
      </c>
      <c r="B1602">
        <f>Skills!B11</f>
        <v/>
      </c>
      <c r="C1602">
        <f>Inputs!$B$3&gt;=113</f>
        <v/>
      </c>
      <c r="D1602">
        <f>IF(Skills!C11=1,60+Inputs!$B$25+Inputs!$B$29,IF(Skills!C11=2,90+Inputs!$B$26+Inputs!$B$29,IF(Skills!C11=3,120+Inputs!$B$27+Inputs!$B$29,MAX(0,(Inputs!$B$3-100)*3)+Inputs!$B$28+Inputs!$B$29)))</f>
        <v/>
      </c>
      <c r="E1602">
        <f>INDEX(FactorTable!$B$2:$Y$301, MATCH(ROUND(MIN(300,MAX(1,D1602)),0), FactorTable!$A$2:$A$301,0), Skills!M11+1)</f>
        <v/>
      </c>
      <c r="F1602">
        <f>IF(Skills!N11=TRUE,(Skills!L11/10)*(E1602/1000),Skills!L11/10)+Skills!O11</f>
        <v/>
      </c>
      <c r="G1602">
        <f>Skills!G11*IF(Skills!H11&gt;0,Skills!I11/Skills!H11,1)</f>
        <v/>
      </c>
      <c r="H1602">
        <f>1-(1-Skills!J11/100)^Skills!K11</f>
        <v/>
      </c>
      <c r="I1602" t="inlineStr">
        <is>
          <t>1</t>
        </is>
      </c>
      <c r="J1602">
        <f>((Inputs!$B$6*(1+Inputs!$B$7/100))+(((Inputs!$B$12*(1+Inputs!$B$13/100))-(Inputs!$B$12*(1+Inputs!$B$13/100)))+0.25*(Inputs!$B$14-Inputs!$B$14))*(1+Inputs!$B$7/100))*(F1602/100)</f>
        <v/>
      </c>
      <c r="K1602">
        <f>J1602*(1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C1611=TRUE)*(F1611-Calc!F20)),(Inputs!$B$23+0+(IF(ArtifactsInput!$M$15,CHOOSE(ArtifactsInput!$N$15+1,25,30,35,40,45,50)/100*(Inputs!$B$11-Inputs!$B$11),0))))/100+(Inputs!$B$23+0+(IF(ArtifactsInput!$M$15,CHOOSE(ArtifactsInput!$N$15+1,25,30,35,40,45,50)/100*(Inputs!$B$11-Inputs!$B$11),0)))/100)/2</f>
        <v/>
      </c>
      <c r="M1602">
        <f>L1602*(1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(1-Summary!$B$11)*T1602+Summary!$B$11*V1602</f>
        <v/>
      </c>
      <c r="P1602">
        <f>IF(B1626=0,0,O1602/B1626)</f>
        <v/>
      </c>
      <c r="Q1602">
        <f>IFERROR(1/(IF(Inputs!$B$38="pvp",15,MAX(0.1,Skills!D11-IF(Skills!E11=TRUE,Inputs!$B$32,0)))*(1-IF(AND(ArtifactsInput!$M$27,Inputs!$B$4="Chapter Hunt"),CHOOSE(ArtifactsInput!$N$27+1,20,24,28,32,36,40),0)/100)),0)</f>
        <v/>
      </c>
      <c r="R1602">
        <f>IF(AND(Inputs!$B$38&lt;&gt;"pvp",Inputs!$B$43&gt;0),IF(MAX(0,Inputs!$B$43-B1623)&lt;=0,0,(INT(MAX(0,Inputs!$B$43-B1623)/(IF(Inputs!$B$38="pvp",15,MAX(0.1,Skills!D11-IF(Skills!E11=TRUE,Inputs!$B$32,0)))*(1-IF(AND(ArtifactsInput!$M$27,Inputs!$B$4="Chapter Hunt"),CHOOSE(ArtifactsInput!$N$27+1,20,24,28,32,36,40),0)/100)))+1)),0)</f>
        <v/>
      </c>
      <c r="S1602">
        <f>IFERROR(O1602/N1602,0)</f>
        <v/>
      </c>
      <c r="T1602">
        <f>IF(C1602,(H1602*N1602*IF(AND(Inputs!$B$38&lt;&gt;"pvp",Inputs!$B$43&gt;0),((Skills!G11*((R1602-1)*IF(Skills!H11&gt;0,Skills!I11/Skills!H11,1)+IF(Skills!H11&gt;0,MIN(Skills!I11,MAX(0,MAX(0,Inputs!$B$43-B1623)-((R1602-1)*(IF(Inputs!$B$38="pvp",15,MAX(0.1,Skills!D11-IF(Skills!E11=TRUE,Inputs!$B$32,0)))*(1-IF(AND(ArtifactsInput!$M$27,Inputs!$B$4="Chapter Hunt"),CHOOSE(ArtifactsInput!$N$27+1,20,24,28,32,36,40),0)/100)))))/Skills!H11,1)))/Inputs!$B$43),G1602*Q1602)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1602*(1-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2">
        <f>IF(C1602,(H1602*N1602*IF(AND(Inputs!$B$38&lt;&gt;"pvp",Inputs!$B$43&gt;0),((Skills!G11*((R1602-1)*IF(Skills!H11&gt;0,Skills!I11/Skills!H11,1)+IF(Skills!H11&gt;0,MIN(Skills!I11,MAX(0,MAX(0,Inputs!$B$43-B1623)-((R1602-1)*(IF(Inputs!$B$38="pvp",15,MAX(0.1,Skills!D11-IF(Skills!E11=TRUE,Inputs!$B$32,0)))*(1-IF(AND(ArtifactsInput!$M$27,Inputs!$B$4="Chapter Hunt"),CHOOSE(ArtifactsInput!$N$27+1,20,24,28,32,36,40),0)/100)))))/Skills!H11,1)))/Inputs!$B$43),G1602*Q1602))*IF(Inputs!$B$38="pvp",1,(1+(Inputs!$B$21+Skills!Q11+(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Skills!A12</f>
        <v/>
      </c>
      <c r="B1603">
        <f>Skills!B12</f>
        <v/>
      </c>
      <c r="C1603">
        <f>Inputs!$B$3&gt;=100</f>
        <v/>
      </c>
      <c r="D1603">
        <f>IF(Skills!C12=1,60+Inputs!$B$25+Inputs!$B$29,IF(Skills!C12=2,90+Inputs!$B$26+Inputs!$B$29,IF(Skills!C12=3,120+Inputs!$B$27+Inputs!$B$29,MAX(0,(Inputs!$B$3-100)*3)+Inputs!$B$28+Inputs!$B$29)))</f>
        <v/>
      </c>
      <c r="E1603">
        <f>INDEX(FactorTable!$B$2:$Y$301, MATCH(ROUND(MIN(300,MAX(1,D1603)),0), FactorTable!$A$2:$A$301,0), Skills!M12+1)</f>
        <v/>
      </c>
      <c r="F1603">
        <f>IF(Skills!N12=TRUE,(Skills!L12/10)*(E1603/1000),Skills!L12/10)+Skills!O12</f>
        <v/>
      </c>
      <c r="G1603" t="inlineStr"/>
      <c r="H1603" t="inlineStr"/>
      <c r="I1603" t="inlineStr">
        <is>
          <t>1</t>
        </is>
      </c>
      <c r="J1603" t="inlineStr"/>
      <c r="K1603" t="inlineStr"/>
      <c r="L1603" t="inlineStr"/>
      <c r="M1603" t="inlineStr"/>
      <c r="N1603" t="inlineStr"/>
      <c r="O1603" t="inlineStr"/>
      <c r="P1603" t="inlineStr"/>
      <c r="Q1603" t="inlineStr"/>
      <c r="R1603" t="inlineStr"/>
      <c r="S1603" t="inlineStr"/>
      <c r="T1603" t="inlineStr"/>
      <c r="V1603" t="inlineStr"/>
    </row>
    <row r="1604">
      <c r="A1604">
        <f>Skills!A13</f>
        <v/>
      </c>
      <c r="B1604">
        <f>Skills!B13</f>
        <v/>
      </c>
      <c r="C1604">
        <f>Inputs!$B$3&gt;=66</f>
        <v/>
      </c>
      <c r="D1604">
        <f>IF(Skills!C13=1,60+Inputs!$B$25+Inputs!$B$29,IF(Skills!C13=2,90+Inputs!$B$26+Inputs!$B$29,IF(Skills!C13=3,120+Inputs!$B$27+Inputs!$B$29,MAX(0,(Inputs!$B$3-100)*3)+Inputs!$B$28+Inputs!$B$29)))</f>
        <v/>
      </c>
      <c r="E1604">
        <f>INDEX(FactorTable!$B$2:$Y$301, MATCH(ROUND(MIN(300,MAX(1,D1604)),0), FactorTable!$A$2:$A$301,0), Skills!M13+1)</f>
        <v/>
      </c>
      <c r="F1604">
        <f>IF(Skills!N13=TRUE,(Skills!L13/10)*(E1604/1000),Skills!L13/10)+Skills!O13</f>
        <v/>
      </c>
      <c r="G1604">
        <f>Skills!G13*IF(Skills!H13&gt;0,Skills!I13/Skills!H13,1)</f>
        <v/>
      </c>
      <c r="H1604">
        <f>1-(1-Skills!J13/100)^Skills!K13</f>
        <v/>
      </c>
      <c r="I1604" t="inlineStr">
        <is>
          <t>1</t>
        </is>
      </c>
      <c r="J1604" t="inlineStr"/>
      <c r="K1604" t="inlineStr"/>
      <c r="L1604" t="inlineStr"/>
      <c r="M1604" t="inlineStr"/>
      <c r="N1604" t="inlineStr"/>
      <c r="O1604">
        <f>(1-Summary!$B$11)*T1604+Summary!$B$11*V1604</f>
        <v/>
      </c>
      <c r="P1604">
        <f>IF(B1626=0,0,O1604/B1626)</f>
        <v/>
      </c>
      <c r="Q1604" t="n">
        <v>0</v>
      </c>
      <c r="R1604" t="n">
        <v>0</v>
      </c>
      <c r="S1604">
        <f>IFERROR(O1604/N1604,0)</f>
        <v/>
      </c>
      <c r="T1604" t="n">
        <v>0</v>
      </c>
      <c r="V1604" t="n">
        <v>0</v>
      </c>
    </row>
    <row r="1605">
      <c r="A1605">
        <f>Skills!A14</f>
        <v/>
      </c>
      <c r="B1605">
        <f>Skills!B14</f>
        <v/>
      </c>
      <c r="C1605">
        <f>Inputs!$B$3&gt;=107</f>
        <v/>
      </c>
      <c r="D1605">
        <f>IF(Skills!C14=1,60+Inputs!$B$25+Inputs!$B$29,IF(Skills!C14=2,90+Inputs!$B$26+Inputs!$B$29,IF(Skills!C14=3,120+Inputs!$B$27+Inputs!$B$29,MAX(0,(Inputs!$B$3-100)*3)+Inputs!$B$28+Inputs!$B$29)))</f>
        <v/>
      </c>
      <c r="E1605">
        <f>INDEX(FactorTable!$B$2:$Y$301, MATCH(ROUND(MIN(300,MAX(1,D1605)),0), FactorTable!$A$2:$A$301,0), Skills!M14+1)</f>
        <v/>
      </c>
      <c r="F1605">
        <f>IF(Skills!N14=TRUE,(Skills!L14/10)*(E1605/1000),Skills!L14/10)+Skills!O14</f>
        <v/>
      </c>
      <c r="G1605">
        <f>Skills!G14*IF(Skills!H14&gt;0,Skills!I14/Skills!H14,1)</f>
        <v/>
      </c>
      <c r="H1605">
        <f>1-(1-Skills!J14/100)^Skills!K14</f>
        <v/>
      </c>
      <c r="I1605" t="inlineStr">
        <is>
          <t>1</t>
        </is>
      </c>
      <c r="J1605" t="inlineStr"/>
      <c r="K1605" t="inlineStr"/>
      <c r="L1605" t="inlineStr"/>
      <c r="M1605" t="inlineStr"/>
      <c r="N1605" t="inlineStr"/>
      <c r="O1605">
        <f>(1-Summary!$B$11)*T1605+Summary!$B$11*V1605</f>
        <v/>
      </c>
      <c r="P1605">
        <f>IF(B1626=0,0,O1605/B1626)</f>
        <v/>
      </c>
      <c r="Q1605" t="n">
        <v>0</v>
      </c>
      <c r="R1605" t="n">
        <v>0</v>
      </c>
      <c r="S1605">
        <f>IFERROR(O1605/N1605,0)</f>
        <v/>
      </c>
      <c r="T1605" t="n">
        <v>0</v>
      </c>
      <c r="V1605" t="n">
        <v>0</v>
      </c>
    </row>
    <row r="1606">
      <c r="A1606">
        <f>Skills!A15</f>
        <v/>
      </c>
      <c r="B1606">
        <f>Skills!B15</f>
        <v/>
      </c>
      <c r="C1606">
        <f>Inputs!$B$3&gt;=115</f>
        <v/>
      </c>
      <c r="D1606">
        <f>IF(Skills!C15=1,60+Inputs!$B$25+Inputs!$B$29,IF(Skills!C15=2,90+Inputs!$B$26+Inputs!$B$29,IF(Skills!C15=3,120+Inputs!$B$27+Inputs!$B$29,MAX(0,(Inputs!$B$3-100)*3)+Inputs!$B$28+Inputs!$B$29)))</f>
        <v/>
      </c>
      <c r="E1606">
        <f>INDEX(FactorTable!$B$2:$Y$301, MATCH(ROUND(MIN(300,MAX(1,D1606)),0), FactorTable!$A$2:$A$301,0), Skills!M15+1)</f>
        <v/>
      </c>
      <c r="F1606">
        <f>IF(Skills!N15=TRUE,(Skills!L15/10)*(E1606/1000),Skills!L15/10)+Skills!O15</f>
        <v/>
      </c>
      <c r="G1606">
        <f>Skills!G15*IF(Skills!H15&gt;0,Skills!I15/Skills!H15,1)</f>
        <v/>
      </c>
      <c r="H1606">
        <f>1-(1-Skills!J15/100)^Skills!K15</f>
        <v/>
      </c>
      <c r="I1606" t="inlineStr">
        <is>
          <t>1</t>
        </is>
      </c>
      <c r="J1606" t="inlineStr"/>
      <c r="K1606" t="inlineStr"/>
      <c r="L1606" t="inlineStr"/>
      <c r="M1606" t="inlineStr"/>
      <c r="N1606" t="inlineStr"/>
      <c r="O1606">
        <f>(1-Summary!$B$11)*T1606+Summary!$B$11*V1606</f>
        <v/>
      </c>
      <c r="P1606">
        <f>IF(B1626=0,0,O1606/B1626)</f>
        <v/>
      </c>
      <c r="Q1606" t="n">
        <v>0</v>
      </c>
      <c r="R1606" t="n">
        <v>0</v>
      </c>
      <c r="S1606">
        <f>IFERROR(O1606/N1606,0)</f>
        <v/>
      </c>
      <c r="T1606" t="n">
        <v>0</v>
      </c>
      <c r="V1606" t="n">
        <v>0</v>
      </c>
    </row>
    <row r="1607">
      <c r="A1607">
        <f>Skills!A16</f>
        <v/>
      </c>
      <c r="B1607">
        <f>Skills!B16</f>
        <v/>
      </c>
      <c r="C1607">
        <f>Inputs!$B$3&gt;=15</f>
        <v/>
      </c>
      <c r="D1607">
        <f>IF(Skills!C16=1,60+Inputs!$B$25+Inputs!$B$29,IF(Skills!C16=2,90+Inputs!$B$26+Inputs!$B$29,IF(Skills!C16=3,120+Inputs!$B$27+Inputs!$B$29,MAX(0,(Inputs!$B$3-100)*3)+Inputs!$B$28+Inputs!$B$29)))</f>
        <v/>
      </c>
      <c r="E1607">
        <f>INDEX(FactorTable!$B$2:$Y$301, MATCH(ROUND(MIN(300,MAX(1,D1607)),0), FactorTable!$A$2:$A$301,0), Skills!M16+1)</f>
        <v/>
      </c>
      <c r="F1607">
        <f>IF(Skills!N16=TRUE,(Skills!L16/10)*(E1607/1000),Skills!L16/10)+Skills!O16</f>
        <v/>
      </c>
      <c r="G1607">
        <f>Skills!G16*IF(Skills!H16&gt;0,Skills!I16/Skills!H16,1)</f>
        <v/>
      </c>
      <c r="H1607">
        <f>1-(1-Skills!J16/100)^Skills!K16</f>
        <v/>
      </c>
      <c r="I1607" t="inlineStr">
        <is>
          <t>1</t>
        </is>
      </c>
      <c r="J1607" t="inlineStr"/>
      <c r="K1607" t="inlineStr"/>
      <c r="L1607" t="inlineStr"/>
      <c r="M1607" t="inlineStr"/>
      <c r="N1607" t="inlineStr"/>
      <c r="O1607">
        <f>(1-Summary!$B$11)*T1607+Summary!$B$11*V1607</f>
        <v/>
      </c>
      <c r="P1607">
        <f>IF(B1626=0,0,O1607/B1626)</f>
        <v/>
      </c>
      <c r="Q1607" t="n">
        <v>0</v>
      </c>
      <c r="R1607" t="n">
        <v>0</v>
      </c>
      <c r="S1607">
        <f>IFERROR(O1607/N1607,0)</f>
        <v/>
      </c>
      <c r="T1607" t="n">
        <v>0</v>
      </c>
      <c r="V1607" t="n">
        <v>0</v>
      </c>
    </row>
    <row r="1608">
      <c r="A1608">
        <f>Skills!A17</f>
        <v/>
      </c>
      <c r="B1608">
        <f>Skills!B17</f>
        <v/>
      </c>
      <c r="C1608">
        <f>Inputs!$B$3&gt;=10</f>
        <v/>
      </c>
      <c r="D1608">
        <f>IF(Skills!C17=1,60+Inputs!$B$25+Inputs!$B$29,IF(Skills!C17=2,90+Inputs!$B$26+Inputs!$B$29,IF(Skills!C17=3,120+Inputs!$B$27+Inputs!$B$29,MAX(0,(Inputs!$B$3-100)*3)+Inputs!$B$28+Inputs!$B$29)))</f>
        <v/>
      </c>
      <c r="E1608">
        <f>INDEX(FactorTable!$B$2:$Y$301, MATCH(ROUND(MIN(300,MAX(1,D1608)),0), FactorTable!$A$2:$A$301,0), Skills!M17+1)</f>
        <v/>
      </c>
      <c r="F1608">
        <f>IF(Skills!N17=TRUE,(Skills!L17/10)*(E1608/1000),Skills!L17/10)+Skills!O17</f>
        <v/>
      </c>
      <c r="G1608">
        <f>Skills!G17*IF(Skills!H17&gt;0,Skills!I17/Skills!H17,1)</f>
        <v/>
      </c>
      <c r="H1608">
        <f>1-(1-Skills!J17/100)^Skills!K17</f>
        <v/>
      </c>
      <c r="I1608" t="inlineStr">
        <is>
          <t>1</t>
        </is>
      </c>
      <c r="J1608" t="inlineStr"/>
      <c r="K1608" t="inlineStr"/>
      <c r="L1608" t="inlineStr"/>
      <c r="M1608" t="inlineStr"/>
      <c r="N1608" t="inlineStr"/>
      <c r="O1608">
        <f>(1-Summary!$B$11)*T1608+Summary!$B$11*V1608</f>
        <v/>
      </c>
      <c r="P1608">
        <f>IF(B1626=0,0,O1608/B1626)</f>
        <v/>
      </c>
      <c r="Q1608" t="n">
        <v>0</v>
      </c>
      <c r="R1608" t="n">
        <v>0</v>
      </c>
      <c r="S1608">
        <f>IFERROR(O1608/N1608,0)</f>
        <v/>
      </c>
      <c r="T1608" t="n">
        <v>0</v>
      </c>
      <c r="V1608" t="n">
        <v>0</v>
      </c>
    </row>
    <row r="1609">
      <c r="A1609">
        <f>Skills!A18</f>
        <v/>
      </c>
      <c r="B1609">
        <f>Skills!B18</f>
        <v/>
      </c>
      <c r="C1609">
        <f>Inputs!$B$3&gt;=33</f>
        <v/>
      </c>
      <c r="D1609">
        <f>IF(Skills!C18=1,60+Inputs!$B$25+Inputs!$B$29,IF(Skills!C18=2,90+Inputs!$B$26+Inputs!$B$29,IF(Skills!C18=3,120+Inputs!$B$27+Inputs!$B$29,MAX(0,(Inputs!$B$3-100)*3)+Inputs!$B$28+Inputs!$B$29)))</f>
        <v/>
      </c>
      <c r="E1609">
        <f>INDEX(FactorTable!$B$2:$Y$301, MATCH(ROUND(MIN(300,MAX(1,D1609)),0), FactorTable!$A$2:$A$301,0), Skills!M18+1)</f>
        <v/>
      </c>
      <c r="F1609">
        <f>IF(Skills!N18=TRUE,(Skills!L18/10)*(E1609/1000),Skills!L18/10)+Skills!O18</f>
        <v/>
      </c>
      <c r="G1609">
        <f>Skills!G18*IF(Skills!H18&gt;0,Skills!I18/Skills!H18,1)</f>
        <v/>
      </c>
      <c r="H1609">
        <f>1-(1-Skills!J18/100)^Skills!K18</f>
        <v/>
      </c>
      <c r="I1609" t="inlineStr">
        <is>
          <t>1</t>
        </is>
      </c>
      <c r="J1609" t="inlineStr"/>
      <c r="K1609" t="inlineStr"/>
      <c r="L1609" t="inlineStr"/>
      <c r="M1609" t="inlineStr"/>
      <c r="N1609" t="inlineStr"/>
      <c r="O1609">
        <f>(1-Summary!$B$11)*T1609+Summary!$B$11*V1609</f>
        <v/>
      </c>
      <c r="P1609">
        <f>IF(B1626=0,0,O1609/B1626)</f>
        <v/>
      </c>
      <c r="Q1609" t="n">
        <v>0</v>
      </c>
      <c r="R1609" t="n">
        <v>0</v>
      </c>
      <c r="S1609">
        <f>IFERROR(O1609/N1609,0)</f>
        <v/>
      </c>
      <c r="T1609" t="n">
        <v>0</v>
      </c>
      <c r="V1609" t="n">
        <v>0</v>
      </c>
    </row>
    <row r="1610">
      <c r="A1610">
        <f>Skills!A19</f>
        <v/>
      </c>
      <c r="B1610">
        <f>Skills!B19</f>
        <v/>
      </c>
      <c r="C1610">
        <f>Inputs!$B$3&gt;=40</f>
        <v/>
      </c>
      <c r="D1610">
        <f>IF(Skills!C19=1,60+Inputs!$B$25+Inputs!$B$29,IF(Skills!C19=2,90+Inputs!$B$26+Inputs!$B$29,IF(Skills!C19=3,120+Inputs!$B$27+Inputs!$B$29,MAX(0,(Inputs!$B$3-100)*3)+Inputs!$B$28+Inputs!$B$29)))</f>
        <v/>
      </c>
      <c r="E1610">
        <f>INDEX(FactorTable!$B$2:$Y$301, MATCH(ROUND(MIN(300,MAX(1,D1610)),0), FactorTable!$A$2:$A$301,0), Skills!M19+1)</f>
        <v/>
      </c>
      <c r="F1610">
        <f>IF(Skills!N19=TRUE,(Skills!L19/10)*(E1610/1000),Skills!L19/10)+Skills!O19</f>
        <v/>
      </c>
      <c r="G1610">
        <f>Skills!G19*IF(Skills!H19&gt;0,Skills!I19/Skills!H19,1)</f>
        <v/>
      </c>
      <c r="H1610">
        <f>1-(1-Skills!J19/100)^Skills!K19</f>
        <v/>
      </c>
      <c r="I1610" t="inlineStr">
        <is>
          <t>1</t>
        </is>
      </c>
      <c r="J1610" t="inlineStr"/>
      <c r="K1610" t="inlineStr"/>
      <c r="L1610" t="inlineStr"/>
      <c r="M1610" t="inlineStr"/>
      <c r="N1610" t="inlineStr"/>
      <c r="O1610">
        <f>(1-Summary!$B$11)*T1610+Summary!$B$11*V1610</f>
        <v/>
      </c>
      <c r="P1610">
        <f>IF(B1626=0,0,O1610/B1626)</f>
        <v/>
      </c>
      <c r="Q1610" t="n">
        <v>0</v>
      </c>
      <c r="R1610" t="n">
        <v>0</v>
      </c>
      <c r="S1610">
        <f>IFERROR(O1610/N1610,0)</f>
        <v/>
      </c>
      <c r="T1610" t="n">
        <v>0</v>
      </c>
      <c r="V1610" t="n">
        <v>0</v>
      </c>
    </row>
    <row r="1611">
      <c r="A1611">
        <f>Skills!A20</f>
        <v/>
      </c>
      <c r="B1611">
        <f>Skills!B20</f>
        <v/>
      </c>
      <c r="C1611">
        <f>Inputs!$B$3&gt;=43</f>
        <v/>
      </c>
      <c r="D1611">
        <f>IF(Skills!C20=1,60+Inputs!$B$25+Inputs!$B$29,IF(Skills!C20=2,90+Inputs!$B$26+Inputs!$B$29,IF(Skills!C20=3,120+Inputs!$B$27+Inputs!$B$29,MAX(0,(Inputs!$B$3-100)*3)+Inputs!$B$28+Inputs!$B$29)))</f>
        <v/>
      </c>
      <c r="E1611">
        <f>INDEX(FactorTable!$B$2:$Y$301, MATCH(ROUND(MIN(300,MAX(1,D1611)),0), FactorTable!$A$2:$A$301,0), Skills!M20+1)</f>
        <v/>
      </c>
      <c r="F1611">
        <f>IF(Skills!N20=TRUE,(Skills!L20/10)*(E1611/1000),Skills!L20/10)+Skills!O20</f>
        <v/>
      </c>
      <c r="G1611">
        <f>Skills!G20*IF(Skills!H20&gt;0,Skills!I20/Skills!H20,1)</f>
        <v/>
      </c>
      <c r="H1611">
        <f>1-(1-Skills!J20/100)^Skills!K20</f>
        <v/>
      </c>
      <c r="I1611" t="inlineStr">
        <is>
          <t>1</t>
        </is>
      </c>
      <c r="J1611" t="inlineStr"/>
      <c r="K1611" t="inlineStr"/>
      <c r="L1611" t="inlineStr"/>
      <c r="M1611" t="inlineStr"/>
      <c r="N1611" t="inlineStr"/>
      <c r="O1611">
        <f>(1-Summary!$B$11)*T1611+Summary!$B$11*V1611</f>
        <v/>
      </c>
      <c r="P1611">
        <f>IF(B1626=0,0,O1611/B1626)</f>
        <v/>
      </c>
      <c r="Q1611" t="n">
        <v>0</v>
      </c>
      <c r="R1611" t="n">
        <v>0</v>
      </c>
      <c r="S1611">
        <f>IFERROR(O1611/N1611,0)</f>
        <v/>
      </c>
      <c r="T1611" t="n">
        <v>0</v>
      </c>
      <c r="V1611" t="n">
        <v>0</v>
      </c>
    </row>
    <row r="1612">
      <c r="A1612">
        <f>Skills!A21</f>
        <v/>
      </c>
      <c r="B1612">
        <f>Skills!B21</f>
        <v/>
      </c>
      <c r="C1612">
        <f>Inputs!$B$3&gt;=38</f>
        <v/>
      </c>
      <c r="D1612">
        <f>IF(Skills!C21=1,60+Inputs!$B$25+Inputs!$B$29,IF(Skills!C21=2,90+Inputs!$B$26+Inputs!$B$29,IF(Skills!C21=3,120+Inputs!$B$27+Inputs!$B$29,MAX(0,(Inputs!$B$3-100)*3)+Inputs!$B$28+Inputs!$B$29)))</f>
        <v/>
      </c>
      <c r="E1612">
        <f>INDEX(FactorTable!$B$2:$Y$301, MATCH(ROUND(MIN(300,MAX(1,D1612)),0), FactorTable!$A$2:$A$301,0), Skills!M21+1)</f>
        <v/>
      </c>
      <c r="F1612">
        <f>IF(Skills!N21=TRUE,(Skills!L21/10)*(E1612/1000),Skills!L21/10)+Skills!O21</f>
        <v/>
      </c>
      <c r="G1612">
        <f>Skills!G21*IF(Skills!H21&gt;0,Skills!I21/Skills!H21,1)</f>
        <v/>
      </c>
      <c r="H1612">
        <f>1-(1-Skills!J21/100)^Skills!K21</f>
        <v/>
      </c>
      <c r="I1612" t="inlineStr">
        <is>
          <t>1</t>
        </is>
      </c>
      <c r="J1612" t="inlineStr"/>
      <c r="K1612" t="inlineStr"/>
      <c r="L1612" t="inlineStr"/>
      <c r="M1612" t="inlineStr"/>
      <c r="N1612" t="inlineStr"/>
      <c r="O1612">
        <f>(1-Summary!$B$11)*T1612+Summary!$B$11*V1612</f>
        <v/>
      </c>
      <c r="P1612">
        <f>IF(B1626=0,0,O1612/B1626)</f>
        <v/>
      </c>
      <c r="Q1612" t="n">
        <v>0</v>
      </c>
      <c r="R1612" t="n">
        <v>0</v>
      </c>
      <c r="S1612">
        <f>IFERROR(O1612/N1612,0)</f>
        <v/>
      </c>
      <c r="T1612" t="n">
        <v>0</v>
      </c>
      <c r="V1612" t="n">
        <v>0</v>
      </c>
    </row>
    <row r="1613">
      <c r="A1613">
        <f>Skills!A22</f>
        <v/>
      </c>
      <c r="B1613">
        <f>Skills!B22</f>
        <v/>
      </c>
      <c r="C1613">
        <f>Inputs!$B$3&gt;=75</f>
        <v/>
      </c>
      <c r="D1613">
        <f>IF(Skills!C22=1,60+Inputs!$B$25+Inputs!$B$29,IF(Skills!C22=2,90+Inputs!$B$26+Inputs!$B$29,IF(Skills!C22=3,120+Inputs!$B$27+Inputs!$B$29,MAX(0,(Inputs!$B$3-100)*3)+Inputs!$B$28+Inputs!$B$29)))</f>
        <v/>
      </c>
      <c r="E1613">
        <f>INDEX(FactorTable!$B$2:$Y$301, MATCH(ROUND(MIN(300,MAX(1,D1613)),0), FactorTable!$A$2:$A$301,0), Skills!M22+1)</f>
        <v/>
      </c>
      <c r="F1613">
        <f>IF(Skills!N22=TRUE,(Skills!L22/10)*(E1613/1000),Skills!L22/10)+Skills!O22</f>
        <v/>
      </c>
      <c r="G1613">
        <f>Skills!G22*IF(Skills!H22&gt;0,Skills!I22/Skills!H22,1)</f>
        <v/>
      </c>
      <c r="H1613">
        <f>1-(1-Skills!J22/100)^Skills!K22</f>
        <v/>
      </c>
      <c r="I1613" t="inlineStr">
        <is>
          <t>1</t>
        </is>
      </c>
      <c r="J1613" t="inlineStr"/>
      <c r="K1613" t="inlineStr"/>
      <c r="L1613" t="inlineStr"/>
      <c r="M1613" t="inlineStr"/>
      <c r="N1613" t="inlineStr"/>
      <c r="O1613">
        <f>(1-Summary!$B$11)*T1613+Summary!$B$11*V1613</f>
        <v/>
      </c>
      <c r="P1613">
        <f>IF(B1626=0,0,O1613/B1626)</f>
        <v/>
      </c>
      <c r="Q1613" t="n">
        <v>0</v>
      </c>
      <c r="R1613" t="n">
        <v>0</v>
      </c>
      <c r="S1613">
        <f>IFERROR(O1613/N1613,0)</f>
        <v/>
      </c>
      <c r="T1613" t="n">
        <v>0</v>
      </c>
      <c r="V1613" t="n">
        <v>0</v>
      </c>
    </row>
    <row r="1615">
      <c r="A1615" t="inlineStr">
        <is>
          <t>Attack% Bucket Multiplier</t>
        </is>
      </c>
      <c r="B1615">
        <f>(1+(((C1604=TRUE)*F1604)+((C1610=TRUE)*(F1610-Calc!F19))+(IF(IF(ArtifactsInput!$M$21,FALSE,TRUE),CHOOSE(ArtifactsInput!$N$21+1,25,30,35,40,45,50)*(IF(OR(Inputs!$B$4="Chapter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6">
      <c r="A1616" t="inlineStr">
        <is>
          <t>Global Crit Rate Bonus %</t>
        </is>
      </c>
      <c r="B1616" t="n">
        <v>0</v>
      </c>
    </row>
    <row r="1617">
      <c r="A1617" t="inlineStr">
        <is>
          <t>Attack Speed Buff Bonus % (unused)</t>
        </is>
      </c>
      <c r="B1617" t="n">
        <v>0</v>
      </c>
    </row>
    <row r="1618">
      <c r="A1618" t="inlineStr">
        <is>
          <t>Actions Per Second</t>
        </is>
      </c>
      <c r="B1618">
        <f>1+MIN(150,150*(1-(1-(Inputs!$B$11+((C1608=TRUE)*(F1608-Calc!F17))+((C1609=TRUE)*(F1609-Calc!F18)))/150)*(1-B1617/150)))/100</f>
        <v/>
      </c>
    </row>
    <row r="1619">
      <c r="A1619" t="inlineStr">
        <is>
          <t>Skill + Buff Cast Rate</t>
        </is>
      </c>
      <c r="B1619">
        <f>IF(AND(Inputs!$B$38&lt;&gt;"pvp",Inputs!$B$43&gt;0),SUMPRODUCT((Skills!E2:E22=TRUE)*(C1593:C1613=TRUE)*R1593:R1613*Skills!F2:F22)/Inputs!$B$43,SUMPRODUCT((Skills!E2:E22=TRUE)*(C1593:C1613=TRUE)*Q1593:Q1613*Skills!F2:F22))</f>
        <v/>
      </c>
    </row>
    <row r="1620">
      <c r="A1620" t="inlineStr">
        <is>
          <t>Hook Bomber Casts Per Second</t>
        </is>
      </c>
      <c r="B1620">
        <f>MAX(0,B1618-B1619)</f>
        <v/>
      </c>
    </row>
    <row r="1621">
      <c r="A1621" t="inlineStr">
        <is>
          <t>Global Critical Damage Bonus % (unused)</t>
        </is>
      </c>
      <c r="B1621" t="n">
        <v>0</v>
      </c>
    </row>
    <row r="1622">
      <c r="A1622" t="inlineStr">
        <is>
          <t>Global Final Damage Bonus % (Serpent Scale + Crossbones + Time Leap + Speed Infusion)</t>
        </is>
      </c>
      <c r="B1622">
        <f>((C1596=TRUE)*F1596*((10+IF(Inputs!$B$3&gt;=94,5,0))/((10+IF(Inputs!$B$3&gt;=94,5,0))+5/(B1620*(1+IF(Inputs!$B$3&gt;=104,1,0))))))+((C1605=TRUE)*F1605)+((C1606=TRUE)*F1606)+((Inputs!$B$3&gt;=110)*20*(B1618-1))</f>
        <v/>
      </c>
    </row>
    <row r="1623">
      <c r="A1623" t="inlineStr">
        <is>
          <t>Buff-Casting Startup Delay (s, fixed-duration only)</t>
        </is>
      </c>
      <c r="B1623">
        <f>IF(AND(Inputs!$B$38&lt;&gt;"pvp",Inputs!$B$43&gt;0),SUMPRODUCT((Skills!T2:T22&gt;0)*(Skills!E2:E22=TRUE)*(C1593:C1613=TRUE))/B1618,0)</f>
        <v/>
      </c>
    </row>
    <row r="1624">
      <c r="A1624" t="inlineStr">
        <is>
          <t>Boss-Only Total DPS (this block's swept value)</t>
        </is>
      </c>
      <c r="B1624">
        <f>SUM(T1593:T1613)</f>
        <v/>
      </c>
    </row>
    <row r="1625">
      <c r="A1625" t="inlineStr">
        <is>
          <t>Normal-Only Total DPS (this block's swept value)</t>
        </is>
      </c>
      <c r="B1625">
        <f>SUM(V1593:V1613)</f>
        <v/>
      </c>
    </row>
    <row r="1626">
      <c r="A1626" s="6" t="inlineStr">
        <is>
          <t>TOTAL DPS</t>
        </is>
      </c>
      <c r="B1626" s="6">
        <f>SUM(O1593:O1613)</f>
        <v/>
      </c>
    </row>
    <row r="1629">
      <c r="A1629" s="6" t="inlineStr">
        <is>
          <t>Stat: Silver Pendant (Equip)</t>
        </is>
      </c>
    </row>
    <row r="1630">
      <c r="A1630" s="5" t="inlineStr">
        <is>
          <t>Key</t>
        </is>
      </c>
      <c r="B1630" s="5" t="inlineStr">
        <is>
          <t>Name</t>
        </is>
      </c>
      <c r="C1630" s="5" t="inlineStr">
        <is>
          <t>Unlocked</t>
        </is>
      </c>
      <c r="D1630" s="5" t="inlineStr">
        <is>
          <t>InputLevel</t>
        </is>
      </c>
      <c r="E1630" s="5" t="inlineStr">
        <is>
          <t>Factor</t>
        </is>
      </c>
      <c r="F1630" s="5" t="inlineStr">
        <is>
          <t>CoefficientPercent</t>
        </is>
      </c>
      <c r="G1630" s="5" t="inlineStr">
        <is>
          <t>EffectiveHits</t>
        </is>
      </c>
      <c r="H1630" s="5" t="inlineStr">
        <is>
          <t>ProcProbability</t>
        </is>
      </c>
      <c r="I1630" s="5" t="inlineStr">
        <is>
          <t>MapleHeroMultiplier</t>
        </is>
      </c>
      <c r="J1630" s="5" t="inlineStr">
        <is>
          <t>BaseDamage</t>
        </is>
      </c>
      <c r="K1630" s="5" t="inlineStr">
        <is>
          <t>BaseHitDamage</t>
        </is>
      </c>
      <c r="L1630" s="5" t="inlineStr">
        <is>
          <t>NonCritAvg</t>
        </is>
      </c>
      <c r="M1630" s="5" t="inlineStr">
        <is>
          <t>CritAvg</t>
        </is>
      </c>
      <c r="N1630" s="5" t="inlineStr">
        <is>
          <t>ExpectedDamage(perHit)</t>
        </is>
      </c>
      <c r="O1630" s="5" t="inlineStr">
        <is>
          <t>DPS</t>
        </is>
      </c>
      <c r="P1630" s="5" t="inlineStr">
        <is>
          <t>% of Total</t>
        </is>
      </c>
      <c r="Q1630" s="5" t="inlineStr">
        <is>
          <t>InvCooldown</t>
        </is>
      </c>
      <c r="R1630" s="5" t="inlineStr">
        <is>
          <t>CastsInFight</t>
        </is>
      </c>
      <c r="S1630" s="5" t="inlineStr">
        <is>
          <t>HitRate(perSec)</t>
        </is>
      </c>
      <c r="U1630" t="inlineStr">
        <is>
          <t>helpers</t>
        </is>
      </c>
    </row>
    <row r="1631">
      <c r="A1631">
        <f>Skills!A2</f>
        <v/>
      </c>
      <c r="B1631">
        <f>Skills!B2</f>
        <v/>
      </c>
      <c r="C1631">
        <f>Inputs!$B$3&gt;=100</f>
        <v/>
      </c>
      <c r="D1631" t="inlineStr"/>
      <c r="E1631" t="inlineStr"/>
      <c r="F1631">
        <f>U1633+Skills!O2</f>
        <v/>
      </c>
      <c r="G1631">
        <f>Skills!G2*IF(Skills!H2&gt;0,Skills!I2/Skills!H2,1)</f>
        <v/>
      </c>
      <c r="H1631">
        <f>1-(1-Skills!J2/100)^Skills!K2</f>
        <v/>
      </c>
      <c r="I1631" t="inlineStr">
        <is>
          <t>1</t>
        </is>
      </c>
      <c r="J1631">
        <f>((Inputs!$B$6*(1+Inputs!$B$7/100))+(((Inputs!$B$12*(1+Inputs!$B$13/100))-(Inputs!$B$12*(1+Inputs!$B$13/100)))+0.25*(Inputs!$B$14-Inputs!$B$14))*(1+Inputs!$B$7/100))*(F1631/100)</f>
        <v/>
      </c>
      <c r="K1631">
        <f>J1631*(1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1631)</f>
        <v/>
      </c>
      <c r="L1631">
        <f>K1631*(MIN(Inputs!$B$22+((C1649=TRUE)*(F1649-Calc!F20)),(Inputs!$B$23+0+(IF(ArtifactsInput!$M$15,CHOOSE(ArtifactsInput!$N$15+1,25,30,35,40,45,50)/100*(Inputs!$B$11-Inputs!$B$11),0))))/100+(Inputs!$B$23+0+(IF(ArtifactsInput!$M$15,CHOOSE(ArtifactsInput!$N$15+1,25,30,35,40,45,50)/100*(Inputs!$B$11-Inputs!$B$11),0)))/100)/2</f>
        <v/>
      </c>
      <c r="M1631">
        <f>L1631*(1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IF(B1664=0,0,O1631/B1664)</f>
        <v/>
      </c>
      <c r="Q1631" t="n">
        <v>0</v>
      </c>
      <c r="R1631" t="n">
        <v>0</v>
      </c>
      <c r="S1631">
        <f>IFERROR(O1631/N1631,0)</f>
        <v/>
      </c>
      <c r="T1631">
        <f>IF(C1631,(Skills!G2*N1631*B1658)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1">
        <f>MAX(0,(Inputs!$B$3-100)*3)+Inputs!$B$28+Inputs!$B$29</f>
        <v/>
      </c>
      <c r="V1631">
        <f>IF(C1631,(Skills!G2*N1631*B1658)*IF(Inputs!$B$38="pvp",1,(1+(Inputs!$B$21+Skills!Q2+(IF(ArtifactsInput!$M$33,CHOOSE(ArtifactsInput!$N$33+1,30,36,42,48,54,60),0))+(IF(AND(ArtifactsInput!$M$35,Inputs!$B$4&lt;&gt;"Chapter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Skills!A3</f>
        <v/>
      </c>
      <c r="B1632">
        <f>Skills!B3</f>
        <v/>
      </c>
      <c r="C1632">
        <f>Inputs!$B$3&gt;=35</f>
        <v/>
      </c>
      <c r="D1632">
        <f>IF(Skills!C3=1,60+Inputs!$B$25+Inputs!$B$29,IF(Skills!C3=2,90+Inputs!$B$26+Inputs!$B$29,IF(Skills!C3=3,120+Inputs!$B$27+Inputs!$B$29,MAX(0,(Inputs!$B$3-100)*3)+Inputs!$B$28+Inputs!$B$29)))</f>
        <v/>
      </c>
      <c r="E1632">
        <f>INDEX(FactorTable!$B$2:$Y$301, MATCH(ROUND(MIN(300,MAX(1,D1632)),0), FactorTable!$A$2:$A$301,0), Skills!M3+1)</f>
        <v/>
      </c>
      <c r="F1632">
        <f>IF(Skills!N3=TRUE,(Skills!L3/10)*(E1632/1000),Skills!L3/10)+Skills!O3</f>
        <v/>
      </c>
      <c r="G1632">
        <f>Skills!G3*IF(Skills!H3&gt;0,Skills!I3/Skills!H3,1)</f>
        <v/>
      </c>
      <c r="H1632">
        <f>1-(1-Skills!J3/100)^Skills!K3</f>
        <v/>
      </c>
      <c r="I1632" t="inlineStr">
        <is>
          <t>1</t>
        </is>
      </c>
      <c r="J1632">
        <f>((Inputs!$B$6*(1+Inputs!$B$7/100))+(((Inputs!$B$12*(1+Inputs!$B$13/100))-(Inputs!$B$12*(1+Inputs!$B$13/100)))+0.25*(Inputs!$B$14-Inputs!$B$14))*(1+Inputs!$B$7/100))*(F1632/100)</f>
        <v/>
      </c>
      <c r="K1632">
        <f>J1632*(1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C1649=TRUE)*(F1649-Calc!F20)),(Inputs!$B$23+0+(IF(ArtifactsInput!$M$15,CHOOSE(ArtifactsInput!$N$15+1,25,30,35,40,45,50)/100*(Inputs!$B$11-Inputs!$B$11),0))))/100+(Inputs!$B$23+0+(IF(ArtifactsInput!$M$15,CHOOSE(ArtifactsInput!$N$15+1,25,30,35,40,45,50)/100*(Inputs!$B$11-Inputs!$B$11),0)))/100)/2</f>
        <v/>
      </c>
      <c r="M1632">
        <f>L1632*(1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IF(B1664=0,0,O1632/B1664)</f>
        <v/>
      </c>
      <c r="Q1632" t="n">
        <v>0</v>
      </c>
      <c r="R1632" t="n">
        <v>0</v>
      </c>
      <c r="S1632">
        <f>IFERROR(O1632/N1632,0)</f>
        <v/>
      </c>
      <c r="T1632">
        <f>IF(C1632,(Skills!G3*H1632*N1632*B1658)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1632*(1-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2">
        <f>INDEX(FactorTable!$B$2:$Y$301, MATCH(ROUND(MIN(300,MAX(1,U1631)),0), FactorTable!$A$2:$A$301,0), 22)</f>
        <v/>
      </c>
      <c r="V1632">
        <f>IF(C1632,(Skills!G3*H1632*N1632*B1658)*IF(Inputs!$B$38="pvp",1,(1+(Inputs!$B$21+Skills!Q3+(IF(ArtifactsInput!$M$33,CHOOSE(ArtifactsInput!$N$33+1,30,36,42,48,54,60),0))+(IF(AND(ArtifactsInput!$M$35,Inputs!$B$4&lt;&gt;"Chapter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Skills!A4</f>
        <v/>
      </c>
      <c r="B1633">
        <f>Skills!B4</f>
        <v/>
      </c>
      <c r="C1633">
        <f>Inputs!$B$3&gt;=60</f>
        <v/>
      </c>
      <c r="D1633">
        <f>IF(Skills!C4=1,60+Inputs!$B$25+Inputs!$B$29,IF(Skills!C4=2,90+Inputs!$B$26+Inputs!$B$29,IF(Skills!C4=3,120+Inputs!$B$27+Inputs!$B$29,MAX(0,(Inputs!$B$3-100)*3)+Inputs!$B$28+Inputs!$B$29)))</f>
        <v/>
      </c>
      <c r="E1633">
        <f>INDEX(FactorTable!$B$2:$Y$301, MATCH(ROUND(MIN(300,MAX(1,D1633)),0), FactorTable!$A$2:$A$301,0), Skills!M4+1)</f>
        <v/>
      </c>
      <c r="F1633">
        <f>IF(Skills!N4=TRUE,(Skills!L4/10)*(E1633/1000),Skills!L4/10)+Skills!O4</f>
        <v/>
      </c>
      <c r="G1633">
        <f>Skills!G4*IF(Skills!H4&gt;0,Skills!I4/Skills!H4,1)</f>
        <v/>
      </c>
      <c r="H1633">
        <f>1-(1-Skills!J4/100)^Skills!K4</f>
        <v/>
      </c>
      <c r="I1633" t="inlineStr">
        <is>
          <t>1</t>
        </is>
      </c>
      <c r="J1633">
        <f>((Inputs!$B$6*(1+Inputs!$B$7/100))+(((Inputs!$B$12*(1+Inputs!$B$13/100))-(Inputs!$B$12*(1+Inputs!$B$13/100)))+0.25*(Inputs!$B$14-Inputs!$B$14))*(1+Inputs!$B$7/100))*(F1633/100)</f>
        <v/>
      </c>
      <c r="K1633">
        <f>J1633*(1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1641=TRUE,F1641,0)/100)*(1+(IF(Skills!A4="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1649=TRUE)*(F1649-Calc!F20)),(Inputs!$B$23+0+(IF(ArtifactsInput!$M$15,CHOOSE(ArtifactsInput!$N$15+1,25,30,35,40,45,50)/100*(Inputs!$B$11-Inputs!$B$11),0))))/100+(Inputs!$B$23+0+(IF(ArtifactsInput!$M$15,CHOOSE(ArtifactsInput!$N$15+1,25,30,35,40,45,50)/100*(Inputs!$B$11-Inputs!$B$11),0)))/100)/2</f>
        <v/>
      </c>
      <c r="M1633">
        <f>L1633*(1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IF(B1664=0,0,O1633/B1664)</f>
        <v/>
      </c>
      <c r="Q1633" t="n">
        <v>0</v>
      </c>
      <c r="R1633" t="n">
        <v>0</v>
      </c>
      <c r="S1633">
        <f>IFERROR(O1633/N1633,0)</f>
        <v/>
      </c>
      <c r="T1633">
        <f>IF(C1633,(Skills!G4*H1633*N1633*B1658)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3">
        <f>290*U1632/1000</f>
        <v/>
      </c>
      <c r="V1633">
        <f>IF(C1633,(Skills!G4*H1633*N1633*B1658)*IF(Inputs!$B$38="pvp",1,(1+(Inputs!$B$21+Skills!Q4+(IF(ArtifactsInput!$M$33,CHOOSE(ArtifactsInput!$N$33+1,30,36,42,48,54,60),0))+(IF(AND(ArtifactsInput!$M$35,Inputs!$B$4&lt;&gt;"Chapter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Skills!A5</f>
        <v/>
      </c>
      <c r="B1634">
        <f>Skills!B5</f>
        <v/>
      </c>
      <c r="C1634">
        <f>Inputs!$B$3&gt;=60</f>
        <v/>
      </c>
      <c r="D1634">
        <f>IF(Skills!C5=1,60+Inputs!$B$25+Inputs!$B$29,IF(Skills!C5=2,90+Inputs!$B$26+Inputs!$B$29,IF(Skills!C5=3,120+Inputs!$B$27+Inputs!$B$29,MAX(0,(Inputs!$B$3-100)*3)+Inputs!$B$28+Inputs!$B$29)))</f>
        <v/>
      </c>
      <c r="E1634">
        <f>INDEX(FactorTable!$B$2:$Y$301, MATCH(ROUND(MIN(300,MAX(1,D1634)),0), FactorTable!$A$2:$A$301,0), Skills!M5+1)</f>
        <v/>
      </c>
      <c r="F1634">
        <f>IF(Skills!N5=TRUE,(Skills!L5/10)*(E1634/1000),Skills!L5/10)+Skills!O5</f>
        <v/>
      </c>
      <c r="G1634">
        <f>Skills!G5*IF(Skills!H5&gt;0,Skills!I5/Skills!H5,1)</f>
        <v/>
      </c>
      <c r="H1634">
        <f>1-(1-Skills!J5/100)^Skills!K5</f>
        <v/>
      </c>
      <c r="I1634" t="inlineStr">
        <is>
          <t>1</t>
        </is>
      </c>
      <c r="J1634" t="inlineStr"/>
      <c r="K1634" t="inlineStr"/>
      <c r="L1634" t="inlineStr"/>
      <c r="M1634" t="inlineStr"/>
      <c r="N1634" t="inlineStr"/>
      <c r="O1634">
        <f>(1-Summary!$B$11)*T1634+Summary!$B$11*V1634</f>
        <v/>
      </c>
      <c r="P1634">
        <f>IF(B1664=0,0,O1634/B1664)</f>
        <v/>
      </c>
      <c r="Q1634" t="n">
        <v>0</v>
      </c>
      <c r="R1634" t="n">
        <v>0</v>
      </c>
      <c r="S1634">
        <f>IFERROR(O1634/N1634,0)</f>
        <v/>
      </c>
      <c r="T1634" t="n">
        <v>0</v>
      </c>
      <c r="V1634" t="n">
        <v>0</v>
      </c>
    </row>
    <row r="1635">
      <c r="A1635">
        <f>Skills!A6</f>
        <v/>
      </c>
      <c r="B1635">
        <f>Skills!B6</f>
        <v/>
      </c>
      <c r="C1635">
        <f>Inputs!$B$3&gt;=63</f>
        <v/>
      </c>
      <c r="D1635">
        <f>IF(Skills!C6=1,60+Inputs!$B$25+Inputs!$B$29,IF(Skills!C6=2,90+Inputs!$B$26+Inputs!$B$29,IF(Skills!C6=3,120+Inputs!$B$27+Inputs!$B$29,MAX(0,(Inputs!$B$3-100)*3)+Inputs!$B$28+Inputs!$B$29)))</f>
        <v/>
      </c>
      <c r="E1635">
        <f>INDEX(FactorTable!$B$2:$Y$301, MATCH(ROUND(MIN(300,MAX(1,D1635)),0), FactorTable!$A$2:$A$301,0), Skills!M6+1)</f>
        <v/>
      </c>
      <c r="F1635">
        <f>IF(Skills!N6=TRUE,(Skills!L6/10)*(E1635/1000),Skills!L6/10)+Skills!O6</f>
        <v/>
      </c>
      <c r="G1635">
        <f>Skills!G6*IF(Skills!H6&gt;0,Skills!I6/Skills!H6,1)</f>
        <v/>
      </c>
      <c r="H1635">
        <f>1-(1-Skills!J6/100)^Skills!K6</f>
        <v/>
      </c>
      <c r="I1635" t="inlineStr">
        <is>
          <t>1</t>
        </is>
      </c>
      <c r="J1635">
        <f>((Inputs!$B$6*(1+Inputs!$B$7/100))+(((Inputs!$B$12*(1+Inputs!$B$13/100))-(Inputs!$B$12*(1+Inputs!$B$13/100)))+0.25*(Inputs!$B$14-Inputs!$B$14))*(1+Inputs!$B$7/100))*(F1635/100)</f>
        <v/>
      </c>
      <c r="K1635">
        <f>J1635*(1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C1649=TRUE)*(F1649-Calc!F20)),(Inputs!$B$23+0+(IF(ArtifactsInput!$M$15,CHOOSE(ArtifactsInput!$N$15+1,25,30,35,40,45,50)/100*(Inputs!$B$11-Inputs!$B$11),0))))/100+(Inputs!$B$23+0+(IF(ArtifactsInput!$M$15,CHOOSE(ArtifactsInput!$N$15+1,25,30,35,40,45,50)/100*(Inputs!$B$11-Inputs!$B$11),0)))/100)/2</f>
        <v/>
      </c>
      <c r="M1635">
        <f>L1635*(1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IF(B1664=0,0,O1635/B1664)</f>
        <v/>
      </c>
      <c r="Q1635">
        <f>IFERROR(1/(IF(Inputs!$B$38="pvp",15,MAX(0.1,Skills!D6-IF(Skills!E6=TRUE,Inputs!$B$32,0)))*(1-IF(AND(ArtifactsInput!$M$27,Inputs!$B$4="Chapter Hunt"),CHOOSE(ArtifactsInput!$N$27+1,20,24,28,32,36,40),0)/100)),0)</f>
        <v/>
      </c>
      <c r="R1635">
        <f>IF(AND(Inputs!$B$38&lt;&gt;"pvp",Inputs!$B$43&gt;0),IF(MAX(0,Inputs!$B$43-B1661)&lt;=0,0,(INT(MAX(0,Inputs!$B$43-B1661)/(IF(Inputs!$B$38="pvp",15,MAX(0.1,Skills!D6-IF(Skills!E6=TRUE,Inputs!$B$32,0)))*(1-IF(AND(ArtifactsInput!$M$27,Inputs!$B$4="Chapter Hunt"),CHOOSE(ArtifactsInput!$N$27+1,20,24,28,32,36,40),0)/100)))+1)),0)</f>
        <v/>
      </c>
      <c r="S1635">
        <f>IFERROR(O1635/N1635,0)</f>
        <v/>
      </c>
      <c r="T1635">
        <f>IF(C1635,(H1635*N1635*IF(AND(Inputs!$B$38&lt;&gt;"pvp",Inputs!$B$43&gt;0),((Skills!G6*((R1635-1)*IF(Skills!H6&gt;0,Skills!I6/Skills!H6,1)+IF(Skills!H6&gt;0,MIN(Skills!I6,MAX(0,MAX(0,Inputs!$B$43-B1661)-((R1635-1)*(IF(Inputs!$B$38="pvp",15,MAX(0.1,Skills!D6-IF(Skills!E6=TRUE,Inputs!$B$32,0)))*(1-IF(AND(ArtifactsInput!$M$27,Inputs!$B$4="Chapter Hunt"),CHOOSE(ArtifactsInput!$N$27+1,20,24,28,32,36,40),0)/100)))))/Skills!H6,1)))/Inputs!$B$43),G1635*Q1635)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5">
        <f>IF(C1635,(H1635*N1635*IF(AND(Inputs!$B$38&lt;&gt;"pvp",Inputs!$B$43&gt;0),((Skills!G6*((R1635-1)*IF(Skills!H6&gt;0,Skills!I6/Skills!H6,1)+IF(Skills!H6&gt;0,MIN(Skills!I6,MAX(0,MAX(0,Inputs!$B$43-B1661)-((R1635-1)*(IF(Inputs!$B$38="pvp",15,MAX(0.1,Skills!D6-IF(Skills!E6=TRUE,Inputs!$B$32,0)))*(1-IF(AND(ArtifactsInput!$M$27,Inputs!$B$4="Chapter Hunt"),CHOOSE(ArtifactsInput!$N$27+1,20,24,28,32,36,40),0)/100)))))/Skills!H6,1)))/Inputs!$B$43),G1635*Q1635))*IF(Inputs!$B$38="pvp",1,(1+(Inputs!$B$21+Skills!Q6+(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Skills!A7</f>
        <v/>
      </c>
      <c r="B1636">
        <f>Skills!B7</f>
        <v/>
      </c>
      <c r="C1636">
        <f>Inputs!$B$3&gt;=100</f>
        <v/>
      </c>
      <c r="D1636">
        <f>IF(Skills!C7=1,60+Inputs!$B$25+Inputs!$B$29,IF(Skills!C7=2,90+Inputs!$B$26+Inputs!$B$29,IF(Skills!C7=3,120+Inputs!$B$27+Inputs!$B$29,MAX(0,(Inputs!$B$3-100)*3)+Inputs!$B$28+Inputs!$B$29)))</f>
        <v/>
      </c>
      <c r="E1636">
        <f>INDEX(FactorTable!$B$2:$Y$301, MATCH(ROUND(MIN(300,MAX(1,D1636)),0), FactorTable!$A$2:$A$301,0), Skills!M7+1)</f>
        <v/>
      </c>
      <c r="F1636">
        <f>IF(Skills!N7=TRUE,(Skills!L7/10)*(E1636/1000),Skills!L7/10)+Skills!O7</f>
        <v/>
      </c>
      <c r="G1636">
        <f>Skills!G7*IF(Skills!H7&gt;0,Skills!I7/Skills!H7,1)</f>
        <v/>
      </c>
      <c r="H1636">
        <f>1-(1-Skills!J7/100)^Skills!K7</f>
        <v/>
      </c>
      <c r="I1636" t="inlineStr">
        <is>
          <t>1</t>
        </is>
      </c>
      <c r="J1636">
        <f>((Inputs!$B$6*(1+Inputs!$B$7/100))+(((Inputs!$B$12*(1+Inputs!$B$13/100))-(Inputs!$B$12*(1+Inputs!$B$13/100)))+0.25*(Inputs!$B$14-Inputs!$B$14))*(1+Inputs!$B$7/100))*(F1636/100)</f>
        <v/>
      </c>
      <c r="K1636">
        <f>J1636*(1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C1649=TRUE)*(F1649-Calc!F20)),(Inputs!$B$23+0+(IF(ArtifactsInput!$M$15,CHOOSE(ArtifactsInput!$N$15+1,25,30,35,40,45,50)/100*(Inputs!$B$11-Inputs!$B$11),0))))/100+(Inputs!$B$23+0+(IF(ArtifactsInput!$M$15,CHOOSE(ArtifactsInput!$N$15+1,25,30,35,40,45,50)/100*(Inputs!$B$11-Inputs!$B$11),0)))/100)/2</f>
        <v/>
      </c>
      <c r="M1636">
        <f>L1636*(1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IF(B1664=0,0,O1636/B1664)</f>
        <v/>
      </c>
      <c r="Q1636">
        <f>IFERROR(1/(IF(Inputs!$B$38="pvp",15,MAX(0.1,Skills!D7-IF(Skills!E7=TRUE,Inputs!$B$32,0)))*(1-IF(AND(ArtifactsInput!$M$27,Inputs!$B$4="Chapter Hunt"),CHOOSE(ArtifactsInput!$N$27+1,20,24,28,32,36,40),0)/100)),0)</f>
        <v/>
      </c>
      <c r="R1636">
        <f>IF(AND(Inputs!$B$38&lt;&gt;"pvp",Inputs!$B$43&gt;0),IF(MAX(0,Inputs!$B$43-B1661)&lt;=0,0,(INT(MAX(0,Inputs!$B$43-B1661)/(IF(Inputs!$B$38="pvp",15,MAX(0.1,Skills!D7-IF(Skills!E7=TRUE,Inputs!$B$32,0)))*(1-IF(AND(ArtifactsInput!$M$27,Inputs!$B$4="Chapter Hunt"),CHOOSE(ArtifactsInput!$N$27+1,20,24,28,32,36,40),0)/100)))+1)),0)</f>
        <v/>
      </c>
      <c r="S1636">
        <f>IFERROR(O1636/N1636,0)</f>
        <v/>
      </c>
      <c r="T1636">
        <f>IF(C1636,(H1636*N1636*IF(AND(Inputs!$B$38&lt;&gt;"pvp",Inputs!$B$43&gt;0),((Skills!G7*((R1636-1)*IF(Skills!H7&gt;0,Skills!I7/Skills!H7,1)+IF(Skills!H7&gt;0,MIN(Skills!I7,MAX(0,MAX(0,Inputs!$B$43-B1661)-((R1636-1)*(IF(Inputs!$B$38="pvp",15,MAX(0.1,Skills!D7-IF(Skills!E7=TRUE,Inputs!$B$32,0)))*(1-IF(AND(ArtifactsInput!$M$27,Inputs!$B$4="Chapter Hunt"),CHOOSE(ArtifactsInput!$N$27+1,20,24,28,32,36,40),0)/100)))))/Skills!H7,1)))/Inputs!$B$43),G1636*Q1636)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1636*(1-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7*((R1636-1)*IF(Skills!H7&gt;0,Skills!I7/Skills!H7,1)+IF(Skills!H7&gt;0,MIN(Skills!I7,MAX(0,MAX(0,Inputs!$B$43-B1661)-((R1636-1)*(IF(Inputs!$B$38="pvp",15,MAX(0.1,Skills!D7-IF(Skills!E7=TRUE,Inputs!$B$32,0)))*(1-IF(AND(ArtifactsInput!$M$27,Inputs!$B$4="Chapter Hunt"),CHOOSE(ArtifactsInput!$N$27+1,20,24,28,32,36,40),0)/100)))))/Skills!H7,1)))/Inputs!$B$43),G1636*Q1636))*IF(Inputs!$B$38="pvp",1,(1+(Inputs!$B$21+Skills!Q7+(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Skills!A8</f>
        <v/>
      </c>
      <c r="B1637">
        <f>Skills!B8</f>
        <v/>
      </c>
      <c r="C1637">
        <f>Inputs!$B$3&gt;=110</f>
        <v/>
      </c>
      <c r="D1637">
        <f>IF(Skills!C8=1,60+Inputs!$B$25+Inputs!$B$29,IF(Skills!C8=2,90+Inputs!$B$26+Inputs!$B$29,IF(Skills!C8=3,120+Inputs!$B$27+Inputs!$B$29,MAX(0,(Inputs!$B$3-100)*3)+Inputs!$B$28+Inputs!$B$29)))</f>
        <v/>
      </c>
      <c r="E1637">
        <f>INDEX(FactorTable!$B$2:$Y$301, MATCH(ROUND(MIN(300,MAX(1,D1637)),0), FactorTable!$A$2:$A$301,0), Skills!M8+1)</f>
        <v/>
      </c>
      <c r="F1637">
        <f>IF(Skills!N8=TRUE,(Skills!L8/10)*(E1637/1000),Skills!L8/10)+Skills!O8</f>
        <v/>
      </c>
      <c r="G1637">
        <f>Skills!G8*IF(Skills!H8&gt;0,Skills!I8/Skills!H8,1)</f>
        <v/>
      </c>
      <c r="H1637">
        <f>1-(1-Skills!J8/100)^Skills!K8</f>
        <v/>
      </c>
      <c r="I1637" t="inlineStr">
        <is>
          <t>1</t>
        </is>
      </c>
      <c r="J1637">
        <f>((Inputs!$B$6*(1+Inputs!$B$7/100))+(((Inputs!$B$12*(1+Inputs!$B$13/100))-(Inputs!$B$12*(1+Inputs!$B$13/100)))+0.25*(Inputs!$B$14-Inputs!$B$14))*(1+Inputs!$B$7/100))*(F1637/100)</f>
        <v/>
      </c>
      <c r="K1637">
        <f>J1637*(1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C1649=TRUE)*(F1649-Calc!F20)),(Inputs!$B$23+0+(IF(ArtifactsInput!$M$15,CHOOSE(ArtifactsInput!$N$15+1,25,30,35,40,45,50)/100*(Inputs!$B$11-Inputs!$B$11),0))))/100+(Inputs!$B$23+0+(IF(ArtifactsInput!$M$15,CHOOSE(ArtifactsInput!$N$15+1,25,30,35,40,45,50)/100*(Inputs!$B$11-Inputs!$B$11),0)))/100)/2</f>
        <v/>
      </c>
      <c r="M1637">
        <f>L1637*(1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(1-Summary!$B$11)*T1637+Summary!$B$11*V1637</f>
        <v/>
      </c>
      <c r="P1637">
        <f>IF(B1664=0,0,O1637/B1664)</f>
        <v/>
      </c>
      <c r="Q1637">
        <f>IFERROR(1/(IF(Inputs!$B$38="pvp",15,MAX(0.1,Skills!D8-IF(Skills!E8=TRUE,Inputs!$B$32,0)))*(1-IF(AND(ArtifactsInput!$M$27,Inputs!$B$4="Chapter Hunt"),CHOOSE(ArtifactsInput!$N$27+1,20,24,28,32,36,40),0)/100)),0)</f>
        <v/>
      </c>
      <c r="R1637">
        <f>IF(AND(Inputs!$B$38&lt;&gt;"pvp",Inputs!$B$43&gt;0),IF(MAX(0,Inputs!$B$43-B1661)&lt;=0,0,(INT(MAX(0,Inputs!$B$43-B1661)/(IF(Inputs!$B$38="pvp",15,MAX(0.1,Skills!D8-IF(Skills!E8=TRUE,Inputs!$B$32,0)))*(1-IF(AND(ArtifactsInput!$M$27,Inputs!$B$4="Chapter Hunt"),CHOOSE(ArtifactsInput!$N$27+1,20,24,28,32,36,40),0)/100)))+1)),0)</f>
        <v/>
      </c>
      <c r="S1637">
        <f>IFERROR(O1637/N1637,0)</f>
        <v/>
      </c>
      <c r="T1637">
        <f>IF(C1637,(H1637*N1637*IF(AND(Inputs!$B$38&lt;&gt;"pvp",Inputs!$B$43&gt;0),((Skills!G8*((R1637-1)*IF(Skills!H8&gt;0,Skills!I8/Skills!H8,1)+IF(Skills!H8&gt;0,MIN(Skills!I8,MAX(0,MAX(0,Inputs!$B$43-B1661)-((R1637-1)*(IF(Inputs!$B$38="pvp",15,MAX(0.1,Skills!D8-IF(Skills!E8=TRUE,Inputs!$B$32,0)))*(1-IF(AND(ArtifactsInput!$M$27,Inputs!$B$4="Chapter Hunt"),CHOOSE(ArtifactsInput!$N$27+1,20,24,28,32,36,40),0)/100)))))/Skills!H8,1)))/Inputs!$B$43),G1637*Q1637)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1637*(1-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7">
        <f>IF(C1637,(H1637*N1637*IF(AND(Inputs!$B$38&lt;&gt;"pvp",Inputs!$B$43&gt;0),((Skills!G8*((R1637-1)*IF(Skills!H8&gt;0,Skills!I8/Skills!H8,1)+IF(Skills!H8&gt;0,MIN(Skills!I8,MAX(0,MAX(0,Inputs!$B$43-B1661)-((R1637-1)*(IF(Inputs!$B$38="pvp",15,MAX(0.1,Skills!D8-IF(Skills!E8=TRUE,Inputs!$B$32,0)))*(1-IF(AND(ArtifactsInput!$M$27,Inputs!$B$4="Chapter Hunt"),CHOOSE(ArtifactsInput!$N$27+1,20,24,28,32,36,40),0)/100)))))/Skills!H8,1)))/Inputs!$B$43),G1637*Q1637))*IF(Inputs!$B$38="pvp",1,(1+(Inputs!$B$21+Skills!Q8+(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Skills!A9</f>
        <v/>
      </c>
      <c r="B1638">
        <f>Skills!B9</f>
        <v/>
      </c>
      <c r="C1638">
        <f>Inputs!$B$3&gt;=110</f>
        <v/>
      </c>
      <c r="D1638">
        <f>IF(Skills!C9=1,60+Inputs!$B$25+Inputs!$B$29,IF(Skills!C9=2,90+Inputs!$B$26+Inputs!$B$29,IF(Skills!C9=3,120+Inputs!$B$27+Inputs!$B$29,MAX(0,(Inputs!$B$3-100)*3)+Inputs!$B$28+Inputs!$B$29)))</f>
        <v/>
      </c>
      <c r="E1638">
        <f>INDEX(FactorTable!$B$2:$Y$301, MATCH(ROUND(MIN(300,MAX(1,D1638)),0), FactorTable!$A$2:$A$301,0), Skills!M9+1)</f>
        <v/>
      </c>
      <c r="F1638">
        <f>IF(Skills!N9=TRUE,(Skills!L9/10)*(E1638/1000),Skills!L9/10)+Skills!O9</f>
        <v/>
      </c>
      <c r="G1638">
        <f>Skills!G9*IF(Skills!H9&gt;0,Skills!I9/Skills!H9,1)</f>
        <v/>
      </c>
      <c r="H1638">
        <f>1-(1-Skills!J9/100)^Skills!K9</f>
        <v/>
      </c>
      <c r="I1638" t="inlineStr">
        <is>
          <t>1</t>
        </is>
      </c>
      <c r="J1638">
        <f>((Inputs!$B$6*(1+Inputs!$B$7/100))+(((Inputs!$B$12*(1+Inputs!$B$13/100))-(Inputs!$B$12*(1+Inputs!$B$13/100)))+0.25*(Inputs!$B$14-Inputs!$B$14))*(1+Inputs!$B$7/100))*(F1638/100)</f>
        <v/>
      </c>
      <c r="K1638">
        <f>J1638*(1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C1649=TRUE)*(F1649-Calc!F20)),(Inputs!$B$23+0+(IF(ArtifactsInput!$M$15,CHOOSE(ArtifactsInput!$N$15+1,25,30,35,40,45,50)/100*(Inputs!$B$11-Inputs!$B$11),0))))/100+(Inputs!$B$23+0+(IF(ArtifactsInput!$M$15,CHOOSE(ArtifactsInput!$N$15+1,25,30,35,40,45,50)/100*(Inputs!$B$11-Inputs!$B$11),0)))/100)/2</f>
        <v/>
      </c>
      <c r="M1638">
        <f>L1638*(1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(1-Summary!$B$11)*T1638+Summary!$B$11*V1638</f>
        <v/>
      </c>
      <c r="P1638">
        <f>IF(B1664=0,0,O1638/B1664)</f>
        <v/>
      </c>
      <c r="Q1638">
        <f>IFERROR(1/(IF(Inputs!$B$38="pvp",15,MAX(0.1,Skills!D9-IF(Skills!E9=TRUE,Inputs!$B$32,0)))*(1-IF(AND(ArtifactsInput!$M$27,Inputs!$B$4="Chapter Hunt"),CHOOSE(ArtifactsInput!$N$27+1,20,24,28,32,36,40),0)/100)),0)</f>
        <v/>
      </c>
      <c r="R1638">
        <f>IF(AND(Inputs!$B$38&lt;&gt;"pvp",Inputs!$B$43&gt;0),IF(MAX(0,Inputs!$B$43-B1661)&lt;=0,0,(INT(MAX(0,Inputs!$B$43-B1661)/(IF(Inputs!$B$38="pvp",15,MAX(0.1,Skills!D9-IF(Skills!E9=TRUE,Inputs!$B$32,0)))*(1-IF(AND(ArtifactsInput!$M$27,Inputs!$B$4="Chapter Hunt"),CHOOSE(ArtifactsInput!$N$27+1,20,24,28,32,36,40),0)/100)))+1)),0)</f>
        <v/>
      </c>
      <c r="S1638">
        <f>IFERROR(O1638/N1638,0)</f>
        <v/>
      </c>
      <c r="T1638">
        <f>IF(C1638,(H1638*N1638*IF(AND(Inputs!$B$38&lt;&gt;"pvp",Inputs!$B$43&gt;0),((Skills!G9*((R1638-1)*IF(Skills!H9&gt;0,Skills!I9/Skills!H9,1)+IF(Skills!H9&gt;0,MIN(Skills!I9,MAX(0,MAX(0,Inputs!$B$43-B1661)-((R1638-1)*(IF(Inputs!$B$38="pvp",15,MAX(0.1,Skills!D9-IF(Skills!E9=TRUE,Inputs!$B$32,0)))*(1-IF(AND(ArtifactsInput!$M$27,Inputs!$B$4="Chapter Hunt"),CHOOSE(ArtifactsInput!$N$27+1,20,24,28,32,36,40),0)/100)))))/Skills!H9,1)))/Inputs!$B$43),G1638*Q1638)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1638*(1-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8">
        <f>IF(C1638,(H1638*N1638*IF(AND(Inputs!$B$38&lt;&gt;"pvp",Inputs!$B$43&gt;0),((Skills!G9*((R1638-1)*IF(Skills!H9&gt;0,Skills!I9/Skills!H9,1)+IF(Skills!H9&gt;0,MIN(Skills!I9,MAX(0,MAX(0,Inputs!$B$43-B1661)-((R1638-1)*(IF(Inputs!$B$38="pvp",15,MAX(0.1,Skills!D9-IF(Skills!E9=TRUE,Inputs!$B$32,0)))*(1-IF(AND(ArtifactsInput!$M$27,Inputs!$B$4="Chapter Hunt"),CHOOSE(ArtifactsInput!$N$27+1,20,24,28,32,36,40),0)/100)))))/Skills!H9,1)))/Inputs!$B$43),G1638*Q1638))*IF(Inputs!$B$38="pvp",1,(1+(Inputs!$B$21+Skills!Q9+(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Skills!A10</f>
        <v/>
      </c>
      <c r="B1639">
        <f>Skills!B10</f>
        <v/>
      </c>
      <c r="C1639">
        <f>Inputs!$B$3&gt;=103</f>
        <v/>
      </c>
      <c r="D1639">
        <f>IF(Skills!C10=1,60+Inputs!$B$25+Inputs!$B$29,IF(Skills!C10=2,90+Inputs!$B$26+Inputs!$B$29,IF(Skills!C10=3,120+Inputs!$B$27+Inputs!$B$29,MAX(0,(Inputs!$B$3-100)*3)+Inputs!$B$28+Inputs!$B$29)))</f>
        <v/>
      </c>
      <c r="E1639">
        <f>INDEX(FactorTable!$B$2:$Y$301, MATCH(ROUND(MIN(300,MAX(1,D1639)),0), FactorTable!$A$2:$A$301,0), Skills!M10+1)</f>
        <v/>
      </c>
      <c r="F1639">
        <f>IF(Skills!N10=TRUE,(Skills!L10/10)*(E1639/1000),Skills!L10/10)+Skills!O10</f>
        <v/>
      </c>
      <c r="G1639">
        <f>Skills!G10*IF(Skills!H10&gt;0,Skills!I10/Skills!H10,1)</f>
        <v/>
      </c>
      <c r="H1639">
        <f>1-(1-Skills!J10/100)^Skills!K10</f>
        <v/>
      </c>
      <c r="I1639" t="inlineStr">
        <is>
          <t>1</t>
        </is>
      </c>
      <c r="J1639">
        <f>((Inputs!$B$6*(1+Inputs!$B$7/100))+(((Inputs!$B$12*(1+Inputs!$B$13/100))-(Inputs!$B$12*(1+Inputs!$B$13/100)))+0.25*(Inputs!$B$14-Inputs!$B$14))*(1+Inputs!$B$7/100))*(F1639/100)</f>
        <v/>
      </c>
      <c r="K1639">
        <f>J1639*(1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C1649=TRUE)*(F1649-Calc!F20)),(Inputs!$B$23+0+(IF(ArtifactsInput!$M$15,CHOOSE(ArtifactsInput!$N$15+1,25,30,35,40,45,50)/100*(Inputs!$B$11-Inputs!$B$11),0))))/100+(Inputs!$B$23+0+(IF(ArtifactsInput!$M$15,CHOOSE(ArtifactsInput!$N$15+1,25,30,35,40,45,50)/100*(Inputs!$B$11-Inputs!$B$11),0)))/100)/2</f>
        <v/>
      </c>
      <c r="M1639">
        <f>L1639*(1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(1-Summary!$B$11)*T1639+Summary!$B$11*V1639</f>
        <v/>
      </c>
      <c r="P1639">
        <f>IF(B1664=0,0,O1639/B1664)</f>
        <v/>
      </c>
      <c r="Q1639">
        <f>IFERROR(1/(IF(Inputs!$B$38="pvp",15,MAX(0.1,Skills!D10-IF(Skills!E10=TRUE,Inputs!$B$32,0)))*(1-IF(AND(ArtifactsInput!$M$27,Inputs!$B$4="Chapter Hunt"),CHOOSE(ArtifactsInput!$N$27+1,20,24,28,32,36,40),0)/100)),0)</f>
        <v/>
      </c>
      <c r="R1639">
        <f>IF(AND(Inputs!$B$38&lt;&gt;"pvp",Inputs!$B$43&gt;0),IF(MAX(0,Inputs!$B$43-B1661)&lt;=0,0,(INT(MAX(0,Inputs!$B$43-B1661)/(IF(Inputs!$B$38="pvp",15,MAX(0.1,Skills!D10-IF(Skills!E10=TRUE,Inputs!$B$32,0)))*(1-IF(AND(ArtifactsInput!$M$27,Inputs!$B$4="Chapter Hunt"),CHOOSE(ArtifactsInput!$N$27+1,20,24,28,32,36,40),0)/100)))+1)),0)</f>
        <v/>
      </c>
      <c r="S1639">
        <f>IFERROR(O1639/N1639,0)</f>
        <v/>
      </c>
      <c r="T1639">
        <f>IF(C1639,(H1639*N1639*IF(AND(Inputs!$B$38&lt;&gt;"pvp",Inputs!$B$43&gt;0),((Skills!G10*((R1639-1)*IF(Skills!H10&gt;0,Skills!I10/Skills!H10,1)+IF(Skills!H10&gt;0,MIN(Skills!I10,MAX(0,MAX(0,Inputs!$B$43-B1661)-((R1639-1)*(IF(Inputs!$B$38="pvp",15,MAX(0.1,Skills!D10-IF(Skills!E10=TRUE,Inputs!$B$32,0)))*(1-IF(AND(ArtifactsInput!$M$27,Inputs!$B$4="Chapter Hunt"),CHOOSE(ArtifactsInput!$N$27+1,20,24,28,32,36,40),0)/100)))))/Skills!H10,1)))/Inputs!$B$43),G1639*Q1639)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1639*(1-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9">
        <f>IF(C1639,(H1639*N1639*IF(AND(Inputs!$B$38&lt;&gt;"pvp",Inputs!$B$43&gt;0),((Skills!G10*((R1639-1)*IF(Skills!H10&gt;0,Skills!I10/Skills!H10,1)+IF(Skills!H10&gt;0,MIN(Skills!I10,MAX(0,MAX(0,Inputs!$B$43-B1661)-((R1639-1)*(IF(Inputs!$B$38="pvp",15,MAX(0.1,Skills!D10-IF(Skills!E10=TRUE,Inputs!$B$32,0)))*(1-IF(AND(ArtifactsInput!$M$27,Inputs!$B$4="Chapter Hunt"),CHOOSE(ArtifactsInput!$N$27+1,20,24,28,32,36,40),0)/100)))))/Skills!H10,1)))/Inputs!$B$43),G1639*Q1639))*IF(Inputs!$B$38="pvp",1,(1+(Inputs!$B$21+Skills!Q10+(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Skills!A11</f>
        <v/>
      </c>
      <c r="B1640">
        <f>Skills!B11</f>
        <v/>
      </c>
      <c r="C1640">
        <f>Inputs!$B$3&gt;=113</f>
        <v/>
      </c>
      <c r="D1640">
        <f>IF(Skills!C11=1,60+Inputs!$B$25+Inputs!$B$29,IF(Skills!C11=2,90+Inputs!$B$26+Inputs!$B$29,IF(Skills!C11=3,120+Inputs!$B$27+Inputs!$B$29,MAX(0,(Inputs!$B$3-100)*3)+Inputs!$B$28+Inputs!$B$29)))</f>
        <v/>
      </c>
      <c r="E1640">
        <f>INDEX(FactorTable!$B$2:$Y$301, MATCH(ROUND(MIN(300,MAX(1,D1640)),0), FactorTable!$A$2:$A$301,0), Skills!M11+1)</f>
        <v/>
      </c>
      <c r="F1640">
        <f>IF(Skills!N11=TRUE,(Skills!L11/10)*(E1640/1000),Skills!L11/10)+Skills!O11</f>
        <v/>
      </c>
      <c r="G1640">
        <f>Skills!G11*IF(Skills!H11&gt;0,Skills!I11/Skills!H11,1)</f>
        <v/>
      </c>
      <c r="H1640">
        <f>1-(1-Skills!J11/100)^Skills!K11</f>
        <v/>
      </c>
      <c r="I1640" t="inlineStr">
        <is>
          <t>1</t>
        </is>
      </c>
      <c r="J1640">
        <f>((Inputs!$B$6*(1+Inputs!$B$7/100))+(((Inputs!$B$12*(1+Inputs!$B$13/100))-(Inputs!$B$12*(1+Inputs!$B$13/100)))+0.25*(Inputs!$B$14-Inputs!$B$14))*(1+Inputs!$B$7/100))*(F1640/100)</f>
        <v/>
      </c>
      <c r="K1640">
        <f>J1640*(1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C1649=TRUE)*(F1649-Calc!F20)),(Inputs!$B$23+0+(IF(ArtifactsInput!$M$15,CHOOSE(ArtifactsInput!$N$15+1,25,30,35,40,45,50)/100*(Inputs!$B$11-Inputs!$B$11),0))))/100+(Inputs!$B$23+0+(IF(ArtifactsInput!$M$15,CHOOSE(ArtifactsInput!$N$15+1,25,30,35,40,45,50)/100*(Inputs!$B$11-Inputs!$B$11),0)))/100)/2</f>
        <v/>
      </c>
      <c r="M1640">
        <f>L1640*(1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(1-Summary!$B$11)*T1640+Summary!$B$11*V1640</f>
        <v/>
      </c>
      <c r="P1640">
        <f>IF(B1664=0,0,O1640/B1664)</f>
        <v/>
      </c>
      <c r="Q1640">
        <f>IFERROR(1/(IF(Inputs!$B$38="pvp",15,MAX(0.1,Skills!D11-IF(Skills!E11=TRUE,Inputs!$B$32,0)))*(1-IF(AND(ArtifactsInput!$M$27,Inputs!$B$4="Chapter Hunt"),CHOOSE(ArtifactsInput!$N$27+1,20,24,28,32,36,40),0)/100)),0)</f>
        <v/>
      </c>
      <c r="R1640">
        <f>IF(AND(Inputs!$B$38&lt;&gt;"pvp",Inputs!$B$43&gt;0),IF(MAX(0,Inputs!$B$43-B1661)&lt;=0,0,(INT(MAX(0,Inputs!$B$43-B1661)/(IF(Inputs!$B$38="pvp",15,MAX(0.1,Skills!D11-IF(Skills!E11=TRUE,Inputs!$B$32,0)))*(1-IF(AND(ArtifactsInput!$M$27,Inputs!$B$4="Chapter Hunt"),CHOOSE(ArtifactsInput!$N$27+1,20,24,28,32,36,40),0)/100)))+1)),0)</f>
        <v/>
      </c>
      <c r="S1640">
        <f>IFERROR(O1640/N1640,0)</f>
        <v/>
      </c>
      <c r="T1640">
        <f>IF(C1640,(H1640*N1640*IF(AND(Inputs!$B$38&lt;&gt;"pvp",Inputs!$B$43&gt;0),((Skills!G11*((R1640-1)*IF(Skills!H11&gt;0,Skills!I11/Skills!H11,1)+IF(Skills!H11&gt;0,MIN(Skills!I11,MAX(0,MAX(0,Inputs!$B$43-B1661)-((R1640-1)*(IF(Inputs!$B$38="pvp",15,MAX(0.1,Skills!D11-IF(Skills!E11=TRUE,Inputs!$B$32,0)))*(1-IF(AND(ArtifactsInput!$M$27,Inputs!$B$4="Chapter Hunt"),CHOOSE(ArtifactsInput!$N$27+1,20,24,28,32,36,40),0)/100)))))/Skills!H11,1)))/Inputs!$B$43),G1640*Q1640)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1640*(1-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0">
        <f>IF(C1640,(H1640*N1640*IF(AND(Inputs!$B$38&lt;&gt;"pvp",Inputs!$B$43&gt;0),((Skills!G11*((R1640-1)*IF(Skills!H11&gt;0,Skills!I11/Skills!H11,1)+IF(Skills!H11&gt;0,MIN(Skills!I11,MAX(0,MAX(0,Inputs!$B$43-B1661)-((R1640-1)*(IF(Inputs!$B$38="pvp",15,MAX(0.1,Skills!D11-IF(Skills!E11=TRUE,Inputs!$B$32,0)))*(1-IF(AND(ArtifactsInput!$M$27,Inputs!$B$4="Chapter Hunt"),CHOOSE(ArtifactsInput!$N$27+1,20,24,28,32,36,40),0)/100)))))/Skills!H11,1)))/Inputs!$B$43),G1640*Q1640))*IF(Inputs!$B$38="pvp",1,(1+(Inputs!$B$21+Skills!Q11+(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Skills!A12</f>
        <v/>
      </c>
      <c r="B1641">
        <f>Skills!B12</f>
        <v/>
      </c>
      <c r="C1641">
        <f>Inputs!$B$3&gt;=100</f>
        <v/>
      </c>
      <c r="D1641">
        <f>IF(Skills!C12=1,60+Inputs!$B$25+Inputs!$B$29,IF(Skills!C12=2,90+Inputs!$B$26+Inputs!$B$29,IF(Skills!C12=3,120+Inputs!$B$27+Inputs!$B$29,MAX(0,(Inputs!$B$3-100)*3)+Inputs!$B$28+Inputs!$B$29)))</f>
        <v/>
      </c>
      <c r="E1641">
        <f>INDEX(FactorTable!$B$2:$Y$301, MATCH(ROUND(MIN(300,MAX(1,D1641)),0), FactorTable!$A$2:$A$301,0), Skills!M12+1)</f>
        <v/>
      </c>
      <c r="F1641">
        <f>IF(Skills!N12=TRUE,(Skills!L12/10)*(E1641/1000),Skills!L12/10)+Skills!O12</f>
        <v/>
      </c>
      <c r="G1641" t="inlineStr"/>
      <c r="H1641" t="inlineStr"/>
      <c r="I1641" t="inlineStr">
        <is>
          <t>1</t>
        </is>
      </c>
      <c r="J1641" t="inlineStr"/>
      <c r="K1641" t="inlineStr"/>
      <c r="L1641" t="inlineStr"/>
      <c r="M1641" t="inlineStr"/>
      <c r="N1641" t="inlineStr"/>
      <c r="O1641" t="inlineStr"/>
      <c r="P1641" t="inlineStr"/>
      <c r="Q1641" t="inlineStr"/>
      <c r="R1641" t="inlineStr"/>
      <c r="S1641" t="inlineStr"/>
      <c r="T1641" t="inlineStr"/>
      <c r="V1641" t="inlineStr"/>
    </row>
    <row r="1642">
      <c r="A1642">
        <f>Skills!A13</f>
        <v/>
      </c>
      <c r="B1642">
        <f>Skills!B13</f>
        <v/>
      </c>
      <c r="C1642">
        <f>Inputs!$B$3&gt;=66</f>
        <v/>
      </c>
      <c r="D1642">
        <f>IF(Skills!C13=1,60+Inputs!$B$25+Inputs!$B$29,IF(Skills!C13=2,90+Inputs!$B$26+Inputs!$B$29,IF(Skills!C13=3,120+Inputs!$B$27+Inputs!$B$29,MAX(0,(Inputs!$B$3-100)*3)+Inputs!$B$28+Inputs!$B$29)))</f>
        <v/>
      </c>
      <c r="E1642">
        <f>INDEX(FactorTable!$B$2:$Y$301, MATCH(ROUND(MIN(300,MAX(1,D1642)),0), FactorTable!$A$2:$A$301,0), Skills!M13+1)</f>
        <v/>
      </c>
      <c r="F1642">
        <f>IF(Skills!N13=TRUE,(Skills!L13/10)*(E1642/1000),Skills!L13/10)+Skills!O13</f>
        <v/>
      </c>
      <c r="G1642">
        <f>Skills!G13*IF(Skills!H13&gt;0,Skills!I13/Skills!H13,1)</f>
        <v/>
      </c>
      <c r="H1642">
        <f>1-(1-Skills!J13/100)^Skills!K13</f>
        <v/>
      </c>
      <c r="I1642" t="inlineStr">
        <is>
          <t>1</t>
        </is>
      </c>
      <c r="J1642" t="inlineStr"/>
      <c r="K1642" t="inlineStr"/>
      <c r="L1642" t="inlineStr"/>
      <c r="M1642" t="inlineStr"/>
      <c r="N1642" t="inlineStr"/>
      <c r="O1642">
        <f>(1-Summary!$B$11)*T1642+Summary!$B$11*V1642</f>
        <v/>
      </c>
      <c r="P1642">
        <f>IF(B1664=0,0,O1642/B1664)</f>
        <v/>
      </c>
      <c r="Q1642" t="n">
        <v>0</v>
      </c>
      <c r="R1642" t="n">
        <v>0</v>
      </c>
      <c r="S1642">
        <f>IFERROR(O1642/N1642,0)</f>
        <v/>
      </c>
      <c r="T1642" t="n">
        <v>0</v>
      </c>
      <c r="V1642" t="n">
        <v>0</v>
      </c>
    </row>
    <row r="1643">
      <c r="A1643">
        <f>Skills!A14</f>
        <v/>
      </c>
      <c r="B1643">
        <f>Skills!B14</f>
        <v/>
      </c>
      <c r="C1643">
        <f>Inputs!$B$3&gt;=107</f>
        <v/>
      </c>
      <c r="D1643">
        <f>IF(Skills!C14=1,60+Inputs!$B$25+Inputs!$B$29,IF(Skills!C14=2,90+Inputs!$B$26+Inputs!$B$29,IF(Skills!C14=3,120+Inputs!$B$27+Inputs!$B$29,MAX(0,(Inputs!$B$3-100)*3)+Inputs!$B$28+Inputs!$B$29)))</f>
        <v/>
      </c>
      <c r="E1643">
        <f>INDEX(FactorTable!$B$2:$Y$301, MATCH(ROUND(MIN(300,MAX(1,D1643)),0), FactorTable!$A$2:$A$301,0), Skills!M14+1)</f>
        <v/>
      </c>
      <c r="F1643">
        <f>IF(Skills!N14=TRUE,(Skills!L14/10)*(E1643/1000),Skills!L14/10)+Skills!O14</f>
        <v/>
      </c>
      <c r="G1643">
        <f>Skills!G14*IF(Skills!H14&gt;0,Skills!I14/Skills!H14,1)</f>
        <v/>
      </c>
      <c r="H1643">
        <f>1-(1-Skills!J14/100)^Skills!K14</f>
        <v/>
      </c>
      <c r="I1643" t="inlineStr">
        <is>
          <t>1</t>
        </is>
      </c>
      <c r="J1643" t="inlineStr"/>
      <c r="K1643" t="inlineStr"/>
      <c r="L1643" t="inlineStr"/>
      <c r="M1643" t="inlineStr"/>
      <c r="N1643" t="inlineStr"/>
      <c r="O1643">
        <f>(1-Summary!$B$11)*T1643+Summary!$B$11*V1643</f>
        <v/>
      </c>
      <c r="P1643">
        <f>IF(B1664=0,0,O1643/B1664)</f>
        <v/>
      </c>
      <c r="Q1643" t="n">
        <v>0</v>
      </c>
      <c r="R1643" t="n">
        <v>0</v>
      </c>
      <c r="S1643">
        <f>IFERROR(O1643/N1643,0)</f>
        <v/>
      </c>
      <c r="T1643" t="n">
        <v>0</v>
      </c>
      <c r="V1643" t="n">
        <v>0</v>
      </c>
    </row>
    <row r="1644">
      <c r="A1644">
        <f>Skills!A15</f>
        <v/>
      </c>
      <c r="B1644">
        <f>Skills!B15</f>
        <v/>
      </c>
      <c r="C1644">
        <f>Inputs!$B$3&gt;=115</f>
        <v/>
      </c>
      <c r="D1644">
        <f>IF(Skills!C15=1,60+Inputs!$B$25+Inputs!$B$29,IF(Skills!C15=2,90+Inputs!$B$26+Inputs!$B$29,IF(Skills!C15=3,120+Inputs!$B$27+Inputs!$B$29,MAX(0,(Inputs!$B$3-100)*3)+Inputs!$B$28+Inputs!$B$29)))</f>
        <v/>
      </c>
      <c r="E1644">
        <f>INDEX(FactorTable!$B$2:$Y$301, MATCH(ROUND(MIN(300,MAX(1,D1644)),0), FactorTable!$A$2:$A$301,0), Skills!M15+1)</f>
        <v/>
      </c>
      <c r="F1644">
        <f>IF(Skills!N15=TRUE,(Skills!L15/10)*(E1644/1000),Skills!L15/10)+Skills!O15</f>
        <v/>
      </c>
      <c r="G1644">
        <f>Skills!G15*IF(Skills!H15&gt;0,Skills!I15/Skills!H15,1)</f>
        <v/>
      </c>
      <c r="H1644">
        <f>1-(1-Skills!J15/100)^Skills!K15</f>
        <v/>
      </c>
      <c r="I1644" t="inlineStr">
        <is>
          <t>1</t>
        </is>
      </c>
      <c r="J1644" t="inlineStr"/>
      <c r="K1644" t="inlineStr"/>
      <c r="L1644" t="inlineStr"/>
      <c r="M1644" t="inlineStr"/>
      <c r="N1644" t="inlineStr"/>
      <c r="O1644">
        <f>(1-Summary!$B$11)*T1644+Summary!$B$11*V1644</f>
        <v/>
      </c>
      <c r="P1644">
        <f>IF(B1664=0,0,O1644/B1664)</f>
        <v/>
      </c>
      <c r="Q1644" t="n">
        <v>0</v>
      </c>
      <c r="R1644" t="n">
        <v>0</v>
      </c>
      <c r="S1644">
        <f>IFERROR(O1644/N1644,0)</f>
        <v/>
      </c>
      <c r="T1644" t="n">
        <v>0</v>
      </c>
      <c r="V1644" t="n">
        <v>0</v>
      </c>
    </row>
    <row r="1645">
      <c r="A1645">
        <f>Skills!A16</f>
        <v/>
      </c>
      <c r="B1645">
        <f>Skills!B16</f>
        <v/>
      </c>
      <c r="C1645">
        <f>Inputs!$B$3&gt;=15</f>
        <v/>
      </c>
      <c r="D1645">
        <f>IF(Skills!C16=1,60+Inputs!$B$25+Inputs!$B$29,IF(Skills!C16=2,90+Inputs!$B$26+Inputs!$B$29,IF(Skills!C16=3,120+Inputs!$B$27+Inputs!$B$29,MAX(0,(Inputs!$B$3-100)*3)+Inputs!$B$28+Inputs!$B$29)))</f>
        <v/>
      </c>
      <c r="E1645">
        <f>INDEX(FactorTable!$B$2:$Y$301, MATCH(ROUND(MIN(300,MAX(1,D1645)),0), FactorTable!$A$2:$A$301,0), Skills!M16+1)</f>
        <v/>
      </c>
      <c r="F1645">
        <f>IF(Skills!N16=TRUE,(Skills!L16/10)*(E1645/1000),Skills!L16/10)+Skills!O16</f>
        <v/>
      </c>
      <c r="G1645">
        <f>Skills!G16*IF(Skills!H16&gt;0,Skills!I16/Skills!H16,1)</f>
        <v/>
      </c>
      <c r="H1645">
        <f>1-(1-Skills!J16/100)^Skills!K16</f>
        <v/>
      </c>
      <c r="I1645" t="inlineStr">
        <is>
          <t>1</t>
        </is>
      </c>
      <c r="J1645" t="inlineStr"/>
      <c r="K1645" t="inlineStr"/>
      <c r="L1645" t="inlineStr"/>
      <c r="M1645" t="inlineStr"/>
      <c r="N1645" t="inlineStr"/>
      <c r="O1645">
        <f>(1-Summary!$B$11)*T1645+Summary!$B$11*V1645</f>
        <v/>
      </c>
      <c r="P1645">
        <f>IF(B1664=0,0,O1645/B1664)</f>
        <v/>
      </c>
      <c r="Q1645" t="n">
        <v>0</v>
      </c>
      <c r="R1645" t="n">
        <v>0</v>
      </c>
      <c r="S1645">
        <f>IFERROR(O1645/N1645,0)</f>
        <v/>
      </c>
      <c r="T1645" t="n">
        <v>0</v>
      </c>
      <c r="V1645" t="n">
        <v>0</v>
      </c>
    </row>
    <row r="1646">
      <c r="A1646">
        <f>Skills!A17</f>
        <v/>
      </c>
      <c r="B1646">
        <f>Skills!B17</f>
        <v/>
      </c>
      <c r="C1646">
        <f>Inputs!$B$3&gt;=10</f>
        <v/>
      </c>
      <c r="D1646">
        <f>IF(Skills!C17=1,60+Inputs!$B$25+Inputs!$B$29,IF(Skills!C17=2,90+Inputs!$B$26+Inputs!$B$29,IF(Skills!C17=3,120+Inputs!$B$27+Inputs!$B$29,MAX(0,(Inputs!$B$3-100)*3)+Inputs!$B$28+Inputs!$B$29)))</f>
        <v/>
      </c>
      <c r="E1646">
        <f>INDEX(FactorTable!$B$2:$Y$301, MATCH(ROUND(MIN(300,MAX(1,D1646)),0), FactorTable!$A$2:$A$301,0), Skills!M17+1)</f>
        <v/>
      </c>
      <c r="F1646">
        <f>IF(Skills!N17=TRUE,(Skills!L17/10)*(E1646/1000),Skills!L17/10)+Skills!O17</f>
        <v/>
      </c>
      <c r="G1646">
        <f>Skills!G17*IF(Skills!H17&gt;0,Skills!I17/Skills!H17,1)</f>
        <v/>
      </c>
      <c r="H1646">
        <f>1-(1-Skills!J17/100)^Skills!K17</f>
        <v/>
      </c>
      <c r="I1646" t="inlineStr">
        <is>
          <t>1</t>
        </is>
      </c>
      <c r="J1646" t="inlineStr"/>
      <c r="K1646" t="inlineStr"/>
      <c r="L1646" t="inlineStr"/>
      <c r="M1646" t="inlineStr"/>
      <c r="N1646" t="inlineStr"/>
      <c r="O1646">
        <f>(1-Summary!$B$11)*T1646+Summary!$B$11*V1646</f>
        <v/>
      </c>
      <c r="P1646">
        <f>IF(B1664=0,0,O1646/B1664)</f>
        <v/>
      </c>
      <c r="Q1646" t="n">
        <v>0</v>
      </c>
      <c r="R1646" t="n">
        <v>0</v>
      </c>
      <c r="S1646">
        <f>IFERROR(O1646/N1646,0)</f>
        <v/>
      </c>
      <c r="T1646" t="n">
        <v>0</v>
      </c>
      <c r="V1646" t="n">
        <v>0</v>
      </c>
    </row>
    <row r="1647">
      <c r="A1647">
        <f>Skills!A18</f>
        <v/>
      </c>
      <c r="B1647">
        <f>Skills!B18</f>
        <v/>
      </c>
      <c r="C1647">
        <f>Inputs!$B$3&gt;=33</f>
        <v/>
      </c>
      <c r="D1647">
        <f>IF(Skills!C18=1,60+Inputs!$B$25+Inputs!$B$29,IF(Skills!C18=2,90+Inputs!$B$26+Inputs!$B$29,IF(Skills!C18=3,120+Inputs!$B$27+Inputs!$B$29,MAX(0,(Inputs!$B$3-100)*3)+Inputs!$B$28+Inputs!$B$29)))</f>
        <v/>
      </c>
      <c r="E1647">
        <f>INDEX(FactorTable!$B$2:$Y$301, MATCH(ROUND(MIN(300,MAX(1,D1647)),0), FactorTable!$A$2:$A$301,0), Skills!M18+1)</f>
        <v/>
      </c>
      <c r="F1647">
        <f>IF(Skills!N18=TRUE,(Skills!L18/10)*(E1647/1000),Skills!L18/10)+Skills!O18</f>
        <v/>
      </c>
      <c r="G1647">
        <f>Skills!G18*IF(Skills!H18&gt;0,Skills!I18/Skills!H18,1)</f>
        <v/>
      </c>
      <c r="H1647">
        <f>1-(1-Skills!J18/100)^Skills!K18</f>
        <v/>
      </c>
      <c r="I1647" t="inlineStr">
        <is>
          <t>1</t>
        </is>
      </c>
      <c r="J1647" t="inlineStr"/>
      <c r="K1647" t="inlineStr"/>
      <c r="L1647" t="inlineStr"/>
      <c r="M1647" t="inlineStr"/>
      <c r="N1647" t="inlineStr"/>
      <c r="O1647">
        <f>(1-Summary!$B$11)*T1647+Summary!$B$11*V1647</f>
        <v/>
      </c>
      <c r="P1647">
        <f>IF(B1664=0,0,O1647/B1664)</f>
        <v/>
      </c>
      <c r="Q1647" t="n">
        <v>0</v>
      </c>
      <c r="R1647" t="n">
        <v>0</v>
      </c>
      <c r="S1647">
        <f>IFERROR(O1647/N1647,0)</f>
        <v/>
      </c>
      <c r="T1647" t="n">
        <v>0</v>
      </c>
      <c r="V1647" t="n">
        <v>0</v>
      </c>
    </row>
    <row r="1648">
      <c r="A1648">
        <f>Skills!A19</f>
        <v/>
      </c>
      <c r="B1648">
        <f>Skills!B19</f>
        <v/>
      </c>
      <c r="C1648">
        <f>Inputs!$B$3&gt;=40</f>
        <v/>
      </c>
      <c r="D1648">
        <f>IF(Skills!C19=1,60+Inputs!$B$25+Inputs!$B$29,IF(Skills!C19=2,90+Inputs!$B$26+Inputs!$B$29,IF(Skills!C19=3,120+Inputs!$B$27+Inputs!$B$29,MAX(0,(Inputs!$B$3-100)*3)+Inputs!$B$28+Inputs!$B$29)))</f>
        <v/>
      </c>
      <c r="E1648">
        <f>INDEX(FactorTable!$B$2:$Y$301, MATCH(ROUND(MIN(300,MAX(1,D1648)),0), FactorTable!$A$2:$A$301,0), Skills!M19+1)</f>
        <v/>
      </c>
      <c r="F1648">
        <f>IF(Skills!N19=TRUE,(Skills!L19/10)*(E1648/1000),Skills!L19/10)+Skills!O19</f>
        <v/>
      </c>
      <c r="G1648">
        <f>Skills!G19*IF(Skills!H19&gt;0,Skills!I19/Skills!H19,1)</f>
        <v/>
      </c>
      <c r="H1648">
        <f>1-(1-Skills!J19/100)^Skills!K19</f>
        <v/>
      </c>
      <c r="I1648" t="inlineStr">
        <is>
          <t>1</t>
        </is>
      </c>
      <c r="J1648" t="inlineStr"/>
      <c r="K1648" t="inlineStr"/>
      <c r="L1648" t="inlineStr"/>
      <c r="M1648" t="inlineStr"/>
      <c r="N1648" t="inlineStr"/>
      <c r="O1648">
        <f>(1-Summary!$B$11)*T1648+Summary!$B$11*V1648</f>
        <v/>
      </c>
      <c r="P1648">
        <f>IF(B1664=0,0,O1648/B1664)</f>
        <v/>
      </c>
      <c r="Q1648" t="n">
        <v>0</v>
      </c>
      <c r="R1648" t="n">
        <v>0</v>
      </c>
      <c r="S1648">
        <f>IFERROR(O1648/N1648,0)</f>
        <v/>
      </c>
      <c r="T1648" t="n">
        <v>0</v>
      </c>
      <c r="V1648" t="n">
        <v>0</v>
      </c>
    </row>
    <row r="1649">
      <c r="A1649">
        <f>Skills!A20</f>
        <v/>
      </c>
      <c r="B1649">
        <f>Skills!B20</f>
        <v/>
      </c>
      <c r="C1649">
        <f>Inputs!$B$3&gt;=43</f>
        <v/>
      </c>
      <c r="D1649">
        <f>IF(Skills!C20=1,60+Inputs!$B$25+Inputs!$B$29,IF(Skills!C20=2,90+Inputs!$B$26+Inputs!$B$29,IF(Skills!C20=3,120+Inputs!$B$27+Inputs!$B$29,MAX(0,(Inputs!$B$3-100)*3)+Inputs!$B$28+Inputs!$B$29)))</f>
        <v/>
      </c>
      <c r="E1649">
        <f>INDEX(FactorTable!$B$2:$Y$301, MATCH(ROUND(MIN(300,MAX(1,D1649)),0), FactorTable!$A$2:$A$301,0), Skills!M20+1)</f>
        <v/>
      </c>
      <c r="F1649">
        <f>IF(Skills!N20=TRUE,(Skills!L20/10)*(E1649/1000),Skills!L20/10)+Skills!O20</f>
        <v/>
      </c>
      <c r="G1649">
        <f>Skills!G20*IF(Skills!H20&gt;0,Skills!I20/Skills!H20,1)</f>
        <v/>
      </c>
      <c r="H1649">
        <f>1-(1-Skills!J20/100)^Skills!K20</f>
        <v/>
      </c>
      <c r="I1649" t="inlineStr">
        <is>
          <t>1</t>
        </is>
      </c>
      <c r="J1649" t="inlineStr"/>
      <c r="K1649" t="inlineStr"/>
      <c r="L1649" t="inlineStr"/>
      <c r="M1649" t="inlineStr"/>
      <c r="N1649" t="inlineStr"/>
      <c r="O1649">
        <f>(1-Summary!$B$11)*T1649+Summary!$B$11*V1649</f>
        <v/>
      </c>
      <c r="P1649">
        <f>IF(B1664=0,0,O1649/B1664)</f>
        <v/>
      </c>
      <c r="Q1649" t="n">
        <v>0</v>
      </c>
      <c r="R1649" t="n">
        <v>0</v>
      </c>
      <c r="S1649">
        <f>IFERROR(O1649/N1649,0)</f>
        <v/>
      </c>
      <c r="T1649" t="n">
        <v>0</v>
      </c>
      <c r="V1649" t="n">
        <v>0</v>
      </c>
    </row>
    <row r="1650">
      <c r="A1650">
        <f>Skills!A21</f>
        <v/>
      </c>
      <c r="B1650">
        <f>Skills!B21</f>
        <v/>
      </c>
      <c r="C1650">
        <f>Inputs!$B$3&gt;=38</f>
        <v/>
      </c>
      <c r="D1650">
        <f>IF(Skills!C21=1,60+Inputs!$B$25+Inputs!$B$29,IF(Skills!C21=2,90+Inputs!$B$26+Inputs!$B$29,IF(Skills!C21=3,120+Inputs!$B$27+Inputs!$B$29,MAX(0,(Inputs!$B$3-100)*3)+Inputs!$B$28+Inputs!$B$29)))</f>
        <v/>
      </c>
      <c r="E1650">
        <f>INDEX(FactorTable!$B$2:$Y$301, MATCH(ROUND(MIN(300,MAX(1,D1650)),0), FactorTable!$A$2:$A$301,0), Skills!M21+1)</f>
        <v/>
      </c>
      <c r="F1650">
        <f>IF(Skills!N21=TRUE,(Skills!L21/10)*(E1650/1000),Skills!L21/10)+Skills!O21</f>
        <v/>
      </c>
      <c r="G1650">
        <f>Skills!G21*IF(Skills!H21&gt;0,Skills!I21/Skills!H21,1)</f>
        <v/>
      </c>
      <c r="H1650">
        <f>1-(1-Skills!J21/100)^Skills!K21</f>
        <v/>
      </c>
      <c r="I1650" t="inlineStr">
        <is>
          <t>1</t>
        </is>
      </c>
      <c r="J1650" t="inlineStr"/>
      <c r="K1650" t="inlineStr"/>
      <c r="L1650" t="inlineStr"/>
      <c r="M1650" t="inlineStr"/>
      <c r="N1650" t="inlineStr"/>
      <c r="O1650">
        <f>(1-Summary!$B$11)*T1650+Summary!$B$11*V1650</f>
        <v/>
      </c>
      <c r="P1650">
        <f>IF(B1664=0,0,O1650/B1664)</f>
        <v/>
      </c>
      <c r="Q1650" t="n">
        <v>0</v>
      </c>
      <c r="R1650" t="n">
        <v>0</v>
      </c>
      <c r="S1650">
        <f>IFERROR(O1650/N1650,0)</f>
        <v/>
      </c>
      <c r="T1650" t="n">
        <v>0</v>
      </c>
      <c r="V1650" t="n">
        <v>0</v>
      </c>
    </row>
    <row r="1651">
      <c r="A1651">
        <f>Skills!A22</f>
        <v/>
      </c>
      <c r="B1651">
        <f>Skills!B22</f>
        <v/>
      </c>
      <c r="C1651">
        <f>Inputs!$B$3&gt;=75</f>
        <v/>
      </c>
      <c r="D1651">
        <f>IF(Skills!C22=1,60+Inputs!$B$25+Inputs!$B$29,IF(Skills!C22=2,90+Inputs!$B$26+Inputs!$B$29,IF(Skills!C22=3,120+Inputs!$B$27+Inputs!$B$29,MAX(0,(Inputs!$B$3-100)*3)+Inputs!$B$28+Inputs!$B$29)))</f>
        <v/>
      </c>
      <c r="E1651">
        <f>INDEX(FactorTable!$B$2:$Y$301, MATCH(ROUND(MIN(300,MAX(1,D1651)),0), FactorTable!$A$2:$A$301,0), Skills!M22+1)</f>
        <v/>
      </c>
      <c r="F1651">
        <f>IF(Skills!N22=TRUE,(Skills!L22/10)*(E1651/1000),Skills!L22/10)+Skills!O22</f>
        <v/>
      </c>
      <c r="G1651">
        <f>Skills!G22*IF(Skills!H22&gt;0,Skills!I22/Skills!H22,1)</f>
        <v/>
      </c>
      <c r="H1651">
        <f>1-(1-Skills!J22/100)^Skills!K22</f>
        <v/>
      </c>
      <c r="I1651" t="inlineStr">
        <is>
          <t>1</t>
        </is>
      </c>
      <c r="J1651" t="inlineStr"/>
      <c r="K1651" t="inlineStr"/>
      <c r="L1651" t="inlineStr"/>
      <c r="M1651" t="inlineStr"/>
      <c r="N1651" t="inlineStr"/>
      <c r="O1651">
        <f>(1-Summary!$B$11)*T1651+Summary!$B$11*V1651</f>
        <v/>
      </c>
      <c r="P1651">
        <f>IF(B1664=0,0,O1651/B1664)</f>
        <v/>
      </c>
      <c r="Q1651" t="n">
        <v>0</v>
      </c>
      <c r="R1651" t="n">
        <v>0</v>
      </c>
      <c r="S1651">
        <f>IFERROR(O1651/N1651,0)</f>
        <v/>
      </c>
      <c r="T1651" t="n">
        <v>0</v>
      </c>
      <c r="V1651" t="n">
        <v>0</v>
      </c>
    </row>
    <row r="1653">
      <c r="A1653" t="inlineStr">
        <is>
          <t>Attack% Bucket Multiplier</t>
        </is>
      </c>
      <c r="B1653">
        <f>(1+(((C1642=TRUE)*F1642)+((C1648=TRUE)*(F1648-Calc!F19))+(IF(ArtifactsInput!$M$21,CHOOSE(ArtifactsInput!$N$21+1,25,30,35,40,45,50)*(IF(OR(Inputs!$B$4="Chapter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4">
      <c r="A1654" t="inlineStr">
        <is>
          <t>Global Crit Rate Bonus %</t>
        </is>
      </c>
      <c r="B1654" t="n">
        <v>0</v>
      </c>
    </row>
    <row r="1655">
      <c r="A1655" t="inlineStr">
        <is>
          <t>Attack Speed Buff Bonus % (unused)</t>
        </is>
      </c>
      <c r="B1655" t="n">
        <v>0</v>
      </c>
    </row>
    <row r="1656">
      <c r="A1656" t="inlineStr">
        <is>
          <t>Actions Per Second</t>
        </is>
      </c>
      <c r="B1656">
        <f>1+MIN(150,150*(1-(1-(Inputs!$B$11+((C1646=TRUE)*(F1646-Calc!F17))+((C1647=TRUE)*(F1647-Calc!F18)))/150)*(1-B1655/150)))/100</f>
        <v/>
      </c>
    </row>
    <row r="1657">
      <c r="A1657" t="inlineStr">
        <is>
          <t>Skill + Buff Cast Rate</t>
        </is>
      </c>
      <c r="B1657">
        <f>IF(AND(Inputs!$B$38&lt;&gt;"pvp",Inputs!$B$43&gt;0),SUMPRODUCT((Skills!E2:E22=TRUE)*(C1631:C1651=TRUE)*R1631:R1651*Skills!F2:F22)/Inputs!$B$43,SUMPRODUCT((Skills!E2:E22=TRUE)*(C1631:C1651=TRUE)*Q1631:Q1651*Skills!F2:F22))</f>
        <v/>
      </c>
    </row>
    <row r="1658">
      <c r="A1658" t="inlineStr">
        <is>
          <t>Hook Bomber Casts Per Second</t>
        </is>
      </c>
      <c r="B1658">
        <f>MAX(0,B1656-B1657)</f>
        <v/>
      </c>
    </row>
    <row r="1659">
      <c r="A1659" t="inlineStr">
        <is>
          <t>Global Critical Damage Bonus % (unused)</t>
        </is>
      </c>
      <c r="B1659" t="n">
        <v>0</v>
      </c>
    </row>
    <row r="1660">
      <c r="A1660" t="inlineStr">
        <is>
          <t>Global Final Damage Bonus % (Serpent Scale + Crossbones + Time Leap + Speed Infusion)</t>
        </is>
      </c>
      <c r="B1660">
        <f>((C1634=TRUE)*F1634*((10+IF(Inputs!$B$3&gt;=94,5,0))/((10+IF(Inputs!$B$3&gt;=94,5,0))+5/(B1658*(1+IF(Inputs!$B$3&gt;=104,1,0))))))+((C1643=TRUE)*F1643)+((C1644=TRUE)*F1644)+((Inputs!$B$3&gt;=110)*20*(B1656-1))</f>
        <v/>
      </c>
    </row>
    <row r="1661">
      <c r="A1661" t="inlineStr">
        <is>
          <t>Buff-Casting Startup Delay (s, fixed-duration only)</t>
        </is>
      </c>
      <c r="B1661">
        <f>IF(AND(Inputs!$B$38&lt;&gt;"pvp",Inputs!$B$43&gt;0),SUMPRODUCT((Skills!T2:T22&gt;0)*(Skills!E2:E22=TRUE)*(C1631:C1651=TRUE))/B1656,0)</f>
        <v/>
      </c>
    </row>
    <row r="1662">
      <c r="A1662" t="inlineStr">
        <is>
          <t>Boss-Only Total DPS (this block's swept value)</t>
        </is>
      </c>
      <c r="B1662">
        <f>SUM(T1631:T1651)</f>
        <v/>
      </c>
    </row>
    <row r="1663">
      <c r="A1663" t="inlineStr">
        <is>
          <t>Normal-Only Total DPS (this block's swept value)</t>
        </is>
      </c>
      <c r="B1663">
        <f>SUM(V1631:V1651)</f>
        <v/>
      </c>
    </row>
    <row r="1664">
      <c r="A1664" s="6" t="inlineStr">
        <is>
          <t>TOTAL DPS</t>
        </is>
      </c>
      <c r="B1664" s="6">
        <f>SUM(O1631:O1651)</f>
        <v/>
      </c>
    </row>
    <row r="1667">
      <c r="A1667" s="6" t="inlineStr">
        <is>
          <t>Stat: Star Rock (Equip)</t>
        </is>
      </c>
    </row>
    <row r="1668">
      <c r="A1668" s="5" t="inlineStr">
        <is>
          <t>Key</t>
        </is>
      </c>
      <c r="B1668" s="5" t="inlineStr">
        <is>
          <t>Name</t>
        </is>
      </c>
      <c r="C1668" s="5" t="inlineStr">
        <is>
          <t>Unlocked</t>
        </is>
      </c>
      <c r="D1668" s="5" t="inlineStr">
        <is>
          <t>InputLevel</t>
        </is>
      </c>
      <c r="E1668" s="5" t="inlineStr">
        <is>
          <t>Factor</t>
        </is>
      </c>
      <c r="F1668" s="5" t="inlineStr">
        <is>
          <t>CoefficientPercent</t>
        </is>
      </c>
      <c r="G1668" s="5" t="inlineStr">
        <is>
          <t>EffectiveHits</t>
        </is>
      </c>
      <c r="H1668" s="5" t="inlineStr">
        <is>
          <t>ProcProbability</t>
        </is>
      </c>
      <c r="I1668" s="5" t="inlineStr">
        <is>
          <t>MapleHeroMultiplier</t>
        </is>
      </c>
      <c r="J1668" s="5" t="inlineStr">
        <is>
          <t>BaseDamage</t>
        </is>
      </c>
      <c r="K1668" s="5" t="inlineStr">
        <is>
          <t>BaseHitDamage</t>
        </is>
      </c>
      <c r="L1668" s="5" t="inlineStr">
        <is>
          <t>NonCritAvg</t>
        </is>
      </c>
      <c r="M1668" s="5" t="inlineStr">
        <is>
          <t>CritAvg</t>
        </is>
      </c>
      <c r="N1668" s="5" t="inlineStr">
        <is>
          <t>ExpectedDamage(perHit)</t>
        </is>
      </c>
      <c r="O1668" s="5" t="inlineStr">
        <is>
          <t>DPS</t>
        </is>
      </c>
      <c r="P1668" s="5" t="inlineStr">
        <is>
          <t>% of Total</t>
        </is>
      </c>
      <c r="Q1668" s="5" t="inlineStr">
        <is>
          <t>InvCooldown</t>
        </is>
      </c>
      <c r="R1668" s="5" t="inlineStr">
        <is>
          <t>CastsInFight</t>
        </is>
      </c>
      <c r="S1668" s="5" t="inlineStr">
        <is>
          <t>HitRate(perSec)</t>
        </is>
      </c>
      <c r="U1668" t="inlineStr">
        <is>
          <t>helpers</t>
        </is>
      </c>
    </row>
    <row r="1669">
      <c r="A1669">
        <f>Skills!A2</f>
        <v/>
      </c>
      <c r="B1669">
        <f>Skills!B2</f>
        <v/>
      </c>
      <c r="C1669">
        <f>Inputs!$B$3&gt;=100</f>
        <v/>
      </c>
      <c r="D1669" t="inlineStr"/>
      <c r="E1669" t="inlineStr"/>
      <c r="F1669">
        <f>U1671+Skills!O2</f>
        <v/>
      </c>
      <c r="G1669">
        <f>Skills!G2*IF(Skills!H2&gt;0,Skills!I2/Skills!H2,1)</f>
        <v/>
      </c>
      <c r="H1669">
        <f>1-(1-Skills!J2/100)^Skills!K2</f>
        <v/>
      </c>
      <c r="I1669" t="inlineStr">
        <is>
          <t>1</t>
        </is>
      </c>
      <c r="J1669">
        <f>((Inputs!$B$6*(1+Inputs!$B$7/100))+(((Inputs!$B$12*(1+Inputs!$B$13/100))-(Inputs!$B$12*(1+Inputs!$B$13/100)))+0.25*(Inputs!$B$14-Inputs!$B$14))*(1+Inputs!$B$7/100))*(F1669/100)</f>
        <v/>
      </c>
      <c r="K1669">
        <f>J1669*(1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C1687=TRUE)*(F1687-Calc!F20)),(Inputs!$B$23+0+(IF(ArtifactsInput!$M$15,CHOOSE(ArtifactsInput!$N$15+1,25,30,35,40,45,50)/100*(Inputs!$B$11-Inputs!$B$11),0))))/100+(Inputs!$B$23+0+(IF(ArtifactsInput!$M$15,CHOOSE(ArtifactsInput!$N$15+1,25,30,35,40,45,50)/100*(Inputs!$B$11-Inputs!$B$11),0)))/100)/2</f>
        <v/>
      </c>
      <c r="M1669">
        <f>L1669*(1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IF(B1702=0,0,O1669/B1702)</f>
        <v/>
      </c>
      <c r="Q1669" t="n">
        <v>0</v>
      </c>
      <c r="R1669" t="n">
        <v>0</v>
      </c>
      <c r="S1669">
        <f>IFERROR(O1669/N1669,0)</f>
        <v/>
      </c>
      <c r="T1669">
        <f>IF(C1669,(Skills!G2*N1669*B1696)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MAX(0,(Inputs!$B$3-100)*3)+Inputs!$B$28+Inputs!$B$29</f>
        <v/>
      </c>
      <c r="V1669">
        <f>IF(C1669,(Skills!G2*N1669*B1696)*IF(Inputs!$B$38="pvp",1,(1+(Inputs!$B$21+Skills!Q2+(IF(ArtifactsInput!$M$33,CHOOSE(ArtifactsInput!$N$33+1,30,36,42,48,54,60),0))+(IF(AND(ArtifactsInput!$M$35,Inputs!$B$4&lt;&gt;"Chapter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Skills!A3</f>
        <v/>
      </c>
      <c r="B1670">
        <f>Skills!B3</f>
        <v/>
      </c>
      <c r="C1670">
        <f>Inputs!$B$3&gt;=35</f>
        <v/>
      </c>
      <c r="D1670">
        <f>IF(Skills!C3=1,60+Inputs!$B$25+Inputs!$B$29,IF(Skills!C3=2,90+Inputs!$B$26+Inputs!$B$29,IF(Skills!C3=3,120+Inputs!$B$27+Inputs!$B$29,MAX(0,(Inputs!$B$3-100)*3)+Inputs!$B$28+Inputs!$B$29)))</f>
        <v/>
      </c>
      <c r="E1670">
        <f>INDEX(FactorTable!$B$2:$Y$301, MATCH(ROUND(MIN(300,MAX(1,D1670)),0), FactorTable!$A$2:$A$301,0), Skills!M3+1)</f>
        <v/>
      </c>
      <c r="F1670">
        <f>IF(Skills!N3=TRUE,(Skills!L3/10)*(E1670/1000),Skills!L3/10)+Skills!O3</f>
        <v/>
      </c>
      <c r="G1670">
        <f>Skills!G3*IF(Skills!H3&gt;0,Skills!I3/Skills!H3,1)</f>
        <v/>
      </c>
      <c r="H1670">
        <f>1-(1-Skills!J3/100)^Skills!K3</f>
        <v/>
      </c>
      <c r="I1670" t="inlineStr">
        <is>
          <t>1</t>
        </is>
      </c>
      <c r="J1670">
        <f>((Inputs!$B$6*(1+Inputs!$B$7/100))+(((Inputs!$B$12*(1+Inputs!$B$13/100))-(Inputs!$B$12*(1+Inputs!$B$13/100)))+0.25*(Inputs!$B$14-Inputs!$B$14))*(1+Inputs!$B$7/100))*(F1670/100)</f>
        <v/>
      </c>
      <c r="K1670">
        <f>J1670*(1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1670)</f>
        <v/>
      </c>
      <c r="L1670">
        <f>K1670*(MIN(Inputs!$B$22+((C1687=TRUE)*(F1687-Calc!F20)),(Inputs!$B$23+0+(IF(ArtifactsInput!$M$15,CHOOSE(ArtifactsInput!$N$15+1,25,30,35,40,45,50)/100*(Inputs!$B$11-Inputs!$B$11),0))))/100+(Inputs!$B$23+0+(IF(ArtifactsInput!$M$15,CHOOSE(ArtifactsInput!$N$15+1,25,30,35,40,45,50)/100*(Inputs!$B$11-Inputs!$B$11),0)))/100)/2</f>
        <v/>
      </c>
      <c r="M1670">
        <f>L1670*(1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0">
        <f>L1670*(1-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1670*(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0">
        <f>(1-Summary!$B$11)*T1670+Summary!$B$11*V1670</f>
        <v/>
      </c>
      <c r="P1670">
        <f>IF(B1702=0,0,O1670/B1702)</f>
        <v/>
      </c>
      <c r="Q1670" t="n">
        <v>0</v>
      </c>
      <c r="R1670" t="n">
        <v>0</v>
      </c>
      <c r="S1670">
        <f>IFERROR(O1670/N1670,0)</f>
        <v/>
      </c>
      <c r="T1670">
        <f>IF(C1670,(Skills!G3*H1670*N1670*B1696)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1670*(1-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1670*(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1670*(1-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1670*(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0">
        <f>INDEX(FactorTable!$B$2:$Y$301, MATCH(ROUND(MIN(300,MAX(1,U1669)),0), FactorTable!$A$2:$A$301,0), 22)</f>
        <v/>
      </c>
      <c r="V1670">
        <f>IF(C1670,(Skills!G3*H1670*N1670*B1696)*IF(Inputs!$B$38="pvp",1,(1+(Inputs!$B$21+Skills!Q3+(IF(ArtifactsInput!$M$33,CHOOSE(ArtifactsInput!$N$33+1,30,36,42,48,54,60),0))+(IF(AND(ArtifactsInput!$M$35,Inputs!$B$4&lt;&gt;"Chapter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1">
      <c r="A1671">
        <f>Skills!A4</f>
        <v/>
      </c>
      <c r="B1671">
        <f>Skills!B4</f>
        <v/>
      </c>
      <c r="C1671">
        <f>Inputs!$B$3&gt;=60</f>
        <v/>
      </c>
      <c r="D1671">
        <f>IF(Skills!C4=1,60+Inputs!$B$25+Inputs!$B$29,IF(Skills!C4=2,90+Inputs!$B$26+Inputs!$B$29,IF(Skills!C4=3,120+Inputs!$B$27+Inputs!$B$29,MAX(0,(Inputs!$B$3-100)*3)+Inputs!$B$28+Inputs!$B$29)))</f>
        <v/>
      </c>
      <c r="E1671">
        <f>INDEX(FactorTable!$B$2:$Y$301, MATCH(ROUND(MIN(300,MAX(1,D1671)),0), FactorTable!$A$2:$A$301,0), Skills!M4+1)</f>
        <v/>
      </c>
      <c r="F1671">
        <f>IF(Skills!N4=TRUE,(Skills!L4/10)*(E1671/1000),Skills!L4/10)+Skills!O4</f>
        <v/>
      </c>
      <c r="G1671">
        <f>Skills!G4*IF(Skills!H4&gt;0,Skills!I4/Skills!H4,1)</f>
        <v/>
      </c>
      <c r="H1671">
        <f>1-(1-Skills!J4/100)^Skills!K4</f>
        <v/>
      </c>
      <c r="I1671" t="inlineStr">
        <is>
          <t>1</t>
        </is>
      </c>
      <c r="J1671">
        <f>((Inputs!$B$6*(1+Inputs!$B$7/100))+(((Inputs!$B$12*(1+Inputs!$B$13/100))-(Inputs!$B$12*(1+Inputs!$B$13/100)))+0.25*(Inputs!$B$14-Inputs!$B$14))*(1+Inputs!$B$7/100))*(F1671/100)</f>
        <v/>
      </c>
      <c r="K1671">
        <f>J1671*(1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1679=TRUE,F1679,0)/100)*(1+(IF(Skills!A4="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1671)</f>
        <v/>
      </c>
      <c r="L1671">
        <f>K1671*(MIN(Inputs!$B$22+((C1687=TRUE)*(F1687-Calc!F20)),(Inputs!$B$23+0+(IF(ArtifactsInput!$M$15,CHOOSE(ArtifactsInput!$N$15+1,25,30,35,40,45,50)/100*(Inputs!$B$11-Inputs!$B$11),0))))/100+(Inputs!$B$23+0+(IF(ArtifactsInput!$M$15,CHOOSE(ArtifactsInput!$N$15+1,25,30,35,40,45,50)/100*(Inputs!$B$11-Inputs!$B$11),0)))/100)/2</f>
        <v/>
      </c>
      <c r="M1671">
        <f>L1671*(1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1">
        <f>L1671*(1-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1">
        <f>(1-Summary!$B$11)*T1671+Summary!$B$11*V1671</f>
        <v/>
      </c>
      <c r="P1671">
        <f>IF(B1702=0,0,O1671/B1702)</f>
        <v/>
      </c>
      <c r="Q1671" t="n">
        <v>0</v>
      </c>
      <c r="R1671" t="n">
        <v>0</v>
      </c>
      <c r="S1671">
        <f>IFERROR(O1671/N1671,0)</f>
        <v/>
      </c>
      <c r="T1671">
        <f>IF(C1671,(Skills!G4*H1671*N1671*B1696)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1">
        <f>290*U1670/1000</f>
        <v/>
      </c>
      <c r="V1671">
        <f>IF(C1671,(Skills!G4*H1671*N1671*B1696)*IF(Inputs!$B$38="pvp",1,(1+(Inputs!$B$21+Skills!Q4+(IF(ArtifactsInput!$M$33,CHOOSE(ArtifactsInput!$N$33+1,30,36,42,48,54,60),0))+(IF(AND(ArtifactsInput!$M$35,Inputs!$B$4&lt;&gt;"Chapter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2">
      <c r="A1672">
        <f>Skills!A5</f>
        <v/>
      </c>
      <c r="B1672">
        <f>Skills!B5</f>
        <v/>
      </c>
      <c r="C1672">
        <f>Inputs!$B$3&gt;=60</f>
        <v/>
      </c>
      <c r="D1672">
        <f>IF(Skills!C5=1,60+Inputs!$B$25+Inputs!$B$29,IF(Skills!C5=2,90+Inputs!$B$26+Inputs!$B$29,IF(Skills!C5=3,120+Inputs!$B$27+Inputs!$B$29,MAX(0,(Inputs!$B$3-100)*3)+Inputs!$B$28+Inputs!$B$29)))</f>
        <v/>
      </c>
      <c r="E1672">
        <f>INDEX(FactorTable!$B$2:$Y$301, MATCH(ROUND(MIN(300,MAX(1,D1672)),0), FactorTable!$A$2:$A$301,0), Skills!M5+1)</f>
        <v/>
      </c>
      <c r="F1672">
        <f>IF(Skills!N5=TRUE,(Skills!L5/10)*(E1672/1000),Skills!L5/10)+Skills!O5</f>
        <v/>
      </c>
      <c r="G1672">
        <f>Skills!G5*IF(Skills!H5&gt;0,Skills!I5/Skills!H5,1)</f>
        <v/>
      </c>
      <c r="H1672">
        <f>1-(1-Skills!J5/100)^Skills!K5</f>
        <v/>
      </c>
      <c r="I1672" t="inlineStr">
        <is>
          <t>1</t>
        </is>
      </c>
      <c r="J1672" t="inlineStr"/>
      <c r="K1672" t="inlineStr"/>
      <c r="L1672" t="inlineStr"/>
      <c r="M1672" t="inlineStr"/>
      <c r="N1672" t="inlineStr"/>
      <c r="O1672">
        <f>(1-Summary!$B$11)*T1672+Summary!$B$11*V1672</f>
        <v/>
      </c>
      <c r="P1672">
        <f>IF(B1702=0,0,O1672/B1702)</f>
        <v/>
      </c>
      <c r="Q1672" t="n">
        <v>0</v>
      </c>
      <c r="R1672" t="n">
        <v>0</v>
      </c>
      <c r="S1672">
        <f>IFERROR(O1672/N1672,0)</f>
        <v/>
      </c>
      <c r="T1672" t="n">
        <v>0</v>
      </c>
      <c r="V1672" t="n">
        <v>0</v>
      </c>
    </row>
    <row r="1673">
      <c r="A1673">
        <f>Skills!A6</f>
        <v/>
      </c>
      <c r="B1673">
        <f>Skills!B6</f>
        <v/>
      </c>
      <c r="C1673">
        <f>Inputs!$B$3&gt;=63</f>
        <v/>
      </c>
      <c r="D1673">
        <f>IF(Skills!C6=1,60+Inputs!$B$25+Inputs!$B$29,IF(Skills!C6=2,90+Inputs!$B$26+Inputs!$B$29,IF(Skills!C6=3,120+Inputs!$B$27+Inputs!$B$29,MAX(0,(Inputs!$B$3-100)*3)+Inputs!$B$28+Inputs!$B$29)))</f>
        <v/>
      </c>
      <c r="E1673">
        <f>INDEX(FactorTable!$B$2:$Y$301, MATCH(ROUND(MIN(300,MAX(1,D1673)),0), FactorTable!$A$2:$A$301,0), Skills!M6+1)</f>
        <v/>
      </c>
      <c r="F1673">
        <f>IF(Skills!N6=TRUE,(Skills!L6/10)*(E1673/1000),Skills!L6/10)+Skills!O6</f>
        <v/>
      </c>
      <c r="G1673">
        <f>Skills!G6*IF(Skills!H6&gt;0,Skills!I6/Skills!H6,1)</f>
        <v/>
      </c>
      <c r="H1673">
        <f>1-(1-Skills!J6/100)^Skills!K6</f>
        <v/>
      </c>
      <c r="I1673" t="inlineStr">
        <is>
          <t>1</t>
        </is>
      </c>
      <c r="J1673">
        <f>((Inputs!$B$6*(1+Inputs!$B$7/100))+(((Inputs!$B$12*(1+Inputs!$B$13/100))-(Inputs!$B$12*(1+Inputs!$B$13/100)))+0.25*(Inputs!$B$14-Inputs!$B$14))*(1+Inputs!$B$7/100))*(F1673/100)</f>
        <v/>
      </c>
      <c r="K1673">
        <f>J1673*(1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1687=TRUE)*(F1687-Calc!F20)),(Inputs!$B$23+0+(IF(ArtifactsInput!$M$15,CHOOSE(ArtifactsInput!$N$15+1,25,30,35,40,45,50)/100*(Inputs!$B$11-Inputs!$B$11),0))))/100+(Inputs!$B$23+0+(IF(ArtifactsInput!$M$15,CHOOSE(ArtifactsInput!$N$15+1,25,30,35,40,45,50)/100*(Inputs!$B$11-Inputs!$B$11),0)))/100)/2</f>
        <v/>
      </c>
      <c r="M1673">
        <f>L1673*(1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IF(B1702=0,0,O1673/B1702)</f>
        <v/>
      </c>
      <c r="Q1673">
        <f>IFERROR(1/(IF(Inputs!$B$38="pvp",15,MAX(0.1,Skills!D6-IF(Skills!E6=TRUE,Inputs!$B$32,0)))*(1-IF(AND(ArtifactsInput!$M$27,Inputs!$B$4="Chapter Hunt"),CHOOSE(ArtifactsInput!$N$27+1,20,24,28,32,36,40),0)/100)),0)</f>
        <v/>
      </c>
      <c r="R1673">
        <f>IF(AND(Inputs!$B$38&lt;&gt;"pvp",Inputs!$B$43&gt;0),IF(MAX(0,Inputs!$B$43-B1699)&lt;=0,0,(INT(MAX(0,Inputs!$B$43-B1699)/(IF(Inputs!$B$38="pvp",15,MAX(0.1,Skills!D6-IF(Skills!E6=TRUE,Inputs!$B$32,0)))*(1-IF(AND(ArtifactsInput!$M$27,Inputs!$B$4="Chapter Hunt"),CHOOSE(ArtifactsInput!$N$27+1,20,24,28,32,36,40),0)/100)))+1)),0)</f>
        <v/>
      </c>
      <c r="S1673">
        <f>IFERROR(O1673/N1673,0)</f>
        <v/>
      </c>
      <c r="T1673">
        <f>IF(C1673,(H1673*N1673*IF(AND(Inputs!$B$38&lt;&gt;"pvp",Inputs!$B$43&gt;0),((Skills!G6*((R1673-1)*IF(Skills!H6&gt;0,Skills!I6/Skills!H6,1)+IF(Skills!H6&gt;0,MIN(Skills!I6,MAX(0,MAX(0,Inputs!$B$43-B1699)-((R1673-1)*(IF(Inputs!$B$38="pvp",15,MAX(0.1,Skills!D6-IF(Skills!E6=TRUE,Inputs!$B$32,0)))*(1-IF(AND(ArtifactsInput!$M$27,Inputs!$B$4="Chapter Hunt"),CHOOSE(ArtifactsInput!$N$27+1,20,24,28,32,36,40),0)/100)))))/Skills!H6,1)))/Inputs!$B$43),G1673*Q1673)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3">
        <f>IF(C1673,(H1673*N1673*IF(AND(Inputs!$B$38&lt;&gt;"pvp",Inputs!$B$43&gt;0),((Skills!G6*((R1673-1)*IF(Skills!H6&gt;0,Skills!I6/Skills!H6,1)+IF(Skills!H6&gt;0,MIN(Skills!I6,MAX(0,MAX(0,Inputs!$B$43-B1699)-((R1673-1)*(IF(Inputs!$B$38="pvp",15,MAX(0.1,Skills!D6-IF(Skills!E6=TRUE,Inputs!$B$32,0)))*(1-IF(AND(ArtifactsInput!$M$27,Inputs!$B$4="Chapter Hunt"),CHOOSE(ArtifactsInput!$N$27+1,20,24,28,32,36,40),0)/100)))))/Skills!H6,1)))/Inputs!$B$43),G1673*Q1673))*IF(Inputs!$B$38="pvp",1,(1+(Inputs!$B$21+Skills!Q6+(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Skills!A7</f>
        <v/>
      </c>
      <c r="B1674">
        <f>Skills!B7</f>
        <v/>
      </c>
      <c r="C1674">
        <f>Inputs!$B$3&gt;=100</f>
        <v/>
      </c>
      <c r="D1674">
        <f>IF(Skills!C7=1,60+Inputs!$B$25+Inputs!$B$29,IF(Skills!C7=2,90+Inputs!$B$26+Inputs!$B$29,IF(Skills!C7=3,120+Inputs!$B$27+Inputs!$B$29,MAX(0,(Inputs!$B$3-100)*3)+Inputs!$B$28+Inputs!$B$29)))</f>
        <v/>
      </c>
      <c r="E1674">
        <f>INDEX(FactorTable!$B$2:$Y$301, MATCH(ROUND(MIN(300,MAX(1,D1674)),0), FactorTable!$A$2:$A$301,0), Skills!M7+1)</f>
        <v/>
      </c>
      <c r="F1674">
        <f>IF(Skills!N7=TRUE,(Skills!L7/10)*(E1674/1000),Skills!L7/10)+Skills!O7</f>
        <v/>
      </c>
      <c r="G1674">
        <f>Skills!G7*IF(Skills!H7&gt;0,Skills!I7/Skills!H7,1)</f>
        <v/>
      </c>
      <c r="H1674">
        <f>1-(1-Skills!J7/100)^Skills!K7</f>
        <v/>
      </c>
      <c r="I1674" t="inlineStr">
        <is>
          <t>1</t>
        </is>
      </c>
      <c r="J1674">
        <f>((Inputs!$B$6*(1+Inputs!$B$7/100))+(((Inputs!$B$12*(1+Inputs!$B$13/100))-(Inputs!$B$12*(1+Inputs!$B$13/100)))+0.25*(Inputs!$B$14-Inputs!$B$14))*(1+Inputs!$B$7/100))*(F1674/100)</f>
        <v/>
      </c>
      <c r="K1674">
        <f>J1674*(1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C1687=TRUE)*(F1687-Calc!F20)),(Inputs!$B$23+0+(IF(ArtifactsInput!$M$15,CHOOSE(ArtifactsInput!$N$15+1,25,30,35,40,45,50)/100*(Inputs!$B$11-Inputs!$B$11),0))))/100+(Inputs!$B$23+0+(IF(ArtifactsInput!$M$15,CHOOSE(ArtifactsInput!$N$15+1,25,30,35,40,45,50)/100*(Inputs!$B$11-Inputs!$B$11),0)))/100)/2</f>
        <v/>
      </c>
      <c r="M1674">
        <f>L1674*(1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IF(B1702=0,0,O1674/B1702)</f>
        <v/>
      </c>
      <c r="Q1674">
        <f>IFERROR(1/(IF(Inputs!$B$38="pvp",15,MAX(0.1,Skills!D7-IF(Skills!E7=TRUE,Inputs!$B$32,0)))*(1-IF(AND(ArtifactsInput!$M$27,Inputs!$B$4="Chapter Hunt"),CHOOSE(ArtifactsInput!$N$27+1,20,24,28,32,36,40),0)/100)),0)</f>
        <v/>
      </c>
      <c r="R1674">
        <f>IF(AND(Inputs!$B$38&lt;&gt;"pvp",Inputs!$B$43&gt;0),IF(MAX(0,Inputs!$B$43-B1699)&lt;=0,0,(INT(MAX(0,Inputs!$B$43-B1699)/(IF(Inputs!$B$38="pvp",15,MAX(0.1,Skills!D7-IF(Skills!E7=TRUE,Inputs!$B$32,0)))*(1-IF(AND(ArtifactsInput!$M$27,Inputs!$B$4="Chapter Hunt"),CHOOSE(ArtifactsInput!$N$27+1,20,24,28,32,36,40),0)/100)))+1)),0)</f>
        <v/>
      </c>
      <c r="S1674">
        <f>IFERROR(O1674/N1674,0)</f>
        <v/>
      </c>
      <c r="T1674">
        <f>IF(C1674,(H1674*N1674*IF(AND(Inputs!$B$38&lt;&gt;"pvp",Inputs!$B$43&gt;0),((Skills!G7*((R1674-1)*IF(Skills!H7&gt;0,Skills!I7/Skills!H7,1)+IF(Skills!H7&gt;0,MIN(Skills!I7,MAX(0,MAX(0,Inputs!$B$43-B1699)-((R1674-1)*(IF(Inputs!$B$38="pvp",15,MAX(0.1,Skills!D7-IF(Skills!E7=TRUE,Inputs!$B$32,0)))*(1-IF(AND(ArtifactsInput!$M$27,Inputs!$B$4="Chapter Hunt"),CHOOSE(ArtifactsInput!$N$27+1,20,24,28,32,36,40),0)/100)))))/Skills!H7,1)))/Inputs!$B$43),G1674*Q1674)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7*((R1674-1)*IF(Skills!H7&gt;0,Skills!I7/Skills!H7,1)+IF(Skills!H7&gt;0,MIN(Skills!I7,MAX(0,MAX(0,Inputs!$B$43-B1699)-((R1674-1)*(IF(Inputs!$B$38="pvp",15,MAX(0.1,Skills!D7-IF(Skills!E7=TRUE,Inputs!$B$32,0)))*(1-IF(AND(ArtifactsInput!$M$27,Inputs!$B$4="Chapter Hunt"),CHOOSE(ArtifactsInput!$N$27+1,20,24,28,32,36,40),0)/100)))))/Skills!H7,1)))/Inputs!$B$43),G1674*Q1674))*IF(Inputs!$B$38="pvp",1,(1+(Inputs!$B$21+Skills!Q7+(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Skills!A8</f>
        <v/>
      </c>
      <c r="B1675">
        <f>Skills!B8</f>
        <v/>
      </c>
      <c r="C1675">
        <f>Inputs!$B$3&gt;=110</f>
        <v/>
      </c>
      <c r="D1675">
        <f>IF(Skills!C8=1,60+Inputs!$B$25+Inputs!$B$29,IF(Skills!C8=2,90+Inputs!$B$26+Inputs!$B$29,IF(Skills!C8=3,120+Inputs!$B$27+Inputs!$B$29,MAX(0,(Inputs!$B$3-100)*3)+Inputs!$B$28+Inputs!$B$29)))</f>
        <v/>
      </c>
      <c r="E1675">
        <f>INDEX(FactorTable!$B$2:$Y$301, MATCH(ROUND(MIN(300,MAX(1,D1675)),0), FactorTable!$A$2:$A$301,0), Skills!M8+1)</f>
        <v/>
      </c>
      <c r="F1675">
        <f>IF(Skills!N8=TRUE,(Skills!L8/10)*(E1675/1000),Skills!L8/10)+Skills!O8</f>
        <v/>
      </c>
      <c r="G1675">
        <f>Skills!G8*IF(Skills!H8&gt;0,Skills!I8/Skills!H8,1)</f>
        <v/>
      </c>
      <c r="H1675">
        <f>1-(1-Skills!J8/100)^Skills!K8</f>
        <v/>
      </c>
      <c r="I1675" t="inlineStr">
        <is>
          <t>1</t>
        </is>
      </c>
      <c r="J1675">
        <f>((Inputs!$B$6*(1+Inputs!$B$7/100))+(((Inputs!$B$12*(1+Inputs!$B$13/100))-(Inputs!$B$12*(1+Inputs!$B$13/100)))+0.25*(Inputs!$B$14-Inputs!$B$14))*(1+Inputs!$B$7/100))*(F1675/100)</f>
        <v/>
      </c>
      <c r="K1675">
        <f>J1675*(1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1687=TRUE)*(F1687-Calc!F20)),(Inputs!$B$23+0+(IF(ArtifactsInput!$M$15,CHOOSE(ArtifactsInput!$N$15+1,25,30,35,40,45,50)/100*(Inputs!$B$11-Inputs!$B$11),0))))/100+(Inputs!$B$23+0+(IF(ArtifactsInput!$M$15,CHOOSE(ArtifactsInput!$N$15+1,25,30,35,40,45,50)/100*(Inputs!$B$11-Inputs!$B$11),0)))/100)/2</f>
        <v/>
      </c>
      <c r="M1675">
        <f>L1675*(1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IF(B1702=0,0,O1675/B1702)</f>
        <v/>
      </c>
      <c r="Q1675">
        <f>IFERROR(1/(IF(Inputs!$B$38="pvp",15,MAX(0.1,Skills!D8-IF(Skills!E8=TRUE,Inputs!$B$32,0)))*(1-IF(AND(ArtifactsInput!$M$27,Inputs!$B$4="Chapter Hunt"),CHOOSE(ArtifactsInput!$N$27+1,20,24,28,32,36,40),0)/100)),0)</f>
        <v/>
      </c>
      <c r="R1675">
        <f>IF(AND(Inputs!$B$38&lt;&gt;"pvp",Inputs!$B$43&gt;0),IF(MAX(0,Inputs!$B$43-B1699)&lt;=0,0,(INT(MAX(0,Inputs!$B$43-B1699)/(IF(Inputs!$B$38="pvp",15,MAX(0.1,Skills!D8-IF(Skills!E8=TRUE,Inputs!$B$32,0)))*(1-IF(AND(ArtifactsInput!$M$27,Inputs!$B$4="Chapter Hunt"),CHOOSE(ArtifactsInput!$N$27+1,20,24,28,32,36,40),0)/100)))+1)),0)</f>
        <v/>
      </c>
      <c r="S1675">
        <f>IFERROR(O1675/N1675,0)</f>
        <v/>
      </c>
      <c r="T1675">
        <f>IF(C1675,(H1675*N1675*IF(AND(Inputs!$B$38&lt;&gt;"pvp",Inputs!$B$43&gt;0),((Skills!G8*((R1675-1)*IF(Skills!H8&gt;0,Skills!I8/Skills!H8,1)+IF(Skills!H8&gt;0,MIN(Skills!I8,MAX(0,MAX(0,Inputs!$B$43-B1699)-((R1675-1)*(IF(Inputs!$B$38="pvp",15,MAX(0.1,Skills!D8-IF(Skills!E8=TRUE,Inputs!$B$32,0)))*(1-IF(AND(ArtifactsInput!$M$27,Inputs!$B$4="Chapter Hunt"),CHOOSE(ArtifactsInput!$N$27+1,20,24,28,32,36,40),0)/100)))))/Skills!H8,1)))/Inputs!$B$43),G1675*Q1675)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8*((R1675-1)*IF(Skills!H8&gt;0,Skills!I8/Skills!H8,1)+IF(Skills!H8&gt;0,MIN(Skills!I8,MAX(0,MAX(0,Inputs!$B$43-B1699)-((R1675-1)*(IF(Inputs!$B$38="pvp",15,MAX(0.1,Skills!D8-IF(Skills!E8=TRUE,Inputs!$B$32,0)))*(1-IF(AND(ArtifactsInput!$M$27,Inputs!$B$4="Chapter Hunt"),CHOOSE(ArtifactsInput!$N$27+1,20,24,28,32,36,40),0)/100)))))/Skills!H8,1)))/Inputs!$B$43),G1675*Q1675))*IF(Inputs!$B$38="pvp",1,(1+(Inputs!$B$21+Skills!Q8+(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Skills!A9</f>
        <v/>
      </c>
      <c r="B1676">
        <f>Skills!B9</f>
        <v/>
      </c>
      <c r="C1676">
        <f>Inputs!$B$3&gt;=110</f>
        <v/>
      </c>
      <c r="D1676">
        <f>IF(Skills!C9=1,60+Inputs!$B$25+Inputs!$B$29,IF(Skills!C9=2,90+Inputs!$B$26+Inputs!$B$29,IF(Skills!C9=3,120+Inputs!$B$27+Inputs!$B$29,MAX(0,(Inputs!$B$3-100)*3)+Inputs!$B$28+Inputs!$B$29)))</f>
        <v/>
      </c>
      <c r="E1676">
        <f>INDEX(FactorTable!$B$2:$Y$301, MATCH(ROUND(MIN(300,MAX(1,D1676)),0), FactorTable!$A$2:$A$301,0), Skills!M9+1)</f>
        <v/>
      </c>
      <c r="F1676">
        <f>IF(Skills!N9=TRUE,(Skills!L9/10)*(E1676/1000),Skills!L9/10)+Skills!O9</f>
        <v/>
      </c>
      <c r="G1676">
        <f>Skills!G9*IF(Skills!H9&gt;0,Skills!I9/Skills!H9,1)</f>
        <v/>
      </c>
      <c r="H1676">
        <f>1-(1-Skills!J9/100)^Skills!K9</f>
        <v/>
      </c>
      <c r="I1676" t="inlineStr">
        <is>
          <t>1</t>
        </is>
      </c>
      <c r="J1676">
        <f>((Inputs!$B$6*(1+Inputs!$B$7/100))+(((Inputs!$B$12*(1+Inputs!$B$13/100))-(Inputs!$B$12*(1+Inputs!$B$13/100)))+0.25*(Inputs!$B$14-Inputs!$B$14))*(1+Inputs!$B$7/100))*(F1676/100)</f>
        <v/>
      </c>
      <c r="K1676">
        <f>J1676*(1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1687=TRUE)*(F1687-Calc!F20)),(Inputs!$B$23+0+(IF(ArtifactsInput!$M$15,CHOOSE(ArtifactsInput!$N$15+1,25,30,35,40,45,50)/100*(Inputs!$B$11-Inputs!$B$11),0))))/100+(Inputs!$B$23+0+(IF(ArtifactsInput!$M$15,CHOOSE(ArtifactsInput!$N$15+1,25,30,35,40,45,50)/100*(Inputs!$B$11-Inputs!$B$11),0)))/100)/2</f>
        <v/>
      </c>
      <c r="M1676">
        <f>L1676*(1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IF(B1702=0,0,O1676/B1702)</f>
        <v/>
      </c>
      <c r="Q1676">
        <f>IFERROR(1/(IF(Inputs!$B$38="pvp",15,MAX(0.1,Skills!D9-IF(Skills!E9=TRUE,Inputs!$B$32,0)))*(1-IF(AND(ArtifactsInput!$M$27,Inputs!$B$4="Chapter Hunt"),CHOOSE(ArtifactsInput!$N$27+1,20,24,28,32,36,40),0)/100)),0)</f>
        <v/>
      </c>
      <c r="R1676">
        <f>IF(AND(Inputs!$B$38&lt;&gt;"pvp",Inputs!$B$43&gt;0),IF(MAX(0,Inputs!$B$43-B1699)&lt;=0,0,(INT(MAX(0,Inputs!$B$43-B1699)/(IF(Inputs!$B$38="pvp",15,MAX(0.1,Skills!D9-IF(Skills!E9=TRUE,Inputs!$B$32,0)))*(1-IF(AND(ArtifactsInput!$M$27,Inputs!$B$4="Chapter Hunt"),CHOOSE(ArtifactsInput!$N$27+1,20,24,28,32,36,40),0)/100)))+1)),0)</f>
        <v/>
      </c>
      <c r="S1676">
        <f>IFERROR(O1676/N1676,0)</f>
        <v/>
      </c>
      <c r="T1676">
        <f>IF(C1676,(H1676*N1676*IF(AND(Inputs!$B$38&lt;&gt;"pvp",Inputs!$B$43&gt;0),((Skills!G9*((R1676-1)*IF(Skills!H9&gt;0,Skills!I9/Skills!H9,1)+IF(Skills!H9&gt;0,MIN(Skills!I9,MAX(0,MAX(0,Inputs!$B$43-B1699)-((R1676-1)*(IF(Inputs!$B$38="pvp",15,MAX(0.1,Skills!D9-IF(Skills!E9=TRUE,Inputs!$B$32,0)))*(1-IF(AND(ArtifactsInput!$M$27,Inputs!$B$4="Chapter Hunt"),CHOOSE(ArtifactsInput!$N$27+1,20,24,28,32,36,40),0)/100)))))/Skills!H9,1)))/Inputs!$B$43),G1676*Q1676)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9*((R1676-1)*IF(Skills!H9&gt;0,Skills!I9/Skills!H9,1)+IF(Skills!H9&gt;0,MIN(Skills!I9,MAX(0,MAX(0,Inputs!$B$43-B1699)-((R1676-1)*(IF(Inputs!$B$38="pvp",15,MAX(0.1,Skills!D9-IF(Skills!E9=TRUE,Inputs!$B$32,0)))*(1-IF(AND(ArtifactsInput!$M$27,Inputs!$B$4="Chapter Hunt"),CHOOSE(ArtifactsInput!$N$27+1,20,24,28,32,36,40),0)/100)))))/Skills!H9,1)))/Inputs!$B$43),G1676*Q1676))*IF(Inputs!$B$38="pvp",1,(1+(Inputs!$B$21+Skills!Q9+(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Skills!A10</f>
        <v/>
      </c>
      <c r="B1677">
        <f>Skills!B10</f>
        <v/>
      </c>
      <c r="C1677">
        <f>Inputs!$B$3&gt;=103</f>
        <v/>
      </c>
      <c r="D1677">
        <f>IF(Skills!C10=1,60+Inputs!$B$25+Inputs!$B$29,IF(Skills!C10=2,90+Inputs!$B$26+Inputs!$B$29,IF(Skills!C10=3,120+Inputs!$B$27+Inputs!$B$29,MAX(0,(Inputs!$B$3-100)*3)+Inputs!$B$28+Inputs!$B$29)))</f>
        <v/>
      </c>
      <c r="E1677">
        <f>INDEX(FactorTable!$B$2:$Y$301, MATCH(ROUND(MIN(300,MAX(1,D1677)),0), FactorTable!$A$2:$A$301,0), Skills!M10+1)</f>
        <v/>
      </c>
      <c r="F1677">
        <f>IF(Skills!N10=TRUE,(Skills!L10/10)*(E1677/1000),Skills!L10/10)+Skills!O10</f>
        <v/>
      </c>
      <c r="G1677">
        <f>Skills!G10*IF(Skills!H10&gt;0,Skills!I10/Skills!H10,1)</f>
        <v/>
      </c>
      <c r="H1677">
        <f>1-(1-Skills!J10/100)^Skills!K10</f>
        <v/>
      </c>
      <c r="I1677" t="inlineStr">
        <is>
          <t>1</t>
        </is>
      </c>
      <c r="J1677">
        <f>((Inputs!$B$6*(1+Inputs!$B$7/100))+(((Inputs!$B$12*(1+Inputs!$B$13/100))-(Inputs!$B$12*(1+Inputs!$B$13/100)))+0.25*(Inputs!$B$14-Inputs!$B$14))*(1+Inputs!$B$7/100))*(F1677/100)</f>
        <v/>
      </c>
      <c r="K1677">
        <f>J1677*(1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1687=TRUE)*(F1687-Calc!F20)),(Inputs!$B$23+0+(IF(ArtifactsInput!$M$15,CHOOSE(ArtifactsInput!$N$15+1,25,30,35,40,45,50)/100*(Inputs!$B$11-Inputs!$B$11),0))))/100+(Inputs!$B$23+0+(IF(ArtifactsInput!$M$15,CHOOSE(ArtifactsInput!$N$15+1,25,30,35,40,45,50)/100*(Inputs!$B$11-Inputs!$B$11),0)))/100)/2</f>
        <v/>
      </c>
      <c r="M1677">
        <f>L1677*(1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IF(B1702=0,0,O1677/B1702)</f>
        <v/>
      </c>
      <c r="Q1677">
        <f>IFERROR(1/(IF(Inputs!$B$38="pvp",15,MAX(0.1,Skills!D10-IF(Skills!E10=TRUE,Inputs!$B$32,0)))*(1-IF(AND(ArtifactsInput!$M$27,Inputs!$B$4="Chapter Hunt"),CHOOSE(ArtifactsInput!$N$27+1,20,24,28,32,36,40),0)/100)),0)</f>
        <v/>
      </c>
      <c r="R1677">
        <f>IF(AND(Inputs!$B$38&lt;&gt;"pvp",Inputs!$B$43&gt;0),IF(MAX(0,Inputs!$B$43-B1699)&lt;=0,0,(INT(MAX(0,Inputs!$B$43-B1699)/(IF(Inputs!$B$38="pvp",15,MAX(0.1,Skills!D10-IF(Skills!E10=TRUE,Inputs!$B$32,0)))*(1-IF(AND(ArtifactsInput!$M$27,Inputs!$B$4="Chapter Hunt"),CHOOSE(ArtifactsInput!$N$27+1,20,24,28,32,36,40),0)/100)))+1)),0)</f>
        <v/>
      </c>
      <c r="S1677">
        <f>IFERROR(O1677/N1677,0)</f>
        <v/>
      </c>
      <c r="T1677">
        <f>IF(C1677,(H1677*N1677*IF(AND(Inputs!$B$38&lt;&gt;"pvp",Inputs!$B$43&gt;0),((Skills!G10*((R1677-1)*IF(Skills!H10&gt;0,Skills!I10/Skills!H10,1)+IF(Skills!H10&gt;0,MIN(Skills!I10,MAX(0,MAX(0,Inputs!$B$43-B1699)-((R1677-1)*(IF(Inputs!$B$38="pvp",15,MAX(0.1,Skills!D10-IF(Skills!E10=TRUE,Inputs!$B$32,0)))*(1-IF(AND(ArtifactsInput!$M$27,Inputs!$B$4="Chapter Hunt"),CHOOSE(ArtifactsInput!$N$27+1,20,24,28,32,36,40),0)/100)))))/Skills!H10,1)))/Inputs!$B$43),G1677*Q1677)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10*((R1677-1)*IF(Skills!H10&gt;0,Skills!I10/Skills!H10,1)+IF(Skills!H10&gt;0,MIN(Skills!I10,MAX(0,MAX(0,Inputs!$B$43-B1699)-((R1677-1)*(IF(Inputs!$B$38="pvp",15,MAX(0.1,Skills!D10-IF(Skills!E10=TRUE,Inputs!$B$32,0)))*(1-IF(AND(ArtifactsInput!$M$27,Inputs!$B$4="Chapter Hunt"),CHOOSE(ArtifactsInput!$N$27+1,20,24,28,32,36,40),0)/100)))))/Skills!H10,1)))/Inputs!$B$43),G1677*Q1677))*IF(Inputs!$B$38="pvp",1,(1+(Inputs!$B$21+Skills!Q10+(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Skills!A11</f>
        <v/>
      </c>
      <c r="B1678">
        <f>Skills!B11</f>
        <v/>
      </c>
      <c r="C1678">
        <f>Inputs!$B$3&gt;=113</f>
        <v/>
      </c>
      <c r="D1678">
        <f>IF(Skills!C11=1,60+Inputs!$B$25+Inputs!$B$29,IF(Skills!C11=2,90+Inputs!$B$26+Inputs!$B$29,IF(Skills!C11=3,120+Inputs!$B$27+Inputs!$B$29,MAX(0,(Inputs!$B$3-100)*3)+Inputs!$B$28+Inputs!$B$29)))</f>
        <v/>
      </c>
      <c r="E1678">
        <f>INDEX(FactorTable!$B$2:$Y$301, MATCH(ROUND(MIN(300,MAX(1,D1678)),0), FactorTable!$A$2:$A$301,0), Skills!M11+1)</f>
        <v/>
      </c>
      <c r="F1678">
        <f>IF(Skills!N11=TRUE,(Skills!L11/10)*(E1678/1000),Skills!L11/10)+Skills!O11</f>
        <v/>
      </c>
      <c r="G1678">
        <f>Skills!G11*IF(Skills!H11&gt;0,Skills!I11/Skills!H11,1)</f>
        <v/>
      </c>
      <c r="H1678">
        <f>1-(1-Skills!J11/100)^Skills!K11</f>
        <v/>
      </c>
      <c r="I1678" t="inlineStr">
        <is>
          <t>1</t>
        </is>
      </c>
      <c r="J1678">
        <f>((Inputs!$B$6*(1+Inputs!$B$7/100))+(((Inputs!$B$12*(1+Inputs!$B$13/100))-(Inputs!$B$12*(1+Inputs!$B$13/100)))+0.25*(Inputs!$B$14-Inputs!$B$14))*(1+Inputs!$B$7/100))*(F1678/100)</f>
        <v/>
      </c>
      <c r="K1678">
        <f>J1678*(1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1687=TRUE)*(F1687-Calc!F20)),(Inputs!$B$23+0+(IF(ArtifactsInput!$M$15,CHOOSE(ArtifactsInput!$N$15+1,25,30,35,40,45,50)/100*(Inputs!$B$11-Inputs!$B$11),0))))/100+(Inputs!$B$23+0+(IF(ArtifactsInput!$M$15,CHOOSE(ArtifactsInput!$N$15+1,25,30,35,40,45,50)/100*(Inputs!$B$11-Inputs!$B$11),0)))/100)/2</f>
        <v/>
      </c>
      <c r="M1678">
        <f>L1678*(1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IF(B1702=0,0,O1678/B1702)</f>
        <v/>
      </c>
      <c r="Q1678">
        <f>IFERROR(1/(IF(Inputs!$B$38="pvp",15,MAX(0.1,Skills!D11-IF(Skills!E11=TRUE,Inputs!$B$32,0)))*(1-IF(AND(ArtifactsInput!$M$27,Inputs!$B$4="Chapter Hunt"),CHOOSE(ArtifactsInput!$N$27+1,20,24,28,32,36,40),0)/100)),0)</f>
        <v/>
      </c>
      <c r="R1678">
        <f>IF(AND(Inputs!$B$38&lt;&gt;"pvp",Inputs!$B$43&gt;0),IF(MAX(0,Inputs!$B$43-B1699)&lt;=0,0,(INT(MAX(0,Inputs!$B$43-B1699)/(IF(Inputs!$B$38="pvp",15,MAX(0.1,Skills!D11-IF(Skills!E11=TRUE,Inputs!$B$32,0)))*(1-IF(AND(ArtifactsInput!$M$27,Inputs!$B$4="Chapter Hunt"),CHOOSE(ArtifactsInput!$N$27+1,20,24,28,32,36,40),0)/100)))+1)),0)</f>
        <v/>
      </c>
      <c r="S1678">
        <f>IFERROR(O1678/N1678,0)</f>
        <v/>
      </c>
      <c r="T1678">
        <f>IF(C1678,(H1678*N1678*IF(AND(Inputs!$B$38&lt;&gt;"pvp",Inputs!$B$43&gt;0),((Skills!G11*((R1678-1)*IF(Skills!H11&gt;0,Skills!I11/Skills!H11,1)+IF(Skills!H11&gt;0,MIN(Skills!I11,MAX(0,MAX(0,Inputs!$B$43-B1699)-((R1678-1)*(IF(Inputs!$B$38="pvp",15,MAX(0.1,Skills!D11-IF(Skills!E11=TRUE,Inputs!$B$32,0)))*(1-IF(AND(ArtifactsInput!$M$27,Inputs!$B$4="Chapter Hunt"),CHOOSE(ArtifactsInput!$N$27+1,20,24,28,32,36,40),0)/100)))))/Skills!H11,1)))/Inputs!$B$43),G1678*Q1678)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11*((R1678-1)*IF(Skills!H11&gt;0,Skills!I11/Skills!H11,1)+IF(Skills!H11&gt;0,MIN(Skills!I11,MAX(0,MAX(0,Inputs!$B$43-B1699)-((R1678-1)*(IF(Inputs!$B$38="pvp",15,MAX(0.1,Skills!D11-IF(Skills!E11=TRUE,Inputs!$B$32,0)))*(1-IF(AND(ArtifactsInput!$M$27,Inputs!$B$4="Chapter Hunt"),CHOOSE(ArtifactsInput!$N$27+1,20,24,28,32,36,40),0)/100)))))/Skills!H11,1)))/Inputs!$B$43),G1678*Q1678))*IF(Inputs!$B$38="pvp",1,(1+(Inputs!$B$21+Skills!Q11+(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Skills!A12</f>
        <v/>
      </c>
      <c r="B1679">
        <f>Skills!B12</f>
        <v/>
      </c>
      <c r="C1679">
        <f>Inputs!$B$3&gt;=100</f>
        <v/>
      </c>
      <c r="D1679">
        <f>IF(Skills!C12=1,60+Inputs!$B$25+Inputs!$B$29,IF(Skills!C12=2,90+Inputs!$B$26+Inputs!$B$29,IF(Skills!C12=3,120+Inputs!$B$27+Inputs!$B$29,MAX(0,(Inputs!$B$3-100)*3)+Inputs!$B$28+Inputs!$B$29)))</f>
        <v/>
      </c>
      <c r="E1679">
        <f>INDEX(FactorTable!$B$2:$Y$301, MATCH(ROUND(MIN(300,MAX(1,D1679)),0), FactorTable!$A$2:$A$301,0), Skills!M12+1)</f>
        <v/>
      </c>
      <c r="F1679">
        <f>IF(Skills!N12=TRUE,(Skills!L12/10)*(E1679/1000),Skills!L12/10)+Skills!O12</f>
        <v/>
      </c>
      <c r="G1679" t="inlineStr"/>
      <c r="H1679" t="inlineStr"/>
      <c r="I1679" t="inlineStr">
        <is>
          <t>1</t>
        </is>
      </c>
      <c r="J1679" t="inlineStr"/>
      <c r="K1679" t="inlineStr"/>
      <c r="L1679" t="inlineStr"/>
      <c r="M1679" t="inlineStr"/>
      <c r="N1679" t="inlineStr"/>
      <c r="O1679" t="inlineStr"/>
      <c r="P1679" t="inlineStr"/>
      <c r="Q1679" t="inlineStr"/>
      <c r="R1679" t="inlineStr"/>
      <c r="S1679" t="inlineStr"/>
      <c r="T1679" t="inlineStr"/>
      <c r="V1679" t="inlineStr"/>
    </row>
    <row r="1680">
      <c r="A1680">
        <f>Skills!A13</f>
        <v/>
      </c>
      <c r="B1680">
        <f>Skills!B13</f>
        <v/>
      </c>
      <c r="C1680">
        <f>Inputs!$B$3&gt;=66</f>
        <v/>
      </c>
      <c r="D1680">
        <f>IF(Skills!C13=1,60+Inputs!$B$25+Inputs!$B$29,IF(Skills!C13=2,90+Inputs!$B$26+Inputs!$B$29,IF(Skills!C13=3,120+Inputs!$B$27+Inputs!$B$29,MAX(0,(Inputs!$B$3-100)*3)+Inputs!$B$28+Inputs!$B$29)))</f>
        <v/>
      </c>
      <c r="E1680">
        <f>INDEX(FactorTable!$B$2:$Y$301, MATCH(ROUND(MIN(300,MAX(1,D1680)),0), FactorTable!$A$2:$A$301,0), Skills!M13+1)</f>
        <v/>
      </c>
      <c r="F1680">
        <f>IF(Skills!N13=TRUE,(Skills!L13/10)*(E1680/1000),Skills!L13/10)+Skills!O13</f>
        <v/>
      </c>
      <c r="G1680">
        <f>Skills!G13*IF(Skills!H13&gt;0,Skills!I13/Skills!H13,1)</f>
        <v/>
      </c>
      <c r="H1680">
        <f>1-(1-Skills!J13/100)^Skills!K13</f>
        <v/>
      </c>
      <c r="I1680" t="inlineStr">
        <is>
          <t>1</t>
        </is>
      </c>
      <c r="J1680" t="inlineStr"/>
      <c r="K1680" t="inlineStr"/>
      <c r="L1680" t="inlineStr"/>
      <c r="M1680" t="inlineStr"/>
      <c r="N1680" t="inlineStr"/>
      <c r="O1680">
        <f>(1-Summary!$B$11)*T1680+Summary!$B$11*V1680</f>
        <v/>
      </c>
      <c r="P1680">
        <f>IF(B1702=0,0,O1680/B1702)</f>
        <v/>
      </c>
      <c r="Q1680" t="n">
        <v>0</v>
      </c>
      <c r="R1680" t="n">
        <v>0</v>
      </c>
      <c r="S1680">
        <f>IFERROR(O1680/N1680,0)</f>
        <v/>
      </c>
      <c r="T1680" t="n">
        <v>0</v>
      </c>
      <c r="V1680" t="n">
        <v>0</v>
      </c>
    </row>
    <row r="1681">
      <c r="A1681">
        <f>Skills!A14</f>
        <v/>
      </c>
      <c r="B1681">
        <f>Skills!B14</f>
        <v/>
      </c>
      <c r="C1681">
        <f>Inputs!$B$3&gt;=107</f>
        <v/>
      </c>
      <c r="D1681">
        <f>IF(Skills!C14=1,60+Inputs!$B$25+Inputs!$B$29,IF(Skills!C14=2,90+Inputs!$B$26+Inputs!$B$29,IF(Skills!C14=3,120+Inputs!$B$27+Inputs!$B$29,MAX(0,(Inputs!$B$3-100)*3)+Inputs!$B$28+Inputs!$B$29)))</f>
        <v/>
      </c>
      <c r="E1681">
        <f>INDEX(FactorTable!$B$2:$Y$301, MATCH(ROUND(MIN(300,MAX(1,D1681)),0), FactorTable!$A$2:$A$301,0), Skills!M14+1)</f>
        <v/>
      </c>
      <c r="F1681">
        <f>IF(Skills!N14=TRUE,(Skills!L14/10)*(E1681/1000),Skills!L14/10)+Skills!O14</f>
        <v/>
      </c>
      <c r="G1681">
        <f>Skills!G14*IF(Skills!H14&gt;0,Skills!I14/Skills!H14,1)</f>
        <v/>
      </c>
      <c r="H1681">
        <f>1-(1-Skills!J14/100)^Skills!K14</f>
        <v/>
      </c>
      <c r="I1681" t="inlineStr">
        <is>
          <t>1</t>
        </is>
      </c>
      <c r="J1681" t="inlineStr"/>
      <c r="K1681" t="inlineStr"/>
      <c r="L1681" t="inlineStr"/>
      <c r="M1681" t="inlineStr"/>
      <c r="N1681" t="inlineStr"/>
      <c r="O1681">
        <f>(1-Summary!$B$11)*T1681+Summary!$B$11*V1681</f>
        <v/>
      </c>
      <c r="P1681">
        <f>IF(B1702=0,0,O1681/B1702)</f>
        <v/>
      </c>
      <c r="Q1681" t="n">
        <v>0</v>
      </c>
      <c r="R1681" t="n">
        <v>0</v>
      </c>
      <c r="S1681">
        <f>IFERROR(O1681/N1681,0)</f>
        <v/>
      </c>
      <c r="T1681" t="n">
        <v>0</v>
      </c>
      <c r="V1681" t="n">
        <v>0</v>
      </c>
    </row>
    <row r="1682">
      <c r="A1682">
        <f>Skills!A15</f>
        <v/>
      </c>
      <c r="B1682">
        <f>Skills!B15</f>
        <v/>
      </c>
      <c r="C1682">
        <f>Inputs!$B$3&gt;=115</f>
        <v/>
      </c>
      <c r="D1682">
        <f>IF(Skills!C15=1,60+Inputs!$B$25+Inputs!$B$29,IF(Skills!C15=2,90+Inputs!$B$26+Inputs!$B$29,IF(Skills!C15=3,120+Inputs!$B$27+Inputs!$B$29,MAX(0,(Inputs!$B$3-100)*3)+Inputs!$B$28+Inputs!$B$29)))</f>
        <v/>
      </c>
      <c r="E1682">
        <f>INDEX(FactorTable!$B$2:$Y$301, MATCH(ROUND(MIN(300,MAX(1,D1682)),0), FactorTable!$A$2:$A$301,0), Skills!M15+1)</f>
        <v/>
      </c>
      <c r="F1682">
        <f>IF(Skills!N15=TRUE,(Skills!L15/10)*(E1682/1000),Skills!L15/10)+Skills!O15</f>
        <v/>
      </c>
      <c r="G1682">
        <f>Skills!G15*IF(Skills!H15&gt;0,Skills!I15/Skills!H15,1)</f>
        <v/>
      </c>
      <c r="H1682">
        <f>1-(1-Skills!J15/100)^Skills!K15</f>
        <v/>
      </c>
      <c r="I1682" t="inlineStr">
        <is>
          <t>1</t>
        </is>
      </c>
      <c r="J1682" t="inlineStr"/>
      <c r="K1682" t="inlineStr"/>
      <c r="L1682" t="inlineStr"/>
      <c r="M1682" t="inlineStr"/>
      <c r="N1682" t="inlineStr"/>
      <c r="O1682">
        <f>(1-Summary!$B$11)*T1682+Summary!$B$11*V1682</f>
        <v/>
      </c>
      <c r="P1682">
        <f>IF(B1702=0,0,O1682/B1702)</f>
        <v/>
      </c>
      <c r="Q1682" t="n">
        <v>0</v>
      </c>
      <c r="R1682" t="n">
        <v>0</v>
      </c>
      <c r="S1682">
        <f>IFERROR(O1682/N1682,0)</f>
        <v/>
      </c>
      <c r="T1682" t="n">
        <v>0</v>
      </c>
      <c r="V1682" t="n">
        <v>0</v>
      </c>
    </row>
    <row r="1683">
      <c r="A1683">
        <f>Skills!A16</f>
        <v/>
      </c>
      <c r="B1683">
        <f>Skills!B16</f>
        <v/>
      </c>
      <c r="C1683">
        <f>Inputs!$B$3&gt;=15</f>
        <v/>
      </c>
      <c r="D1683">
        <f>IF(Skills!C16=1,60+Inputs!$B$25+Inputs!$B$29,IF(Skills!C16=2,90+Inputs!$B$26+Inputs!$B$29,IF(Skills!C16=3,120+Inputs!$B$27+Inputs!$B$29,MAX(0,(Inputs!$B$3-100)*3)+Inputs!$B$28+Inputs!$B$29)))</f>
        <v/>
      </c>
      <c r="E1683">
        <f>INDEX(FactorTable!$B$2:$Y$301, MATCH(ROUND(MIN(300,MAX(1,D1683)),0), FactorTable!$A$2:$A$301,0), Skills!M16+1)</f>
        <v/>
      </c>
      <c r="F1683">
        <f>IF(Skills!N16=TRUE,(Skills!L16/10)*(E1683/1000),Skills!L16/10)+Skills!O16</f>
        <v/>
      </c>
      <c r="G1683">
        <f>Skills!G16*IF(Skills!H16&gt;0,Skills!I16/Skills!H16,1)</f>
        <v/>
      </c>
      <c r="H1683">
        <f>1-(1-Skills!J16/100)^Skills!K16</f>
        <v/>
      </c>
      <c r="I1683" t="inlineStr">
        <is>
          <t>1</t>
        </is>
      </c>
      <c r="J1683" t="inlineStr"/>
      <c r="K1683" t="inlineStr"/>
      <c r="L1683" t="inlineStr"/>
      <c r="M1683" t="inlineStr"/>
      <c r="N1683" t="inlineStr"/>
      <c r="O1683">
        <f>(1-Summary!$B$11)*T1683+Summary!$B$11*V1683</f>
        <v/>
      </c>
      <c r="P1683">
        <f>IF(B1702=0,0,O1683/B1702)</f>
        <v/>
      </c>
      <c r="Q1683" t="n">
        <v>0</v>
      </c>
      <c r="R1683" t="n">
        <v>0</v>
      </c>
      <c r="S1683">
        <f>IFERROR(O1683/N1683,0)</f>
        <v/>
      </c>
      <c r="T1683" t="n">
        <v>0</v>
      </c>
      <c r="V1683" t="n">
        <v>0</v>
      </c>
    </row>
    <row r="1684">
      <c r="A1684">
        <f>Skills!A17</f>
        <v/>
      </c>
      <c r="B1684">
        <f>Skills!B17</f>
        <v/>
      </c>
      <c r="C1684">
        <f>Inputs!$B$3&gt;=10</f>
        <v/>
      </c>
      <c r="D1684">
        <f>IF(Skills!C17=1,60+Inputs!$B$25+Inputs!$B$29,IF(Skills!C17=2,90+Inputs!$B$26+Inputs!$B$29,IF(Skills!C17=3,120+Inputs!$B$27+Inputs!$B$29,MAX(0,(Inputs!$B$3-100)*3)+Inputs!$B$28+Inputs!$B$29)))</f>
        <v/>
      </c>
      <c r="E1684">
        <f>INDEX(FactorTable!$B$2:$Y$301, MATCH(ROUND(MIN(300,MAX(1,D1684)),0), FactorTable!$A$2:$A$301,0), Skills!M17+1)</f>
        <v/>
      </c>
      <c r="F1684">
        <f>IF(Skills!N17=TRUE,(Skills!L17/10)*(E1684/1000),Skills!L17/10)+Skills!O17</f>
        <v/>
      </c>
      <c r="G1684">
        <f>Skills!G17*IF(Skills!H17&gt;0,Skills!I17/Skills!H17,1)</f>
        <v/>
      </c>
      <c r="H1684">
        <f>1-(1-Skills!J17/100)^Skills!K17</f>
        <v/>
      </c>
      <c r="I1684" t="inlineStr">
        <is>
          <t>1</t>
        </is>
      </c>
      <c r="J1684" t="inlineStr"/>
      <c r="K1684" t="inlineStr"/>
      <c r="L1684" t="inlineStr"/>
      <c r="M1684" t="inlineStr"/>
      <c r="N1684" t="inlineStr"/>
      <c r="O1684">
        <f>(1-Summary!$B$11)*T1684+Summary!$B$11*V1684</f>
        <v/>
      </c>
      <c r="P1684">
        <f>IF(B1702=0,0,O1684/B1702)</f>
        <v/>
      </c>
      <c r="Q1684" t="n">
        <v>0</v>
      </c>
      <c r="R1684" t="n">
        <v>0</v>
      </c>
      <c r="S1684">
        <f>IFERROR(O1684/N1684,0)</f>
        <v/>
      </c>
      <c r="T1684" t="n">
        <v>0</v>
      </c>
      <c r="V1684" t="n">
        <v>0</v>
      </c>
    </row>
    <row r="1685">
      <c r="A1685">
        <f>Skills!A18</f>
        <v/>
      </c>
      <c r="B1685">
        <f>Skills!B18</f>
        <v/>
      </c>
      <c r="C1685">
        <f>Inputs!$B$3&gt;=33</f>
        <v/>
      </c>
      <c r="D1685">
        <f>IF(Skills!C18=1,60+Inputs!$B$25+Inputs!$B$29,IF(Skills!C18=2,90+Inputs!$B$26+Inputs!$B$29,IF(Skills!C18=3,120+Inputs!$B$27+Inputs!$B$29,MAX(0,(Inputs!$B$3-100)*3)+Inputs!$B$28+Inputs!$B$29)))</f>
        <v/>
      </c>
      <c r="E1685">
        <f>INDEX(FactorTable!$B$2:$Y$301, MATCH(ROUND(MIN(300,MAX(1,D1685)),0), FactorTable!$A$2:$A$301,0), Skills!M18+1)</f>
        <v/>
      </c>
      <c r="F1685">
        <f>IF(Skills!N18=TRUE,(Skills!L18/10)*(E1685/1000),Skills!L18/10)+Skills!O18</f>
        <v/>
      </c>
      <c r="G1685">
        <f>Skills!G18*IF(Skills!H18&gt;0,Skills!I18/Skills!H18,1)</f>
        <v/>
      </c>
      <c r="H1685">
        <f>1-(1-Skills!J18/100)^Skills!K18</f>
        <v/>
      </c>
      <c r="I1685" t="inlineStr">
        <is>
          <t>1</t>
        </is>
      </c>
      <c r="J1685" t="inlineStr"/>
      <c r="K1685" t="inlineStr"/>
      <c r="L1685" t="inlineStr"/>
      <c r="M1685" t="inlineStr"/>
      <c r="N1685" t="inlineStr"/>
      <c r="O1685">
        <f>(1-Summary!$B$11)*T1685+Summary!$B$11*V1685</f>
        <v/>
      </c>
      <c r="P1685">
        <f>IF(B1702=0,0,O1685/B1702)</f>
        <v/>
      </c>
      <c r="Q1685" t="n">
        <v>0</v>
      </c>
      <c r="R1685" t="n">
        <v>0</v>
      </c>
      <c r="S1685">
        <f>IFERROR(O1685/N1685,0)</f>
        <v/>
      </c>
      <c r="T1685" t="n">
        <v>0</v>
      </c>
      <c r="V1685" t="n">
        <v>0</v>
      </c>
    </row>
    <row r="1686">
      <c r="A1686">
        <f>Skills!A19</f>
        <v/>
      </c>
      <c r="B1686">
        <f>Skills!B19</f>
        <v/>
      </c>
      <c r="C1686">
        <f>Inputs!$B$3&gt;=40</f>
        <v/>
      </c>
      <c r="D1686">
        <f>IF(Skills!C19=1,60+Inputs!$B$25+Inputs!$B$29,IF(Skills!C19=2,90+Inputs!$B$26+Inputs!$B$29,IF(Skills!C19=3,120+Inputs!$B$27+Inputs!$B$29,MAX(0,(Inputs!$B$3-100)*3)+Inputs!$B$28+Inputs!$B$29)))</f>
        <v/>
      </c>
      <c r="E1686">
        <f>INDEX(FactorTable!$B$2:$Y$301, MATCH(ROUND(MIN(300,MAX(1,D1686)),0), FactorTable!$A$2:$A$301,0), Skills!M19+1)</f>
        <v/>
      </c>
      <c r="F1686">
        <f>IF(Skills!N19=TRUE,(Skills!L19/10)*(E1686/1000),Skills!L19/10)+Skills!O19</f>
        <v/>
      </c>
      <c r="G1686">
        <f>Skills!G19*IF(Skills!H19&gt;0,Skills!I19/Skills!H19,1)</f>
        <v/>
      </c>
      <c r="H1686">
        <f>1-(1-Skills!J19/100)^Skills!K19</f>
        <v/>
      </c>
      <c r="I1686" t="inlineStr">
        <is>
          <t>1</t>
        </is>
      </c>
      <c r="J1686" t="inlineStr"/>
      <c r="K1686" t="inlineStr"/>
      <c r="L1686" t="inlineStr"/>
      <c r="M1686" t="inlineStr"/>
      <c r="N1686" t="inlineStr"/>
      <c r="O1686">
        <f>(1-Summary!$B$11)*T1686+Summary!$B$11*V1686</f>
        <v/>
      </c>
      <c r="P1686">
        <f>IF(B1702=0,0,O1686/B1702)</f>
        <v/>
      </c>
      <c r="Q1686" t="n">
        <v>0</v>
      </c>
      <c r="R1686" t="n">
        <v>0</v>
      </c>
      <c r="S1686">
        <f>IFERROR(O1686/N1686,0)</f>
        <v/>
      </c>
      <c r="T1686" t="n">
        <v>0</v>
      </c>
      <c r="V1686" t="n">
        <v>0</v>
      </c>
    </row>
    <row r="1687">
      <c r="A1687">
        <f>Skills!A20</f>
        <v/>
      </c>
      <c r="B1687">
        <f>Skills!B20</f>
        <v/>
      </c>
      <c r="C1687">
        <f>Inputs!$B$3&gt;=43</f>
        <v/>
      </c>
      <c r="D1687">
        <f>IF(Skills!C20=1,60+Inputs!$B$25+Inputs!$B$29,IF(Skills!C20=2,90+Inputs!$B$26+Inputs!$B$29,IF(Skills!C20=3,120+Inputs!$B$27+Inputs!$B$29,MAX(0,(Inputs!$B$3-100)*3)+Inputs!$B$28+Inputs!$B$29)))</f>
        <v/>
      </c>
      <c r="E1687">
        <f>INDEX(FactorTable!$B$2:$Y$301, MATCH(ROUND(MIN(300,MAX(1,D1687)),0), FactorTable!$A$2:$A$301,0), Skills!M20+1)</f>
        <v/>
      </c>
      <c r="F1687">
        <f>IF(Skills!N20=TRUE,(Skills!L20/10)*(E1687/1000),Skills!L20/10)+Skills!O20</f>
        <v/>
      </c>
      <c r="G1687">
        <f>Skills!G20*IF(Skills!H20&gt;0,Skills!I20/Skills!H20,1)</f>
        <v/>
      </c>
      <c r="H1687">
        <f>1-(1-Skills!J20/100)^Skills!K20</f>
        <v/>
      </c>
      <c r="I1687" t="inlineStr">
        <is>
          <t>1</t>
        </is>
      </c>
      <c r="J1687" t="inlineStr"/>
      <c r="K1687" t="inlineStr"/>
      <c r="L1687" t="inlineStr"/>
      <c r="M1687" t="inlineStr"/>
      <c r="N1687" t="inlineStr"/>
      <c r="O1687">
        <f>(1-Summary!$B$11)*T1687+Summary!$B$11*V1687</f>
        <v/>
      </c>
      <c r="P1687">
        <f>IF(B1702=0,0,O1687/B1702)</f>
        <v/>
      </c>
      <c r="Q1687" t="n">
        <v>0</v>
      </c>
      <c r="R1687" t="n">
        <v>0</v>
      </c>
      <c r="S1687">
        <f>IFERROR(O1687/N1687,0)</f>
        <v/>
      </c>
      <c r="T1687" t="n">
        <v>0</v>
      </c>
      <c r="V1687" t="n">
        <v>0</v>
      </c>
    </row>
    <row r="1688">
      <c r="A1688">
        <f>Skills!A21</f>
        <v/>
      </c>
      <c r="B1688">
        <f>Skills!B21</f>
        <v/>
      </c>
      <c r="C1688">
        <f>Inputs!$B$3&gt;=38</f>
        <v/>
      </c>
      <c r="D1688">
        <f>IF(Skills!C21=1,60+Inputs!$B$25+Inputs!$B$29,IF(Skills!C21=2,90+Inputs!$B$26+Inputs!$B$29,IF(Skills!C21=3,120+Inputs!$B$27+Inputs!$B$29,MAX(0,(Inputs!$B$3-100)*3)+Inputs!$B$28+Inputs!$B$29)))</f>
        <v/>
      </c>
      <c r="E1688">
        <f>INDEX(FactorTable!$B$2:$Y$301, MATCH(ROUND(MIN(300,MAX(1,D1688)),0), FactorTable!$A$2:$A$301,0), Skills!M21+1)</f>
        <v/>
      </c>
      <c r="F1688">
        <f>IF(Skills!N21=TRUE,(Skills!L21/10)*(E1688/1000),Skills!L21/10)+Skills!O21</f>
        <v/>
      </c>
      <c r="G1688">
        <f>Skills!G21*IF(Skills!H21&gt;0,Skills!I21/Skills!H21,1)</f>
        <v/>
      </c>
      <c r="H1688">
        <f>1-(1-Skills!J21/100)^Skills!K21</f>
        <v/>
      </c>
      <c r="I1688" t="inlineStr">
        <is>
          <t>1</t>
        </is>
      </c>
      <c r="J1688" t="inlineStr"/>
      <c r="K1688" t="inlineStr"/>
      <c r="L1688" t="inlineStr"/>
      <c r="M1688" t="inlineStr"/>
      <c r="N1688" t="inlineStr"/>
      <c r="O1688">
        <f>(1-Summary!$B$11)*T1688+Summary!$B$11*V1688</f>
        <v/>
      </c>
      <c r="P1688">
        <f>IF(B1702=0,0,O1688/B1702)</f>
        <v/>
      </c>
      <c r="Q1688" t="n">
        <v>0</v>
      </c>
      <c r="R1688" t="n">
        <v>0</v>
      </c>
      <c r="S1688">
        <f>IFERROR(O1688/N1688,0)</f>
        <v/>
      </c>
      <c r="T1688" t="n">
        <v>0</v>
      </c>
      <c r="V1688" t="n">
        <v>0</v>
      </c>
    </row>
    <row r="1689">
      <c r="A1689">
        <f>Skills!A22</f>
        <v/>
      </c>
      <c r="B1689">
        <f>Skills!B22</f>
        <v/>
      </c>
      <c r="C1689">
        <f>Inputs!$B$3&gt;=75</f>
        <v/>
      </c>
      <c r="D1689">
        <f>IF(Skills!C22=1,60+Inputs!$B$25+Inputs!$B$29,IF(Skills!C22=2,90+Inputs!$B$26+Inputs!$B$29,IF(Skills!C22=3,120+Inputs!$B$27+Inputs!$B$29,MAX(0,(Inputs!$B$3-100)*3)+Inputs!$B$28+Inputs!$B$29)))</f>
        <v/>
      </c>
      <c r="E1689">
        <f>INDEX(FactorTable!$B$2:$Y$301, MATCH(ROUND(MIN(300,MAX(1,D1689)),0), FactorTable!$A$2:$A$301,0), Skills!M22+1)</f>
        <v/>
      </c>
      <c r="F1689">
        <f>IF(Skills!N22=TRUE,(Skills!L22/10)*(E1689/1000),Skills!L22/10)+Skills!O22</f>
        <v/>
      </c>
      <c r="G1689">
        <f>Skills!G22*IF(Skills!H22&gt;0,Skills!I22/Skills!H22,1)</f>
        <v/>
      </c>
      <c r="H1689">
        <f>1-(1-Skills!J22/100)^Skills!K22</f>
        <v/>
      </c>
      <c r="I1689" t="inlineStr">
        <is>
          <t>1</t>
        </is>
      </c>
      <c r="J1689" t="inlineStr"/>
      <c r="K1689" t="inlineStr"/>
      <c r="L1689" t="inlineStr"/>
      <c r="M1689" t="inlineStr"/>
      <c r="N1689" t="inlineStr"/>
      <c r="O1689">
        <f>(1-Summary!$B$11)*T1689+Summary!$B$11*V1689</f>
        <v/>
      </c>
      <c r="P1689">
        <f>IF(B1702=0,0,O1689/B1702)</f>
        <v/>
      </c>
      <c r="Q1689" t="n">
        <v>0</v>
      </c>
      <c r="R1689" t="n">
        <v>0</v>
      </c>
      <c r="S1689">
        <f>IFERROR(O1689/N1689,0)</f>
        <v/>
      </c>
      <c r="T1689" t="n">
        <v>0</v>
      </c>
      <c r="V1689" t="n">
        <v>0</v>
      </c>
    </row>
    <row r="1691">
      <c r="A1691" t="inlineStr">
        <is>
          <t>Attack% Bucket Multiplier</t>
        </is>
      </c>
      <c r="B1691">
        <f>(1+(((C1680=TRUE)*F1680)+((C1686=TRUE)*(F1686-Calc!F19))+(IF(ArtifactsInput!$M$21,CHOOSE(ArtifactsInput!$N$21+1,25,30,35,40,45,50)*(IF(OR(Inputs!$B$4="Chapter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2">
      <c r="A1692" t="inlineStr">
        <is>
          <t>Global Crit Rate Bonus %</t>
        </is>
      </c>
      <c r="B1692" t="n">
        <v>0</v>
      </c>
    </row>
    <row r="1693">
      <c r="A1693" t="inlineStr">
        <is>
          <t>Attack Speed Buff Bonus % (unused)</t>
        </is>
      </c>
      <c r="B1693" t="n">
        <v>0</v>
      </c>
    </row>
    <row r="1694">
      <c r="A1694" t="inlineStr">
        <is>
          <t>Actions Per Second</t>
        </is>
      </c>
      <c r="B1694">
        <f>1+MIN(150,150*(1-(1-(Inputs!$B$11+((C1684=TRUE)*(F1684-Calc!F17))+((C1685=TRUE)*(F1685-Calc!F18)))/150)*(1-B1693/150)))/100</f>
        <v/>
      </c>
    </row>
    <row r="1695">
      <c r="A1695" t="inlineStr">
        <is>
          <t>Skill + Buff Cast Rate</t>
        </is>
      </c>
      <c r="B1695">
        <f>IF(AND(Inputs!$B$38&lt;&gt;"pvp",Inputs!$B$43&gt;0),SUMPRODUCT((Skills!E2:E22=TRUE)*(C1669:C1689=TRUE)*R1669:R1689*Skills!F2:F22)/Inputs!$B$43,SUMPRODUCT((Skills!E2:E22=TRUE)*(C1669:C1689=TRUE)*Q1669:Q1689*Skills!F2:F22))</f>
        <v/>
      </c>
    </row>
    <row r="1696">
      <c r="A1696" t="inlineStr">
        <is>
          <t>Hook Bomber Casts Per Second</t>
        </is>
      </c>
      <c r="B1696">
        <f>MAX(0,B1694-B1695)</f>
        <v/>
      </c>
    </row>
    <row r="1697">
      <c r="A1697" t="inlineStr">
        <is>
          <t>Global Critical Damage Bonus % (unused)</t>
        </is>
      </c>
      <c r="B1697" t="n">
        <v>0</v>
      </c>
    </row>
    <row r="1698">
      <c r="A1698" t="inlineStr">
        <is>
          <t>Global Final Damage Bonus % (Serpent Scale + Crossbones + Time Leap + Speed Infusion)</t>
        </is>
      </c>
      <c r="B1698">
        <f>((C1672=TRUE)*F1672*((10+IF(Inputs!$B$3&gt;=94,5,0))/((10+IF(Inputs!$B$3&gt;=94,5,0))+5/(B1696*(1+IF(Inputs!$B$3&gt;=104,1,0))))))+((C1681=TRUE)*F1681)+((C1682=TRUE)*F1682)+((Inputs!$B$3&gt;=110)*20*(B1694-1))</f>
        <v/>
      </c>
    </row>
    <row r="1699">
      <c r="A1699" t="inlineStr">
        <is>
          <t>Buff-Casting Startup Delay (s, fixed-duration only)</t>
        </is>
      </c>
      <c r="B1699">
        <f>IF(AND(Inputs!$B$38&lt;&gt;"pvp",Inputs!$B$43&gt;0),SUMPRODUCT((Skills!T2:T22&gt;0)*(Skills!E2:E22=TRUE)*(C1669:C1689=TRUE))/B1694,0)</f>
        <v/>
      </c>
    </row>
    <row r="1700">
      <c r="A1700" t="inlineStr">
        <is>
          <t>Boss-Only Total DPS (this block's swept value)</t>
        </is>
      </c>
      <c r="B1700">
        <f>SUM(T1669:T1689)</f>
        <v/>
      </c>
    </row>
    <row r="1701">
      <c r="A1701" t="inlineStr">
        <is>
          <t>Normal-Only Total DPS (this block's swept value)</t>
        </is>
      </c>
      <c r="B1701">
        <f>SUM(V1669:V1689)</f>
        <v/>
      </c>
    </row>
    <row r="1702">
      <c r="A1702" s="6" t="inlineStr">
        <is>
          <t>TOTAL DPS</t>
        </is>
      </c>
      <c r="B1702" s="6">
        <f>SUM(O1669:O1689)</f>
        <v/>
      </c>
    </row>
    <row r="1705">
      <c r="A1705" s="6" t="inlineStr">
        <is>
          <t>Stat: Book of Ancient (Equip)</t>
        </is>
      </c>
    </row>
    <row r="1706">
      <c r="A1706" s="5" t="inlineStr">
        <is>
          <t>Key</t>
        </is>
      </c>
      <c r="B1706" s="5" t="inlineStr">
        <is>
          <t>Name</t>
        </is>
      </c>
      <c r="C1706" s="5" t="inlineStr">
        <is>
          <t>Unlocked</t>
        </is>
      </c>
      <c r="D1706" s="5" t="inlineStr">
        <is>
          <t>InputLevel</t>
        </is>
      </c>
      <c r="E1706" s="5" t="inlineStr">
        <is>
          <t>Factor</t>
        </is>
      </c>
      <c r="F1706" s="5" t="inlineStr">
        <is>
          <t>CoefficientPercent</t>
        </is>
      </c>
      <c r="G1706" s="5" t="inlineStr">
        <is>
          <t>EffectiveHits</t>
        </is>
      </c>
      <c r="H1706" s="5" t="inlineStr">
        <is>
          <t>ProcProbability</t>
        </is>
      </c>
      <c r="I1706" s="5" t="inlineStr">
        <is>
          <t>MapleHeroMultiplier</t>
        </is>
      </c>
      <c r="J1706" s="5" t="inlineStr">
        <is>
          <t>BaseDamage</t>
        </is>
      </c>
      <c r="K1706" s="5" t="inlineStr">
        <is>
          <t>BaseHitDamage</t>
        </is>
      </c>
      <c r="L1706" s="5" t="inlineStr">
        <is>
          <t>NonCritAvg</t>
        </is>
      </c>
      <c r="M1706" s="5" t="inlineStr">
        <is>
          <t>CritAvg</t>
        </is>
      </c>
      <c r="N1706" s="5" t="inlineStr">
        <is>
          <t>ExpectedDamage(perHit)</t>
        </is>
      </c>
      <c r="O1706" s="5" t="inlineStr">
        <is>
          <t>DPS</t>
        </is>
      </c>
      <c r="P1706" s="5" t="inlineStr">
        <is>
          <t>% of Total</t>
        </is>
      </c>
      <c r="Q1706" s="5" t="inlineStr">
        <is>
          <t>InvCooldown</t>
        </is>
      </c>
      <c r="R1706" s="5" t="inlineStr">
        <is>
          <t>CastsInFight</t>
        </is>
      </c>
      <c r="S1706" s="5" t="inlineStr">
        <is>
          <t>HitRate(perSec)</t>
        </is>
      </c>
      <c r="U1706" t="inlineStr">
        <is>
          <t>helpers</t>
        </is>
      </c>
    </row>
    <row r="1707">
      <c r="A1707">
        <f>Skills!A2</f>
        <v/>
      </c>
      <c r="B1707">
        <f>Skills!B2</f>
        <v/>
      </c>
      <c r="C1707">
        <f>Inputs!$B$3&gt;=100</f>
        <v/>
      </c>
      <c r="D1707" t="inlineStr"/>
      <c r="E1707" t="inlineStr"/>
      <c r="F1707">
        <f>U1709+Skills!O2</f>
        <v/>
      </c>
      <c r="G1707">
        <f>Skills!G2*IF(Skills!H2&gt;0,Skills!I2/Skills!H2,1)</f>
        <v/>
      </c>
      <c r="H1707">
        <f>1-(1-Skills!J2/100)^Skills!K2</f>
        <v/>
      </c>
      <c r="I1707" t="inlineStr">
        <is>
          <t>1</t>
        </is>
      </c>
      <c r="J1707">
        <f>((Inputs!$B$6*(1+Inputs!$B$7/100))+(((Inputs!$B$12*(1+Inputs!$B$13/100))-(Inputs!$B$12*(1+Inputs!$B$13/100)))+0.25*(Inputs!$B$14-Inputs!$B$14))*(1+Inputs!$B$7/100))*(F1707/100)</f>
        <v/>
      </c>
      <c r="K1707">
        <f>J1707*(1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
      </c>
      <c r="L1707">
        <f>K1707*(MIN(Inputs!$B$22+((C1725=TRUE)*(F1725-Calc!F20)),(Inputs!$B$23+0+(IF(ArtifactsInput!$M$15,CHOOSE(ArtifactsInput!$N$15+1,25,30,35,40,45,50)/100*(Inputs!$B$11-Inputs!$B$11),0))))/100+(Inputs!$B$23+0+(IF(ArtifactsInput!$M$15,CHOOSE(ArtifactsInput!$N$15+1,25,30,35,40,45,50)/100*(Inputs!$B$11-Inputs!$B$11),0)))/100)/2</f>
        <v/>
      </c>
      <c r="M1707">
        <f>L1707*(1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07">
        <f>L1707*(1-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7">
        <f>(1-Summary!$B$11)*T1707+Summary!$B$11*V1707</f>
        <v/>
      </c>
      <c r="P1707">
        <f>IF(B1740=0,0,O1707/B1740)</f>
        <v/>
      </c>
      <c r="Q1707" t="n">
        <v>0</v>
      </c>
      <c r="R1707" t="n">
        <v>0</v>
      </c>
      <c r="S1707">
        <f>IFERROR(O1707/N1707,0)</f>
        <v/>
      </c>
      <c r="T1707">
        <f>IF(C1707,(Skills!G2*N1707*B1734)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1707*(1-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7">
        <f>MAX(0,(Inputs!$B$3-100)*3)+Inputs!$B$28+Inputs!$B$29</f>
        <v/>
      </c>
      <c r="V1707">
        <f>IF(C1707,(Skills!G2*N1707*B1734)*IF(Inputs!$B$38="pvp",1,(1+(Inputs!$B$21+Skills!Q2+(IF(ArtifactsInput!$M$33,CHOOSE(ArtifactsInput!$N$33+1,30,36,42,48,54,60),0))+(IF(AND(ArtifactsInput!$M$35,Inputs!$B$4&lt;&gt;"Chapter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8">
      <c r="A1708">
        <f>Skills!A3</f>
        <v/>
      </c>
      <c r="B1708">
        <f>Skills!B3</f>
        <v/>
      </c>
      <c r="C1708">
        <f>Inputs!$B$3&gt;=35</f>
        <v/>
      </c>
      <c r="D1708">
        <f>IF(Skills!C3=1,60+Inputs!$B$25+Inputs!$B$29,IF(Skills!C3=2,90+Inputs!$B$26+Inputs!$B$29,IF(Skills!C3=3,120+Inputs!$B$27+Inputs!$B$29,MAX(0,(Inputs!$B$3-100)*3)+Inputs!$B$28+Inputs!$B$29)))</f>
        <v/>
      </c>
      <c r="E1708">
        <f>INDEX(FactorTable!$B$2:$Y$301, MATCH(ROUND(MIN(300,MAX(1,D1708)),0), FactorTable!$A$2:$A$301,0), Skills!M3+1)</f>
        <v/>
      </c>
      <c r="F1708">
        <f>IF(Skills!N3=TRUE,(Skills!L3/10)*(E1708/1000),Skills!L3/10)+Skills!O3</f>
        <v/>
      </c>
      <c r="G1708">
        <f>Skills!G3*IF(Skills!H3&gt;0,Skills!I3/Skills!H3,1)</f>
        <v/>
      </c>
      <c r="H1708">
        <f>1-(1-Skills!J3/100)^Skills!K3</f>
        <v/>
      </c>
      <c r="I1708" t="inlineStr">
        <is>
          <t>1</t>
        </is>
      </c>
      <c r="J1708">
        <f>((Inputs!$B$6*(1+Inputs!$B$7/100))+(((Inputs!$B$12*(1+Inputs!$B$13/100))-(Inputs!$B$12*(1+Inputs!$B$13/100)))+0.25*(Inputs!$B$14-Inputs!$B$14))*(1+Inputs!$B$7/100))*(F1708/100)</f>
        <v/>
      </c>
      <c r="K1708">
        <f>J1708*(1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C1725=TRUE)*(F1725-Calc!F20)),(Inputs!$B$23+0+(IF(ArtifactsInput!$M$15,CHOOSE(ArtifactsInput!$N$15+1,25,30,35,40,45,50)/100*(Inputs!$B$11-Inputs!$B$11),0))))/100+(Inputs!$B$23+0+(IF(ArtifactsInput!$M$15,CHOOSE(ArtifactsInput!$N$15+1,25,30,35,40,45,50)/100*(Inputs!$B$11-Inputs!$B$11),0)))/100)/2</f>
        <v/>
      </c>
      <c r="M1708">
        <f>L1708*(1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08">
        <f>L1708*(1-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(1-Summary!$B$11)*T1708+Summary!$B$11*V1708</f>
        <v/>
      </c>
      <c r="P1708">
        <f>IF(B1740=0,0,O1708/B1740)</f>
        <v/>
      </c>
      <c r="Q1708" t="n">
        <v>0</v>
      </c>
      <c r="R1708" t="n">
        <v>0</v>
      </c>
      <c r="S1708">
        <f>IFERROR(O1708/N1708,0)</f>
        <v/>
      </c>
      <c r="T1708">
        <f>IF(C1708,(Skills!G3*H1708*N1708*B1734)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1708*(1-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8">
        <f>INDEX(FactorTable!$B$2:$Y$301, MATCH(ROUND(MIN(300,MAX(1,U1707)),0), FactorTable!$A$2:$A$301,0), 22)</f>
        <v/>
      </c>
      <c r="V1708">
        <f>IF(C1708,(Skills!G3*H1708*N1708*B1734)*IF(Inputs!$B$38="pvp",1,(1+(Inputs!$B$21+Skills!Q3+(IF(ArtifactsInput!$M$33,CHOOSE(ArtifactsInput!$N$33+1,30,36,42,48,54,60),0))+(IF(AND(ArtifactsInput!$M$35,Inputs!$B$4&lt;&gt;"Chapter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Skills!A4</f>
        <v/>
      </c>
      <c r="B1709">
        <f>Skills!B4</f>
        <v/>
      </c>
      <c r="C1709">
        <f>Inputs!$B$3&gt;=60</f>
        <v/>
      </c>
      <c r="D1709">
        <f>IF(Skills!C4=1,60+Inputs!$B$25+Inputs!$B$29,IF(Skills!C4=2,90+Inputs!$B$26+Inputs!$B$29,IF(Skills!C4=3,120+Inputs!$B$27+Inputs!$B$29,MAX(0,(Inputs!$B$3-100)*3)+Inputs!$B$28+Inputs!$B$29)))</f>
        <v/>
      </c>
      <c r="E1709">
        <f>INDEX(FactorTable!$B$2:$Y$301, MATCH(ROUND(MIN(300,MAX(1,D1709)),0), FactorTable!$A$2:$A$301,0), Skills!M4+1)</f>
        <v/>
      </c>
      <c r="F1709">
        <f>IF(Skills!N4=TRUE,(Skills!L4/10)*(E1709/1000),Skills!L4/10)+Skills!O4</f>
        <v/>
      </c>
      <c r="G1709">
        <f>Skills!G4*IF(Skills!H4&gt;0,Skills!I4/Skills!H4,1)</f>
        <v/>
      </c>
      <c r="H1709">
        <f>1-(1-Skills!J4/100)^Skills!K4</f>
        <v/>
      </c>
      <c r="I1709" t="inlineStr">
        <is>
          <t>1</t>
        </is>
      </c>
      <c r="J1709">
        <f>((Inputs!$B$6*(1+Inputs!$B$7/100))+(((Inputs!$B$12*(1+Inputs!$B$13/100))-(Inputs!$B$12*(1+Inputs!$B$13/100)))+0.25*(Inputs!$B$14-Inputs!$B$14))*(1+Inputs!$B$7/100))*(F1709/100)</f>
        <v/>
      </c>
      <c r="K1709">
        <f>J1709*(1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1717=TRUE,F1717,0)/100)*(1+(IF(Skills!A4="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1709)</f>
        <v/>
      </c>
      <c r="L1709">
        <f>K1709*(MIN(Inputs!$B$22+((C1725=TRUE)*(F1725-Calc!F20)),(Inputs!$B$23+0+(IF(ArtifactsInput!$M$15,CHOOSE(ArtifactsInput!$N$15+1,25,30,35,40,45,50)/100*(Inputs!$B$11-Inputs!$B$11),0))))/100+(Inputs!$B$23+0+(IF(ArtifactsInput!$M$15,CHOOSE(ArtifactsInput!$N$15+1,25,30,35,40,45,50)/100*(Inputs!$B$11-Inputs!$B$11),0)))/100)/2</f>
        <v/>
      </c>
      <c r="M1709">
        <f>L1709*(1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09">
        <f>L1709*(1-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1709*(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9">
        <f>(1-Summary!$B$11)*T1709+Summary!$B$11*V1709</f>
        <v/>
      </c>
      <c r="P1709">
        <f>IF(B1740=0,0,O1709/B1740)</f>
        <v/>
      </c>
      <c r="Q1709" t="n">
        <v>0</v>
      </c>
      <c r="R1709" t="n">
        <v>0</v>
      </c>
      <c r="S1709">
        <f>IFERROR(O1709/N1709,0)</f>
        <v/>
      </c>
      <c r="T1709">
        <f>IF(C1709,(Skills!G4*H1709*N1709*B1734)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1709*(1-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1709*(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1709*(1-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1709*(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9">
        <f>290*U1708/1000</f>
        <v/>
      </c>
      <c r="V1709">
        <f>IF(C1709,(Skills!G4*H1709*N1709*B1734)*IF(Inputs!$B$38="pvp",1,(1+(Inputs!$B$21+Skills!Q4+(IF(ArtifactsInput!$M$33,CHOOSE(ArtifactsInput!$N$33+1,30,36,42,48,54,60),0))+(IF(AND(ArtifactsInput!$M$35,Inputs!$B$4&lt;&gt;"Chapter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0">
      <c r="A1710">
        <f>Skills!A5</f>
        <v/>
      </c>
      <c r="B1710">
        <f>Skills!B5</f>
        <v/>
      </c>
      <c r="C1710">
        <f>Inputs!$B$3&gt;=60</f>
        <v/>
      </c>
      <c r="D1710">
        <f>IF(Skills!C5=1,60+Inputs!$B$25+Inputs!$B$29,IF(Skills!C5=2,90+Inputs!$B$26+Inputs!$B$29,IF(Skills!C5=3,120+Inputs!$B$27+Inputs!$B$29,MAX(0,(Inputs!$B$3-100)*3)+Inputs!$B$28+Inputs!$B$29)))</f>
        <v/>
      </c>
      <c r="E1710">
        <f>INDEX(FactorTable!$B$2:$Y$301, MATCH(ROUND(MIN(300,MAX(1,D1710)),0), FactorTable!$A$2:$A$301,0), Skills!M5+1)</f>
        <v/>
      </c>
      <c r="F1710">
        <f>IF(Skills!N5=TRUE,(Skills!L5/10)*(E1710/1000),Skills!L5/10)+Skills!O5</f>
        <v/>
      </c>
      <c r="G1710">
        <f>Skills!G5*IF(Skills!H5&gt;0,Skills!I5/Skills!H5,1)</f>
        <v/>
      </c>
      <c r="H1710">
        <f>1-(1-Skills!J5/100)^Skills!K5</f>
        <v/>
      </c>
      <c r="I1710" t="inlineStr">
        <is>
          <t>1</t>
        </is>
      </c>
      <c r="J1710" t="inlineStr"/>
      <c r="K1710" t="inlineStr"/>
      <c r="L1710" t="inlineStr"/>
      <c r="M1710" t="inlineStr"/>
      <c r="N1710" t="inlineStr"/>
      <c r="O1710">
        <f>(1-Summary!$B$11)*T1710+Summary!$B$11*V1710</f>
        <v/>
      </c>
      <c r="P1710">
        <f>IF(B1740=0,0,O1710/B1740)</f>
        <v/>
      </c>
      <c r="Q1710" t="n">
        <v>0</v>
      </c>
      <c r="R1710" t="n">
        <v>0</v>
      </c>
      <c r="S1710">
        <f>IFERROR(O1710/N1710,0)</f>
        <v/>
      </c>
      <c r="T1710" t="n">
        <v>0</v>
      </c>
      <c r="V1710" t="n">
        <v>0</v>
      </c>
    </row>
    <row r="1711">
      <c r="A1711">
        <f>Skills!A6</f>
        <v/>
      </c>
      <c r="B1711">
        <f>Skills!B6</f>
        <v/>
      </c>
      <c r="C1711">
        <f>Inputs!$B$3&gt;=63</f>
        <v/>
      </c>
      <c r="D1711">
        <f>IF(Skills!C6=1,60+Inputs!$B$25+Inputs!$B$29,IF(Skills!C6=2,90+Inputs!$B$26+Inputs!$B$29,IF(Skills!C6=3,120+Inputs!$B$27+Inputs!$B$29,MAX(0,(Inputs!$B$3-100)*3)+Inputs!$B$28+Inputs!$B$29)))</f>
        <v/>
      </c>
      <c r="E1711">
        <f>INDEX(FactorTable!$B$2:$Y$301, MATCH(ROUND(MIN(300,MAX(1,D1711)),0), FactorTable!$A$2:$A$301,0), Skills!M6+1)</f>
        <v/>
      </c>
      <c r="F1711">
        <f>IF(Skills!N6=TRUE,(Skills!L6/10)*(E1711/1000),Skills!L6/10)+Skills!O6</f>
        <v/>
      </c>
      <c r="G1711">
        <f>Skills!G6*IF(Skills!H6&gt;0,Skills!I6/Skills!H6,1)</f>
        <v/>
      </c>
      <c r="H1711">
        <f>1-(1-Skills!J6/100)^Skills!K6</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1725=TRUE)*(F1725-Calc!F20)),(Inputs!$B$23+0+(IF(ArtifactsInput!$M$15,CHOOSE(ArtifactsInput!$N$15+1,25,30,35,40,45,50)/100*(Inputs!$B$11-Inputs!$B$11),0))))/100+(Inputs!$B$23+0+(IF(ArtifactsInput!$M$15,CHOOSE(ArtifactsInput!$N$15+1,25,30,35,40,45,50)/100*(Inputs!$B$11-Inputs!$B$11),0)))/100)/2</f>
        <v/>
      </c>
      <c r="M1711">
        <f>L1711*(1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11">
        <f>L1711*(1-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IF(B1740=0,0,O1711/B1740)</f>
        <v/>
      </c>
      <c r="Q1711">
        <f>IFERROR(1/(IF(Inputs!$B$38="pvp",15,MAX(0.1,Skills!D6-IF(Skills!E6=TRUE,Inputs!$B$32,0)))*(1-IF(AND(ArtifactsInput!$M$27,Inputs!$B$4="Chapter Hunt"),CHOOSE(ArtifactsInput!$N$27+1,20,24,28,32,36,40),0)/100)),0)</f>
        <v/>
      </c>
      <c r="R1711">
        <f>IF(AND(Inputs!$B$38&lt;&gt;"pvp",Inputs!$B$43&gt;0),IF(MAX(0,Inputs!$B$43-B1737)&lt;=0,0,(INT(MAX(0,Inputs!$B$43-B1737)/(IF(Inputs!$B$38="pvp",15,MAX(0.1,Skills!D6-IF(Skills!E6=TRUE,Inputs!$B$32,0)))*(1-IF(AND(ArtifactsInput!$M$27,Inputs!$B$4="Chapter Hunt"),CHOOSE(ArtifactsInput!$N$27+1,20,24,28,32,36,40),0)/100)))+1)),0)</f>
        <v/>
      </c>
      <c r="S1711">
        <f>IFERROR(O1711/N1711,0)</f>
        <v/>
      </c>
      <c r="T1711">
        <f>IF(C1711,(H1711*N1711*IF(AND(Inputs!$B$38&lt;&gt;"pvp",Inputs!$B$43&gt;0),((Skills!G6*((R1711-1)*IF(Skills!H6&gt;0,Skills!I6/Skills!H6,1)+IF(Skills!H6&gt;0,MIN(Skills!I6,MAX(0,MAX(0,Inputs!$B$43-B1737)-((R1711-1)*(IF(Inputs!$B$38="pvp",15,MAX(0.1,Skills!D6-IF(Skills!E6=TRUE,Inputs!$B$32,0)))*(1-IF(AND(ArtifactsInput!$M$27,Inputs!$B$4="Chapter Hunt"),CHOOSE(ArtifactsInput!$N$27+1,20,24,28,32,36,40),0)/100)))))/Skills!H6,1)))/Inputs!$B$43),G1711*Q1711)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1">
        <f>IF(C1711,(H1711*N1711*IF(AND(Inputs!$B$38&lt;&gt;"pvp",Inputs!$B$43&gt;0),((Skills!G6*((R1711-1)*IF(Skills!H6&gt;0,Skills!I6/Skills!H6,1)+IF(Skills!H6&gt;0,MIN(Skills!I6,MAX(0,MAX(0,Inputs!$B$43-B1737)-((R1711-1)*(IF(Inputs!$B$38="pvp",15,MAX(0.1,Skills!D6-IF(Skills!E6=TRUE,Inputs!$B$32,0)))*(1-IF(AND(ArtifactsInput!$M$27,Inputs!$B$4="Chapter Hunt"),CHOOSE(ArtifactsInput!$N$27+1,20,24,28,32,36,40),0)/100)))))/Skills!H6,1)))/Inputs!$B$43),G1711*Q1711))*IF(Inputs!$B$38="pvp",1,(1+(Inputs!$B$21+Skills!Q6+(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Skills!A7</f>
        <v/>
      </c>
      <c r="B1712">
        <f>Skills!B7</f>
        <v/>
      </c>
      <c r="C1712">
        <f>Inputs!$B$3&gt;=100</f>
        <v/>
      </c>
      <c r="D1712">
        <f>IF(Skills!C7=1,60+Inputs!$B$25+Inputs!$B$29,IF(Skills!C7=2,90+Inputs!$B$26+Inputs!$B$29,IF(Skills!C7=3,120+Inputs!$B$27+Inputs!$B$29,MAX(0,(Inputs!$B$3-100)*3)+Inputs!$B$28+Inputs!$B$29)))</f>
        <v/>
      </c>
      <c r="E1712">
        <f>INDEX(FactorTable!$B$2:$Y$301, MATCH(ROUND(MIN(300,MAX(1,D1712)),0), FactorTable!$A$2:$A$301,0), Skills!M7+1)</f>
        <v/>
      </c>
      <c r="F1712">
        <f>IF(Skills!N7=TRUE,(Skills!L7/10)*(E1712/1000),Skills!L7/10)+Skills!O7</f>
        <v/>
      </c>
      <c r="G1712">
        <f>Skills!G7*IF(Skills!H7&gt;0,Skills!I7/Skills!H7,1)</f>
        <v/>
      </c>
      <c r="H1712">
        <f>1-(1-Skills!J7/100)^Skills!K7</f>
        <v/>
      </c>
      <c r="I1712" t="inlineStr">
        <is>
          <t>1</t>
        </is>
      </c>
      <c r="J1712">
        <f>((Inputs!$B$6*(1+Inputs!$B$7/100))+(((Inputs!$B$12*(1+Inputs!$B$13/100))-(Inputs!$B$12*(1+Inputs!$B$13/100)))+0.25*(Inputs!$B$14-Inputs!$B$14))*(1+Inputs!$B$7/100))*(F1712/100)</f>
        <v/>
      </c>
      <c r="K1712">
        <f>J1712*(1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1725=TRUE)*(F1725-Calc!F20)),(Inputs!$B$23+0+(IF(ArtifactsInput!$M$15,CHOOSE(ArtifactsInput!$N$15+1,25,30,35,40,45,50)/100*(Inputs!$B$11-Inputs!$B$11),0))))/100+(Inputs!$B$23+0+(IF(ArtifactsInput!$M$15,CHOOSE(ArtifactsInput!$N$15+1,25,30,35,40,45,50)/100*(Inputs!$B$11-Inputs!$B$11),0)))/100)/2</f>
        <v/>
      </c>
      <c r="M1712">
        <f>L1712*(1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12">
        <f>L1712*(1-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IF(B1740=0,0,O1712/B1740)</f>
        <v/>
      </c>
      <c r="Q1712">
        <f>IFERROR(1/(IF(Inputs!$B$38="pvp",15,MAX(0.1,Skills!D7-IF(Skills!E7=TRUE,Inputs!$B$32,0)))*(1-IF(AND(ArtifactsInput!$M$27,Inputs!$B$4="Chapter Hunt"),CHOOSE(ArtifactsInput!$N$27+1,20,24,28,32,36,40),0)/100)),0)</f>
        <v/>
      </c>
      <c r="R1712">
        <f>IF(AND(Inputs!$B$38&lt;&gt;"pvp",Inputs!$B$43&gt;0),IF(MAX(0,Inputs!$B$43-B1737)&lt;=0,0,(INT(MAX(0,Inputs!$B$43-B1737)/(IF(Inputs!$B$38="pvp",15,MAX(0.1,Skills!D7-IF(Skills!E7=TRUE,Inputs!$B$32,0)))*(1-IF(AND(ArtifactsInput!$M$27,Inputs!$B$4="Chapter Hunt"),CHOOSE(ArtifactsInput!$N$27+1,20,24,28,32,36,40),0)/100)))+1)),0)</f>
        <v/>
      </c>
      <c r="S1712">
        <f>IFERROR(O1712/N1712,0)</f>
        <v/>
      </c>
      <c r="T1712">
        <f>IF(C1712,(H1712*N1712*IF(AND(Inputs!$B$38&lt;&gt;"pvp",Inputs!$B$43&gt;0),((Skills!G7*((R1712-1)*IF(Skills!H7&gt;0,Skills!I7/Skills!H7,1)+IF(Skills!H7&gt;0,MIN(Skills!I7,MAX(0,MAX(0,Inputs!$B$43-B1737)-((R1712-1)*(IF(Inputs!$B$38="pvp",15,MAX(0.1,Skills!D7-IF(Skills!E7=TRUE,Inputs!$B$32,0)))*(1-IF(AND(ArtifactsInput!$M$27,Inputs!$B$4="Chapter Hunt"),CHOOSE(ArtifactsInput!$N$27+1,20,24,28,32,36,40),0)/100)))))/Skills!H7,1)))/Inputs!$B$43),G1712*Q1712)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1712*(1-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2">
        <f>IF(C1712,(H1712*N1712*IF(AND(Inputs!$B$38&lt;&gt;"pvp",Inputs!$B$43&gt;0),((Skills!G7*((R1712-1)*IF(Skills!H7&gt;0,Skills!I7/Skills!H7,1)+IF(Skills!H7&gt;0,MIN(Skills!I7,MAX(0,MAX(0,Inputs!$B$43-B1737)-((R1712-1)*(IF(Inputs!$B$38="pvp",15,MAX(0.1,Skills!D7-IF(Skills!E7=TRUE,Inputs!$B$32,0)))*(1-IF(AND(ArtifactsInput!$M$27,Inputs!$B$4="Chapter Hunt"),CHOOSE(ArtifactsInput!$N$27+1,20,24,28,32,36,40),0)/100)))))/Skills!H7,1)))/Inputs!$B$43),G1712*Q1712))*IF(Inputs!$B$38="pvp",1,(1+(Inputs!$B$21+Skills!Q7+(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Skills!A8</f>
        <v/>
      </c>
      <c r="B1713">
        <f>Skills!B8</f>
        <v/>
      </c>
      <c r="C1713">
        <f>Inputs!$B$3&gt;=110</f>
        <v/>
      </c>
      <c r="D1713">
        <f>IF(Skills!C8=1,60+Inputs!$B$25+Inputs!$B$29,IF(Skills!C8=2,90+Inputs!$B$26+Inputs!$B$29,IF(Skills!C8=3,120+Inputs!$B$27+Inputs!$B$29,MAX(0,(Inputs!$B$3-100)*3)+Inputs!$B$28+Inputs!$B$29)))</f>
        <v/>
      </c>
      <c r="E1713">
        <f>INDEX(FactorTable!$B$2:$Y$301, MATCH(ROUND(MIN(300,MAX(1,D1713)),0), FactorTable!$A$2:$A$301,0), Skills!M8+1)</f>
        <v/>
      </c>
      <c r="F1713">
        <f>IF(Skills!N8=TRUE,(Skills!L8/10)*(E1713/1000),Skills!L8/10)+Skills!O8</f>
        <v/>
      </c>
      <c r="G1713">
        <f>Skills!G8*IF(Skills!H8&gt;0,Skills!I8/Skills!H8,1)</f>
        <v/>
      </c>
      <c r="H1713">
        <f>1-(1-Skills!J8/100)^Skills!K8</f>
        <v/>
      </c>
      <c r="I1713" t="inlineStr">
        <is>
          <t>1</t>
        </is>
      </c>
      <c r="J1713">
        <f>((Inputs!$B$6*(1+Inputs!$B$7/100))+(((Inputs!$B$12*(1+Inputs!$B$13/100))-(Inputs!$B$12*(1+Inputs!$B$13/100)))+0.25*(Inputs!$B$14-Inputs!$B$14))*(1+Inputs!$B$7/100))*(F1713/100)</f>
        <v/>
      </c>
      <c r="K1713">
        <f>J1713*(1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1725=TRUE)*(F1725-Calc!F20)),(Inputs!$B$23+0+(IF(ArtifactsInput!$M$15,CHOOSE(ArtifactsInput!$N$15+1,25,30,35,40,45,50)/100*(Inputs!$B$11-Inputs!$B$11),0))))/100+(Inputs!$B$23+0+(IF(ArtifactsInput!$M$15,CHOOSE(ArtifactsInput!$N$15+1,25,30,35,40,45,50)/100*(Inputs!$B$11-Inputs!$B$11),0)))/100)/2</f>
        <v/>
      </c>
      <c r="M1713">
        <f>L1713*(1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13">
        <f>L1713*(1-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IF(B1740=0,0,O1713/B1740)</f>
        <v/>
      </c>
      <c r="Q1713">
        <f>IFERROR(1/(IF(Inputs!$B$38="pvp",15,MAX(0.1,Skills!D8-IF(Skills!E8=TRUE,Inputs!$B$32,0)))*(1-IF(AND(ArtifactsInput!$M$27,Inputs!$B$4="Chapter Hunt"),CHOOSE(ArtifactsInput!$N$27+1,20,24,28,32,36,40),0)/100)),0)</f>
        <v/>
      </c>
      <c r="R1713">
        <f>IF(AND(Inputs!$B$38&lt;&gt;"pvp",Inputs!$B$43&gt;0),IF(MAX(0,Inputs!$B$43-B1737)&lt;=0,0,(INT(MAX(0,Inputs!$B$43-B1737)/(IF(Inputs!$B$38="pvp",15,MAX(0.1,Skills!D8-IF(Skills!E8=TRUE,Inputs!$B$32,0)))*(1-IF(AND(ArtifactsInput!$M$27,Inputs!$B$4="Chapter Hunt"),CHOOSE(ArtifactsInput!$N$27+1,20,24,28,32,36,40),0)/100)))+1)),0)</f>
        <v/>
      </c>
      <c r="S1713">
        <f>IFERROR(O1713/N1713,0)</f>
        <v/>
      </c>
      <c r="T1713">
        <f>IF(C1713,(H1713*N1713*IF(AND(Inputs!$B$38&lt;&gt;"pvp",Inputs!$B$43&gt;0),((Skills!G8*((R1713-1)*IF(Skills!H8&gt;0,Skills!I8/Skills!H8,1)+IF(Skills!H8&gt;0,MIN(Skills!I8,MAX(0,MAX(0,Inputs!$B$43-B1737)-((R1713-1)*(IF(Inputs!$B$38="pvp",15,MAX(0.1,Skills!D8-IF(Skills!E8=TRUE,Inputs!$B$32,0)))*(1-IF(AND(ArtifactsInput!$M$27,Inputs!$B$4="Chapter Hunt"),CHOOSE(ArtifactsInput!$N$27+1,20,24,28,32,36,40),0)/100)))))/Skills!H8,1)))/Inputs!$B$43),G1713*Q1713)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3">
        <f>IF(C1713,(H1713*N1713*IF(AND(Inputs!$B$38&lt;&gt;"pvp",Inputs!$B$43&gt;0),((Skills!G8*((R1713-1)*IF(Skills!H8&gt;0,Skills!I8/Skills!H8,1)+IF(Skills!H8&gt;0,MIN(Skills!I8,MAX(0,MAX(0,Inputs!$B$43-B1737)-((R1713-1)*(IF(Inputs!$B$38="pvp",15,MAX(0.1,Skills!D8-IF(Skills!E8=TRUE,Inputs!$B$32,0)))*(1-IF(AND(ArtifactsInput!$M$27,Inputs!$B$4="Chapter Hunt"),CHOOSE(ArtifactsInput!$N$27+1,20,24,28,32,36,40),0)/100)))))/Skills!H8,1)))/Inputs!$B$43),G1713*Q1713))*IF(Inputs!$B$38="pvp",1,(1+(Inputs!$B$21+Skills!Q8+(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Skills!A9</f>
        <v/>
      </c>
      <c r="B1714">
        <f>Skills!B9</f>
        <v/>
      </c>
      <c r="C1714">
        <f>Inputs!$B$3&gt;=110</f>
        <v/>
      </c>
      <c r="D1714">
        <f>IF(Skills!C9=1,60+Inputs!$B$25+Inputs!$B$29,IF(Skills!C9=2,90+Inputs!$B$26+Inputs!$B$29,IF(Skills!C9=3,120+Inputs!$B$27+Inputs!$B$29,MAX(0,(Inputs!$B$3-100)*3)+Inputs!$B$28+Inputs!$B$29)))</f>
        <v/>
      </c>
      <c r="E1714">
        <f>INDEX(FactorTable!$B$2:$Y$301, MATCH(ROUND(MIN(300,MAX(1,D1714)),0), FactorTable!$A$2:$A$301,0), Skills!M9+1)</f>
        <v/>
      </c>
      <c r="F1714">
        <f>IF(Skills!N9=TRUE,(Skills!L9/10)*(E1714/1000),Skills!L9/10)+Skills!O9</f>
        <v/>
      </c>
      <c r="G1714">
        <f>Skills!G9*IF(Skills!H9&gt;0,Skills!I9/Skills!H9,1)</f>
        <v/>
      </c>
      <c r="H1714">
        <f>1-(1-Skills!J9/100)^Skills!K9</f>
        <v/>
      </c>
      <c r="I1714" t="inlineStr">
        <is>
          <t>1</t>
        </is>
      </c>
      <c r="J1714">
        <f>((Inputs!$B$6*(1+Inputs!$B$7/100))+(((Inputs!$B$12*(1+Inputs!$B$13/100))-(Inputs!$B$12*(1+Inputs!$B$13/100)))+0.25*(Inputs!$B$14-Inputs!$B$14))*(1+Inputs!$B$7/100))*(F1714/100)</f>
        <v/>
      </c>
      <c r="K1714">
        <f>J1714*(1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C1725=TRUE)*(F1725-Calc!F20)),(Inputs!$B$23+0+(IF(ArtifactsInput!$M$15,CHOOSE(ArtifactsInput!$N$15+1,25,30,35,40,45,50)/100*(Inputs!$B$11-Inputs!$B$11),0))))/100+(Inputs!$B$23+0+(IF(ArtifactsInput!$M$15,CHOOSE(ArtifactsInput!$N$15+1,25,30,35,40,45,50)/100*(Inputs!$B$11-Inputs!$B$11),0)))/100)/2</f>
        <v/>
      </c>
      <c r="M1714">
        <f>L1714*(1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14">
        <f>L1714*(1-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IF(B1740=0,0,O1714/B1740)</f>
        <v/>
      </c>
      <c r="Q1714">
        <f>IFERROR(1/(IF(Inputs!$B$38="pvp",15,MAX(0.1,Skills!D9-IF(Skills!E9=TRUE,Inputs!$B$32,0)))*(1-IF(AND(ArtifactsInput!$M$27,Inputs!$B$4="Chapter Hunt"),CHOOSE(ArtifactsInput!$N$27+1,20,24,28,32,36,40),0)/100)),0)</f>
        <v/>
      </c>
      <c r="R1714">
        <f>IF(AND(Inputs!$B$38&lt;&gt;"pvp",Inputs!$B$43&gt;0),IF(MAX(0,Inputs!$B$43-B1737)&lt;=0,0,(INT(MAX(0,Inputs!$B$43-B1737)/(IF(Inputs!$B$38="pvp",15,MAX(0.1,Skills!D9-IF(Skills!E9=TRUE,Inputs!$B$32,0)))*(1-IF(AND(ArtifactsInput!$M$27,Inputs!$B$4="Chapter Hunt"),CHOOSE(ArtifactsInput!$N$27+1,20,24,28,32,36,40),0)/100)))+1)),0)</f>
        <v/>
      </c>
      <c r="S1714">
        <f>IFERROR(O1714/N1714,0)</f>
        <v/>
      </c>
      <c r="T1714">
        <f>IF(C1714,(H1714*N1714*IF(AND(Inputs!$B$38&lt;&gt;"pvp",Inputs!$B$43&gt;0),((Skills!G9*((R1714-1)*IF(Skills!H9&gt;0,Skills!I9/Skills!H9,1)+IF(Skills!H9&gt;0,MIN(Skills!I9,MAX(0,MAX(0,Inputs!$B$43-B1737)-((R1714-1)*(IF(Inputs!$B$38="pvp",15,MAX(0.1,Skills!D9-IF(Skills!E9=TRUE,Inputs!$B$32,0)))*(1-IF(AND(ArtifactsInput!$M$27,Inputs!$B$4="Chapter Hunt"),CHOOSE(ArtifactsInput!$N$27+1,20,24,28,32,36,40),0)/100)))))/Skills!H9,1)))/Inputs!$B$43),G1714*Q1714)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1714*(1-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9*((R1714-1)*IF(Skills!H9&gt;0,Skills!I9/Skills!H9,1)+IF(Skills!H9&gt;0,MIN(Skills!I9,MAX(0,MAX(0,Inputs!$B$43-B1737)-((R1714-1)*(IF(Inputs!$B$38="pvp",15,MAX(0.1,Skills!D9-IF(Skills!E9=TRUE,Inputs!$B$32,0)))*(1-IF(AND(ArtifactsInput!$M$27,Inputs!$B$4="Chapter Hunt"),CHOOSE(ArtifactsInput!$N$27+1,20,24,28,32,36,40),0)/100)))))/Skills!H9,1)))/Inputs!$B$43),G1714*Q1714))*IF(Inputs!$B$38="pvp",1,(1+(Inputs!$B$21+Skills!Q9+(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Skills!A10</f>
        <v/>
      </c>
      <c r="B1715">
        <f>Skills!B10</f>
        <v/>
      </c>
      <c r="C1715">
        <f>Inputs!$B$3&gt;=103</f>
        <v/>
      </c>
      <c r="D1715">
        <f>IF(Skills!C10=1,60+Inputs!$B$25+Inputs!$B$29,IF(Skills!C10=2,90+Inputs!$B$26+Inputs!$B$29,IF(Skills!C10=3,120+Inputs!$B$27+Inputs!$B$29,MAX(0,(Inputs!$B$3-100)*3)+Inputs!$B$28+Inputs!$B$29)))</f>
        <v/>
      </c>
      <c r="E1715">
        <f>INDEX(FactorTable!$B$2:$Y$301, MATCH(ROUND(MIN(300,MAX(1,D1715)),0), FactorTable!$A$2:$A$301,0), Skills!M10+1)</f>
        <v/>
      </c>
      <c r="F1715">
        <f>IF(Skills!N10=TRUE,(Skills!L10/10)*(E1715/1000),Skills!L10/10)+Skills!O10</f>
        <v/>
      </c>
      <c r="G1715">
        <f>Skills!G10*IF(Skills!H10&gt;0,Skills!I10/Skills!H10,1)</f>
        <v/>
      </c>
      <c r="H1715">
        <f>1-(1-Skills!J10/100)^Skills!K10</f>
        <v/>
      </c>
      <c r="I1715" t="inlineStr">
        <is>
          <t>1</t>
        </is>
      </c>
      <c r="J1715">
        <f>((Inputs!$B$6*(1+Inputs!$B$7/100))+(((Inputs!$B$12*(1+Inputs!$B$13/100))-(Inputs!$B$12*(1+Inputs!$B$13/100)))+0.25*(Inputs!$B$14-Inputs!$B$14))*(1+Inputs!$B$7/100))*(F1715/100)</f>
        <v/>
      </c>
      <c r="K1715">
        <f>J1715*(1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1725=TRUE)*(F1725-Calc!F20)),(Inputs!$B$23+0+(IF(ArtifactsInput!$M$15,CHOOSE(ArtifactsInput!$N$15+1,25,30,35,40,45,50)/100*(Inputs!$B$11-Inputs!$B$11),0))))/100+(Inputs!$B$23+0+(IF(ArtifactsInput!$M$15,CHOOSE(ArtifactsInput!$N$15+1,25,30,35,40,45,50)/100*(Inputs!$B$11-Inputs!$B$11),0)))/100)/2</f>
        <v/>
      </c>
      <c r="M1715">
        <f>L1715*(1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15">
        <f>L1715*(1-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IF(B1740=0,0,O1715/B1740)</f>
        <v/>
      </c>
      <c r="Q1715">
        <f>IFERROR(1/(IF(Inputs!$B$38="pvp",15,MAX(0.1,Skills!D10-IF(Skills!E10=TRUE,Inputs!$B$32,0)))*(1-IF(AND(ArtifactsInput!$M$27,Inputs!$B$4="Chapter Hunt"),CHOOSE(ArtifactsInput!$N$27+1,20,24,28,32,36,40),0)/100)),0)</f>
        <v/>
      </c>
      <c r="R1715">
        <f>IF(AND(Inputs!$B$38&lt;&gt;"pvp",Inputs!$B$43&gt;0),IF(MAX(0,Inputs!$B$43-B1737)&lt;=0,0,(INT(MAX(0,Inputs!$B$43-B1737)/(IF(Inputs!$B$38="pvp",15,MAX(0.1,Skills!D10-IF(Skills!E10=TRUE,Inputs!$B$32,0)))*(1-IF(AND(ArtifactsInput!$M$27,Inputs!$B$4="Chapter Hunt"),CHOOSE(ArtifactsInput!$N$27+1,20,24,28,32,36,40),0)/100)))+1)),0)</f>
        <v/>
      </c>
      <c r="S1715">
        <f>IFERROR(O1715/N1715,0)</f>
        <v/>
      </c>
      <c r="T1715">
        <f>IF(C1715,(H1715*N1715*IF(AND(Inputs!$B$38&lt;&gt;"pvp",Inputs!$B$43&gt;0),((Skills!G10*((R1715-1)*IF(Skills!H10&gt;0,Skills!I10/Skills!H10,1)+IF(Skills!H10&gt;0,MIN(Skills!I10,MAX(0,MAX(0,Inputs!$B$43-B1737)-((R1715-1)*(IF(Inputs!$B$38="pvp",15,MAX(0.1,Skills!D10-IF(Skills!E10=TRUE,Inputs!$B$32,0)))*(1-IF(AND(ArtifactsInput!$M$27,Inputs!$B$4="Chapter Hunt"),CHOOSE(ArtifactsInput!$N$27+1,20,24,28,32,36,40),0)/100)))))/Skills!H10,1)))/Inputs!$B$43),G1715*Q1715)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10*((R1715-1)*IF(Skills!H10&gt;0,Skills!I10/Skills!H10,1)+IF(Skills!H10&gt;0,MIN(Skills!I10,MAX(0,MAX(0,Inputs!$B$43-B1737)-((R1715-1)*(IF(Inputs!$B$38="pvp",15,MAX(0.1,Skills!D10-IF(Skills!E10=TRUE,Inputs!$B$32,0)))*(1-IF(AND(ArtifactsInput!$M$27,Inputs!$B$4="Chapter Hunt"),CHOOSE(ArtifactsInput!$N$27+1,20,24,28,32,36,40),0)/100)))))/Skills!H10,1)))/Inputs!$B$43),G1715*Q1715))*IF(Inputs!$B$38="pvp",1,(1+(Inputs!$B$21+Skills!Q10+(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Skills!A11</f>
        <v/>
      </c>
      <c r="B1716">
        <f>Skills!B11</f>
        <v/>
      </c>
      <c r="C1716">
        <f>Inputs!$B$3&gt;=113</f>
        <v/>
      </c>
      <c r="D1716">
        <f>IF(Skills!C11=1,60+Inputs!$B$25+Inputs!$B$29,IF(Skills!C11=2,90+Inputs!$B$26+Inputs!$B$29,IF(Skills!C11=3,120+Inputs!$B$27+Inputs!$B$29,MAX(0,(Inputs!$B$3-100)*3)+Inputs!$B$28+Inputs!$B$29)))</f>
        <v/>
      </c>
      <c r="E1716">
        <f>INDEX(FactorTable!$B$2:$Y$301, MATCH(ROUND(MIN(300,MAX(1,D1716)),0), FactorTable!$A$2:$A$301,0), Skills!M11+1)</f>
        <v/>
      </c>
      <c r="F1716">
        <f>IF(Skills!N11=TRUE,(Skills!L11/10)*(E1716/1000),Skills!L11/10)+Skills!O11</f>
        <v/>
      </c>
      <c r="G1716">
        <f>Skills!G11*IF(Skills!H11&gt;0,Skills!I11/Skills!H11,1)</f>
        <v/>
      </c>
      <c r="H1716">
        <f>1-(1-Skills!J11/100)^Skills!K11</f>
        <v/>
      </c>
      <c r="I1716" t="inlineStr">
        <is>
          <t>1</t>
        </is>
      </c>
      <c r="J1716">
        <f>((Inputs!$B$6*(1+Inputs!$B$7/100))+(((Inputs!$B$12*(1+Inputs!$B$13/100))-(Inputs!$B$12*(1+Inputs!$B$13/100)))+0.25*(Inputs!$B$14-Inputs!$B$14))*(1+Inputs!$B$7/100))*(F1716/100)</f>
        <v/>
      </c>
      <c r="K1716">
        <f>J1716*(1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1725=TRUE)*(F1725-Calc!F20)),(Inputs!$B$23+0+(IF(ArtifactsInput!$M$15,CHOOSE(ArtifactsInput!$N$15+1,25,30,35,40,45,50)/100*(Inputs!$B$11-Inputs!$B$11),0))))/100+(Inputs!$B$23+0+(IF(ArtifactsInput!$M$15,CHOOSE(ArtifactsInput!$N$15+1,25,30,35,40,45,50)/100*(Inputs!$B$11-Inputs!$B$11),0)))/100)/2</f>
        <v/>
      </c>
      <c r="M1716">
        <f>L1716*(1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16">
        <f>L1716*(1-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IF(B1740=0,0,O1716/B1740)</f>
        <v/>
      </c>
      <c r="Q1716">
        <f>IFERROR(1/(IF(Inputs!$B$38="pvp",15,MAX(0.1,Skills!D11-IF(Skills!E11=TRUE,Inputs!$B$32,0)))*(1-IF(AND(ArtifactsInput!$M$27,Inputs!$B$4="Chapter Hunt"),CHOOSE(ArtifactsInput!$N$27+1,20,24,28,32,36,40),0)/100)),0)</f>
        <v/>
      </c>
      <c r="R1716">
        <f>IF(AND(Inputs!$B$38&lt;&gt;"pvp",Inputs!$B$43&gt;0),IF(MAX(0,Inputs!$B$43-B1737)&lt;=0,0,(INT(MAX(0,Inputs!$B$43-B1737)/(IF(Inputs!$B$38="pvp",15,MAX(0.1,Skills!D11-IF(Skills!E11=TRUE,Inputs!$B$32,0)))*(1-IF(AND(ArtifactsInput!$M$27,Inputs!$B$4="Chapter Hunt"),CHOOSE(ArtifactsInput!$N$27+1,20,24,28,32,36,40),0)/100)))+1)),0)</f>
        <v/>
      </c>
      <c r="S1716">
        <f>IFERROR(O1716/N1716,0)</f>
        <v/>
      </c>
      <c r="T1716">
        <f>IF(C1716,(H1716*N1716*IF(AND(Inputs!$B$38&lt;&gt;"pvp",Inputs!$B$43&gt;0),((Skills!G11*((R1716-1)*IF(Skills!H11&gt;0,Skills!I11/Skills!H11,1)+IF(Skills!H11&gt;0,MIN(Skills!I11,MAX(0,MAX(0,Inputs!$B$43-B1737)-((R1716-1)*(IF(Inputs!$B$38="pvp",15,MAX(0.1,Skills!D11-IF(Skills!E11=TRUE,Inputs!$B$32,0)))*(1-IF(AND(ArtifactsInput!$M$27,Inputs!$B$4="Chapter Hunt"),CHOOSE(ArtifactsInput!$N$27+1,20,24,28,32,36,40),0)/100)))))/Skills!H11,1)))/Inputs!$B$43),G1716*Q1716)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11*((R1716-1)*IF(Skills!H11&gt;0,Skills!I11/Skills!H11,1)+IF(Skills!H11&gt;0,MIN(Skills!I11,MAX(0,MAX(0,Inputs!$B$43-B1737)-((R1716-1)*(IF(Inputs!$B$38="pvp",15,MAX(0.1,Skills!D11-IF(Skills!E11=TRUE,Inputs!$B$32,0)))*(1-IF(AND(ArtifactsInput!$M$27,Inputs!$B$4="Chapter Hunt"),CHOOSE(ArtifactsInput!$N$27+1,20,24,28,32,36,40),0)/100)))))/Skills!H11,1)))/Inputs!$B$43),G1716*Q1716))*IF(Inputs!$B$38="pvp",1,(1+(Inputs!$B$21+Skills!Q11+(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Skills!A12</f>
        <v/>
      </c>
      <c r="B1717">
        <f>Skills!B12</f>
        <v/>
      </c>
      <c r="C1717">
        <f>Inputs!$B$3&gt;=100</f>
        <v/>
      </c>
      <c r="D1717">
        <f>IF(Skills!C12=1,60+Inputs!$B$25+Inputs!$B$29,IF(Skills!C12=2,90+Inputs!$B$26+Inputs!$B$29,IF(Skills!C12=3,120+Inputs!$B$27+Inputs!$B$29,MAX(0,(Inputs!$B$3-100)*3)+Inputs!$B$28+Inputs!$B$29)))</f>
        <v/>
      </c>
      <c r="E1717">
        <f>INDEX(FactorTable!$B$2:$Y$301, MATCH(ROUND(MIN(300,MAX(1,D1717)),0), FactorTable!$A$2:$A$301,0), Skills!M12+1)</f>
        <v/>
      </c>
      <c r="F1717">
        <f>IF(Skills!N12=TRUE,(Skills!L12/10)*(E1717/1000),Skills!L12/10)+Skills!O12</f>
        <v/>
      </c>
      <c r="G1717" t="inlineStr"/>
      <c r="H1717" t="inlineStr"/>
      <c r="I1717" t="inlineStr">
        <is>
          <t>1</t>
        </is>
      </c>
      <c r="J1717" t="inlineStr"/>
      <c r="K1717" t="inlineStr"/>
      <c r="L1717" t="inlineStr"/>
      <c r="M1717" t="inlineStr"/>
      <c r="N1717" t="inlineStr"/>
      <c r="O1717" t="inlineStr"/>
      <c r="P1717" t="inlineStr"/>
      <c r="Q1717" t="inlineStr"/>
      <c r="R1717" t="inlineStr"/>
      <c r="S1717" t="inlineStr"/>
      <c r="T1717" t="inlineStr"/>
      <c r="V1717" t="inlineStr"/>
    </row>
    <row r="1718">
      <c r="A1718">
        <f>Skills!A13</f>
        <v/>
      </c>
      <c r="B1718">
        <f>Skills!B13</f>
        <v/>
      </c>
      <c r="C1718">
        <f>Inputs!$B$3&gt;=66</f>
        <v/>
      </c>
      <c r="D1718">
        <f>IF(Skills!C13=1,60+Inputs!$B$25+Inputs!$B$29,IF(Skills!C13=2,90+Inputs!$B$26+Inputs!$B$29,IF(Skills!C13=3,120+Inputs!$B$27+Inputs!$B$29,MAX(0,(Inputs!$B$3-100)*3)+Inputs!$B$28+Inputs!$B$29)))</f>
        <v/>
      </c>
      <c r="E1718">
        <f>INDEX(FactorTable!$B$2:$Y$301, MATCH(ROUND(MIN(300,MAX(1,D1718)),0), FactorTable!$A$2:$A$301,0), Skills!M13+1)</f>
        <v/>
      </c>
      <c r="F1718">
        <f>IF(Skills!N13=TRUE,(Skills!L13/10)*(E1718/1000),Skills!L13/10)+Skills!O13</f>
        <v/>
      </c>
      <c r="G1718">
        <f>Skills!G13*IF(Skills!H13&gt;0,Skills!I13/Skills!H13,1)</f>
        <v/>
      </c>
      <c r="H1718">
        <f>1-(1-Skills!J13/100)^Skills!K13</f>
        <v/>
      </c>
      <c r="I1718" t="inlineStr">
        <is>
          <t>1</t>
        </is>
      </c>
      <c r="J1718" t="inlineStr"/>
      <c r="K1718" t="inlineStr"/>
      <c r="L1718" t="inlineStr"/>
      <c r="M1718" t="inlineStr"/>
      <c r="N1718" t="inlineStr"/>
      <c r="O1718">
        <f>(1-Summary!$B$11)*T1718+Summary!$B$11*V1718</f>
        <v/>
      </c>
      <c r="P1718">
        <f>IF(B1740=0,0,O1718/B1740)</f>
        <v/>
      </c>
      <c r="Q1718" t="n">
        <v>0</v>
      </c>
      <c r="R1718" t="n">
        <v>0</v>
      </c>
      <c r="S1718">
        <f>IFERROR(O1718/N1718,0)</f>
        <v/>
      </c>
      <c r="T1718" t="n">
        <v>0</v>
      </c>
      <c r="V1718" t="n">
        <v>0</v>
      </c>
    </row>
    <row r="1719">
      <c r="A1719">
        <f>Skills!A14</f>
        <v/>
      </c>
      <c r="B1719">
        <f>Skills!B14</f>
        <v/>
      </c>
      <c r="C1719">
        <f>Inputs!$B$3&gt;=107</f>
        <v/>
      </c>
      <c r="D1719">
        <f>IF(Skills!C14=1,60+Inputs!$B$25+Inputs!$B$29,IF(Skills!C14=2,90+Inputs!$B$26+Inputs!$B$29,IF(Skills!C14=3,120+Inputs!$B$27+Inputs!$B$29,MAX(0,(Inputs!$B$3-100)*3)+Inputs!$B$28+Inputs!$B$29)))</f>
        <v/>
      </c>
      <c r="E1719">
        <f>INDEX(FactorTable!$B$2:$Y$301, MATCH(ROUND(MIN(300,MAX(1,D1719)),0), FactorTable!$A$2:$A$301,0), Skills!M14+1)</f>
        <v/>
      </c>
      <c r="F1719">
        <f>IF(Skills!N14=TRUE,(Skills!L14/10)*(E1719/1000),Skills!L14/10)+Skills!O14</f>
        <v/>
      </c>
      <c r="G1719">
        <f>Skills!G14*IF(Skills!H14&gt;0,Skills!I14/Skills!H14,1)</f>
        <v/>
      </c>
      <c r="H1719">
        <f>1-(1-Skills!J14/100)^Skills!K14</f>
        <v/>
      </c>
      <c r="I1719" t="inlineStr">
        <is>
          <t>1</t>
        </is>
      </c>
      <c r="J1719" t="inlineStr"/>
      <c r="K1719" t="inlineStr"/>
      <c r="L1719" t="inlineStr"/>
      <c r="M1719" t="inlineStr"/>
      <c r="N1719" t="inlineStr"/>
      <c r="O1719">
        <f>(1-Summary!$B$11)*T1719+Summary!$B$11*V1719</f>
        <v/>
      </c>
      <c r="P1719">
        <f>IF(B1740=0,0,O1719/B1740)</f>
        <v/>
      </c>
      <c r="Q1719" t="n">
        <v>0</v>
      </c>
      <c r="R1719" t="n">
        <v>0</v>
      </c>
      <c r="S1719">
        <f>IFERROR(O1719/N1719,0)</f>
        <v/>
      </c>
      <c r="T1719" t="n">
        <v>0</v>
      </c>
      <c r="V1719" t="n">
        <v>0</v>
      </c>
    </row>
    <row r="1720">
      <c r="A1720">
        <f>Skills!A15</f>
        <v/>
      </c>
      <c r="B1720">
        <f>Skills!B15</f>
        <v/>
      </c>
      <c r="C1720">
        <f>Inputs!$B$3&gt;=115</f>
        <v/>
      </c>
      <c r="D1720">
        <f>IF(Skills!C15=1,60+Inputs!$B$25+Inputs!$B$29,IF(Skills!C15=2,90+Inputs!$B$26+Inputs!$B$29,IF(Skills!C15=3,120+Inputs!$B$27+Inputs!$B$29,MAX(0,(Inputs!$B$3-100)*3)+Inputs!$B$28+Inputs!$B$29)))</f>
        <v/>
      </c>
      <c r="E1720">
        <f>INDEX(FactorTable!$B$2:$Y$301, MATCH(ROUND(MIN(300,MAX(1,D1720)),0), FactorTable!$A$2:$A$301,0), Skills!M15+1)</f>
        <v/>
      </c>
      <c r="F1720">
        <f>IF(Skills!N15=TRUE,(Skills!L15/10)*(E1720/1000),Skills!L15/10)+Skills!O15</f>
        <v/>
      </c>
      <c r="G1720">
        <f>Skills!G15*IF(Skills!H15&gt;0,Skills!I15/Skills!H15,1)</f>
        <v/>
      </c>
      <c r="H1720">
        <f>1-(1-Skills!J15/100)^Skills!K15</f>
        <v/>
      </c>
      <c r="I1720" t="inlineStr">
        <is>
          <t>1</t>
        </is>
      </c>
      <c r="J1720" t="inlineStr"/>
      <c r="K1720" t="inlineStr"/>
      <c r="L1720" t="inlineStr"/>
      <c r="M1720" t="inlineStr"/>
      <c r="N1720" t="inlineStr"/>
      <c r="O1720">
        <f>(1-Summary!$B$11)*T1720+Summary!$B$11*V1720</f>
        <v/>
      </c>
      <c r="P1720">
        <f>IF(B1740=0,0,O1720/B1740)</f>
        <v/>
      </c>
      <c r="Q1720" t="n">
        <v>0</v>
      </c>
      <c r="R1720" t="n">
        <v>0</v>
      </c>
      <c r="S1720">
        <f>IFERROR(O1720/N1720,0)</f>
        <v/>
      </c>
      <c r="T1720" t="n">
        <v>0</v>
      </c>
      <c r="V1720" t="n">
        <v>0</v>
      </c>
    </row>
    <row r="1721">
      <c r="A1721">
        <f>Skills!A16</f>
        <v/>
      </c>
      <c r="B1721">
        <f>Skills!B16</f>
        <v/>
      </c>
      <c r="C1721">
        <f>Inputs!$B$3&gt;=15</f>
        <v/>
      </c>
      <c r="D1721">
        <f>IF(Skills!C16=1,60+Inputs!$B$25+Inputs!$B$29,IF(Skills!C16=2,90+Inputs!$B$26+Inputs!$B$29,IF(Skills!C16=3,120+Inputs!$B$27+Inputs!$B$29,MAX(0,(Inputs!$B$3-100)*3)+Inputs!$B$28+Inputs!$B$29)))</f>
        <v/>
      </c>
      <c r="E1721">
        <f>INDEX(FactorTable!$B$2:$Y$301, MATCH(ROUND(MIN(300,MAX(1,D1721)),0), FactorTable!$A$2:$A$301,0), Skills!M16+1)</f>
        <v/>
      </c>
      <c r="F1721">
        <f>IF(Skills!N16=TRUE,(Skills!L16/10)*(E1721/1000),Skills!L16/10)+Skills!O16</f>
        <v/>
      </c>
      <c r="G1721">
        <f>Skills!G16*IF(Skills!H16&gt;0,Skills!I16/Skills!H16,1)</f>
        <v/>
      </c>
      <c r="H1721">
        <f>1-(1-Skills!J16/100)^Skills!K16</f>
        <v/>
      </c>
      <c r="I1721" t="inlineStr">
        <is>
          <t>1</t>
        </is>
      </c>
      <c r="J1721" t="inlineStr"/>
      <c r="K1721" t="inlineStr"/>
      <c r="L1721" t="inlineStr"/>
      <c r="M1721" t="inlineStr"/>
      <c r="N1721" t="inlineStr"/>
      <c r="O1721">
        <f>(1-Summary!$B$11)*T1721+Summary!$B$11*V1721</f>
        <v/>
      </c>
      <c r="P1721">
        <f>IF(B1740=0,0,O1721/B1740)</f>
        <v/>
      </c>
      <c r="Q1721" t="n">
        <v>0</v>
      </c>
      <c r="R1721" t="n">
        <v>0</v>
      </c>
      <c r="S1721">
        <f>IFERROR(O1721/N1721,0)</f>
        <v/>
      </c>
      <c r="T1721" t="n">
        <v>0</v>
      </c>
      <c r="V1721" t="n">
        <v>0</v>
      </c>
    </row>
    <row r="1722">
      <c r="A1722">
        <f>Skills!A17</f>
        <v/>
      </c>
      <c r="B1722">
        <f>Skills!B17</f>
        <v/>
      </c>
      <c r="C1722">
        <f>Inputs!$B$3&gt;=10</f>
        <v/>
      </c>
      <c r="D1722">
        <f>IF(Skills!C17=1,60+Inputs!$B$25+Inputs!$B$29,IF(Skills!C17=2,90+Inputs!$B$26+Inputs!$B$29,IF(Skills!C17=3,120+Inputs!$B$27+Inputs!$B$29,MAX(0,(Inputs!$B$3-100)*3)+Inputs!$B$28+Inputs!$B$29)))</f>
        <v/>
      </c>
      <c r="E1722">
        <f>INDEX(FactorTable!$B$2:$Y$301, MATCH(ROUND(MIN(300,MAX(1,D1722)),0), FactorTable!$A$2:$A$301,0), Skills!M17+1)</f>
        <v/>
      </c>
      <c r="F1722">
        <f>IF(Skills!N17=TRUE,(Skills!L17/10)*(E1722/1000),Skills!L17/10)+Skills!O17</f>
        <v/>
      </c>
      <c r="G1722">
        <f>Skills!G17*IF(Skills!H17&gt;0,Skills!I17/Skills!H17,1)</f>
        <v/>
      </c>
      <c r="H1722">
        <f>1-(1-Skills!J17/100)^Skills!K17</f>
        <v/>
      </c>
      <c r="I1722" t="inlineStr">
        <is>
          <t>1</t>
        </is>
      </c>
      <c r="J1722" t="inlineStr"/>
      <c r="K1722" t="inlineStr"/>
      <c r="L1722" t="inlineStr"/>
      <c r="M1722" t="inlineStr"/>
      <c r="N1722" t="inlineStr"/>
      <c r="O1722">
        <f>(1-Summary!$B$11)*T1722+Summary!$B$11*V1722</f>
        <v/>
      </c>
      <c r="P1722">
        <f>IF(B1740=0,0,O1722/B1740)</f>
        <v/>
      </c>
      <c r="Q1722" t="n">
        <v>0</v>
      </c>
      <c r="R1722" t="n">
        <v>0</v>
      </c>
      <c r="S1722">
        <f>IFERROR(O1722/N1722,0)</f>
        <v/>
      </c>
      <c r="T1722" t="n">
        <v>0</v>
      </c>
      <c r="V1722" t="n">
        <v>0</v>
      </c>
    </row>
    <row r="1723">
      <c r="A1723">
        <f>Skills!A18</f>
        <v/>
      </c>
      <c r="B1723">
        <f>Skills!B18</f>
        <v/>
      </c>
      <c r="C1723">
        <f>Inputs!$B$3&gt;=33</f>
        <v/>
      </c>
      <c r="D1723">
        <f>IF(Skills!C18=1,60+Inputs!$B$25+Inputs!$B$29,IF(Skills!C18=2,90+Inputs!$B$26+Inputs!$B$29,IF(Skills!C18=3,120+Inputs!$B$27+Inputs!$B$29,MAX(0,(Inputs!$B$3-100)*3)+Inputs!$B$28+Inputs!$B$29)))</f>
        <v/>
      </c>
      <c r="E1723">
        <f>INDEX(FactorTable!$B$2:$Y$301, MATCH(ROUND(MIN(300,MAX(1,D1723)),0), FactorTable!$A$2:$A$301,0), Skills!M18+1)</f>
        <v/>
      </c>
      <c r="F1723">
        <f>IF(Skills!N18=TRUE,(Skills!L18/10)*(E1723/1000),Skills!L18/10)+Skills!O18</f>
        <v/>
      </c>
      <c r="G1723">
        <f>Skills!G18*IF(Skills!H18&gt;0,Skills!I18/Skills!H18,1)</f>
        <v/>
      </c>
      <c r="H1723">
        <f>1-(1-Skills!J18/100)^Skills!K18</f>
        <v/>
      </c>
      <c r="I1723" t="inlineStr">
        <is>
          <t>1</t>
        </is>
      </c>
      <c r="J1723" t="inlineStr"/>
      <c r="K1723" t="inlineStr"/>
      <c r="L1723" t="inlineStr"/>
      <c r="M1723" t="inlineStr"/>
      <c r="N1723" t="inlineStr"/>
      <c r="O1723">
        <f>(1-Summary!$B$11)*T1723+Summary!$B$11*V1723</f>
        <v/>
      </c>
      <c r="P1723">
        <f>IF(B1740=0,0,O1723/B1740)</f>
        <v/>
      </c>
      <c r="Q1723" t="n">
        <v>0</v>
      </c>
      <c r="R1723" t="n">
        <v>0</v>
      </c>
      <c r="S1723">
        <f>IFERROR(O1723/N1723,0)</f>
        <v/>
      </c>
      <c r="T1723" t="n">
        <v>0</v>
      </c>
      <c r="V1723" t="n">
        <v>0</v>
      </c>
    </row>
    <row r="1724">
      <c r="A1724">
        <f>Skills!A19</f>
        <v/>
      </c>
      <c r="B1724">
        <f>Skills!B19</f>
        <v/>
      </c>
      <c r="C1724">
        <f>Inputs!$B$3&gt;=40</f>
        <v/>
      </c>
      <c r="D1724">
        <f>IF(Skills!C19=1,60+Inputs!$B$25+Inputs!$B$29,IF(Skills!C19=2,90+Inputs!$B$26+Inputs!$B$29,IF(Skills!C19=3,120+Inputs!$B$27+Inputs!$B$29,MAX(0,(Inputs!$B$3-100)*3)+Inputs!$B$28+Inputs!$B$29)))</f>
        <v/>
      </c>
      <c r="E1724">
        <f>INDEX(FactorTable!$B$2:$Y$301, MATCH(ROUND(MIN(300,MAX(1,D1724)),0), FactorTable!$A$2:$A$301,0), Skills!M19+1)</f>
        <v/>
      </c>
      <c r="F1724">
        <f>IF(Skills!N19=TRUE,(Skills!L19/10)*(E1724/1000),Skills!L19/10)+Skills!O19</f>
        <v/>
      </c>
      <c r="G1724">
        <f>Skills!G19*IF(Skills!H19&gt;0,Skills!I19/Skills!H19,1)</f>
        <v/>
      </c>
      <c r="H1724">
        <f>1-(1-Skills!J19/100)^Skills!K19</f>
        <v/>
      </c>
      <c r="I1724" t="inlineStr">
        <is>
          <t>1</t>
        </is>
      </c>
      <c r="J1724" t="inlineStr"/>
      <c r="K1724" t="inlineStr"/>
      <c r="L1724" t="inlineStr"/>
      <c r="M1724" t="inlineStr"/>
      <c r="N1724" t="inlineStr"/>
      <c r="O1724">
        <f>(1-Summary!$B$11)*T1724+Summary!$B$11*V1724</f>
        <v/>
      </c>
      <c r="P1724">
        <f>IF(B1740=0,0,O1724/B1740)</f>
        <v/>
      </c>
      <c r="Q1724" t="n">
        <v>0</v>
      </c>
      <c r="R1724" t="n">
        <v>0</v>
      </c>
      <c r="S1724">
        <f>IFERROR(O1724/N1724,0)</f>
        <v/>
      </c>
      <c r="T1724" t="n">
        <v>0</v>
      </c>
      <c r="V1724" t="n">
        <v>0</v>
      </c>
    </row>
    <row r="1725">
      <c r="A1725">
        <f>Skills!A20</f>
        <v/>
      </c>
      <c r="B1725">
        <f>Skills!B20</f>
        <v/>
      </c>
      <c r="C1725">
        <f>Inputs!$B$3&gt;=43</f>
        <v/>
      </c>
      <c r="D1725">
        <f>IF(Skills!C20=1,60+Inputs!$B$25+Inputs!$B$29,IF(Skills!C20=2,90+Inputs!$B$26+Inputs!$B$29,IF(Skills!C20=3,120+Inputs!$B$27+Inputs!$B$29,MAX(0,(Inputs!$B$3-100)*3)+Inputs!$B$28+Inputs!$B$29)))</f>
        <v/>
      </c>
      <c r="E1725">
        <f>INDEX(FactorTable!$B$2:$Y$301, MATCH(ROUND(MIN(300,MAX(1,D1725)),0), FactorTable!$A$2:$A$301,0), Skills!M20+1)</f>
        <v/>
      </c>
      <c r="F1725">
        <f>IF(Skills!N20=TRUE,(Skills!L20/10)*(E1725/1000),Skills!L20/10)+Skills!O20</f>
        <v/>
      </c>
      <c r="G1725">
        <f>Skills!G20*IF(Skills!H20&gt;0,Skills!I20/Skills!H20,1)</f>
        <v/>
      </c>
      <c r="H1725">
        <f>1-(1-Skills!J20/100)^Skills!K20</f>
        <v/>
      </c>
      <c r="I1725" t="inlineStr">
        <is>
          <t>1</t>
        </is>
      </c>
      <c r="J1725" t="inlineStr"/>
      <c r="K1725" t="inlineStr"/>
      <c r="L1725" t="inlineStr"/>
      <c r="M1725" t="inlineStr"/>
      <c r="N1725" t="inlineStr"/>
      <c r="O1725">
        <f>(1-Summary!$B$11)*T1725+Summary!$B$11*V1725</f>
        <v/>
      </c>
      <c r="P1725">
        <f>IF(B1740=0,0,O1725/B1740)</f>
        <v/>
      </c>
      <c r="Q1725" t="n">
        <v>0</v>
      </c>
      <c r="R1725" t="n">
        <v>0</v>
      </c>
      <c r="S1725">
        <f>IFERROR(O1725/N1725,0)</f>
        <v/>
      </c>
      <c r="T1725" t="n">
        <v>0</v>
      </c>
      <c r="V1725" t="n">
        <v>0</v>
      </c>
    </row>
    <row r="1726">
      <c r="A1726">
        <f>Skills!A21</f>
        <v/>
      </c>
      <c r="B1726">
        <f>Skills!B21</f>
        <v/>
      </c>
      <c r="C1726">
        <f>Inputs!$B$3&gt;=38</f>
        <v/>
      </c>
      <c r="D1726">
        <f>IF(Skills!C21=1,60+Inputs!$B$25+Inputs!$B$29,IF(Skills!C21=2,90+Inputs!$B$26+Inputs!$B$29,IF(Skills!C21=3,120+Inputs!$B$27+Inputs!$B$29,MAX(0,(Inputs!$B$3-100)*3)+Inputs!$B$28+Inputs!$B$29)))</f>
        <v/>
      </c>
      <c r="E1726">
        <f>INDEX(FactorTable!$B$2:$Y$301, MATCH(ROUND(MIN(300,MAX(1,D1726)),0), FactorTable!$A$2:$A$301,0), Skills!M21+1)</f>
        <v/>
      </c>
      <c r="F1726">
        <f>IF(Skills!N21=TRUE,(Skills!L21/10)*(E1726/1000),Skills!L21/10)+Skills!O21</f>
        <v/>
      </c>
      <c r="G1726">
        <f>Skills!G21*IF(Skills!H21&gt;0,Skills!I21/Skills!H21,1)</f>
        <v/>
      </c>
      <c r="H1726">
        <f>1-(1-Skills!J21/100)^Skills!K21</f>
        <v/>
      </c>
      <c r="I1726" t="inlineStr">
        <is>
          <t>1</t>
        </is>
      </c>
      <c r="J1726" t="inlineStr"/>
      <c r="K1726" t="inlineStr"/>
      <c r="L1726" t="inlineStr"/>
      <c r="M1726" t="inlineStr"/>
      <c r="N1726" t="inlineStr"/>
      <c r="O1726">
        <f>(1-Summary!$B$11)*T1726+Summary!$B$11*V1726</f>
        <v/>
      </c>
      <c r="P1726">
        <f>IF(B1740=0,0,O1726/B1740)</f>
        <v/>
      </c>
      <c r="Q1726" t="n">
        <v>0</v>
      </c>
      <c r="R1726" t="n">
        <v>0</v>
      </c>
      <c r="S1726">
        <f>IFERROR(O1726/N1726,0)</f>
        <v/>
      </c>
      <c r="T1726" t="n">
        <v>0</v>
      </c>
      <c r="V1726" t="n">
        <v>0</v>
      </c>
    </row>
    <row r="1727">
      <c r="A1727">
        <f>Skills!A22</f>
        <v/>
      </c>
      <c r="B1727">
        <f>Skills!B22</f>
        <v/>
      </c>
      <c r="C1727">
        <f>Inputs!$B$3&gt;=75</f>
        <v/>
      </c>
      <c r="D1727">
        <f>IF(Skills!C22=1,60+Inputs!$B$25+Inputs!$B$29,IF(Skills!C22=2,90+Inputs!$B$26+Inputs!$B$29,IF(Skills!C22=3,120+Inputs!$B$27+Inputs!$B$29,MAX(0,(Inputs!$B$3-100)*3)+Inputs!$B$28+Inputs!$B$29)))</f>
        <v/>
      </c>
      <c r="E1727">
        <f>INDEX(FactorTable!$B$2:$Y$301, MATCH(ROUND(MIN(300,MAX(1,D1727)),0), FactorTable!$A$2:$A$301,0), Skills!M22+1)</f>
        <v/>
      </c>
      <c r="F1727">
        <f>IF(Skills!N22=TRUE,(Skills!L22/10)*(E1727/1000),Skills!L22/10)+Skills!O22</f>
        <v/>
      </c>
      <c r="G1727">
        <f>Skills!G22*IF(Skills!H22&gt;0,Skills!I22/Skills!H22,1)</f>
        <v/>
      </c>
      <c r="H1727">
        <f>1-(1-Skills!J22/100)^Skills!K22</f>
        <v/>
      </c>
      <c r="I1727" t="inlineStr">
        <is>
          <t>1</t>
        </is>
      </c>
      <c r="J1727" t="inlineStr"/>
      <c r="K1727" t="inlineStr"/>
      <c r="L1727" t="inlineStr"/>
      <c r="M1727" t="inlineStr"/>
      <c r="N1727" t="inlineStr"/>
      <c r="O1727">
        <f>(1-Summary!$B$11)*T1727+Summary!$B$11*V1727</f>
        <v/>
      </c>
      <c r="P1727">
        <f>IF(B1740=0,0,O1727/B1740)</f>
        <v/>
      </c>
      <c r="Q1727" t="n">
        <v>0</v>
      </c>
      <c r="R1727" t="n">
        <v>0</v>
      </c>
      <c r="S1727">
        <f>IFERROR(O1727/N1727,0)</f>
        <v/>
      </c>
      <c r="T1727" t="n">
        <v>0</v>
      </c>
      <c r="V1727" t="n">
        <v>0</v>
      </c>
    </row>
    <row r="1729">
      <c r="A1729" t="inlineStr">
        <is>
          <t>Attack% Bucket Multiplier</t>
        </is>
      </c>
      <c r="B1729">
        <f>(1+(((C1718=TRUE)*F1718)+((C1724=TRUE)*(F1724-Calc!F19))+(IF(ArtifactsInput!$M$21,CHOOSE(ArtifactsInput!$N$21+1,25,30,35,40,45,50)*(IF(OR(Inputs!$B$4="Chapter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0">
      <c r="A1730" t="inlineStr">
        <is>
          <t>Global Crit Rate Bonus %</t>
        </is>
      </c>
      <c r="B1730" t="n">
        <v>0</v>
      </c>
    </row>
    <row r="1731">
      <c r="A1731" t="inlineStr">
        <is>
          <t>Attack Speed Buff Bonus % (unused)</t>
        </is>
      </c>
      <c r="B1731" t="n">
        <v>0</v>
      </c>
    </row>
    <row r="1732">
      <c r="A1732" t="inlineStr">
        <is>
          <t>Actions Per Second</t>
        </is>
      </c>
      <c r="B1732">
        <f>1+MIN(150,150*(1-(1-(Inputs!$B$11+((C1722=TRUE)*(F1722-Calc!F17))+((C1723=TRUE)*(F1723-Calc!F18)))/150)*(1-B1731/150)))/100</f>
        <v/>
      </c>
    </row>
    <row r="1733">
      <c r="A1733" t="inlineStr">
        <is>
          <t>Skill + Buff Cast Rate</t>
        </is>
      </c>
      <c r="B1733">
        <f>IF(AND(Inputs!$B$38&lt;&gt;"pvp",Inputs!$B$43&gt;0),SUMPRODUCT((Skills!E2:E22=TRUE)*(C1707:C1727=TRUE)*R1707:R1727*Skills!F2:F22)/Inputs!$B$43,SUMPRODUCT((Skills!E2:E22=TRUE)*(C1707:C1727=TRUE)*Q1707:Q1727*Skills!F2:F22))</f>
        <v/>
      </c>
    </row>
    <row r="1734">
      <c r="A1734" t="inlineStr">
        <is>
          <t>Hook Bomber Casts Per Second</t>
        </is>
      </c>
      <c r="B1734">
        <f>MAX(0,B1732-B1733)</f>
        <v/>
      </c>
    </row>
    <row r="1735">
      <c r="A1735" t="inlineStr">
        <is>
          <t>Global Critical Damage Bonus % (unused)</t>
        </is>
      </c>
      <c r="B1735" t="n">
        <v>0</v>
      </c>
    </row>
    <row r="1736">
      <c r="A1736" t="inlineStr">
        <is>
          <t>Global Final Damage Bonus % (Serpent Scale + Crossbones + Time Leap + Speed Infusion)</t>
        </is>
      </c>
      <c r="B1736">
        <f>((C1710=TRUE)*F1710*((10+IF(Inputs!$B$3&gt;=94,5,0))/((10+IF(Inputs!$B$3&gt;=94,5,0))+5/(B1734*(1+IF(Inputs!$B$3&gt;=104,1,0))))))+((C1719=TRUE)*F1719)+((C1720=TRUE)*F1720)+((Inputs!$B$3&gt;=110)*20*(B1732-1))</f>
        <v/>
      </c>
    </row>
    <row r="1737">
      <c r="A1737" t="inlineStr">
        <is>
          <t>Buff-Casting Startup Delay (s, fixed-duration only)</t>
        </is>
      </c>
      <c r="B1737">
        <f>IF(AND(Inputs!$B$38&lt;&gt;"pvp",Inputs!$B$43&gt;0),SUMPRODUCT((Skills!T2:T22&gt;0)*(Skills!E2:E22=TRUE)*(C1707:C1727=TRUE))/B1732,0)</f>
        <v/>
      </c>
    </row>
    <row r="1738">
      <c r="A1738" t="inlineStr">
        <is>
          <t>Boss-Only Total DPS (this block's swept value)</t>
        </is>
      </c>
      <c r="B1738">
        <f>SUM(T1707:T1727)</f>
        <v/>
      </c>
    </row>
    <row r="1739">
      <c r="A1739" t="inlineStr">
        <is>
          <t>Normal-Only Total DPS (this block's swept value)</t>
        </is>
      </c>
      <c r="B1739">
        <f>SUM(V1707:V1727)</f>
        <v/>
      </c>
    </row>
    <row r="1740">
      <c r="A1740" s="6" t="inlineStr">
        <is>
          <t>TOTAL DPS</t>
        </is>
      </c>
      <c r="B1740" s="6">
        <f>SUM(O1707:O1727)</f>
        <v/>
      </c>
    </row>
    <row r="1743">
      <c r="A1743" s="6" t="inlineStr">
        <is>
          <t>Stat: Lunar Dew (Equip)</t>
        </is>
      </c>
    </row>
    <row r="1744">
      <c r="A1744" s="5" t="inlineStr">
        <is>
          <t>Key</t>
        </is>
      </c>
      <c r="B1744" s="5" t="inlineStr">
        <is>
          <t>Name</t>
        </is>
      </c>
      <c r="C1744" s="5" t="inlineStr">
        <is>
          <t>Unlocked</t>
        </is>
      </c>
      <c r="D1744" s="5" t="inlineStr">
        <is>
          <t>InputLevel</t>
        </is>
      </c>
      <c r="E1744" s="5" t="inlineStr">
        <is>
          <t>Factor</t>
        </is>
      </c>
      <c r="F1744" s="5" t="inlineStr">
        <is>
          <t>CoefficientPercent</t>
        </is>
      </c>
      <c r="G1744" s="5" t="inlineStr">
        <is>
          <t>EffectiveHits</t>
        </is>
      </c>
      <c r="H1744" s="5" t="inlineStr">
        <is>
          <t>ProcProbability</t>
        </is>
      </c>
      <c r="I1744" s="5" t="inlineStr">
        <is>
          <t>MapleHeroMultiplier</t>
        </is>
      </c>
      <c r="J1744" s="5" t="inlineStr">
        <is>
          <t>BaseDamage</t>
        </is>
      </c>
      <c r="K1744" s="5" t="inlineStr">
        <is>
          <t>BaseHitDamage</t>
        </is>
      </c>
      <c r="L1744" s="5" t="inlineStr">
        <is>
          <t>NonCritAvg</t>
        </is>
      </c>
      <c r="M1744" s="5" t="inlineStr">
        <is>
          <t>CritAvg</t>
        </is>
      </c>
      <c r="N1744" s="5" t="inlineStr">
        <is>
          <t>ExpectedDamage(perHit)</t>
        </is>
      </c>
      <c r="O1744" s="5" t="inlineStr">
        <is>
          <t>DPS</t>
        </is>
      </c>
      <c r="P1744" s="5" t="inlineStr">
        <is>
          <t>% of Total</t>
        </is>
      </c>
      <c r="Q1744" s="5" t="inlineStr">
        <is>
          <t>InvCooldown</t>
        </is>
      </c>
      <c r="R1744" s="5" t="inlineStr">
        <is>
          <t>CastsInFight</t>
        </is>
      </c>
      <c r="S1744" s="5" t="inlineStr">
        <is>
          <t>HitRate(perSec)</t>
        </is>
      </c>
      <c r="U1744" t="inlineStr">
        <is>
          <t>helpers</t>
        </is>
      </c>
    </row>
    <row r="1745">
      <c r="A1745">
        <f>Skills!A2</f>
        <v/>
      </c>
      <c r="B1745">
        <f>Skills!B2</f>
        <v/>
      </c>
      <c r="C1745">
        <f>Inputs!$B$3&gt;=100</f>
        <v/>
      </c>
      <c r="D1745" t="inlineStr"/>
      <c r="E1745" t="inlineStr"/>
      <c r="F1745">
        <f>U1747+Skills!O2</f>
        <v/>
      </c>
      <c r="G1745">
        <f>Skills!G2*IF(Skills!H2&gt;0,Skills!I2/Skills!H2,1)</f>
        <v/>
      </c>
      <c r="H1745">
        <f>1-(1-Skills!J2/100)^Skills!K2</f>
        <v/>
      </c>
      <c r="I1745" t="inlineStr">
        <is>
          <t>1</t>
        </is>
      </c>
      <c r="J1745">
        <f>((Inputs!$B$6*(1+Inputs!$B$7/100))+(((Inputs!$B$12*(1+Inputs!$B$13/100))-(Inputs!$B$12*(1+Inputs!$B$13/100)))+0.25*(Inputs!$B$14-Inputs!$B$14))*(1+Inputs!$B$7/100))*(F1745/100)</f>
        <v/>
      </c>
      <c r="K1745">
        <f>J1745*(1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C1763=TRUE)*(F1763-Calc!F20)),(Inputs!$B$23+0+(IF(ArtifactsInput!$M$15,CHOOSE(ArtifactsInput!$N$15+1,25,30,35,40,45,50)/100*(Inputs!$B$11-Inputs!$B$11),0))))/100+(Inputs!$B$23+0+(IF(ArtifactsInput!$M$15,CHOOSE(ArtifactsInput!$N$15+1,25,30,35,40,45,50)/100*(Inputs!$B$11-Inputs!$B$11),0)))/100)/2</f>
        <v/>
      </c>
      <c r="M1745">
        <f>L1745*(1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(1-Summary!$B$11)*T1745+Summary!$B$11*V1745</f>
        <v/>
      </c>
      <c r="P1745">
        <f>IF(B1778=0,0,O1745/B1778)</f>
        <v/>
      </c>
      <c r="Q1745" t="n">
        <v>0</v>
      </c>
      <c r="R1745" t="n">
        <v>0</v>
      </c>
      <c r="S1745">
        <f>IFERROR(O1745/N1745,0)</f>
        <v/>
      </c>
      <c r="T1745">
        <f>IF(C1745,(Skills!G2*N1745*B1772)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1745*(1-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5">
        <f>MAX(0,(Inputs!$B$3-100)*3)+Inputs!$B$28+Inputs!$B$29</f>
        <v/>
      </c>
      <c r="V1745">
        <f>IF(C1745,(Skills!G2*N1745*B1772)*IF(Inputs!$B$38="pvp",1,(1+(Inputs!$B$21+Skills!Q2+(IF(ArtifactsInput!$M$33,CHOOSE(ArtifactsInput!$N$33+1,30,36,42,48,54,60),0))+(IF(AND(ArtifactsInput!$M$35,Inputs!$B$4&lt;&gt;"Chapter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6">
      <c r="A1746">
        <f>Skills!A3</f>
        <v/>
      </c>
      <c r="B1746">
        <f>Skills!B3</f>
        <v/>
      </c>
      <c r="C1746">
        <f>Inputs!$B$3&gt;=35</f>
        <v/>
      </c>
      <c r="D1746">
        <f>IF(Skills!C3=1,60+Inputs!$B$25+Inputs!$B$29,IF(Skills!C3=2,90+Inputs!$B$26+Inputs!$B$29,IF(Skills!C3=3,120+Inputs!$B$27+Inputs!$B$29,MAX(0,(Inputs!$B$3-100)*3)+Inputs!$B$28+Inputs!$B$29)))</f>
        <v/>
      </c>
      <c r="E1746">
        <f>INDEX(FactorTable!$B$2:$Y$301, MATCH(ROUND(MIN(300,MAX(1,D1746)),0), FactorTable!$A$2:$A$301,0), Skills!M3+1)</f>
        <v/>
      </c>
      <c r="F1746">
        <f>IF(Skills!N3=TRUE,(Skills!L3/10)*(E1746/1000),Skills!L3/10)+Skills!O3</f>
        <v/>
      </c>
      <c r="G1746">
        <f>Skills!G3*IF(Skills!H3&gt;0,Skills!I3/Skills!H3,1)</f>
        <v/>
      </c>
      <c r="H1746">
        <f>1-(1-Skills!J3/100)^Skills!K3</f>
        <v/>
      </c>
      <c r="I1746" t="inlineStr">
        <is>
          <t>1</t>
        </is>
      </c>
      <c r="J1746">
        <f>((Inputs!$B$6*(1+Inputs!$B$7/100))+(((Inputs!$B$12*(1+Inputs!$B$13/100))-(Inputs!$B$12*(1+Inputs!$B$13/100)))+0.25*(Inputs!$B$14-Inputs!$B$14))*(1+Inputs!$B$7/100))*(F1746/100)</f>
        <v/>
      </c>
      <c r="K1746">
        <f>J1746*(1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C1763=TRUE)*(F1763-Calc!F20)),(Inputs!$B$23+0+(IF(ArtifactsInput!$M$15,CHOOSE(ArtifactsInput!$N$15+1,25,30,35,40,45,50)/100*(Inputs!$B$11-Inputs!$B$11),0))))/100+(Inputs!$B$23+0+(IF(ArtifactsInput!$M$15,CHOOSE(ArtifactsInput!$N$15+1,25,30,35,40,45,50)/100*(Inputs!$B$11-Inputs!$B$11),0)))/100)/2</f>
        <v/>
      </c>
      <c r="M1746">
        <f>L1746*(1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(1-Summary!$B$11)*T1746+Summary!$B$11*V1746</f>
        <v/>
      </c>
      <c r="P1746">
        <f>IF(B1778=0,0,O1746/B1778)</f>
        <v/>
      </c>
      <c r="Q1746" t="n">
        <v>0</v>
      </c>
      <c r="R1746" t="n">
        <v>0</v>
      </c>
      <c r="S1746">
        <f>IFERROR(O1746/N1746,0)</f>
        <v/>
      </c>
      <c r="T1746">
        <f>IF(C1746,(Skills!G3*H1746*N1746*B1772)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1746*(1-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6">
        <f>INDEX(FactorTable!$B$2:$Y$301, MATCH(ROUND(MIN(300,MAX(1,U1745)),0), FactorTable!$A$2:$A$301,0), 22)</f>
        <v/>
      </c>
      <c r="V1746">
        <f>IF(C1746,(Skills!G3*H1746*N1746*B1772)*IF(Inputs!$B$38="pvp",1,(1+(Inputs!$B$21+Skills!Q3+(IF(ArtifactsInput!$M$33,CHOOSE(ArtifactsInput!$N$33+1,30,36,42,48,54,60),0))+(IF(AND(ArtifactsInput!$M$35,Inputs!$B$4&lt;&gt;"Chapter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Skills!A4</f>
        <v/>
      </c>
      <c r="B1747">
        <f>Skills!B4</f>
        <v/>
      </c>
      <c r="C1747">
        <f>Inputs!$B$3&gt;=60</f>
        <v/>
      </c>
      <c r="D1747">
        <f>IF(Skills!C4=1,60+Inputs!$B$25+Inputs!$B$29,IF(Skills!C4=2,90+Inputs!$B$26+Inputs!$B$29,IF(Skills!C4=3,120+Inputs!$B$27+Inputs!$B$29,MAX(0,(Inputs!$B$3-100)*3)+Inputs!$B$28+Inputs!$B$29)))</f>
        <v/>
      </c>
      <c r="E1747">
        <f>INDEX(FactorTable!$B$2:$Y$301, MATCH(ROUND(MIN(300,MAX(1,D1747)),0), FactorTable!$A$2:$A$301,0), Skills!M4+1)</f>
        <v/>
      </c>
      <c r="F1747">
        <f>IF(Skills!N4=TRUE,(Skills!L4/10)*(E1747/1000),Skills!L4/10)+Skills!O4</f>
        <v/>
      </c>
      <c r="G1747">
        <f>Skills!G4*IF(Skills!H4&gt;0,Skills!I4/Skills!H4,1)</f>
        <v/>
      </c>
      <c r="H1747">
        <f>1-(1-Skills!J4/100)^Skills!K4</f>
        <v/>
      </c>
      <c r="I1747" t="inlineStr">
        <is>
          <t>1</t>
        </is>
      </c>
      <c r="J1747">
        <f>((Inputs!$B$6*(1+Inputs!$B$7/100))+(((Inputs!$B$12*(1+Inputs!$B$13/100))-(Inputs!$B$12*(1+Inputs!$B$13/100)))+0.25*(Inputs!$B$14-Inputs!$B$14))*(1+Inputs!$B$7/100))*(F1747/100)</f>
        <v/>
      </c>
      <c r="K1747">
        <f>J1747*(1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1755=TRUE,F1755,0)/100)*(1+(IF(Skills!A4="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C1763=TRUE)*(F1763-Calc!F20)),(Inputs!$B$23+0+(IF(ArtifactsInput!$M$15,CHOOSE(ArtifactsInput!$N$15+1,25,30,35,40,45,50)/100*(Inputs!$B$11-Inputs!$B$11),0))))/100+(Inputs!$B$23+0+(IF(ArtifactsInput!$M$15,CHOOSE(ArtifactsInput!$N$15+1,25,30,35,40,45,50)/100*(Inputs!$B$11-Inputs!$B$11),0)))/100)/2</f>
        <v/>
      </c>
      <c r="M1747">
        <f>L1747*(1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(1-Summary!$B$11)*T1747+Summary!$B$11*V1747</f>
        <v/>
      </c>
      <c r="P1747">
        <f>IF(B1778=0,0,O1747/B1778)</f>
        <v/>
      </c>
      <c r="Q1747" t="n">
        <v>0</v>
      </c>
      <c r="R1747" t="n">
        <v>0</v>
      </c>
      <c r="S1747">
        <f>IFERROR(O1747/N1747,0)</f>
        <v/>
      </c>
      <c r="T1747">
        <f>IF(C1747,(Skills!G4*H1747*N1747*B1772)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1747*(1-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7">
        <f>290*U1746/1000</f>
        <v/>
      </c>
      <c r="V1747">
        <f>IF(C1747,(Skills!G4*H1747*N1747*B1772)*IF(Inputs!$B$38="pvp",1,(1+(Inputs!$B$21+Skills!Q4+(IF(ArtifactsInput!$M$33,CHOOSE(ArtifactsInput!$N$33+1,30,36,42,48,54,60),0))+(IF(AND(ArtifactsInput!$M$35,Inputs!$B$4&lt;&gt;"Chapter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Skills!A5</f>
        <v/>
      </c>
      <c r="B1748">
        <f>Skills!B5</f>
        <v/>
      </c>
      <c r="C1748">
        <f>Inputs!$B$3&gt;=60</f>
        <v/>
      </c>
      <c r="D1748">
        <f>IF(Skills!C5=1,60+Inputs!$B$25+Inputs!$B$29,IF(Skills!C5=2,90+Inputs!$B$26+Inputs!$B$29,IF(Skills!C5=3,120+Inputs!$B$27+Inputs!$B$29,MAX(0,(Inputs!$B$3-100)*3)+Inputs!$B$28+Inputs!$B$29)))</f>
        <v/>
      </c>
      <c r="E1748">
        <f>INDEX(FactorTable!$B$2:$Y$301, MATCH(ROUND(MIN(300,MAX(1,D1748)),0), FactorTable!$A$2:$A$301,0), Skills!M5+1)</f>
        <v/>
      </c>
      <c r="F1748">
        <f>IF(Skills!N5=TRUE,(Skills!L5/10)*(E1748/1000),Skills!L5/10)+Skills!O5</f>
        <v/>
      </c>
      <c r="G1748">
        <f>Skills!G5*IF(Skills!H5&gt;0,Skills!I5/Skills!H5,1)</f>
        <v/>
      </c>
      <c r="H1748">
        <f>1-(1-Skills!J5/100)^Skills!K5</f>
        <v/>
      </c>
      <c r="I1748" t="inlineStr">
        <is>
          <t>1</t>
        </is>
      </c>
      <c r="J1748" t="inlineStr"/>
      <c r="K1748" t="inlineStr"/>
      <c r="L1748" t="inlineStr"/>
      <c r="M1748" t="inlineStr"/>
      <c r="N1748" t="inlineStr"/>
      <c r="O1748">
        <f>(1-Summary!$B$11)*T1748+Summary!$B$11*V1748</f>
        <v/>
      </c>
      <c r="P1748">
        <f>IF(B1778=0,0,O1748/B1778)</f>
        <v/>
      </c>
      <c r="Q1748" t="n">
        <v>0</v>
      </c>
      <c r="R1748" t="n">
        <v>0</v>
      </c>
      <c r="S1748">
        <f>IFERROR(O1748/N1748,0)</f>
        <v/>
      </c>
      <c r="T1748" t="n">
        <v>0</v>
      </c>
      <c r="V1748" t="n">
        <v>0</v>
      </c>
    </row>
    <row r="1749">
      <c r="A1749">
        <f>Skills!A6</f>
        <v/>
      </c>
      <c r="B1749">
        <f>Skills!B6</f>
        <v/>
      </c>
      <c r="C1749">
        <f>Inputs!$B$3&gt;=63</f>
        <v/>
      </c>
      <c r="D1749">
        <f>IF(Skills!C6=1,60+Inputs!$B$25+Inputs!$B$29,IF(Skills!C6=2,90+Inputs!$B$26+Inputs!$B$29,IF(Skills!C6=3,120+Inputs!$B$27+Inputs!$B$29,MAX(0,(Inputs!$B$3-100)*3)+Inputs!$B$28+Inputs!$B$29)))</f>
        <v/>
      </c>
      <c r="E1749">
        <f>INDEX(FactorTable!$B$2:$Y$301, MATCH(ROUND(MIN(300,MAX(1,D1749)),0), FactorTable!$A$2:$A$301,0), Skills!M6+1)</f>
        <v/>
      </c>
      <c r="F1749">
        <f>IF(Skills!N6=TRUE,(Skills!L6/10)*(E1749/1000),Skills!L6/10)+Skills!O6</f>
        <v/>
      </c>
      <c r="G1749">
        <f>Skills!G6*IF(Skills!H6&gt;0,Skills!I6/Skills!H6,1)</f>
        <v/>
      </c>
      <c r="H1749">
        <f>1-(1-Skills!J6/100)^Skills!K6</f>
        <v/>
      </c>
      <c r="I1749" t="inlineStr">
        <is>
          <t>1</t>
        </is>
      </c>
      <c r="J1749">
        <f>((Inputs!$B$6*(1+Inputs!$B$7/100))+(((Inputs!$B$12*(1+Inputs!$B$13/100))-(Inputs!$B$12*(1+Inputs!$B$13/100)))+0.25*(Inputs!$B$14-Inputs!$B$14))*(1+Inputs!$B$7/100))*(F1749/100)</f>
        <v/>
      </c>
      <c r="K1749">
        <f>J1749*(1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
      </c>
      <c r="L1749">
        <f>K1749*(MIN(Inputs!$B$22+((C1763=TRUE)*(F1763-Calc!F20)),(Inputs!$B$23+0+(IF(ArtifactsInput!$M$15,CHOOSE(ArtifactsInput!$N$15+1,25,30,35,40,45,50)/100*(Inputs!$B$11-Inputs!$B$11),0))))/100+(Inputs!$B$23+0+(IF(ArtifactsInput!$M$15,CHOOSE(ArtifactsInput!$N$15+1,25,30,35,40,45,50)/100*(Inputs!$B$11-Inputs!$B$11),0)))/100)/2</f>
        <v/>
      </c>
      <c r="M1749">
        <f>L1749*(1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9">
        <f>L1749*(1-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9">
        <f>(1-Summary!$B$11)*T1749+Summary!$B$11*V1749</f>
        <v/>
      </c>
      <c r="P1749">
        <f>IF(B1778=0,0,O1749/B1778)</f>
        <v/>
      </c>
      <c r="Q1749">
        <f>IFERROR(1/(IF(Inputs!$B$38="pvp",15,MAX(0.1,Skills!D6-IF(Skills!E6=TRUE,Inputs!$B$32,0)))*(1-IF(AND(ArtifactsInput!$M$27,Inputs!$B$4="Chapter Hunt"),CHOOSE(ArtifactsInput!$N$27+1,20,24,28,32,36,40),0)/100)),0)</f>
        <v/>
      </c>
      <c r="R1749">
        <f>IF(AND(Inputs!$B$38&lt;&gt;"pvp",Inputs!$B$43&gt;0),IF(MAX(0,Inputs!$B$43-B1775)&lt;=0,0,(INT(MAX(0,Inputs!$B$43-B1775)/(IF(Inputs!$B$38="pvp",15,MAX(0.1,Skills!D6-IF(Skills!E6=TRUE,Inputs!$B$32,0)))*(1-IF(AND(ArtifactsInput!$M$27,Inputs!$B$4="Chapter Hunt"),CHOOSE(ArtifactsInput!$N$27+1,20,24,28,32,36,40),0)/100)))+1)),0)</f>
        <v/>
      </c>
      <c r="S1749">
        <f>IFERROR(O1749/N1749,0)</f>
        <v/>
      </c>
      <c r="T1749">
        <f>IF(C1749,(H1749*N1749*IF(AND(Inputs!$B$38&lt;&gt;"pvp",Inputs!$B$43&gt;0),((Skills!G6*((R1749-1)*IF(Skills!H6&gt;0,Skills!I6/Skills!H6,1)+IF(Skills!H6&gt;0,MIN(Skills!I6,MAX(0,MAX(0,Inputs!$B$43-B1775)-((R1749-1)*(IF(Inputs!$B$38="pvp",15,MAX(0.1,Skills!D6-IF(Skills!E6=TRUE,Inputs!$B$32,0)))*(1-IF(AND(ArtifactsInput!$M$27,Inputs!$B$4="Chapter Hunt"),CHOOSE(ArtifactsInput!$N$27+1,20,24,28,32,36,40),0)/100)))))/Skills!H6,1)))/Inputs!$B$43),G1749*Q1749)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1749*(1-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9">
        <f>IF(C1749,(H1749*N1749*IF(AND(Inputs!$B$38&lt;&gt;"pvp",Inputs!$B$43&gt;0),((Skills!G6*((R1749-1)*IF(Skills!H6&gt;0,Skills!I6/Skills!H6,1)+IF(Skills!H6&gt;0,MIN(Skills!I6,MAX(0,MAX(0,Inputs!$B$43-B1775)-((R1749-1)*(IF(Inputs!$B$38="pvp",15,MAX(0.1,Skills!D6-IF(Skills!E6=TRUE,Inputs!$B$32,0)))*(1-IF(AND(ArtifactsInput!$M$27,Inputs!$B$4="Chapter Hunt"),CHOOSE(ArtifactsInput!$N$27+1,20,24,28,32,36,40),0)/100)))))/Skills!H6,1)))/Inputs!$B$43),G1749*Q1749))*IF(Inputs!$B$38="pvp",1,(1+(Inputs!$B$21+Skills!Q6+(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0">
      <c r="A1750">
        <f>Skills!A7</f>
        <v/>
      </c>
      <c r="B1750">
        <f>Skills!B7</f>
        <v/>
      </c>
      <c r="C1750">
        <f>Inputs!$B$3&gt;=100</f>
        <v/>
      </c>
      <c r="D1750">
        <f>IF(Skills!C7=1,60+Inputs!$B$25+Inputs!$B$29,IF(Skills!C7=2,90+Inputs!$B$26+Inputs!$B$29,IF(Skills!C7=3,120+Inputs!$B$27+Inputs!$B$29,MAX(0,(Inputs!$B$3-100)*3)+Inputs!$B$28+Inputs!$B$29)))</f>
        <v/>
      </c>
      <c r="E1750">
        <f>INDEX(FactorTable!$B$2:$Y$301, MATCH(ROUND(MIN(300,MAX(1,D1750)),0), FactorTable!$A$2:$A$301,0), Skills!M7+1)</f>
        <v/>
      </c>
      <c r="F1750">
        <f>IF(Skills!N7=TRUE,(Skills!L7/10)*(E1750/1000),Skills!L7/10)+Skills!O7</f>
        <v/>
      </c>
      <c r="G1750">
        <f>Skills!G7*IF(Skills!H7&gt;0,Skills!I7/Skills!H7,1)</f>
        <v/>
      </c>
      <c r="H1750">
        <f>1-(1-Skills!J7/100)^Skills!K7</f>
        <v/>
      </c>
      <c r="I1750" t="inlineStr">
        <is>
          <t>1</t>
        </is>
      </c>
      <c r="J1750">
        <f>((Inputs!$B$6*(1+Inputs!$B$7/100))+(((Inputs!$B$12*(1+Inputs!$B$13/100))-(Inputs!$B$12*(1+Inputs!$B$13/100)))+0.25*(Inputs!$B$14-Inputs!$B$14))*(1+Inputs!$B$7/100))*(F1750/100)</f>
        <v/>
      </c>
      <c r="K1750">
        <f>J1750*(1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C1763=TRUE)*(F1763-Calc!F20)),(Inputs!$B$23+0+(IF(ArtifactsInput!$M$15,CHOOSE(ArtifactsInput!$N$15+1,25,30,35,40,45,50)/100*(Inputs!$B$11-Inputs!$B$11),0))))/100+(Inputs!$B$23+0+(IF(ArtifactsInput!$M$15,CHOOSE(ArtifactsInput!$N$15+1,25,30,35,40,45,50)/100*(Inputs!$B$11-Inputs!$B$11),0)))/100)/2</f>
        <v/>
      </c>
      <c r="M1750">
        <f>L1750*(1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0">
        <f>L1750*(1-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(1-Summary!$B$11)*T1750+Summary!$B$11*V1750</f>
        <v/>
      </c>
      <c r="P1750">
        <f>IF(B1778=0,0,O1750/B1778)</f>
        <v/>
      </c>
      <c r="Q1750">
        <f>IFERROR(1/(IF(Inputs!$B$38="pvp",15,MAX(0.1,Skills!D7-IF(Skills!E7=TRUE,Inputs!$B$32,0)))*(1-IF(AND(ArtifactsInput!$M$27,Inputs!$B$4="Chapter Hunt"),CHOOSE(ArtifactsInput!$N$27+1,20,24,28,32,36,40),0)/100)),0)</f>
        <v/>
      </c>
      <c r="R1750">
        <f>IF(AND(Inputs!$B$38&lt;&gt;"pvp",Inputs!$B$43&gt;0),IF(MAX(0,Inputs!$B$43-B1775)&lt;=0,0,(INT(MAX(0,Inputs!$B$43-B1775)/(IF(Inputs!$B$38="pvp",15,MAX(0.1,Skills!D7-IF(Skills!E7=TRUE,Inputs!$B$32,0)))*(1-IF(AND(ArtifactsInput!$M$27,Inputs!$B$4="Chapter Hunt"),CHOOSE(ArtifactsInput!$N$27+1,20,24,28,32,36,40),0)/100)))+1)),0)</f>
        <v/>
      </c>
      <c r="S1750">
        <f>IFERROR(O1750/N1750,0)</f>
        <v/>
      </c>
      <c r="T1750">
        <f>IF(C1750,(H1750*N1750*IF(AND(Inputs!$B$38&lt;&gt;"pvp",Inputs!$B$43&gt;0),((Skills!G7*((R1750-1)*IF(Skills!H7&gt;0,Skills!I7/Skills!H7,1)+IF(Skills!H7&gt;0,MIN(Skills!I7,MAX(0,MAX(0,Inputs!$B$43-B1775)-((R1750-1)*(IF(Inputs!$B$38="pvp",15,MAX(0.1,Skills!D7-IF(Skills!E7=TRUE,Inputs!$B$32,0)))*(1-IF(AND(ArtifactsInput!$M$27,Inputs!$B$4="Chapter Hunt"),CHOOSE(ArtifactsInput!$N$27+1,20,24,28,32,36,40),0)/100)))))/Skills!H7,1)))/Inputs!$B$43),G1750*Q1750)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1750*(1-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0">
        <f>IF(C1750,(H1750*N1750*IF(AND(Inputs!$B$38&lt;&gt;"pvp",Inputs!$B$43&gt;0),((Skills!G7*((R1750-1)*IF(Skills!H7&gt;0,Skills!I7/Skills!H7,1)+IF(Skills!H7&gt;0,MIN(Skills!I7,MAX(0,MAX(0,Inputs!$B$43-B1775)-((R1750-1)*(IF(Inputs!$B$38="pvp",15,MAX(0.1,Skills!D7-IF(Skills!E7=TRUE,Inputs!$B$32,0)))*(1-IF(AND(ArtifactsInput!$M$27,Inputs!$B$4="Chapter Hunt"),CHOOSE(ArtifactsInput!$N$27+1,20,24,28,32,36,40),0)/100)))))/Skills!H7,1)))/Inputs!$B$43),G1750*Q1750))*IF(Inputs!$B$38="pvp",1,(1+(Inputs!$B$21+Skills!Q7+(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Skills!A8</f>
        <v/>
      </c>
      <c r="B1751">
        <f>Skills!B8</f>
        <v/>
      </c>
      <c r="C1751">
        <f>Inputs!$B$3&gt;=110</f>
        <v/>
      </c>
      <c r="D1751">
        <f>IF(Skills!C8=1,60+Inputs!$B$25+Inputs!$B$29,IF(Skills!C8=2,90+Inputs!$B$26+Inputs!$B$29,IF(Skills!C8=3,120+Inputs!$B$27+Inputs!$B$29,MAX(0,(Inputs!$B$3-100)*3)+Inputs!$B$28+Inputs!$B$29)))</f>
        <v/>
      </c>
      <c r="E1751">
        <f>INDEX(FactorTable!$B$2:$Y$301, MATCH(ROUND(MIN(300,MAX(1,D1751)),0), FactorTable!$A$2:$A$301,0), Skills!M8+1)</f>
        <v/>
      </c>
      <c r="F1751">
        <f>IF(Skills!N8=TRUE,(Skills!L8/10)*(E1751/1000),Skills!L8/10)+Skills!O8</f>
        <v/>
      </c>
      <c r="G1751">
        <f>Skills!G8*IF(Skills!H8&gt;0,Skills!I8/Skills!H8,1)</f>
        <v/>
      </c>
      <c r="H1751">
        <f>1-(1-Skills!J8/100)^Skills!K8</f>
        <v/>
      </c>
      <c r="I1751" t="inlineStr">
        <is>
          <t>1</t>
        </is>
      </c>
      <c r="J1751">
        <f>((Inputs!$B$6*(1+Inputs!$B$7/100))+(((Inputs!$B$12*(1+Inputs!$B$13/100))-(Inputs!$B$12*(1+Inputs!$B$13/100)))+0.25*(Inputs!$B$14-Inputs!$B$14))*(1+Inputs!$B$7/100))*(F1751/100)</f>
        <v/>
      </c>
      <c r="K1751">
        <f>J1751*(1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C1763=TRUE)*(F1763-Calc!F20)),(Inputs!$B$23+0+(IF(ArtifactsInput!$M$15,CHOOSE(ArtifactsInput!$N$15+1,25,30,35,40,45,50)/100*(Inputs!$B$11-Inputs!$B$11),0))))/100+(Inputs!$B$23+0+(IF(ArtifactsInput!$M$15,CHOOSE(ArtifactsInput!$N$15+1,25,30,35,40,45,50)/100*(Inputs!$B$11-Inputs!$B$11),0)))/100)/2</f>
        <v/>
      </c>
      <c r="M1751">
        <f>L1751*(1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1">
        <f>L1751*(1-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(1-Summary!$B$11)*T1751+Summary!$B$11*V1751</f>
        <v/>
      </c>
      <c r="P1751">
        <f>IF(B1778=0,0,O1751/B1778)</f>
        <v/>
      </c>
      <c r="Q1751">
        <f>IFERROR(1/(IF(Inputs!$B$38="pvp",15,MAX(0.1,Skills!D8-IF(Skills!E8=TRUE,Inputs!$B$32,0)))*(1-IF(AND(ArtifactsInput!$M$27,Inputs!$B$4="Chapter Hunt"),CHOOSE(ArtifactsInput!$N$27+1,20,24,28,32,36,40),0)/100)),0)</f>
        <v/>
      </c>
      <c r="R1751">
        <f>IF(AND(Inputs!$B$38&lt;&gt;"pvp",Inputs!$B$43&gt;0),IF(MAX(0,Inputs!$B$43-B1775)&lt;=0,0,(INT(MAX(0,Inputs!$B$43-B1775)/(IF(Inputs!$B$38="pvp",15,MAX(0.1,Skills!D8-IF(Skills!E8=TRUE,Inputs!$B$32,0)))*(1-IF(AND(ArtifactsInput!$M$27,Inputs!$B$4="Chapter Hunt"),CHOOSE(ArtifactsInput!$N$27+1,20,24,28,32,36,40),0)/100)))+1)),0)</f>
        <v/>
      </c>
      <c r="S1751">
        <f>IFERROR(O1751/N1751,0)</f>
        <v/>
      </c>
      <c r="T1751">
        <f>IF(C1751,(H1751*N1751*IF(AND(Inputs!$B$38&lt;&gt;"pvp",Inputs!$B$43&gt;0),((Skills!G8*((R1751-1)*IF(Skills!H8&gt;0,Skills!I8/Skills!H8,1)+IF(Skills!H8&gt;0,MIN(Skills!I8,MAX(0,MAX(0,Inputs!$B$43-B1775)-((R1751-1)*(IF(Inputs!$B$38="pvp",15,MAX(0.1,Skills!D8-IF(Skills!E8=TRUE,Inputs!$B$32,0)))*(1-IF(AND(ArtifactsInput!$M$27,Inputs!$B$4="Chapter Hunt"),CHOOSE(ArtifactsInput!$N$27+1,20,24,28,32,36,40),0)/100)))))/Skills!H8,1)))/Inputs!$B$43),G1751*Q1751)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1751*(1-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1">
        <f>IF(C1751,(H1751*N1751*IF(AND(Inputs!$B$38&lt;&gt;"pvp",Inputs!$B$43&gt;0),((Skills!G8*((R1751-1)*IF(Skills!H8&gt;0,Skills!I8/Skills!H8,1)+IF(Skills!H8&gt;0,MIN(Skills!I8,MAX(0,MAX(0,Inputs!$B$43-B1775)-((R1751-1)*(IF(Inputs!$B$38="pvp",15,MAX(0.1,Skills!D8-IF(Skills!E8=TRUE,Inputs!$B$32,0)))*(1-IF(AND(ArtifactsInput!$M$27,Inputs!$B$4="Chapter Hunt"),CHOOSE(ArtifactsInput!$N$27+1,20,24,28,32,36,40),0)/100)))))/Skills!H8,1)))/Inputs!$B$43),G1751*Q1751))*IF(Inputs!$B$38="pvp",1,(1+(Inputs!$B$21+Skills!Q8+(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Skills!A9</f>
        <v/>
      </c>
      <c r="B1752">
        <f>Skills!B9</f>
        <v/>
      </c>
      <c r="C1752">
        <f>Inputs!$B$3&gt;=110</f>
        <v/>
      </c>
      <c r="D1752">
        <f>IF(Skills!C9=1,60+Inputs!$B$25+Inputs!$B$29,IF(Skills!C9=2,90+Inputs!$B$26+Inputs!$B$29,IF(Skills!C9=3,120+Inputs!$B$27+Inputs!$B$29,MAX(0,(Inputs!$B$3-100)*3)+Inputs!$B$28+Inputs!$B$29)))</f>
        <v/>
      </c>
      <c r="E1752">
        <f>INDEX(FactorTable!$B$2:$Y$301, MATCH(ROUND(MIN(300,MAX(1,D1752)),0), FactorTable!$A$2:$A$301,0), Skills!M9+1)</f>
        <v/>
      </c>
      <c r="F1752">
        <f>IF(Skills!N9=TRUE,(Skills!L9/10)*(E1752/1000),Skills!L9/10)+Skills!O9</f>
        <v/>
      </c>
      <c r="G1752">
        <f>Skills!G9*IF(Skills!H9&gt;0,Skills!I9/Skills!H9,1)</f>
        <v/>
      </c>
      <c r="H1752">
        <f>1-(1-Skills!J9/100)^Skills!K9</f>
        <v/>
      </c>
      <c r="I1752" t="inlineStr">
        <is>
          <t>1</t>
        </is>
      </c>
      <c r="J1752">
        <f>((Inputs!$B$6*(1+Inputs!$B$7/100))+(((Inputs!$B$12*(1+Inputs!$B$13/100))-(Inputs!$B$12*(1+Inputs!$B$13/100)))+0.25*(Inputs!$B$14-Inputs!$B$14))*(1+Inputs!$B$7/100))*(F1752/100)</f>
        <v/>
      </c>
      <c r="K1752">
        <f>J1752*(1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C1763=TRUE)*(F1763-Calc!F20)),(Inputs!$B$23+0+(IF(ArtifactsInput!$M$15,CHOOSE(ArtifactsInput!$N$15+1,25,30,35,40,45,50)/100*(Inputs!$B$11-Inputs!$B$11),0))))/100+(Inputs!$B$23+0+(IF(ArtifactsInput!$M$15,CHOOSE(ArtifactsInput!$N$15+1,25,30,35,40,45,50)/100*(Inputs!$B$11-Inputs!$B$11),0)))/100)/2</f>
        <v/>
      </c>
      <c r="M1752">
        <f>L1752*(1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(1-Summary!$B$11)*T1752+Summary!$B$11*V1752</f>
        <v/>
      </c>
      <c r="P1752">
        <f>IF(B1778=0,0,O1752/B1778)</f>
        <v/>
      </c>
      <c r="Q1752">
        <f>IFERROR(1/(IF(Inputs!$B$38="pvp",15,MAX(0.1,Skills!D9-IF(Skills!E9=TRUE,Inputs!$B$32,0)))*(1-IF(AND(ArtifactsInput!$M$27,Inputs!$B$4="Chapter Hunt"),CHOOSE(ArtifactsInput!$N$27+1,20,24,28,32,36,40),0)/100)),0)</f>
        <v/>
      </c>
      <c r="R1752">
        <f>IF(AND(Inputs!$B$38&lt;&gt;"pvp",Inputs!$B$43&gt;0),IF(MAX(0,Inputs!$B$43-B1775)&lt;=0,0,(INT(MAX(0,Inputs!$B$43-B1775)/(IF(Inputs!$B$38="pvp",15,MAX(0.1,Skills!D9-IF(Skills!E9=TRUE,Inputs!$B$32,0)))*(1-IF(AND(ArtifactsInput!$M$27,Inputs!$B$4="Chapter Hunt"),CHOOSE(ArtifactsInput!$N$27+1,20,24,28,32,36,40),0)/100)))+1)),0)</f>
        <v/>
      </c>
      <c r="S1752">
        <f>IFERROR(O1752/N1752,0)</f>
        <v/>
      </c>
      <c r="T1752">
        <f>IF(C1752,(H1752*N1752*IF(AND(Inputs!$B$38&lt;&gt;"pvp",Inputs!$B$43&gt;0),((Skills!G9*((R1752-1)*IF(Skills!H9&gt;0,Skills!I9/Skills!H9,1)+IF(Skills!H9&gt;0,MIN(Skills!I9,MAX(0,MAX(0,Inputs!$B$43-B1775)-((R1752-1)*(IF(Inputs!$B$38="pvp",15,MAX(0.1,Skills!D9-IF(Skills!E9=TRUE,Inputs!$B$32,0)))*(1-IF(AND(ArtifactsInput!$M$27,Inputs!$B$4="Chapter Hunt"),CHOOSE(ArtifactsInput!$N$27+1,20,24,28,32,36,40),0)/100)))))/Skills!H9,1)))/Inputs!$B$43),G1752*Q1752)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1752*(1-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2">
        <f>IF(C1752,(H1752*N1752*IF(AND(Inputs!$B$38&lt;&gt;"pvp",Inputs!$B$43&gt;0),((Skills!G9*((R1752-1)*IF(Skills!H9&gt;0,Skills!I9/Skills!H9,1)+IF(Skills!H9&gt;0,MIN(Skills!I9,MAX(0,MAX(0,Inputs!$B$43-B1775)-((R1752-1)*(IF(Inputs!$B$38="pvp",15,MAX(0.1,Skills!D9-IF(Skills!E9=TRUE,Inputs!$B$32,0)))*(1-IF(AND(ArtifactsInput!$M$27,Inputs!$B$4="Chapter Hunt"),CHOOSE(ArtifactsInput!$N$27+1,20,24,28,32,36,40),0)/100)))))/Skills!H9,1)))/Inputs!$B$43),G1752*Q1752))*IF(Inputs!$B$38="pvp",1,(1+(Inputs!$B$21+Skills!Q9+(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Skills!A10</f>
        <v/>
      </c>
      <c r="B1753">
        <f>Skills!B10</f>
        <v/>
      </c>
      <c r="C1753">
        <f>Inputs!$B$3&gt;=103</f>
        <v/>
      </c>
      <c r="D1753">
        <f>IF(Skills!C10=1,60+Inputs!$B$25+Inputs!$B$29,IF(Skills!C10=2,90+Inputs!$B$26+Inputs!$B$29,IF(Skills!C10=3,120+Inputs!$B$27+Inputs!$B$29,MAX(0,(Inputs!$B$3-100)*3)+Inputs!$B$28+Inputs!$B$29)))</f>
        <v/>
      </c>
      <c r="E1753">
        <f>INDEX(FactorTable!$B$2:$Y$301, MATCH(ROUND(MIN(300,MAX(1,D1753)),0), FactorTable!$A$2:$A$301,0), Skills!M10+1)</f>
        <v/>
      </c>
      <c r="F1753">
        <f>IF(Skills!N10=TRUE,(Skills!L10/10)*(E1753/1000),Skills!L10/10)+Skills!O10</f>
        <v/>
      </c>
      <c r="G1753">
        <f>Skills!G10*IF(Skills!H10&gt;0,Skills!I10/Skills!H10,1)</f>
        <v/>
      </c>
      <c r="H1753">
        <f>1-(1-Skills!J10/100)^Skills!K10</f>
        <v/>
      </c>
      <c r="I1753" t="inlineStr">
        <is>
          <t>1</t>
        </is>
      </c>
      <c r="J1753">
        <f>((Inputs!$B$6*(1+Inputs!$B$7/100))+(((Inputs!$B$12*(1+Inputs!$B$13/100))-(Inputs!$B$12*(1+Inputs!$B$13/100)))+0.25*(Inputs!$B$14-Inputs!$B$14))*(1+Inputs!$B$7/100))*(F1753/100)</f>
        <v/>
      </c>
      <c r="K1753">
        <f>J1753*(1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1763=TRUE)*(F1763-Calc!F20)),(Inputs!$B$23+0+(IF(ArtifactsInput!$M$15,CHOOSE(ArtifactsInput!$N$15+1,25,30,35,40,45,50)/100*(Inputs!$B$11-Inputs!$B$11),0))))/100+(Inputs!$B$23+0+(IF(ArtifactsInput!$M$15,CHOOSE(ArtifactsInput!$N$15+1,25,30,35,40,45,50)/100*(Inputs!$B$11-Inputs!$B$11),0)))/100)/2</f>
        <v/>
      </c>
      <c r="M1753">
        <f>L1753*(1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IF(B1778=0,0,O1753/B1778)</f>
        <v/>
      </c>
      <c r="Q1753">
        <f>IFERROR(1/(IF(Inputs!$B$38="pvp",15,MAX(0.1,Skills!D10-IF(Skills!E10=TRUE,Inputs!$B$32,0)))*(1-IF(AND(ArtifactsInput!$M$27,Inputs!$B$4="Chapter Hunt"),CHOOSE(ArtifactsInput!$N$27+1,20,24,28,32,36,40),0)/100)),0)</f>
        <v/>
      </c>
      <c r="R1753">
        <f>IF(AND(Inputs!$B$38&lt;&gt;"pvp",Inputs!$B$43&gt;0),IF(MAX(0,Inputs!$B$43-B1775)&lt;=0,0,(INT(MAX(0,Inputs!$B$43-B1775)/(IF(Inputs!$B$38="pvp",15,MAX(0.1,Skills!D10-IF(Skills!E10=TRUE,Inputs!$B$32,0)))*(1-IF(AND(ArtifactsInput!$M$27,Inputs!$B$4="Chapter Hunt"),CHOOSE(ArtifactsInput!$N$27+1,20,24,28,32,36,40),0)/100)))+1)),0)</f>
        <v/>
      </c>
      <c r="S1753">
        <f>IFERROR(O1753/N1753,0)</f>
        <v/>
      </c>
      <c r="T1753">
        <f>IF(C1753,(H1753*N1753*IF(AND(Inputs!$B$38&lt;&gt;"pvp",Inputs!$B$43&gt;0),((Skills!G10*((R1753-1)*IF(Skills!H10&gt;0,Skills!I10/Skills!H10,1)+IF(Skills!H10&gt;0,MIN(Skills!I10,MAX(0,MAX(0,Inputs!$B$43-B1775)-((R1753-1)*(IF(Inputs!$B$38="pvp",15,MAX(0.1,Skills!D10-IF(Skills!E10=TRUE,Inputs!$B$32,0)))*(1-IF(AND(ArtifactsInput!$M$27,Inputs!$B$4="Chapter Hunt"),CHOOSE(ArtifactsInput!$N$27+1,20,24,28,32,36,40),0)/100)))))/Skills!H10,1)))/Inputs!$B$43),G1753*Q1753)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3">
        <f>IF(C1753,(H1753*N1753*IF(AND(Inputs!$B$38&lt;&gt;"pvp",Inputs!$B$43&gt;0),((Skills!G10*((R1753-1)*IF(Skills!H10&gt;0,Skills!I10/Skills!H10,1)+IF(Skills!H10&gt;0,MIN(Skills!I10,MAX(0,MAX(0,Inputs!$B$43-B1775)-((R1753-1)*(IF(Inputs!$B$38="pvp",15,MAX(0.1,Skills!D10-IF(Skills!E10=TRUE,Inputs!$B$32,0)))*(1-IF(AND(ArtifactsInput!$M$27,Inputs!$B$4="Chapter Hunt"),CHOOSE(ArtifactsInput!$N$27+1,20,24,28,32,36,40),0)/100)))))/Skills!H10,1)))/Inputs!$B$43),G1753*Q1753))*IF(Inputs!$B$38="pvp",1,(1+(Inputs!$B$21+Skills!Q10+(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Skills!A11</f>
        <v/>
      </c>
      <c r="B1754">
        <f>Skills!B11</f>
        <v/>
      </c>
      <c r="C1754">
        <f>Inputs!$B$3&gt;=113</f>
        <v/>
      </c>
      <c r="D1754">
        <f>IF(Skills!C11=1,60+Inputs!$B$25+Inputs!$B$29,IF(Skills!C11=2,90+Inputs!$B$26+Inputs!$B$29,IF(Skills!C11=3,120+Inputs!$B$27+Inputs!$B$29,MAX(0,(Inputs!$B$3-100)*3)+Inputs!$B$28+Inputs!$B$29)))</f>
        <v/>
      </c>
      <c r="E1754">
        <f>INDEX(FactorTable!$B$2:$Y$301, MATCH(ROUND(MIN(300,MAX(1,D1754)),0), FactorTable!$A$2:$A$301,0), Skills!M11+1)</f>
        <v/>
      </c>
      <c r="F1754">
        <f>IF(Skills!N11=TRUE,(Skills!L11/10)*(E1754/1000),Skills!L11/10)+Skills!O11</f>
        <v/>
      </c>
      <c r="G1754">
        <f>Skills!G11*IF(Skills!H11&gt;0,Skills!I11/Skills!H11,1)</f>
        <v/>
      </c>
      <c r="H1754">
        <f>1-(1-Skills!J11/100)^Skills!K11</f>
        <v/>
      </c>
      <c r="I1754" t="inlineStr">
        <is>
          <t>1</t>
        </is>
      </c>
      <c r="J1754">
        <f>((Inputs!$B$6*(1+Inputs!$B$7/100))+(((Inputs!$B$12*(1+Inputs!$B$13/100))-(Inputs!$B$12*(1+Inputs!$B$13/100)))+0.25*(Inputs!$B$14-Inputs!$B$14))*(1+Inputs!$B$7/100))*(F1754/100)</f>
        <v/>
      </c>
      <c r="K1754">
        <f>J1754*(1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1763=TRUE)*(F1763-Calc!F20)),(Inputs!$B$23+0+(IF(ArtifactsInput!$M$15,CHOOSE(ArtifactsInput!$N$15+1,25,30,35,40,45,50)/100*(Inputs!$B$11-Inputs!$B$11),0))))/100+(Inputs!$B$23+0+(IF(ArtifactsInput!$M$15,CHOOSE(ArtifactsInput!$N$15+1,25,30,35,40,45,50)/100*(Inputs!$B$11-Inputs!$B$11),0)))/100)/2</f>
        <v/>
      </c>
      <c r="M1754">
        <f>L1754*(1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4">
        <f>L1754*(1-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IF(B1778=0,0,O1754/B1778)</f>
        <v/>
      </c>
      <c r="Q1754">
        <f>IFERROR(1/(IF(Inputs!$B$38="pvp",15,MAX(0.1,Skills!D11-IF(Skills!E11=TRUE,Inputs!$B$32,0)))*(1-IF(AND(ArtifactsInput!$M$27,Inputs!$B$4="Chapter Hunt"),CHOOSE(ArtifactsInput!$N$27+1,20,24,28,32,36,40),0)/100)),0)</f>
        <v/>
      </c>
      <c r="R1754">
        <f>IF(AND(Inputs!$B$38&lt;&gt;"pvp",Inputs!$B$43&gt;0),IF(MAX(0,Inputs!$B$43-B1775)&lt;=0,0,(INT(MAX(0,Inputs!$B$43-B1775)/(IF(Inputs!$B$38="pvp",15,MAX(0.1,Skills!D11-IF(Skills!E11=TRUE,Inputs!$B$32,0)))*(1-IF(AND(ArtifactsInput!$M$27,Inputs!$B$4="Chapter Hunt"),CHOOSE(ArtifactsInput!$N$27+1,20,24,28,32,36,40),0)/100)))+1)),0)</f>
        <v/>
      </c>
      <c r="S1754">
        <f>IFERROR(O1754/N1754,0)</f>
        <v/>
      </c>
      <c r="T1754">
        <f>IF(C1754,(H1754*N1754*IF(AND(Inputs!$B$38&lt;&gt;"pvp",Inputs!$B$43&gt;0),((Skills!G11*((R1754-1)*IF(Skills!H11&gt;0,Skills!I11/Skills!H11,1)+IF(Skills!H11&gt;0,MIN(Skills!I11,MAX(0,MAX(0,Inputs!$B$43-B1775)-((R1754-1)*(IF(Inputs!$B$38="pvp",15,MAX(0.1,Skills!D11-IF(Skills!E11=TRUE,Inputs!$B$32,0)))*(1-IF(AND(ArtifactsInput!$M$27,Inputs!$B$4="Chapter Hunt"),CHOOSE(ArtifactsInput!$N$27+1,20,24,28,32,36,40),0)/100)))))/Skills!H11,1)))/Inputs!$B$43),G1754*Q1754)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1754*(1-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4">
        <f>IF(C1754,(H1754*N1754*IF(AND(Inputs!$B$38&lt;&gt;"pvp",Inputs!$B$43&gt;0),((Skills!G11*((R1754-1)*IF(Skills!H11&gt;0,Skills!I11/Skills!H11,1)+IF(Skills!H11&gt;0,MIN(Skills!I11,MAX(0,MAX(0,Inputs!$B$43-B1775)-((R1754-1)*(IF(Inputs!$B$38="pvp",15,MAX(0.1,Skills!D11-IF(Skills!E11=TRUE,Inputs!$B$32,0)))*(1-IF(AND(ArtifactsInput!$M$27,Inputs!$B$4="Chapter Hunt"),CHOOSE(ArtifactsInput!$N$27+1,20,24,28,32,36,40),0)/100)))))/Skills!H11,1)))/Inputs!$B$43),G1754*Q1754))*IF(Inputs!$B$38="pvp",1,(1+(Inputs!$B$21+Skills!Q11+(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Skills!A12</f>
        <v/>
      </c>
      <c r="B1755">
        <f>Skills!B12</f>
        <v/>
      </c>
      <c r="C1755">
        <f>Inputs!$B$3&gt;=100</f>
        <v/>
      </c>
      <c r="D1755">
        <f>IF(Skills!C12=1,60+Inputs!$B$25+Inputs!$B$29,IF(Skills!C12=2,90+Inputs!$B$26+Inputs!$B$29,IF(Skills!C12=3,120+Inputs!$B$27+Inputs!$B$29,MAX(0,(Inputs!$B$3-100)*3)+Inputs!$B$28+Inputs!$B$29)))</f>
        <v/>
      </c>
      <c r="E1755">
        <f>INDEX(FactorTable!$B$2:$Y$301, MATCH(ROUND(MIN(300,MAX(1,D1755)),0), FactorTable!$A$2:$A$301,0), Skills!M12+1)</f>
        <v/>
      </c>
      <c r="F1755">
        <f>IF(Skills!N12=TRUE,(Skills!L12/10)*(E1755/1000),Skills!L12/10)+Skills!O12</f>
        <v/>
      </c>
      <c r="G1755" t="inlineStr"/>
      <c r="H1755" t="inlineStr"/>
      <c r="I1755" t="inlineStr">
        <is>
          <t>1</t>
        </is>
      </c>
      <c r="J1755" t="inlineStr"/>
      <c r="K1755" t="inlineStr"/>
      <c r="L1755" t="inlineStr"/>
      <c r="M1755" t="inlineStr"/>
      <c r="N1755" t="inlineStr"/>
      <c r="O1755" t="inlineStr"/>
      <c r="P1755" t="inlineStr"/>
      <c r="Q1755" t="inlineStr"/>
      <c r="R1755" t="inlineStr"/>
      <c r="S1755" t="inlineStr"/>
      <c r="T1755" t="inlineStr"/>
      <c r="V1755" t="inlineStr"/>
    </row>
    <row r="1756">
      <c r="A1756">
        <f>Skills!A13</f>
        <v/>
      </c>
      <c r="B1756">
        <f>Skills!B13</f>
        <v/>
      </c>
      <c r="C1756">
        <f>Inputs!$B$3&gt;=66</f>
        <v/>
      </c>
      <c r="D1756">
        <f>IF(Skills!C13=1,60+Inputs!$B$25+Inputs!$B$29,IF(Skills!C13=2,90+Inputs!$B$26+Inputs!$B$29,IF(Skills!C13=3,120+Inputs!$B$27+Inputs!$B$29,MAX(0,(Inputs!$B$3-100)*3)+Inputs!$B$28+Inputs!$B$29)))</f>
        <v/>
      </c>
      <c r="E1756">
        <f>INDEX(FactorTable!$B$2:$Y$301, MATCH(ROUND(MIN(300,MAX(1,D1756)),0), FactorTable!$A$2:$A$301,0), Skills!M13+1)</f>
        <v/>
      </c>
      <c r="F1756">
        <f>IF(Skills!N13=TRUE,(Skills!L13/10)*(E1756/1000),Skills!L13/10)+Skills!O13</f>
        <v/>
      </c>
      <c r="G1756">
        <f>Skills!G13*IF(Skills!H13&gt;0,Skills!I13/Skills!H13,1)</f>
        <v/>
      </c>
      <c r="H1756">
        <f>1-(1-Skills!J13/100)^Skills!K13</f>
        <v/>
      </c>
      <c r="I1756" t="inlineStr">
        <is>
          <t>1</t>
        </is>
      </c>
      <c r="J1756" t="inlineStr"/>
      <c r="K1756" t="inlineStr"/>
      <c r="L1756" t="inlineStr"/>
      <c r="M1756" t="inlineStr"/>
      <c r="N1756" t="inlineStr"/>
      <c r="O1756">
        <f>(1-Summary!$B$11)*T1756+Summary!$B$11*V1756</f>
        <v/>
      </c>
      <c r="P1756">
        <f>IF(B1778=0,0,O1756/B1778)</f>
        <v/>
      </c>
      <c r="Q1756" t="n">
        <v>0</v>
      </c>
      <c r="R1756" t="n">
        <v>0</v>
      </c>
      <c r="S1756">
        <f>IFERROR(O1756/N1756,0)</f>
        <v/>
      </c>
      <c r="T1756" t="n">
        <v>0</v>
      </c>
      <c r="V1756" t="n">
        <v>0</v>
      </c>
    </row>
    <row r="1757">
      <c r="A1757">
        <f>Skills!A14</f>
        <v/>
      </c>
      <c r="B1757">
        <f>Skills!B14</f>
        <v/>
      </c>
      <c r="C1757">
        <f>Inputs!$B$3&gt;=107</f>
        <v/>
      </c>
      <c r="D1757">
        <f>IF(Skills!C14=1,60+Inputs!$B$25+Inputs!$B$29,IF(Skills!C14=2,90+Inputs!$B$26+Inputs!$B$29,IF(Skills!C14=3,120+Inputs!$B$27+Inputs!$B$29,MAX(0,(Inputs!$B$3-100)*3)+Inputs!$B$28+Inputs!$B$29)))</f>
        <v/>
      </c>
      <c r="E1757">
        <f>INDEX(FactorTable!$B$2:$Y$301, MATCH(ROUND(MIN(300,MAX(1,D1757)),0), FactorTable!$A$2:$A$301,0), Skills!M14+1)</f>
        <v/>
      </c>
      <c r="F1757">
        <f>IF(Skills!N14=TRUE,(Skills!L14/10)*(E1757/1000),Skills!L14/10)+Skills!O14</f>
        <v/>
      </c>
      <c r="G1757">
        <f>Skills!G14*IF(Skills!H14&gt;0,Skills!I14/Skills!H14,1)</f>
        <v/>
      </c>
      <c r="H1757">
        <f>1-(1-Skills!J14/100)^Skills!K14</f>
        <v/>
      </c>
      <c r="I1757" t="inlineStr">
        <is>
          <t>1</t>
        </is>
      </c>
      <c r="J1757" t="inlineStr"/>
      <c r="K1757" t="inlineStr"/>
      <c r="L1757" t="inlineStr"/>
      <c r="M1757" t="inlineStr"/>
      <c r="N1757" t="inlineStr"/>
      <c r="O1757">
        <f>(1-Summary!$B$11)*T1757+Summary!$B$11*V1757</f>
        <v/>
      </c>
      <c r="P1757">
        <f>IF(B1778=0,0,O1757/B1778)</f>
        <v/>
      </c>
      <c r="Q1757" t="n">
        <v>0</v>
      </c>
      <c r="R1757" t="n">
        <v>0</v>
      </c>
      <c r="S1757">
        <f>IFERROR(O1757/N1757,0)</f>
        <v/>
      </c>
      <c r="T1757" t="n">
        <v>0</v>
      </c>
      <c r="V1757" t="n">
        <v>0</v>
      </c>
    </row>
    <row r="1758">
      <c r="A1758">
        <f>Skills!A15</f>
        <v/>
      </c>
      <c r="B1758">
        <f>Skills!B15</f>
        <v/>
      </c>
      <c r="C1758">
        <f>Inputs!$B$3&gt;=115</f>
        <v/>
      </c>
      <c r="D1758">
        <f>IF(Skills!C15=1,60+Inputs!$B$25+Inputs!$B$29,IF(Skills!C15=2,90+Inputs!$B$26+Inputs!$B$29,IF(Skills!C15=3,120+Inputs!$B$27+Inputs!$B$29,MAX(0,(Inputs!$B$3-100)*3)+Inputs!$B$28+Inputs!$B$29)))</f>
        <v/>
      </c>
      <c r="E1758">
        <f>INDEX(FactorTable!$B$2:$Y$301, MATCH(ROUND(MIN(300,MAX(1,D1758)),0), FactorTable!$A$2:$A$301,0), Skills!M15+1)</f>
        <v/>
      </c>
      <c r="F1758">
        <f>IF(Skills!N15=TRUE,(Skills!L15/10)*(E1758/1000),Skills!L15/10)+Skills!O15</f>
        <v/>
      </c>
      <c r="G1758">
        <f>Skills!G15*IF(Skills!H15&gt;0,Skills!I15/Skills!H15,1)</f>
        <v/>
      </c>
      <c r="H1758">
        <f>1-(1-Skills!J15/100)^Skills!K15</f>
        <v/>
      </c>
      <c r="I1758" t="inlineStr">
        <is>
          <t>1</t>
        </is>
      </c>
      <c r="J1758" t="inlineStr"/>
      <c r="K1758" t="inlineStr"/>
      <c r="L1758" t="inlineStr"/>
      <c r="M1758" t="inlineStr"/>
      <c r="N1758" t="inlineStr"/>
      <c r="O1758">
        <f>(1-Summary!$B$11)*T1758+Summary!$B$11*V1758</f>
        <v/>
      </c>
      <c r="P1758">
        <f>IF(B1778=0,0,O1758/B1778)</f>
        <v/>
      </c>
      <c r="Q1758" t="n">
        <v>0</v>
      </c>
      <c r="R1758" t="n">
        <v>0</v>
      </c>
      <c r="S1758">
        <f>IFERROR(O1758/N1758,0)</f>
        <v/>
      </c>
      <c r="T1758" t="n">
        <v>0</v>
      </c>
      <c r="V1758" t="n">
        <v>0</v>
      </c>
    </row>
    <row r="1759">
      <c r="A1759">
        <f>Skills!A16</f>
        <v/>
      </c>
      <c r="B1759">
        <f>Skills!B16</f>
        <v/>
      </c>
      <c r="C1759">
        <f>Inputs!$B$3&gt;=15</f>
        <v/>
      </c>
      <c r="D1759">
        <f>IF(Skills!C16=1,60+Inputs!$B$25+Inputs!$B$29,IF(Skills!C16=2,90+Inputs!$B$26+Inputs!$B$29,IF(Skills!C16=3,120+Inputs!$B$27+Inputs!$B$29,MAX(0,(Inputs!$B$3-100)*3)+Inputs!$B$28+Inputs!$B$29)))</f>
        <v/>
      </c>
      <c r="E1759">
        <f>INDEX(FactorTable!$B$2:$Y$301, MATCH(ROUND(MIN(300,MAX(1,D1759)),0), FactorTable!$A$2:$A$301,0), Skills!M16+1)</f>
        <v/>
      </c>
      <c r="F1759">
        <f>IF(Skills!N16=TRUE,(Skills!L16/10)*(E1759/1000),Skills!L16/10)+Skills!O16</f>
        <v/>
      </c>
      <c r="G1759">
        <f>Skills!G16*IF(Skills!H16&gt;0,Skills!I16/Skills!H16,1)</f>
        <v/>
      </c>
      <c r="H1759">
        <f>1-(1-Skills!J16/100)^Skills!K16</f>
        <v/>
      </c>
      <c r="I1759" t="inlineStr">
        <is>
          <t>1</t>
        </is>
      </c>
      <c r="J1759" t="inlineStr"/>
      <c r="K1759" t="inlineStr"/>
      <c r="L1759" t="inlineStr"/>
      <c r="M1759" t="inlineStr"/>
      <c r="N1759" t="inlineStr"/>
      <c r="O1759">
        <f>(1-Summary!$B$11)*T1759+Summary!$B$11*V1759</f>
        <v/>
      </c>
      <c r="P1759">
        <f>IF(B1778=0,0,O1759/B1778)</f>
        <v/>
      </c>
      <c r="Q1759" t="n">
        <v>0</v>
      </c>
      <c r="R1759" t="n">
        <v>0</v>
      </c>
      <c r="S1759">
        <f>IFERROR(O1759/N1759,0)</f>
        <v/>
      </c>
      <c r="T1759" t="n">
        <v>0</v>
      </c>
      <c r="V1759" t="n">
        <v>0</v>
      </c>
    </row>
    <row r="1760">
      <c r="A1760">
        <f>Skills!A17</f>
        <v/>
      </c>
      <c r="B1760">
        <f>Skills!B17</f>
        <v/>
      </c>
      <c r="C1760">
        <f>Inputs!$B$3&gt;=10</f>
        <v/>
      </c>
      <c r="D1760">
        <f>IF(Skills!C17=1,60+Inputs!$B$25+Inputs!$B$29,IF(Skills!C17=2,90+Inputs!$B$26+Inputs!$B$29,IF(Skills!C17=3,120+Inputs!$B$27+Inputs!$B$29,MAX(0,(Inputs!$B$3-100)*3)+Inputs!$B$28+Inputs!$B$29)))</f>
        <v/>
      </c>
      <c r="E1760">
        <f>INDEX(FactorTable!$B$2:$Y$301, MATCH(ROUND(MIN(300,MAX(1,D1760)),0), FactorTable!$A$2:$A$301,0), Skills!M17+1)</f>
        <v/>
      </c>
      <c r="F1760">
        <f>IF(Skills!N17=TRUE,(Skills!L17/10)*(E1760/1000),Skills!L17/10)+Skills!O17</f>
        <v/>
      </c>
      <c r="G1760">
        <f>Skills!G17*IF(Skills!H17&gt;0,Skills!I17/Skills!H17,1)</f>
        <v/>
      </c>
      <c r="H1760">
        <f>1-(1-Skills!J17/100)^Skills!K17</f>
        <v/>
      </c>
      <c r="I1760" t="inlineStr">
        <is>
          <t>1</t>
        </is>
      </c>
      <c r="J1760" t="inlineStr"/>
      <c r="K1760" t="inlineStr"/>
      <c r="L1760" t="inlineStr"/>
      <c r="M1760" t="inlineStr"/>
      <c r="N1760" t="inlineStr"/>
      <c r="O1760">
        <f>(1-Summary!$B$11)*T1760+Summary!$B$11*V1760</f>
        <v/>
      </c>
      <c r="P1760">
        <f>IF(B1778=0,0,O1760/B1778)</f>
        <v/>
      </c>
      <c r="Q1760" t="n">
        <v>0</v>
      </c>
      <c r="R1760" t="n">
        <v>0</v>
      </c>
      <c r="S1760">
        <f>IFERROR(O1760/N1760,0)</f>
        <v/>
      </c>
      <c r="T1760" t="n">
        <v>0</v>
      </c>
      <c r="V1760" t="n">
        <v>0</v>
      </c>
    </row>
    <row r="1761">
      <c r="A1761">
        <f>Skills!A18</f>
        <v/>
      </c>
      <c r="B1761">
        <f>Skills!B18</f>
        <v/>
      </c>
      <c r="C1761">
        <f>Inputs!$B$3&gt;=33</f>
        <v/>
      </c>
      <c r="D1761">
        <f>IF(Skills!C18=1,60+Inputs!$B$25+Inputs!$B$29,IF(Skills!C18=2,90+Inputs!$B$26+Inputs!$B$29,IF(Skills!C18=3,120+Inputs!$B$27+Inputs!$B$29,MAX(0,(Inputs!$B$3-100)*3)+Inputs!$B$28+Inputs!$B$29)))</f>
        <v/>
      </c>
      <c r="E1761">
        <f>INDEX(FactorTable!$B$2:$Y$301, MATCH(ROUND(MIN(300,MAX(1,D1761)),0), FactorTable!$A$2:$A$301,0), Skills!M18+1)</f>
        <v/>
      </c>
      <c r="F1761">
        <f>IF(Skills!N18=TRUE,(Skills!L18/10)*(E1761/1000),Skills!L18/10)+Skills!O18</f>
        <v/>
      </c>
      <c r="G1761">
        <f>Skills!G18*IF(Skills!H18&gt;0,Skills!I18/Skills!H18,1)</f>
        <v/>
      </c>
      <c r="H1761">
        <f>1-(1-Skills!J18/100)^Skills!K18</f>
        <v/>
      </c>
      <c r="I1761" t="inlineStr">
        <is>
          <t>1</t>
        </is>
      </c>
      <c r="J1761" t="inlineStr"/>
      <c r="K1761" t="inlineStr"/>
      <c r="L1761" t="inlineStr"/>
      <c r="M1761" t="inlineStr"/>
      <c r="N1761" t="inlineStr"/>
      <c r="O1761">
        <f>(1-Summary!$B$11)*T1761+Summary!$B$11*V1761</f>
        <v/>
      </c>
      <c r="P1761">
        <f>IF(B1778=0,0,O1761/B1778)</f>
        <v/>
      </c>
      <c r="Q1761" t="n">
        <v>0</v>
      </c>
      <c r="R1761" t="n">
        <v>0</v>
      </c>
      <c r="S1761">
        <f>IFERROR(O1761/N1761,0)</f>
        <v/>
      </c>
      <c r="T1761" t="n">
        <v>0</v>
      </c>
      <c r="V1761" t="n">
        <v>0</v>
      </c>
    </row>
    <row r="1762">
      <c r="A1762">
        <f>Skills!A19</f>
        <v/>
      </c>
      <c r="B1762">
        <f>Skills!B19</f>
        <v/>
      </c>
      <c r="C1762">
        <f>Inputs!$B$3&gt;=40</f>
        <v/>
      </c>
      <c r="D1762">
        <f>IF(Skills!C19=1,60+Inputs!$B$25+Inputs!$B$29,IF(Skills!C19=2,90+Inputs!$B$26+Inputs!$B$29,IF(Skills!C19=3,120+Inputs!$B$27+Inputs!$B$29,MAX(0,(Inputs!$B$3-100)*3)+Inputs!$B$28+Inputs!$B$29)))</f>
        <v/>
      </c>
      <c r="E1762">
        <f>INDEX(FactorTable!$B$2:$Y$301, MATCH(ROUND(MIN(300,MAX(1,D1762)),0), FactorTable!$A$2:$A$301,0), Skills!M19+1)</f>
        <v/>
      </c>
      <c r="F1762">
        <f>IF(Skills!N19=TRUE,(Skills!L19/10)*(E1762/1000),Skills!L19/10)+Skills!O19</f>
        <v/>
      </c>
      <c r="G1762">
        <f>Skills!G19*IF(Skills!H19&gt;0,Skills!I19/Skills!H19,1)</f>
        <v/>
      </c>
      <c r="H1762">
        <f>1-(1-Skills!J19/100)^Skills!K19</f>
        <v/>
      </c>
      <c r="I1762" t="inlineStr">
        <is>
          <t>1</t>
        </is>
      </c>
      <c r="J1762" t="inlineStr"/>
      <c r="K1762" t="inlineStr"/>
      <c r="L1762" t="inlineStr"/>
      <c r="M1762" t="inlineStr"/>
      <c r="N1762" t="inlineStr"/>
      <c r="O1762">
        <f>(1-Summary!$B$11)*T1762+Summary!$B$11*V1762</f>
        <v/>
      </c>
      <c r="P1762">
        <f>IF(B1778=0,0,O1762/B1778)</f>
        <v/>
      </c>
      <c r="Q1762" t="n">
        <v>0</v>
      </c>
      <c r="R1762" t="n">
        <v>0</v>
      </c>
      <c r="S1762">
        <f>IFERROR(O1762/N1762,0)</f>
        <v/>
      </c>
      <c r="T1762" t="n">
        <v>0</v>
      </c>
      <c r="V1762" t="n">
        <v>0</v>
      </c>
    </row>
    <row r="1763">
      <c r="A1763">
        <f>Skills!A20</f>
        <v/>
      </c>
      <c r="B1763">
        <f>Skills!B20</f>
        <v/>
      </c>
      <c r="C1763">
        <f>Inputs!$B$3&gt;=43</f>
        <v/>
      </c>
      <c r="D1763">
        <f>IF(Skills!C20=1,60+Inputs!$B$25+Inputs!$B$29,IF(Skills!C20=2,90+Inputs!$B$26+Inputs!$B$29,IF(Skills!C20=3,120+Inputs!$B$27+Inputs!$B$29,MAX(0,(Inputs!$B$3-100)*3)+Inputs!$B$28+Inputs!$B$29)))</f>
        <v/>
      </c>
      <c r="E1763">
        <f>INDEX(FactorTable!$B$2:$Y$301, MATCH(ROUND(MIN(300,MAX(1,D1763)),0), FactorTable!$A$2:$A$301,0), Skills!M20+1)</f>
        <v/>
      </c>
      <c r="F1763">
        <f>IF(Skills!N20=TRUE,(Skills!L20/10)*(E1763/1000),Skills!L20/10)+Skills!O20</f>
        <v/>
      </c>
      <c r="G1763">
        <f>Skills!G20*IF(Skills!H20&gt;0,Skills!I20/Skills!H20,1)</f>
        <v/>
      </c>
      <c r="H1763">
        <f>1-(1-Skills!J20/100)^Skills!K20</f>
        <v/>
      </c>
      <c r="I1763" t="inlineStr">
        <is>
          <t>1</t>
        </is>
      </c>
      <c r="J1763" t="inlineStr"/>
      <c r="K1763" t="inlineStr"/>
      <c r="L1763" t="inlineStr"/>
      <c r="M1763" t="inlineStr"/>
      <c r="N1763" t="inlineStr"/>
      <c r="O1763">
        <f>(1-Summary!$B$11)*T1763+Summary!$B$11*V1763</f>
        <v/>
      </c>
      <c r="P1763">
        <f>IF(B1778=0,0,O1763/B1778)</f>
        <v/>
      </c>
      <c r="Q1763" t="n">
        <v>0</v>
      </c>
      <c r="R1763" t="n">
        <v>0</v>
      </c>
      <c r="S1763">
        <f>IFERROR(O1763/N1763,0)</f>
        <v/>
      </c>
      <c r="T1763" t="n">
        <v>0</v>
      </c>
      <c r="V1763" t="n">
        <v>0</v>
      </c>
    </row>
    <row r="1764">
      <c r="A1764">
        <f>Skills!A21</f>
        <v/>
      </c>
      <c r="B1764">
        <f>Skills!B21</f>
        <v/>
      </c>
      <c r="C1764">
        <f>Inputs!$B$3&gt;=38</f>
        <v/>
      </c>
      <c r="D1764">
        <f>IF(Skills!C21=1,60+Inputs!$B$25+Inputs!$B$29,IF(Skills!C21=2,90+Inputs!$B$26+Inputs!$B$29,IF(Skills!C21=3,120+Inputs!$B$27+Inputs!$B$29,MAX(0,(Inputs!$B$3-100)*3)+Inputs!$B$28+Inputs!$B$29)))</f>
        <v/>
      </c>
      <c r="E1764">
        <f>INDEX(FactorTable!$B$2:$Y$301, MATCH(ROUND(MIN(300,MAX(1,D1764)),0), FactorTable!$A$2:$A$301,0), Skills!M21+1)</f>
        <v/>
      </c>
      <c r="F1764">
        <f>IF(Skills!N21=TRUE,(Skills!L21/10)*(E1764/1000),Skills!L21/10)+Skills!O21</f>
        <v/>
      </c>
      <c r="G1764">
        <f>Skills!G21*IF(Skills!H21&gt;0,Skills!I21/Skills!H21,1)</f>
        <v/>
      </c>
      <c r="H1764">
        <f>1-(1-Skills!J21/100)^Skills!K21</f>
        <v/>
      </c>
      <c r="I1764" t="inlineStr">
        <is>
          <t>1</t>
        </is>
      </c>
      <c r="J1764" t="inlineStr"/>
      <c r="K1764" t="inlineStr"/>
      <c r="L1764" t="inlineStr"/>
      <c r="M1764" t="inlineStr"/>
      <c r="N1764" t="inlineStr"/>
      <c r="O1764">
        <f>(1-Summary!$B$11)*T1764+Summary!$B$11*V1764</f>
        <v/>
      </c>
      <c r="P1764">
        <f>IF(B1778=0,0,O1764/B1778)</f>
        <v/>
      </c>
      <c r="Q1764" t="n">
        <v>0</v>
      </c>
      <c r="R1764" t="n">
        <v>0</v>
      </c>
      <c r="S1764">
        <f>IFERROR(O1764/N1764,0)</f>
        <v/>
      </c>
      <c r="T1764" t="n">
        <v>0</v>
      </c>
      <c r="V1764" t="n">
        <v>0</v>
      </c>
    </row>
    <row r="1765">
      <c r="A1765">
        <f>Skills!A22</f>
        <v/>
      </c>
      <c r="B1765">
        <f>Skills!B22</f>
        <v/>
      </c>
      <c r="C1765">
        <f>Inputs!$B$3&gt;=75</f>
        <v/>
      </c>
      <c r="D1765">
        <f>IF(Skills!C22=1,60+Inputs!$B$25+Inputs!$B$29,IF(Skills!C22=2,90+Inputs!$B$26+Inputs!$B$29,IF(Skills!C22=3,120+Inputs!$B$27+Inputs!$B$29,MAX(0,(Inputs!$B$3-100)*3)+Inputs!$B$28+Inputs!$B$29)))</f>
        <v/>
      </c>
      <c r="E1765">
        <f>INDEX(FactorTable!$B$2:$Y$301, MATCH(ROUND(MIN(300,MAX(1,D1765)),0), FactorTable!$A$2:$A$301,0), Skills!M22+1)</f>
        <v/>
      </c>
      <c r="F1765">
        <f>IF(Skills!N22=TRUE,(Skills!L22/10)*(E1765/1000),Skills!L22/10)+Skills!O22</f>
        <v/>
      </c>
      <c r="G1765">
        <f>Skills!G22*IF(Skills!H22&gt;0,Skills!I22/Skills!H22,1)</f>
        <v/>
      </c>
      <c r="H1765">
        <f>1-(1-Skills!J22/100)^Skills!K22</f>
        <v/>
      </c>
      <c r="I1765" t="inlineStr">
        <is>
          <t>1</t>
        </is>
      </c>
      <c r="J1765" t="inlineStr"/>
      <c r="K1765" t="inlineStr"/>
      <c r="L1765" t="inlineStr"/>
      <c r="M1765" t="inlineStr"/>
      <c r="N1765" t="inlineStr"/>
      <c r="O1765">
        <f>(1-Summary!$B$11)*T1765+Summary!$B$11*V1765</f>
        <v/>
      </c>
      <c r="P1765">
        <f>IF(B1778=0,0,O1765/B1778)</f>
        <v/>
      </c>
      <c r="Q1765" t="n">
        <v>0</v>
      </c>
      <c r="R1765" t="n">
        <v>0</v>
      </c>
      <c r="S1765">
        <f>IFERROR(O1765/N1765,0)</f>
        <v/>
      </c>
      <c r="T1765" t="n">
        <v>0</v>
      </c>
      <c r="V1765" t="n">
        <v>0</v>
      </c>
    </row>
    <row r="1767">
      <c r="A1767" t="inlineStr">
        <is>
          <t>Attack% Bucket Multiplier</t>
        </is>
      </c>
      <c r="B1767">
        <f>(1+(((C1756=TRUE)*F1756)+((C1762=TRUE)*(F1762-Calc!F19))+(IF(ArtifactsInput!$M$21,CHOOSE(ArtifactsInput!$N$21+1,25,30,35,40,45,50)*(IF(OR(Inputs!$B$4="Chapter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68">
      <c r="A1768" t="inlineStr">
        <is>
          <t>Global Crit Rate Bonus %</t>
        </is>
      </c>
      <c r="B1768" t="n">
        <v>0</v>
      </c>
    </row>
    <row r="1769">
      <c r="A1769" t="inlineStr">
        <is>
          <t>Attack Speed Buff Bonus % (unused)</t>
        </is>
      </c>
      <c r="B1769" t="n">
        <v>0</v>
      </c>
    </row>
    <row r="1770">
      <c r="A1770" t="inlineStr">
        <is>
          <t>Actions Per Second</t>
        </is>
      </c>
      <c r="B1770">
        <f>1+MIN(150,150*(1-(1-(Inputs!$B$11+((C1760=TRUE)*(F1760-Calc!F17))+((C1761=TRUE)*(F1761-Calc!F18)))/150)*(1-B1769/150)))/100</f>
        <v/>
      </c>
    </row>
    <row r="1771">
      <c r="A1771" t="inlineStr">
        <is>
          <t>Skill + Buff Cast Rate</t>
        </is>
      </c>
      <c r="B1771">
        <f>IF(AND(Inputs!$B$38&lt;&gt;"pvp",Inputs!$B$43&gt;0),SUMPRODUCT((Skills!E2:E22=TRUE)*(C1745:C1765=TRUE)*R1745:R1765*Skills!F2:F22)/Inputs!$B$43,SUMPRODUCT((Skills!E2:E22=TRUE)*(C1745:C1765=TRUE)*Q1745:Q1765*Skills!F2:F22))</f>
        <v/>
      </c>
    </row>
    <row r="1772">
      <c r="A1772" t="inlineStr">
        <is>
          <t>Hook Bomber Casts Per Second</t>
        </is>
      </c>
      <c r="B1772">
        <f>MAX(0,B1770-B1771)</f>
        <v/>
      </c>
    </row>
    <row r="1773">
      <c r="A1773" t="inlineStr">
        <is>
          <t>Global Critical Damage Bonus % (unused)</t>
        </is>
      </c>
      <c r="B1773" t="n">
        <v>0</v>
      </c>
    </row>
    <row r="1774">
      <c r="A1774" t="inlineStr">
        <is>
          <t>Global Final Damage Bonus % (Serpent Scale + Crossbones + Time Leap + Speed Infusion)</t>
        </is>
      </c>
      <c r="B1774">
        <f>((C1748=TRUE)*F1748*((10+IF(Inputs!$B$3&gt;=94,5,0))/((10+IF(Inputs!$B$3&gt;=94,5,0))+5/(B1772*(1+IF(Inputs!$B$3&gt;=104,1,0))))))+((C1757=TRUE)*F1757)+((C1758=TRUE)*F1758)+((Inputs!$B$3&gt;=110)*20*(B1770-1))</f>
        <v/>
      </c>
    </row>
    <row r="1775">
      <c r="A1775" t="inlineStr">
        <is>
          <t>Buff-Casting Startup Delay (s, fixed-duration only)</t>
        </is>
      </c>
      <c r="B1775">
        <f>IF(AND(Inputs!$B$38&lt;&gt;"pvp",Inputs!$B$43&gt;0),SUMPRODUCT((Skills!T2:T22&gt;0)*(Skills!E2:E22=TRUE)*(C1745:C1765=TRUE))/B1770,0)</f>
        <v/>
      </c>
    </row>
    <row r="1776">
      <c r="A1776" t="inlineStr">
        <is>
          <t>Boss-Only Total DPS (this block's swept value)</t>
        </is>
      </c>
      <c r="B1776">
        <f>SUM(T1745:T1765)</f>
        <v/>
      </c>
    </row>
    <row r="1777">
      <c r="A1777" t="inlineStr">
        <is>
          <t>Normal-Only Total DPS (this block's swept value)</t>
        </is>
      </c>
      <c r="B1777">
        <f>SUM(V1745:V1765)</f>
        <v/>
      </c>
    </row>
    <row r="1778">
      <c r="A1778" s="6" t="inlineStr">
        <is>
          <t>TOTAL DPS</t>
        </is>
      </c>
      <c r="B1778" s="6">
        <f>SUM(O1745:O1765)</f>
        <v/>
      </c>
    </row>
    <row r="1781">
      <c r="A1781" s="6" t="inlineStr">
        <is>
          <t>Stat: Fire Flower (Equip)</t>
        </is>
      </c>
    </row>
    <row r="1782">
      <c r="A1782" s="5" t="inlineStr">
        <is>
          <t>Key</t>
        </is>
      </c>
      <c r="B1782" s="5" t="inlineStr">
        <is>
          <t>Name</t>
        </is>
      </c>
      <c r="C1782" s="5" t="inlineStr">
        <is>
          <t>Unlocked</t>
        </is>
      </c>
      <c r="D1782" s="5" t="inlineStr">
        <is>
          <t>InputLevel</t>
        </is>
      </c>
      <c r="E1782" s="5" t="inlineStr">
        <is>
          <t>Factor</t>
        </is>
      </c>
      <c r="F1782" s="5" t="inlineStr">
        <is>
          <t>CoefficientPercent</t>
        </is>
      </c>
      <c r="G1782" s="5" t="inlineStr">
        <is>
          <t>EffectiveHits</t>
        </is>
      </c>
      <c r="H1782" s="5" t="inlineStr">
        <is>
          <t>ProcProbability</t>
        </is>
      </c>
      <c r="I1782" s="5" t="inlineStr">
        <is>
          <t>MapleHeroMultiplier</t>
        </is>
      </c>
      <c r="J1782" s="5" t="inlineStr">
        <is>
          <t>BaseDamage</t>
        </is>
      </c>
      <c r="K1782" s="5" t="inlineStr">
        <is>
          <t>BaseHitDamage</t>
        </is>
      </c>
      <c r="L1782" s="5" t="inlineStr">
        <is>
          <t>NonCritAvg</t>
        </is>
      </c>
      <c r="M1782" s="5" t="inlineStr">
        <is>
          <t>CritAvg</t>
        </is>
      </c>
      <c r="N1782" s="5" t="inlineStr">
        <is>
          <t>ExpectedDamage(perHit)</t>
        </is>
      </c>
      <c r="O1782" s="5" t="inlineStr">
        <is>
          <t>DPS</t>
        </is>
      </c>
      <c r="P1782" s="5" t="inlineStr">
        <is>
          <t>% of Total</t>
        </is>
      </c>
      <c r="Q1782" s="5" t="inlineStr">
        <is>
          <t>InvCooldown</t>
        </is>
      </c>
      <c r="R1782" s="5" t="inlineStr">
        <is>
          <t>CastsInFight</t>
        </is>
      </c>
      <c r="S1782" s="5" t="inlineStr">
        <is>
          <t>HitRate(perSec)</t>
        </is>
      </c>
      <c r="U1782" t="inlineStr">
        <is>
          <t>helpers</t>
        </is>
      </c>
    </row>
    <row r="1783">
      <c r="A1783">
        <f>Skills!A2</f>
        <v/>
      </c>
      <c r="B1783">
        <f>Skills!B2</f>
        <v/>
      </c>
      <c r="C1783">
        <f>Inputs!$B$3&gt;=100</f>
        <v/>
      </c>
      <c r="D1783" t="inlineStr"/>
      <c r="E1783" t="inlineStr"/>
      <c r="F1783">
        <f>U1785+Skills!O2</f>
        <v/>
      </c>
      <c r="G1783">
        <f>Skills!G2*IF(Skills!H2&gt;0,Skills!I2/Skills!H2,1)</f>
        <v/>
      </c>
      <c r="H1783">
        <f>1-(1-Skills!J2/100)^Skills!K2</f>
        <v/>
      </c>
      <c r="I1783" t="inlineStr">
        <is>
          <t>1</t>
        </is>
      </c>
      <c r="J1783">
        <f>((Inputs!$B$6*(1+Inputs!$B$7/100))+(((Inputs!$B$12*(1+Inputs!$B$13/100))-(Inputs!$B$12*(1+Inputs!$B$13/100)))+0.25*(Inputs!$B$14-Inputs!$B$14))*(1+Inputs!$B$7/100))*(F1783/100)</f>
        <v/>
      </c>
      <c r="K1783">
        <f>J1783*(1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1783)</f>
        <v/>
      </c>
      <c r="L1783">
        <f>K1783*(MIN(Inputs!$B$22+((C1801=TRUE)*(F1801-Calc!F20)),(Inputs!$B$23+0+(IF(ArtifactsInput!$M$15,CHOOSE(ArtifactsInput!$N$15+1,25,30,35,40,45,50)/100*(Inputs!$B$11-Inputs!$B$11),0))))/100+(Inputs!$B$23+0+(IF(ArtifactsInput!$M$15,CHOOSE(ArtifactsInput!$N$15+1,25,30,35,40,45,50)/100*(Inputs!$B$11-Inputs!$B$11),0)))/100)/2</f>
        <v/>
      </c>
      <c r="M1783">
        <f>L1783*(1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3">
        <f>L1783*(1-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1783*(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3">
        <f>(1-Summary!$B$11)*T1783+Summary!$B$11*V1783</f>
        <v/>
      </c>
      <c r="P1783">
        <f>IF(B1816=0,0,O1783/B1816)</f>
        <v/>
      </c>
      <c r="Q1783" t="n">
        <v>0</v>
      </c>
      <c r="R1783" t="n">
        <v>0</v>
      </c>
      <c r="S1783">
        <f>IFERROR(O1783/N1783,0)</f>
        <v/>
      </c>
      <c r="T1783">
        <f>IF(C1783,(Skills!G2*N1783*B1810)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1783*(1-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1783*(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1783*(1-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1783*(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3">
        <f>MAX(0,(Inputs!$B$3-100)*3)+Inputs!$B$28+Inputs!$B$29</f>
        <v/>
      </c>
      <c r="V1783">
        <f>IF(C1783,(Skills!G2*N1783*B1810)*IF(Inputs!$B$38="pvp",1,(1+(Inputs!$B$21+Skills!Q2+(IF(ArtifactsInput!$M$33,CHOOSE(ArtifactsInput!$N$33+1,30,36,42,48,54,60),0))+(IF(AND(ArtifactsInput!$M$35,Inputs!$B$4&lt;&gt;"Chapter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4">
      <c r="A1784">
        <f>Skills!A3</f>
        <v/>
      </c>
      <c r="B1784">
        <f>Skills!B3</f>
        <v/>
      </c>
      <c r="C1784">
        <f>Inputs!$B$3&gt;=35</f>
        <v/>
      </c>
      <c r="D1784">
        <f>IF(Skills!C3=1,60+Inputs!$B$25+Inputs!$B$29,IF(Skills!C3=2,90+Inputs!$B$26+Inputs!$B$29,IF(Skills!C3=3,120+Inputs!$B$27+Inputs!$B$29,MAX(0,(Inputs!$B$3-100)*3)+Inputs!$B$28+Inputs!$B$29)))</f>
        <v/>
      </c>
      <c r="E1784">
        <f>INDEX(FactorTable!$B$2:$Y$301, MATCH(ROUND(MIN(300,MAX(1,D1784)),0), FactorTable!$A$2:$A$301,0), Skills!M3+1)</f>
        <v/>
      </c>
      <c r="F1784">
        <f>IF(Skills!N3=TRUE,(Skills!L3/10)*(E1784/1000),Skills!L3/10)+Skills!O3</f>
        <v/>
      </c>
      <c r="G1784">
        <f>Skills!G3*IF(Skills!H3&gt;0,Skills!I3/Skills!H3,1)</f>
        <v/>
      </c>
      <c r="H1784">
        <f>1-(1-Skills!J3/100)^Skills!K3</f>
        <v/>
      </c>
      <c r="I1784" t="inlineStr">
        <is>
          <t>1</t>
        </is>
      </c>
      <c r="J1784">
        <f>((Inputs!$B$6*(1+Inputs!$B$7/100))+(((Inputs!$B$12*(1+Inputs!$B$13/100))-(Inputs!$B$12*(1+Inputs!$B$13/100)))+0.25*(Inputs!$B$14-Inputs!$B$14))*(1+Inputs!$B$7/100))*(F1784/100)</f>
        <v/>
      </c>
      <c r="K1784">
        <f>J1784*(1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1784)</f>
        <v/>
      </c>
      <c r="L1784">
        <f>K1784*(MIN(Inputs!$B$22+((C1801=TRUE)*(F1801-Calc!F20)),(Inputs!$B$23+0+(IF(ArtifactsInput!$M$15,CHOOSE(ArtifactsInput!$N$15+1,25,30,35,40,45,50)/100*(Inputs!$B$11-Inputs!$B$11),0))))/100+(Inputs!$B$23+0+(IF(ArtifactsInput!$M$15,CHOOSE(ArtifactsInput!$N$15+1,25,30,35,40,45,50)/100*(Inputs!$B$11-Inputs!$B$11),0)))/100)/2</f>
        <v/>
      </c>
      <c r="M1784">
        <f>L1784*(1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4">
        <f>L1784*(1-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1784*(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4">
        <f>(1-Summary!$B$11)*T1784+Summary!$B$11*V1784</f>
        <v/>
      </c>
      <c r="P1784">
        <f>IF(B1816=0,0,O1784/B1816)</f>
        <v/>
      </c>
      <c r="Q1784" t="n">
        <v>0</v>
      </c>
      <c r="R1784" t="n">
        <v>0</v>
      </c>
      <c r="S1784">
        <f>IFERROR(O1784/N1784,0)</f>
        <v/>
      </c>
      <c r="T1784">
        <f>IF(C1784,(Skills!G3*H1784*N1784*B1810)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1784*(1-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1784*(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1784*(1-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1784*(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4">
        <f>INDEX(FactorTable!$B$2:$Y$301, MATCH(ROUND(MIN(300,MAX(1,U1783)),0), FactorTable!$A$2:$A$301,0), 22)</f>
        <v/>
      </c>
      <c r="V1784">
        <f>IF(C1784,(Skills!G3*H1784*N1784*B1810)*IF(Inputs!$B$38="pvp",1,(1+(Inputs!$B$21+Skills!Q3+(IF(ArtifactsInput!$M$33,CHOOSE(ArtifactsInput!$N$33+1,30,36,42,48,54,60),0))+(IF(AND(ArtifactsInput!$M$35,Inputs!$B$4&lt;&gt;"Chapter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5">
      <c r="A1785">
        <f>Skills!A4</f>
        <v/>
      </c>
      <c r="B1785">
        <f>Skills!B4</f>
        <v/>
      </c>
      <c r="C1785">
        <f>Inputs!$B$3&gt;=60</f>
        <v/>
      </c>
      <c r="D1785">
        <f>IF(Skills!C4=1,60+Inputs!$B$25+Inputs!$B$29,IF(Skills!C4=2,90+Inputs!$B$26+Inputs!$B$29,IF(Skills!C4=3,120+Inputs!$B$27+Inputs!$B$29,MAX(0,(Inputs!$B$3-100)*3)+Inputs!$B$28+Inputs!$B$29)))</f>
        <v/>
      </c>
      <c r="E1785">
        <f>INDEX(FactorTable!$B$2:$Y$301, MATCH(ROUND(MIN(300,MAX(1,D1785)),0), FactorTable!$A$2:$A$301,0), Skills!M4+1)</f>
        <v/>
      </c>
      <c r="F1785">
        <f>IF(Skills!N4=TRUE,(Skills!L4/10)*(E1785/1000),Skills!L4/10)+Skills!O4</f>
        <v/>
      </c>
      <c r="G1785">
        <f>Skills!G4*IF(Skills!H4&gt;0,Skills!I4/Skills!H4,1)</f>
        <v/>
      </c>
      <c r="H1785">
        <f>1-(1-Skills!J4/100)^Skills!K4</f>
        <v/>
      </c>
      <c r="I1785" t="inlineStr">
        <is>
          <t>1</t>
        </is>
      </c>
      <c r="J1785">
        <f>((Inputs!$B$6*(1+Inputs!$B$7/100))+(((Inputs!$B$12*(1+Inputs!$B$13/100))-(Inputs!$B$12*(1+Inputs!$B$13/100)))+0.25*(Inputs!$B$14-Inputs!$B$14))*(1+Inputs!$B$7/100))*(F1785/100)</f>
        <v/>
      </c>
      <c r="K1785">
        <f>J1785*(1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1793=TRUE,F1793,0)/100)*(1+(IF(Skills!A4="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1785)</f>
        <v/>
      </c>
      <c r="L1785">
        <f>K1785*(MIN(Inputs!$B$22+((C1801=TRUE)*(F1801-Calc!F20)),(Inputs!$B$23+0+(IF(ArtifactsInput!$M$15,CHOOSE(ArtifactsInput!$N$15+1,25,30,35,40,45,50)/100*(Inputs!$B$11-Inputs!$B$11),0))))/100+(Inputs!$B$23+0+(IF(ArtifactsInput!$M$15,CHOOSE(ArtifactsInput!$N$15+1,25,30,35,40,45,50)/100*(Inputs!$B$11-Inputs!$B$11),0)))/100)/2</f>
        <v/>
      </c>
      <c r="M1785">
        <f>L1785*(1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5">
        <f>L1785*(1-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1785*(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5">
        <f>(1-Summary!$B$11)*T1785+Summary!$B$11*V1785</f>
        <v/>
      </c>
      <c r="P1785">
        <f>IF(B1816=0,0,O1785/B1816)</f>
        <v/>
      </c>
      <c r="Q1785" t="n">
        <v>0</v>
      </c>
      <c r="R1785" t="n">
        <v>0</v>
      </c>
      <c r="S1785">
        <f>IFERROR(O1785/N1785,0)</f>
        <v/>
      </c>
      <c r="T1785">
        <f>IF(C1785,(Skills!G4*H1785*N1785*B1810)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1785*(1-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1785*(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1785*(1-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1785*(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5">
        <f>290*U1784/1000</f>
        <v/>
      </c>
      <c r="V1785">
        <f>IF(C1785,(Skills!G4*H1785*N1785*B1810)*IF(Inputs!$B$38="pvp",1,(1+(Inputs!$B$21+Skills!Q4+(IF(ArtifactsInput!$M$33,CHOOSE(ArtifactsInput!$N$33+1,30,36,42,48,54,60),0))+(IF(AND(ArtifactsInput!$M$35,Inputs!$B$4&lt;&gt;"Chapter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6">
      <c r="A1786">
        <f>Skills!A5</f>
        <v/>
      </c>
      <c r="B1786">
        <f>Skills!B5</f>
        <v/>
      </c>
      <c r="C1786">
        <f>Inputs!$B$3&gt;=60</f>
        <v/>
      </c>
      <c r="D1786">
        <f>IF(Skills!C5=1,60+Inputs!$B$25+Inputs!$B$29,IF(Skills!C5=2,90+Inputs!$B$26+Inputs!$B$29,IF(Skills!C5=3,120+Inputs!$B$27+Inputs!$B$29,MAX(0,(Inputs!$B$3-100)*3)+Inputs!$B$28+Inputs!$B$29)))</f>
        <v/>
      </c>
      <c r="E1786">
        <f>INDEX(FactorTable!$B$2:$Y$301, MATCH(ROUND(MIN(300,MAX(1,D1786)),0), FactorTable!$A$2:$A$301,0), Skills!M5+1)</f>
        <v/>
      </c>
      <c r="F1786">
        <f>IF(Skills!N5=TRUE,(Skills!L5/10)*(E1786/1000),Skills!L5/10)+Skills!O5</f>
        <v/>
      </c>
      <c r="G1786">
        <f>Skills!G5*IF(Skills!H5&gt;0,Skills!I5/Skills!H5,1)</f>
        <v/>
      </c>
      <c r="H1786">
        <f>1-(1-Skills!J5/100)^Skills!K5</f>
        <v/>
      </c>
      <c r="I1786" t="inlineStr">
        <is>
          <t>1</t>
        </is>
      </c>
      <c r="J1786" t="inlineStr"/>
      <c r="K1786" t="inlineStr"/>
      <c r="L1786" t="inlineStr"/>
      <c r="M1786" t="inlineStr"/>
      <c r="N1786" t="inlineStr"/>
      <c r="O1786">
        <f>(1-Summary!$B$11)*T1786+Summary!$B$11*V1786</f>
        <v/>
      </c>
      <c r="P1786">
        <f>IF(B1816=0,0,O1786/B1816)</f>
        <v/>
      </c>
      <c r="Q1786" t="n">
        <v>0</v>
      </c>
      <c r="R1786" t="n">
        <v>0</v>
      </c>
      <c r="S1786">
        <f>IFERROR(O1786/N1786,0)</f>
        <v/>
      </c>
      <c r="T1786" t="n">
        <v>0</v>
      </c>
      <c r="V1786" t="n">
        <v>0</v>
      </c>
    </row>
    <row r="1787">
      <c r="A1787">
        <f>Skills!A6</f>
        <v/>
      </c>
      <c r="B1787">
        <f>Skills!B6</f>
        <v/>
      </c>
      <c r="C1787">
        <f>Inputs!$B$3&gt;=63</f>
        <v/>
      </c>
      <c r="D1787">
        <f>IF(Skills!C6=1,60+Inputs!$B$25+Inputs!$B$29,IF(Skills!C6=2,90+Inputs!$B$26+Inputs!$B$29,IF(Skills!C6=3,120+Inputs!$B$27+Inputs!$B$29,MAX(0,(Inputs!$B$3-100)*3)+Inputs!$B$28+Inputs!$B$29)))</f>
        <v/>
      </c>
      <c r="E1787">
        <f>INDEX(FactorTable!$B$2:$Y$301, MATCH(ROUND(MIN(300,MAX(1,D1787)),0), FactorTable!$A$2:$A$301,0), Skills!M6+1)</f>
        <v/>
      </c>
      <c r="F1787">
        <f>IF(Skills!N6=TRUE,(Skills!L6/10)*(E1787/1000),Skills!L6/10)+Skills!O6</f>
        <v/>
      </c>
      <c r="G1787">
        <f>Skills!G6*IF(Skills!H6&gt;0,Skills!I6/Skills!H6,1)</f>
        <v/>
      </c>
      <c r="H1787">
        <f>1-(1-Skills!J6/100)^Skills!K6</f>
        <v/>
      </c>
      <c r="I1787" t="inlineStr">
        <is>
          <t>1</t>
        </is>
      </c>
      <c r="J1787">
        <f>((Inputs!$B$6*(1+Inputs!$B$7/100))+(((Inputs!$B$12*(1+Inputs!$B$13/100))-(Inputs!$B$12*(1+Inputs!$B$13/100)))+0.25*(Inputs!$B$14-Inputs!$B$14))*(1+Inputs!$B$7/100))*(F1787/100)</f>
        <v/>
      </c>
      <c r="K1787">
        <f>J1787*(1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1787)</f>
        <v/>
      </c>
      <c r="L1787">
        <f>K1787*(MIN(Inputs!$B$22+((C1801=TRUE)*(F1801-Calc!F20)),(Inputs!$B$23+0+(IF(ArtifactsInput!$M$15,CHOOSE(ArtifactsInput!$N$15+1,25,30,35,40,45,50)/100*(Inputs!$B$11-Inputs!$B$11),0))))/100+(Inputs!$B$23+0+(IF(ArtifactsInput!$M$15,CHOOSE(ArtifactsInput!$N$15+1,25,30,35,40,45,50)/100*(Inputs!$B$11-Inputs!$B$11),0)))/100)/2</f>
        <v/>
      </c>
      <c r="M1787">
        <f>L1787*(1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7">
        <f>L1787*(1-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1787*(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7">
        <f>(1-Summary!$B$11)*T1787+Summary!$B$11*V1787</f>
        <v/>
      </c>
      <c r="P1787">
        <f>IF(B1816=0,0,O1787/B1816)</f>
        <v/>
      </c>
      <c r="Q1787">
        <f>IFERROR(1/(IF(Inputs!$B$38="pvp",15,MAX(0.1,Skills!D6-IF(Skills!E6=TRUE,Inputs!$B$32,0)))*(1-IF(AND(ArtifactsInput!$M$27,Inputs!$B$4="Chapter Hunt"),CHOOSE(ArtifactsInput!$N$27+1,20,24,28,32,36,40),0)/100)),0)</f>
        <v/>
      </c>
      <c r="R1787">
        <f>IF(AND(Inputs!$B$38&lt;&gt;"pvp",Inputs!$B$43&gt;0),IF(MAX(0,Inputs!$B$43-B1813)&lt;=0,0,(INT(MAX(0,Inputs!$B$43-B1813)/(IF(Inputs!$B$38="pvp",15,MAX(0.1,Skills!D6-IF(Skills!E6=TRUE,Inputs!$B$32,0)))*(1-IF(AND(ArtifactsInput!$M$27,Inputs!$B$4="Chapter Hunt"),CHOOSE(ArtifactsInput!$N$27+1,20,24,28,32,36,40),0)/100)))+1)),0)</f>
        <v/>
      </c>
      <c r="S1787">
        <f>IFERROR(O1787/N1787,0)</f>
        <v/>
      </c>
      <c r="T1787">
        <f>IF(C1787,(H1787*N1787*IF(AND(Inputs!$B$38&lt;&gt;"pvp",Inputs!$B$43&gt;0),((Skills!G6*((R1787-1)*IF(Skills!H6&gt;0,Skills!I6/Skills!H6,1)+IF(Skills!H6&gt;0,MIN(Skills!I6,MAX(0,MAX(0,Inputs!$B$43-B1813)-((R1787-1)*(IF(Inputs!$B$38="pvp",15,MAX(0.1,Skills!D6-IF(Skills!E6=TRUE,Inputs!$B$32,0)))*(1-IF(AND(ArtifactsInput!$M$27,Inputs!$B$4="Chapter Hunt"),CHOOSE(ArtifactsInput!$N$27+1,20,24,28,32,36,40),0)/100)))))/Skills!H6,1)))/Inputs!$B$43),G1787*Q1787)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1787*(1-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1787*(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1787*(1-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1787*(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7">
        <f>IF(C1787,(H1787*N1787*IF(AND(Inputs!$B$38&lt;&gt;"pvp",Inputs!$B$43&gt;0),((Skills!G6*((R1787-1)*IF(Skills!H6&gt;0,Skills!I6/Skills!H6,1)+IF(Skills!H6&gt;0,MIN(Skills!I6,MAX(0,MAX(0,Inputs!$B$43-B1813)-((R1787-1)*(IF(Inputs!$B$38="pvp",15,MAX(0.1,Skills!D6-IF(Skills!E6=TRUE,Inputs!$B$32,0)))*(1-IF(AND(ArtifactsInput!$M$27,Inputs!$B$4="Chapter Hunt"),CHOOSE(ArtifactsInput!$N$27+1,20,24,28,32,36,40),0)/100)))))/Skills!H6,1)))/Inputs!$B$43),G1787*Q1787))*IF(Inputs!$B$38="pvp",1,(1+(Inputs!$B$21+Skills!Q6+(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8">
      <c r="A1788">
        <f>Skills!A7</f>
        <v/>
      </c>
      <c r="B1788">
        <f>Skills!B7</f>
        <v/>
      </c>
      <c r="C1788">
        <f>Inputs!$B$3&gt;=100</f>
        <v/>
      </c>
      <c r="D1788">
        <f>IF(Skills!C7=1,60+Inputs!$B$25+Inputs!$B$29,IF(Skills!C7=2,90+Inputs!$B$26+Inputs!$B$29,IF(Skills!C7=3,120+Inputs!$B$27+Inputs!$B$29,MAX(0,(Inputs!$B$3-100)*3)+Inputs!$B$28+Inputs!$B$29)))</f>
        <v/>
      </c>
      <c r="E1788">
        <f>INDEX(FactorTable!$B$2:$Y$301, MATCH(ROUND(MIN(300,MAX(1,D1788)),0), FactorTable!$A$2:$A$301,0), Skills!M7+1)</f>
        <v/>
      </c>
      <c r="F1788">
        <f>IF(Skills!N7=TRUE,(Skills!L7/10)*(E1788/1000),Skills!L7/10)+Skills!O7</f>
        <v/>
      </c>
      <c r="G1788">
        <f>Skills!G7*IF(Skills!H7&gt;0,Skills!I7/Skills!H7,1)</f>
        <v/>
      </c>
      <c r="H1788">
        <f>1-(1-Skills!J7/100)^Skills!K7</f>
        <v/>
      </c>
      <c r="I1788" t="inlineStr">
        <is>
          <t>1</t>
        </is>
      </c>
      <c r="J1788">
        <f>((Inputs!$B$6*(1+Inputs!$B$7/100))+(((Inputs!$B$12*(1+Inputs!$B$13/100))-(Inputs!$B$12*(1+Inputs!$B$13/100)))+0.25*(Inputs!$B$14-Inputs!$B$14))*(1+Inputs!$B$7/100))*(F1788/100)</f>
        <v/>
      </c>
      <c r="K1788">
        <f>J1788*(1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C1801=TRUE)*(F1801-Calc!F20)),(Inputs!$B$23+0+(IF(ArtifactsInput!$M$15,CHOOSE(ArtifactsInput!$N$15+1,25,30,35,40,45,50)/100*(Inputs!$B$11-Inputs!$B$11),0))))/100+(Inputs!$B$23+0+(IF(ArtifactsInput!$M$15,CHOOSE(ArtifactsInput!$N$15+1,25,30,35,40,45,50)/100*(Inputs!$B$11-Inputs!$B$11),0)))/100)/2</f>
        <v/>
      </c>
      <c r="M1788">
        <f>L1788*(1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(1-Summary!$B$11)*T1788+Summary!$B$11*V1788</f>
        <v/>
      </c>
      <c r="P1788">
        <f>IF(B1816=0,0,O1788/B1816)</f>
        <v/>
      </c>
      <c r="Q1788">
        <f>IFERROR(1/(IF(Inputs!$B$38="pvp",15,MAX(0.1,Skills!D7-IF(Skills!E7=TRUE,Inputs!$B$32,0)))*(1-IF(AND(ArtifactsInput!$M$27,Inputs!$B$4="Chapter Hunt"),CHOOSE(ArtifactsInput!$N$27+1,20,24,28,32,36,40),0)/100)),0)</f>
        <v/>
      </c>
      <c r="R1788">
        <f>IF(AND(Inputs!$B$38&lt;&gt;"pvp",Inputs!$B$43&gt;0),IF(MAX(0,Inputs!$B$43-B1813)&lt;=0,0,(INT(MAX(0,Inputs!$B$43-B1813)/(IF(Inputs!$B$38="pvp",15,MAX(0.1,Skills!D7-IF(Skills!E7=TRUE,Inputs!$B$32,0)))*(1-IF(AND(ArtifactsInput!$M$27,Inputs!$B$4="Chapter Hunt"),CHOOSE(ArtifactsInput!$N$27+1,20,24,28,32,36,40),0)/100)))+1)),0)</f>
        <v/>
      </c>
      <c r="S1788">
        <f>IFERROR(O1788/N1788,0)</f>
        <v/>
      </c>
      <c r="T1788">
        <f>IF(C1788,(H1788*N1788*IF(AND(Inputs!$B$38&lt;&gt;"pvp",Inputs!$B$43&gt;0),((Skills!G7*((R1788-1)*IF(Skills!H7&gt;0,Skills!I7/Skills!H7,1)+IF(Skills!H7&gt;0,MIN(Skills!I7,MAX(0,MAX(0,Inputs!$B$43-B1813)-((R1788-1)*(IF(Inputs!$B$38="pvp",15,MAX(0.1,Skills!D7-IF(Skills!E7=TRUE,Inputs!$B$32,0)))*(1-IF(AND(ArtifactsInput!$M$27,Inputs!$B$4="Chapter Hunt"),CHOOSE(ArtifactsInput!$N$27+1,20,24,28,32,36,40),0)/100)))))/Skills!H7,1)))/Inputs!$B$43),G1788*Q1788)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1788*(1-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8">
        <f>IF(C1788,(H1788*N1788*IF(AND(Inputs!$B$38&lt;&gt;"pvp",Inputs!$B$43&gt;0),((Skills!G7*((R1788-1)*IF(Skills!H7&gt;0,Skills!I7/Skills!H7,1)+IF(Skills!H7&gt;0,MIN(Skills!I7,MAX(0,MAX(0,Inputs!$B$43-B1813)-((R1788-1)*(IF(Inputs!$B$38="pvp",15,MAX(0.1,Skills!D7-IF(Skills!E7=TRUE,Inputs!$B$32,0)))*(1-IF(AND(ArtifactsInput!$M$27,Inputs!$B$4="Chapter Hunt"),CHOOSE(ArtifactsInput!$N$27+1,20,24,28,32,36,40),0)/100)))))/Skills!H7,1)))/Inputs!$B$43),G1788*Q1788))*IF(Inputs!$B$38="pvp",1,(1+(Inputs!$B$21+Skills!Q7+(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9">
      <c r="A1789">
        <f>Skills!A8</f>
        <v/>
      </c>
      <c r="B1789">
        <f>Skills!B8</f>
        <v/>
      </c>
      <c r="C1789">
        <f>Inputs!$B$3&gt;=110</f>
        <v/>
      </c>
      <c r="D1789">
        <f>IF(Skills!C8=1,60+Inputs!$B$25+Inputs!$B$29,IF(Skills!C8=2,90+Inputs!$B$26+Inputs!$B$29,IF(Skills!C8=3,120+Inputs!$B$27+Inputs!$B$29,MAX(0,(Inputs!$B$3-100)*3)+Inputs!$B$28+Inputs!$B$29)))</f>
        <v/>
      </c>
      <c r="E1789">
        <f>INDEX(FactorTable!$B$2:$Y$301, MATCH(ROUND(MIN(300,MAX(1,D1789)),0), FactorTable!$A$2:$A$301,0), Skills!M8+1)</f>
        <v/>
      </c>
      <c r="F1789">
        <f>IF(Skills!N8=TRUE,(Skills!L8/10)*(E1789/1000),Skills!L8/10)+Skills!O8</f>
        <v/>
      </c>
      <c r="G1789">
        <f>Skills!G8*IF(Skills!H8&gt;0,Skills!I8/Skills!H8,1)</f>
        <v/>
      </c>
      <c r="H1789">
        <f>1-(1-Skills!J8/100)^Skills!K8</f>
        <v/>
      </c>
      <c r="I1789" t="inlineStr">
        <is>
          <t>1</t>
        </is>
      </c>
      <c r="J1789">
        <f>((Inputs!$B$6*(1+Inputs!$B$7/100))+(((Inputs!$B$12*(1+Inputs!$B$13/100))-(Inputs!$B$12*(1+Inputs!$B$13/100)))+0.25*(Inputs!$B$14-Inputs!$B$14))*(1+Inputs!$B$7/100))*(F1789/100)</f>
        <v/>
      </c>
      <c r="K1789">
        <f>J1789*(1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C1801=TRUE)*(F1801-Calc!F20)),(Inputs!$B$23+0+(IF(ArtifactsInput!$M$15,CHOOSE(ArtifactsInput!$N$15+1,25,30,35,40,45,50)/100*(Inputs!$B$11-Inputs!$B$11),0))))/100+(Inputs!$B$23+0+(IF(ArtifactsInput!$M$15,CHOOSE(ArtifactsInput!$N$15+1,25,30,35,40,45,50)/100*(Inputs!$B$11-Inputs!$B$11),0)))/100)/2</f>
        <v/>
      </c>
      <c r="M1789">
        <f>L1789*(1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(1-Summary!$B$11)*T1789+Summary!$B$11*V1789</f>
        <v/>
      </c>
      <c r="P1789">
        <f>IF(B1816=0,0,O1789/B1816)</f>
        <v/>
      </c>
      <c r="Q1789">
        <f>IFERROR(1/(IF(Inputs!$B$38="pvp",15,MAX(0.1,Skills!D8-IF(Skills!E8=TRUE,Inputs!$B$32,0)))*(1-IF(AND(ArtifactsInput!$M$27,Inputs!$B$4="Chapter Hunt"),CHOOSE(ArtifactsInput!$N$27+1,20,24,28,32,36,40),0)/100)),0)</f>
        <v/>
      </c>
      <c r="R1789">
        <f>IF(AND(Inputs!$B$38&lt;&gt;"pvp",Inputs!$B$43&gt;0),IF(MAX(0,Inputs!$B$43-B1813)&lt;=0,0,(INT(MAX(0,Inputs!$B$43-B1813)/(IF(Inputs!$B$38="pvp",15,MAX(0.1,Skills!D8-IF(Skills!E8=TRUE,Inputs!$B$32,0)))*(1-IF(AND(ArtifactsInput!$M$27,Inputs!$B$4="Chapter Hunt"),CHOOSE(ArtifactsInput!$N$27+1,20,24,28,32,36,40),0)/100)))+1)),0)</f>
        <v/>
      </c>
      <c r="S1789">
        <f>IFERROR(O1789/N1789,0)</f>
        <v/>
      </c>
      <c r="T1789">
        <f>IF(C1789,(H1789*N1789*IF(AND(Inputs!$B$38&lt;&gt;"pvp",Inputs!$B$43&gt;0),((Skills!G8*((R1789-1)*IF(Skills!H8&gt;0,Skills!I8/Skills!H8,1)+IF(Skills!H8&gt;0,MIN(Skills!I8,MAX(0,MAX(0,Inputs!$B$43-B1813)-((R1789-1)*(IF(Inputs!$B$38="pvp",15,MAX(0.1,Skills!D8-IF(Skills!E8=TRUE,Inputs!$B$32,0)))*(1-IF(AND(ArtifactsInput!$M$27,Inputs!$B$4="Chapter Hunt"),CHOOSE(ArtifactsInput!$N$27+1,20,24,28,32,36,40),0)/100)))))/Skills!H8,1)))/Inputs!$B$43),G1789*Q1789)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1789*(1-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9">
        <f>IF(C1789,(H1789*N1789*IF(AND(Inputs!$B$38&lt;&gt;"pvp",Inputs!$B$43&gt;0),((Skills!G8*((R1789-1)*IF(Skills!H8&gt;0,Skills!I8/Skills!H8,1)+IF(Skills!H8&gt;0,MIN(Skills!I8,MAX(0,MAX(0,Inputs!$B$43-B1813)-((R1789-1)*(IF(Inputs!$B$38="pvp",15,MAX(0.1,Skills!D8-IF(Skills!E8=TRUE,Inputs!$B$32,0)))*(1-IF(AND(ArtifactsInput!$M$27,Inputs!$B$4="Chapter Hunt"),CHOOSE(ArtifactsInput!$N$27+1,20,24,28,32,36,40),0)/100)))))/Skills!H8,1)))/Inputs!$B$43),G1789*Q1789))*IF(Inputs!$B$38="pvp",1,(1+(Inputs!$B$21+Skills!Q8+(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0">
      <c r="A1790">
        <f>Skills!A9</f>
        <v/>
      </c>
      <c r="B1790">
        <f>Skills!B9</f>
        <v/>
      </c>
      <c r="C1790">
        <f>Inputs!$B$3&gt;=110</f>
        <v/>
      </c>
      <c r="D1790">
        <f>IF(Skills!C9=1,60+Inputs!$B$25+Inputs!$B$29,IF(Skills!C9=2,90+Inputs!$B$26+Inputs!$B$29,IF(Skills!C9=3,120+Inputs!$B$27+Inputs!$B$29,MAX(0,(Inputs!$B$3-100)*3)+Inputs!$B$28+Inputs!$B$29)))</f>
        <v/>
      </c>
      <c r="E1790">
        <f>INDEX(FactorTable!$B$2:$Y$301, MATCH(ROUND(MIN(300,MAX(1,D1790)),0), FactorTable!$A$2:$A$301,0), Skills!M9+1)</f>
        <v/>
      </c>
      <c r="F1790">
        <f>IF(Skills!N9=TRUE,(Skills!L9/10)*(E1790/1000),Skills!L9/10)+Skills!O9</f>
        <v/>
      </c>
      <c r="G1790">
        <f>Skills!G9*IF(Skills!H9&gt;0,Skills!I9/Skills!H9,1)</f>
        <v/>
      </c>
      <c r="H1790">
        <f>1-(1-Skills!J9/100)^Skills!K9</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1801=TRUE)*(F1801-Calc!F20)),(Inputs!$B$23+0+(IF(ArtifactsInput!$M$15,CHOOSE(ArtifactsInput!$N$15+1,25,30,35,40,45,50)/100*(Inputs!$B$11-Inputs!$B$11),0))))/100+(Inputs!$B$23+0+(IF(ArtifactsInput!$M$15,CHOOSE(ArtifactsInput!$N$15+1,25,30,35,40,45,50)/100*(Inputs!$B$11-Inputs!$B$11),0)))/100)/2</f>
        <v/>
      </c>
      <c r="M1790">
        <f>L1790*(1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IF(B1816=0,0,O1790/B1816)</f>
        <v/>
      </c>
      <c r="Q1790">
        <f>IFERROR(1/(IF(Inputs!$B$38="pvp",15,MAX(0.1,Skills!D9-IF(Skills!E9=TRUE,Inputs!$B$32,0)))*(1-IF(AND(ArtifactsInput!$M$27,Inputs!$B$4="Chapter Hunt"),CHOOSE(ArtifactsInput!$N$27+1,20,24,28,32,36,40),0)/100)),0)</f>
        <v/>
      </c>
      <c r="R1790">
        <f>IF(AND(Inputs!$B$38&lt;&gt;"pvp",Inputs!$B$43&gt;0),IF(MAX(0,Inputs!$B$43-B1813)&lt;=0,0,(INT(MAX(0,Inputs!$B$43-B1813)/(IF(Inputs!$B$38="pvp",15,MAX(0.1,Skills!D9-IF(Skills!E9=TRUE,Inputs!$B$32,0)))*(1-IF(AND(ArtifactsInput!$M$27,Inputs!$B$4="Chapter Hunt"),CHOOSE(ArtifactsInput!$N$27+1,20,24,28,32,36,40),0)/100)))+1)),0)</f>
        <v/>
      </c>
      <c r="S1790">
        <f>IFERROR(O1790/N1790,0)</f>
        <v/>
      </c>
      <c r="T1790">
        <f>IF(C1790,(H1790*N1790*IF(AND(Inputs!$B$38&lt;&gt;"pvp",Inputs!$B$43&gt;0),((Skills!G9*((R1790-1)*IF(Skills!H9&gt;0,Skills!I9/Skills!H9,1)+IF(Skills!H9&gt;0,MIN(Skills!I9,MAX(0,MAX(0,Inputs!$B$43-B1813)-((R1790-1)*(IF(Inputs!$B$38="pvp",15,MAX(0.1,Skills!D9-IF(Skills!E9=TRUE,Inputs!$B$32,0)))*(1-IF(AND(ArtifactsInput!$M$27,Inputs!$B$4="Chapter Hunt"),CHOOSE(ArtifactsInput!$N$27+1,20,24,28,32,36,40),0)/100)))))/Skills!H9,1)))/Inputs!$B$43),G1790*Q1790)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0">
        <f>IF(C1790,(H1790*N1790*IF(AND(Inputs!$B$38&lt;&gt;"pvp",Inputs!$B$43&gt;0),((Skills!G9*((R1790-1)*IF(Skills!H9&gt;0,Skills!I9/Skills!H9,1)+IF(Skills!H9&gt;0,MIN(Skills!I9,MAX(0,MAX(0,Inputs!$B$43-B1813)-((R1790-1)*(IF(Inputs!$B$38="pvp",15,MAX(0.1,Skills!D9-IF(Skills!E9=TRUE,Inputs!$B$32,0)))*(1-IF(AND(ArtifactsInput!$M$27,Inputs!$B$4="Chapter Hunt"),CHOOSE(ArtifactsInput!$N$27+1,20,24,28,32,36,40),0)/100)))))/Skills!H9,1)))/Inputs!$B$43),G1790*Q1790))*IF(Inputs!$B$38="pvp",1,(1+(Inputs!$B$21+Skills!Q9+(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Skills!A10</f>
        <v/>
      </c>
      <c r="B1791">
        <f>Skills!B10</f>
        <v/>
      </c>
      <c r="C1791">
        <f>Inputs!$B$3&gt;=103</f>
        <v/>
      </c>
      <c r="D1791">
        <f>IF(Skills!C10=1,60+Inputs!$B$25+Inputs!$B$29,IF(Skills!C10=2,90+Inputs!$B$26+Inputs!$B$29,IF(Skills!C10=3,120+Inputs!$B$27+Inputs!$B$29,MAX(0,(Inputs!$B$3-100)*3)+Inputs!$B$28+Inputs!$B$29)))</f>
        <v/>
      </c>
      <c r="E1791">
        <f>INDEX(FactorTable!$B$2:$Y$301, MATCH(ROUND(MIN(300,MAX(1,D1791)),0), FactorTable!$A$2:$A$301,0), Skills!M10+1)</f>
        <v/>
      </c>
      <c r="F1791">
        <f>IF(Skills!N10=TRUE,(Skills!L10/10)*(E1791/1000),Skills!L10/10)+Skills!O10</f>
        <v/>
      </c>
      <c r="G1791">
        <f>Skills!G10*IF(Skills!H10&gt;0,Skills!I10/Skills!H10,1)</f>
        <v/>
      </c>
      <c r="H1791">
        <f>1-(1-Skills!J10/100)^Skills!K10</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1801=TRUE)*(F1801-Calc!F20)),(Inputs!$B$23+0+(IF(ArtifactsInput!$M$15,CHOOSE(ArtifactsInput!$N$15+1,25,30,35,40,45,50)/100*(Inputs!$B$11-Inputs!$B$11),0))))/100+(Inputs!$B$23+0+(IF(ArtifactsInput!$M$15,CHOOSE(ArtifactsInput!$N$15+1,25,30,35,40,45,50)/100*(Inputs!$B$11-Inputs!$B$11),0)))/100)/2</f>
        <v/>
      </c>
      <c r="M1791">
        <f>L1791*(1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IF(B1816=0,0,O1791/B1816)</f>
        <v/>
      </c>
      <c r="Q1791">
        <f>IFERROR(1/(IF(Inputs!$B$38="pvp",15,MAX(0.1,Skills!D10-IF(Skills!E10=TRUE,Inputs!$B$32,0)))*(1-IF(AND(ArtifactsInput!$M$27,Inputs!$B$4="Chapter Hunt"),CHOOSE(ArtifactsInput!$N$27+1,20,24,28,32,36,40),0)/100)),0)</f>
        <v/>
      </c>
      <c r="R1791">
        <f>IF(AND(Inputs!$B$38&lt;&gt;"pvp",Inputs!$B$43&gt;0),IF(MAX(0,Inputs!$B$43-B1813)&lt;=0,0,(INT(MAX(0,Inputs!$B$43-B1813)/(IF(Inputs!$B$38="pvp",15,MAX(0.1,Skills!D10-IF(Skills!E10=TRUE,Inputs!$B$32,0)))*(1-IF(AND(ArtifactsInput!$M$27,Inputs!$B$4="Chapter Hunt"),CHOOSE(ArtifactsInput!$N$27+1,20,24,28,32,36,40),0)/100)))+1)),0)</f>
        <v/>
      </c>
      <c r="S1791">
        <f>IFERROR(O1791/N1791,0)</f>
        <v/>
      </c>
      <c r="T1791">
        <f>IF(C1791,(H1791*N1791*IF(AND(Inputs!$B$38&lt;&gt;"pvp",Inputs!$B$43&gt;0),((Skills!G10*((R1791-1)*IF(Skills!H10&gt;0,Skills!I10/Skills!H10,1)+IF(Skills!H10&gt;0,MIN(Skills!I10,MAX(0,MAX(0,Inputs!$B$43-B1813)-((R1791-1)*(IF(Inputs!$B$38="pvp",15,MAX(0.1,Skills!D10-IF(Skills!E10=TRUE,Inputs!$B$32,0)))*(1-IF(AND(ArtifactsInput!$M$27,Inputs!$B$4="Chapter Hunt"),CHOOSE(ArtifactsInput!$N$27+1,20,24,28,32,36,40),0)/100)))))/Skills!H10,1)))/Inputs!$B$43),G1791*Q1791)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1">
        <f>IF(C1791,(H1791*N1791*IF(AND(Inputs!$B$38&lt;&gt;"pvp",Inputs!$B$43&gt;0),((Skills!G10*((R1791-1)*IF(Skills!H10&gt;0,Skills!I10/Skills!H10,1)+IF(Skills!H10&gt;0,MIN(Skills!I10,MAX(0,MAX(0,Inputs!$B$43-B1813)-((R1791-1)*(IF(Inputs!$B$38="pvp",15,MAX(0.1,Skills!D10-IF(Skills!E10=TRUE,Inputs!$B$32,0)))*(1-IF(AND(ArtifactsInput!$M$27,Inputs!$B$4="Chapter Hunt"),CHOOSE(ArtifactsInput!$N$27+1,20,24,28,32,36,40),0)/100)))))/Skills!H10,1)))/Inputs!$B$43),G1791*Q1791))*IF(Inputs!$B$38="pvp",1,(1+(Inputs!$B$21+Skills!Q10+(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Skills!A11</f>
        <v/>
      </c>
      <c r="B1792">
        <f>Skills!B11</f>
        <v/>
      </c>
      <c r="C1792">
        <f>Inputs!$B$3&gt;=113</f>
        <v/>
      </c>
      <c r="D1792">
        <f>IF(Skills!C11=1,60+Inputs!$B$25+Inputs!$B$29,IF(Skills!C11=2,90+Inputs!$B$26+Inputs!$B$29,IF(Skills!C11=3,120+Inputs!$B$27+Inputs!$B$29,MAX(0,(Inputs!$B$3-100)*3)+Inputs!$B$28+Inputs!$B$29)))</f>
        <v/>
      </c>
      <c r="E1792">
        <f>INDEX(FactorTable!$B$2:$Y$301, MATCH(ROUND(MIN(300,MAX(1,D1792)),0), FactorTable!$A$2:$A$301,0), Skills!M11+1)</f>
        <v/>
      </c>
      <c r="F1792">
        <f>IF(Skills!N11=TRUE,(Skills!L11/10)*(E1792/1000),Skills!L11/10)+Skills!O11</f>
        <v/>
      </c>
      <c r="G1792">
        <f>Skills!G11*IF(Skills!H11&gt;0,Skills!I11/Skills!H11,1)</f>
        <v/>
      </c>
      <c r="H1792">
        <f>1-(1-Skills!J11/100)^Skills!K11</f>
        <v/>
      </c>
      <c r="I1792" t="inlineStr">
        <is>
          <t>1</t>
        </is>
      </c>
      <c r="J1792">
        <f>((Inputs!$B$6*(1+Inputs!$B$7/100))+(((Inputs!$B$12*(1+Inputs!$B$13/100))-(Inputs!$B$12*(1+Inputs!$B$13/100)))+0.25*(Inputs!$B$14-Inputs!$B$14))*(1+Inputs!$B$7/100))*(F1792/100)</f>
        <v/>
      </c>
      <c r="K1792">
        <f>J1792*(1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C1801=TRUE)*(F1801-Calc!F20)),(Inputs!$B$23+0+(IF(ArtifactsInput!$M$15,CHOOSE(ArtifactsInput!$N$15+1,25,30,35,40,45,50)/100*(Inputs!$B$11-Inputs!$B$11),0))))/100+(Inputs!$B$23+0+(IF(ArtifactsInput!$M$15,CHOOSE(ArtifactsInput!$N$15+1,25,30,35,40,45,50)/100*(Inputs!$B$11-Inputs!$B$11),0)))/100)/2</f>
        <v/>
      </c>
      <c r="M1792">
        <f>L1792*(1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(1-Summary!$B$11)*T1792+Summary!$B$11*V1792</f>
        <v/>
      </c>
      <c r="P1792">
        <f>IF(B1816=0,0,O1792/B1816)</f>
        <v/>
      </c>
      <c r="Q1792">
        <f>IFERROR(1/(IF(Inputs!$B$38="pvp",15,MAX(0.1,Skills!D11-IF(Skills!E11=TRUE,Inputs!$B$32,0)))*(1-IF(AND(ArtifactsInput!$M$27,Inputs!$B$4="Chapter Hunt"),CHOOSE(ArtifactsInput!$N$27+1,20,24,28,32,36,40),0)/100)),0)</f>
        <v/>
      </c>
      <c r="R1792">
        <f>IF(AND(Inputs!$B$38&lt;&gt;"pvp",Inputs!$B$43&gt;0),IF(MAX(0,Inputs!$B$43-B1813)&lt;=0,0,(INT(MAX(0,Inputs!$B$43-B1813)/(IF(Inputs!$B$38="pvp",15,MAX(0.1,Skills!D11-IF(Skills!E11=TRUE,Inputs!$B$32,0)))*(1-IF(AND(ArtifactsInput!$M$27,Inputs!$B$4="Chapter Hunt"),CHOOSE(ArtifactsInput!$N$27+1,20,24,28,32,36,40),0)/100)))+1)),0)</f>
        <v/>
      </c>
      <c r="S1792">
        <f>IFERROR(O1792/N1792,0)</f>
        <v/>
      </c>
      <c r="T1792">
        <f>IF(C1792,(H1792*N1792*IF(AND(Inputs!$B$38&lt;&gt;"pvp",Inputs!$B$43&gt;0),((Skills!G11*((R1792-1)*IF(Skills!H11&gt;0,Skills!I11/Skills!H11,1)+IF(Skills!H11&gt;0,MIN(Skills!I11,MAX(0,MAX(0,Inputs!$B$43-B1813)-((R1792-1)*(IF(Inputs!$B$38="pvp",15,MAX(0.1,Skills!D11-IF(Skills!E11=TRUE,Inputs!$B$32,0)))*(1-IF(AND(ArtifactsInput!$M$27,Inputs!$B$4="Chapter Hunt"),CHOOSE(ArtifactsInput!$N$27+1,20,24,28,32,36,40),0)/100)))))/Skills!H11,1)))/Inputs!$B$43),G1792*Q1792)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1792*(1-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2">
        <f>IF(C1792,(H1792*N1792*IF(AND(Inputs!$B$38&lt;&gt;"pvp",Inputs!$B$43&gt;0),((Skills!G11*((R1792-1)*IF(Skills!H11&gt;0,Skills!I11/Skills!H11,1)+IF(Skills!H11&gt;0,MIN(Skills!I11,MAX(0,MAX(0,Inputs!$B$43-B1813)-((R1792-1)*(IF(Inputs!$B$38="pvp",15,MAX(0.1,Skills!D11-IF(Skills!E11=TRUE,Inputs!$B$32,0)))*(1-IF(AND(ArtifactsInput!$M$27,Inputs!$B$4="Chapter Hunt"),CHOOSE(ArtifactsInput!$N$27+1,20,24,28,32,36,40),0)/100)))))/Skills!H11,1)))/Inputs!$B$43),G1792*Q1792))*IF(Inputs!$B$38="pvp",1,(1+(Inputs!$B$21+Skills!Q11+(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Skills!A12</f>
        <v/>
      </c>
      <c r="B1793">
        <f>Skills!B12</f>
        <v/>
      </c>
      <c r="C1793">
        <f>Inputs!$B$3&gt;=100</f>
        <v/>
      </c>
      <c r="D1793">
        <f>IF(Skills!C12=1,60+Inputs!$B$25+Inputs!$B$29,IF(Skills!C12=2,90+Inputs!$B$26+Inputs!$B$29,IF(Skills!C12=3,120+Inputs!$B$27+Inputs!$B$29,MAX(0,(Inputs!$B$3-100)*3)+Inputs!$B$28+Inputs!$B$29)))</f>
        <v/>
      </c>
      <c r="E1793">
        <f>INDEX(FactorTable!$B$2:$Y$301, MATCH(ROUND(MIN(300,MAX(1,D1793)),0), FactorTable!$A$2:$A$301,0), Skills!M12+1)</f>
        <v/>
      </c>
      <c r="F1793">
        <f>IF(Skills!N12=TRUE,(Skills!L12/10)*(E1793/1000),Skills!L12/10)+Skills!O12</f>
        <v/>
      </c>
      <c r="G1793" t="inlineStr"/>
      <c r="H1793" t="inlineStr"/>
      <c r="I1793" t="inlineStr">
        <is>
          <t>1</t>
        </is>
      </c>
      <c r="J1793" t="inlineStr"/>
      <c r="K1793" t="inlineStr"/>
      <c r="L1793" t="inlineStr"/>
      <c r="M1793" t="inlineStr"/>
      <c r="N1793" t="inlineStr"/>
      <c r="O1793" t="inlineStr"/>
      <c r="P1793" t="inlineStr"/>
      <c r="Q1793" t="inlineStr"/>
      <c r="R1793" t="inlineStr"/>
      <c r="S1793" t="inlineStr"/>
      <c r="T1793" t="inlineStr"/>
      <c r="V1793" t="inlineStr"/>
    </row>
    <row r="1794">
      <c r="A1794">
        <f>Skills!A13</f>
        <v/>
      </c>
      <c r="B1794">
        <f>Skills!B13</f>
        <v/>
      </c>
      <c r="C1794">
        <f>Inputs!$B$3&gt;=66</f>
        <v/>
      </c>
      <c r="D1794">
        <f>IF(Skills!C13=1,60+Inputs!$B$25+Inputs!$B$29,IF(Skills!C13=2,90+Inputs!$B$26+Inputs!$B$29,IF(Skills!C13=3,120+Inputs!$B$27+Inputs!$B$29,MAX(0,(Inputs!$B$3-100)*3)+Inputs!$B$28+Inputs!$B$29)))</f>
        <v/>
      </c>
      <c r="E1794">
        <f>INDEX(FactorTable!$B$2:$Y$301, MATCH(ROUND(MIN(300,MAX(1,D1794)),0), FactorTable!$A$2:$A$301,0), Skills!M13+1)</f>
        <v/>
      </c>
      <c r="F1794">
        <f>IF(Skills!N13=TRUE,(Skills!L13/10)*(E1794/1000),Skills!L13/10)+Skills!O13</f>
        <v/>
      </c>
      <c r="G1794">
        <f>Skills!G13*IF(Skills!H13&gt;0,Skills!I13/Skills!H13,1)</f>
        <v/>
      </c>
      <c r="H1794">
        <f>1-(1-Skills!J13/100)^Skills!K13</f>
        <v/>
      </c>
      <c r="I1794" t="inlineStr">
        <is>
          <t>1</t>
        </is>
      </c>
      <c r="J1794" t="inlineStr"/>
      <c r="K1794" t="inlineStr"/>
      <c r="L1794" t="inlineStr"/>
      <c r="M1794" t="inlineStr"/>
      <c r="N1794" t="inlineStr"/>
      <c r="O1794">
        <f>(1-Summary!$B$11)*T1794+Summary!$B$11*V1794</f>
        <v/>
      </c>
      <c r="P1794">
        <f>IF(B1816=0,0,O1794/B1816)</f>
        <v/>
      </c>
      <c r="Q1794" t="n">
        <v>0</v>
      </c>
      <c r="R1794" t="n">
        <v>0</v>
      </c>
      <c r="S1794">
        <f>IFERROR(O1794/N1794,0)</f>
        <v/>
      </c>
      <c r="T1794" t="n">
        <v>0</v>
      </c>
      <c r="V1794" t="n">
        <v>0</v>
      </c>
    </row>
    <row r="1795">
      <c r="A1795">
        <f>Skills!A14</f>
        <v/>
      </c>
      <c r="B1795">
        <f>Skills!B14</f>
        <v/>
      </c>
      <c r="C1795">
        <f>Inputs!$B$3&gt;=107</f>
        <v/>
      </c>
      <c r="D1795">
        <f>IF(Skills!C14=1,60+Inputs!$B$25+Inputs!$B$29,IF(Skills!C14=2,90+Inputs!$B$26+Inputs!$B$29,IF(Skills!C14=3,120+Inputs!$B$27+Inputs!$B$29,MAX(0,(Inputs!$B$3-100)*3)+Inputs!$B$28+Inputs!$B$29)))</f>
        <v/>
      </c>
      <c r="E1795">
        <f>INDEX(FactorTable!$B$2:$Y$301, MATCH(ROUND(MIN(300,MAX(1,D1795)),0), FactorTable!$A$2:$A$301,0), Skills!M14+1)</f>
        <v/>
      </c>
      <c r="F1795">
        <f>IF(Skills!N14=TRUE,(Skills!L14/10)*(E1795/1000),Skills!L14/10)+Skills!O14</f>
        <v/>
      </c>
      <c r="G1795">
        <f>Skills!G14*IF(Skills!H14&gt;0,Skills!I14/Skills!H14,1)</f>
        <v/>
      </c>
      <c r="H1795">
        <f>1-(1-Skills!J14/100)^Skills!K14</f>
        <v/>
      </c>
      <c r="I1795" t="inlineStr">
        <is>
          <t>1</t>
        </is>
      </c>
      <c r="J1795" t="inlineStr"/>
      <c r="K1795" t="inlineStr"/>
      <c r="L1795" t="inlineStr"/>
      <c r="M1795" t="inlineStr"/>
      <c r="N1795" t="inlineStr"/>
      <c r="O1795">
        <f>(1-Summary!$B$11)*T1795+Summary!$B$11*V1795</f>
        <v/>
      </c>
      <c r="P1795">
        <f>IF(B1816=0,0,O1795/B1816)</f>
        <v/>
      </c>
      <c r="Q1795" t="n">
        <v>0</v>
      </c>
      <c r="R1795" t="n">
        <v>0</v>
      </c>
      <c r="S1795">
        <f>IFERROR(O1795/N1795,0)</f>
        <v/>
      </c>
      <c r="T1795" t="n">
        <v>0</v>
      </c>
      <c r="V1795" t="n">
        <v>0</v>
      </c>
    </row>
    <row r="1796">
      <c r="A1796">
        <f>Skills!A15</f>
        <v/>
      </c>
      <c r="B1796">
        <f>Skills!B15</f>
        <v/>
      </c>
      <c r="C1796">
        <f>Inputs!$B$3&gt;=115</f>
        <v/>
      </c>
      <c r="D1796">
        <f>IF(Skills!C15=1,60+Inputs!$B$25+Inputs!$B$29,IF(Skills!C15=2,90+Inputs!$B$26+Inputs!$B$29,IF(Skills!C15=3,120+Inputs!$B$27+Inputs!$B$29,MAX(0,(Inputs!$B$3-100)*3)+Inputs!$B$28+Inputs!$B$29)))</f>
        <v/>
      </c>
      <c r="E1796">
        <f>INDEX(FactorTable!$B$2:$Y$301, MATCH(ROUND(MIN(300,MAX(1,D1796)),0), FactorTable!$A$2:$A$301,0), Skills!M15+1)</f>
        <v/>
      </c>
      <c r="F1796">
        <f>IF(Skills!N15=TRUE,(Skills!L15/10)*(E1796/1000),Skills!L15/10)+Skills!O15</f>
        <v/>
      </c>
      <c r="G1796">
        <f>Skills!G15*IF(Skills!H15&gt;0,Skills!I15/Skills!H15,1)</f>
        <v/>
      </c>
      <c r="H1796">
        <f>1-(1-Skills!J15/100)^Skills!K15</f>
        <v/>
      </c>
      <c r="I1796" t="inlineStr">
        <is>
          <t>1</t>
        </is>
      </c>
      <c r="J1796" t="inlineStr"/>
      <c r="K1796" t="inlineStr"/>
      <c r="L1796" t="inlineStr"/>
      <c r="M1796" t="inlineStr"/>
      <c r="N1796" t="inlineStr"/>
      <c r="O1796">
        <f>(1-Summary!$B$11)*T1796+Summary!$B$11*V1796</f>
        <v/>
      </c>
      <c r="P1796">
        <f>IF(B1816=0,0,O1796/B1816)</f>
        <v/>
      </c>
      <c r="Q1796" t="n">
        <v>0</v>
      </c>
      <c r="R1796" t="n">
        <v>0</v>
      </c>
      <c r="S1796">
        <f>IFERROR(O1796/N1796,0)</f>
        <v/>
      </c>
      <c r="T1796" t="n">
        <v>0</v>
      </c>
      <c r="V1796" t="n">
        <v>0</v>
      </c>
    </row>
    <row r="1797">
      <c r="A1797">
        <f>Skills!A16</f>
        <v/>
      </c>
      <c r="B1797">
        <f>Skills!B16</f>
        <v/>
      </c>
      <c r="C1797">
        <f>Inputs!$B$3&gt;=15</f>
        <v/>
      </c>
      <c r="D1797">
        <f>IF(Skills!C16=1,60+Inputs!$B$25+Inputs!$B$29,IF(Skills!C16=2,90+Inputs!$B$26+Inputs!$B$29,IF(Skills!C16=3,120+Inputs!$B$27+Inputs!$B$29,MAX(0,(Inputs!$B$3-100)*3)+Inputs!$B$28+Inputs!$B$29)))</f>
        <v/>
      </c>
      <c r="E1797">
        <f>INDEX(FactorTable!$B$2:$Y$301, MATCH(ROUND(MIN(300,MAX(1,D1797)),0), FactorTable!$A$2:$A$301,0), Skills!M16+1)</f>
        <v/>
      </c>
      <c r="F1797">
        <f>IF(Skills!N16=TRUE,(Skills!L16/10)*(E1797/1000),Skills!L16/10)+Skills!O16</f>
        <v/>
      </c>
      <c r="G1797">
        <f>Skills!G16*IF(Skills!H16&gt;0,Skills!I16/Skills!H16,1)</f>
        <v/>
      </c>
      <c r="H1797">
        <f>1-(1-Skills!J16/100)^Skills!K16</f>
        <v/>
      </c>
      <c r="I1797" t="inlineStr">
        <is>
          <t>1</t>
        </is>
      </c>
      <c r="J1797" t="inlineStr"/>
      <c r="K1797" t="inlineStr"/>
      <c r="L1797" t="inlineStr"/>
      <c r="M1797" t="inlineStr"/>
      <c r="N1797" t="inlineStr"/>
      <c r="O1797">
        <f>(1-Summary!$B$11)*T1797+Summary!$B$11*V1797</f>
        <v/>
      </c>
      <c r="P1797">
        <f>IF(B1816=0,0,O1797/B1816)</f>
        <v/>
      </c>
      <c r="Q1797" t="n">
        <v>0</v>
      </c>
      <c r="R1797" t="n">
        <v>0</v>
      </c>
      <c r="S1797">
        <f>IFERROR(O1797/N1797,0)</f>
        <v/>
      </c>
      <c r="T1797" t="n">
        <v>0</v>
      </c>
      <c r="V1797" t="n">
        <v>0</v>
      </c>
    </row>
    <row r="1798">
      <c r="A1798">
        <f>Skills!A17</f>
        <v/>
      </c>
      <c r="B1798">
        <f>Skills!B17</f>
        <v/>
      </c>
      <c r="C1798">
        <f>Inputs!$B$3&gt;=10</f>
        <v/>
      </c>
      <c r="D1798">
        <f>IF(Skills!C17=1,60+Inputs!$B$25+Inputs!$B$29,IF(Skills!C17=2,90+Inputs!$B$26+Inputs!$B$29,IF(Skills!C17=3,120+Inputs!$B$27+Inputs!$B$29,MAX(0,(Inputs!$B$3-100)*3)+Inputs!$B$28+Inputs!$B$29)))</f>
        <v/>
      </c>
      <c r="E1798">
        <f>INDEX(FactorTable!$B$2:$Y$301, MATCH(ROUND(MIN(300,MAX(1,D1798)),0), FactorTable!$A$2:$A$301,0), Skills!M17+1)</f>
        <v/>
      </c>
      <c r="F1798">
        <f>IF(Skills!N17=TRUE,(Skills!L17/10)*(E1798/1000),Skills!L17/10)+Skills!O17</f>
        <v/>
      </c>
      <c r="G1798">
        <f>Skills!G17*IF(Skills!H17&gt;0,Skills!I17/Skills!H17,1)</f>
        <v/>
      </c>
      <c r="H1798">
        <f>1-(1-Skills!J17/100)^Skills!K17</f>
        <v/>
      </c>
      <c r="I1798" t="inlineStr">
        <is>
          <t>1</t>
        </is>
      </c>
      <c r="J1798" t="inlineStr"/>
      <c r="K1798" t="inlineStr"/>
      <c r="L1798" t="inlineStr"/>
      <c r="M1798" t="inlineStr"/>
      <c r="N1798" t="inlineStr"/>
      <c r="O1798">
        <f>(1-Summary!$B$11)*T1798+Summary!$B$11*V1798</f>
        <v/>
      </c>
      <c r="P1798">
        <f>IF(B1816=0,0,O1798/B1816)</f>
        <v/>
      </c>
      <c r="Q1798" t="n">
        <v>0</v>
      </c>
      <c r="R1798" t="n">
        <v>0</v>
      </c>
      <c r="S1798">
        <f>IFERROR(O1798/N1798,0)</f>
        <v/>
      </c>
      <c r="T1798" t="n">
        <v>0</v>
      </c>
      <c r="V1798" t="n">
        <v>0</v>
      </c>
    </row>
    <row r="1799">
      <c r="A1799">
        <f>Skills!A18</f>
        <v/>
      </c>
      <c r="B1799">
        <f>Skills!B18</f>
        <v/>
      </c>
      <c r="C1799">
        <f>Inputs!$B$3&gt;=33</f>
        <v/>
      </c>
      <c r="D1799">
        <f>IF(Skills!C18=1,60+Inputs!$B$25+Inputs!$B$29,IF(Skills!C18=2,90+Inputs!$B$26+Inputs!$B$29,IF(Skills!C18=3,120+Inputs!$B$27+Inputs!$B$29,MAX(0,(Inputs!$B$3-100)*3)+Inputs!$B$28+Inputs!$B$29)))</f>
        <v/>
      </c>
      <c r="E1799">
        <f>INDEX(FactorTable!$B$2:$Y$301, MATCH(ROUND(MIN(300,MAX(1,D1799)),0), FactorTable!$A$2:$A$301,0), Skills!M18+1)</f>
        <v/>
      </c>
      <c r="F1799">
        <f>IF(Skills!N18=TRUE,(Skills!L18/10)*(E1799/1000),Skills!L18/10)+Skills!O18</f>
        <v/>
      </c>
      <c r="G1799">
        <f>Skills!G18*IF(Skills!H18&gt;0,Skills!I18/Skills!H18,1)</f>
        <v/>
      </c>
      <c r="H1799">
        <f>1-(1-Skills!J18/100)^Skills!K18</f>
        <v/>
      </c>
      <c r="I1799" t="inlineStr">
        <is>
          <t>1</t>
        </is>
      </c>
      <c r="J1799" t="inlineStr"/>
      <c r="K1799" t="inlineStr"/>
      <c r="L1799" t="inlineStr"/>
      <c r="M1799" t="inlineStr"/>
      <c r="N1799" t="inlineStr"/>
      <c r="O1799">
        <f>(1-Summary!$B$11)*T1799+Summary!$B$11*V1799</f>
        <v/>
      </c>
      <c r="P1799">
        <f>IF(B1816=0,0,O1799/B1816)</f>
        <v/>
      </c>
      <c r="Q1799" t="n">
        <v>0</v>
      </c>
      <c r="R1799" t="n">
        <v>0</v>
      </c>
      <c r="S1799">
        <f>IFERROR(O1799/N1799,0)</f>
        <v/>
      </c>
      <c r="T1799" t="n">
        <v>0</v>
      </c>
      <c r="V1799" t="n">
        <v>0</v>
      </c>
    </row>
    <row r="1800">
      <c r="A1800">
        <f>Skills!A19</f>
        <v/>
      </c>
      <c r="B1800">
        <f>Skills!B19</f>
        <v/>
      </c>
      <c r="C1800">
        <f>Inputs!$B$3&gt;=40</f>
        <v/>
      </c>
      <c r="D1800">
        <f>IF(Skills!C19=1,60+Inputs!$B$25+Inputs!$B$29,IF(Skills!C19=2,90+Inputs!$B$26+Inputs!$B$29,IF(Skills!C19=3,120+Inputs!$B$27+Inputs!$B$29,MAX(0,(Inputs!$B$3-100)*3)+Inputs!$B$28+Inputs!$B$29)))</f>
        <v/>
      </c>
      <c r="E1800">
        <f>INDEX(FactorTable!$B$2:$Y$301, MATCH(ROUND(MIN(300,MAX(1,D1800)),0), FactorTable!$A$2:$A$301,0), Skills!M19+1)</f>
        <v/>
      </c>
      <c r="F1800">
        <f>IF(Skills!N19=TRUE,(Skills!L19/10)*(E1800/1000),Skills!L19/10)+Skills!O19</f>
        <v/>
      </c>
      <c r="G1800">
        <f>Skills!G19*IF(Skills!H19&gt;0,Skills!I19/Skills!H19,1)</f>
        <v/>
      </c>
      <c r="H1800">
        <f>1-(1-Skills!J19/100)^Skills!K19</f>
        <v/>
      </c>
      <c r="I1800" t="inlineStr">
        <is>
          <t>1</t>
        </is>
      </c>
      <c r="J1800" t="inlineStr"/>
      <c r="K1800" t="inlineStr"/>
      <c r="L1800" t="inlineStr"/>
      <c r="M1800" t="inlineStr"/>
      <c r="N1800" t="inlineStr"/>
      <c r="O1800">
        <f>(1-Summary!$B$11)*T1800+Summary!$B$11*V1800</f>
        <v/>
      </c>
      <c r="P1800">
        <f>IF(B1816=0,0,O1800/B1816)</f>
        <v/>
      </c>
      <c r="Q1800" t="n">
        <v>0</v>
      </c>
      <c r="R1800" t="n">
        <v>0</v>
      </c>
      <c r="S1800">
        <f>IFERROR(O1800/N1800,0)</f>
        <v/>
      </c>
      <c r="T1800" t="n">
        <v>0</v>
      </c>
      <c r="V1800" t="n">
        <v>0</v>
      </c>
    </row>
    <row r="1801">
      <c r="A1801">
        <f>Skills!A20</f>
        <v/>
      </c>
      <c r="B1801">
        <f>Skills!B20</f>
        <v/>
      </c>
      <c r="C1801">
        <f>Inputs!$B$3&gt;=43</f>
        <v/>
      </c>
      <c r="D1801">
        <f>IF(Skills!C20=1,60+Inputs!$B$25+Inputs!$B$29,IF(Skills!C20=2,90+Inputs!$B$26+Inputs!$B$29,IF(Skills!C20=3,120+Inputs!$B$27+Inputs!$B$29,MAX(0,(Inputs!$B$3-100)*3)+Inputs!$B$28+Inputs!$B$29)))</f>
        <v/>
      </c>
      <c r="E1801">
        <f>INDEX(FactorTable!$B$2:$Y$301, MATCH(ROUND(MIN(300,MAX(1,D1801)),0), FactorTable!$A$2:$A$301,0), Skills!M20+1)</f>
        <v/>
      </c>
      <c r="F1801">
        <f>IF(Skills!N20=TRUE,(Skills!L20/10)*(E1801/1000),Skills!L20/10)+Skills!O20</f>
        <v/>
      </c>
      <c r="G1801">
        <f>Skills!G20*IF(Skills!H20&gt;0,Skills!I20/Skills!H20,1)</f>
        <v/>
      </c>
      <c r="H1801">
        <f>1-(1-Skills!J20/100)^Skills!K20</f>
        <v/>
      </c>
      <c r="I1801" t="inlineStr">
        <is>
          <t>1</t>
        </is>
      </c>
      <c r="J1801" t="inlineStr"/>
      <c r="K1801" t="inlineStr"/>
      <c r="L1801" t="inlineStr"/>
      <c r="M1801" t="inlineStr"/>
      <c r="N1801" t="inlineStr"/>
      <c r="O1801">
        <f>(1-Summary!$B$11)*T1801+Summary!$B$11*V1801</f>
        <v/>
      </c>
      <c r="P1801">
        <f>IF(B1816=0,0,O1801/B1816)</f>
        <v/>
      </c>
      <c r="Q1801" t="n">
        <v>0</v>
      </c>
      <c r="R1801" t="n">
        <v>0</v>
      </c>
      <c r="S1801">
        <f>IFERROR(O1801/N1801,0)</f>
        <v/>
      </c>
      <c r="T1801" t="n">
        <v>0</v>
      </c>
      <c r="V1801" t="n">
        <v>0</v>
      </c>
    </row>
    <row r="1802">
      <c r="A1802">
        <f>Skills!A21</f>
        <v/>
      </c>
      <c r="B1802">
        <f>Skills!B21</f>
        <v/>
      </c>
      <c r="C1802">
        <f>Inputs!$B$3&gt;=38</f>
        <v/>
      </c>
      <c r="D1802">
        <f>IF(Skills!C21=1,60+Inputs!$B$25+Inputs!$B$29,IF(Skills!C21=2,90+Inputs!$B$26+Inputs!$B$29,IF(Skills!C21=3,120+Inputs!$B$27+Inputs!$B$29,MAX(0,(Inputs!$B$3-100)*3)+Inputs!$B$28+Inputs!$B$29)))</f>
        <v/>
      </c>
      <c r="E1802">
        <f>INDEX(FactorTable!$B$2:$Y$301, MATCH(ROUND(MIN(300,MAX(1,D1802)),0), FactorTable!$A$2:$A$301,0), Skills!M21+1)</f>
        <v/>
      </c>
      <c r="F1802">
        <f>IF(Skills!N21=TRUE,(Skills!L21/10)*(E1802/1000),Skills!L21/10)+Skills!O21</f>
        <v/>
      </c>
      <c r="G1802">
        <f>Skills!G21*IF(Skills!H21&gt;0,Skills!I21/Skills!H21,1)</f>
        <v/>
      </c>
      <c r="H1802">
        <f>1-(1-Skills!J21/100)^Skills!K21</f>
        <v/>
      </c>
      <c r="I1802" t="inlineStr">
        <is>
          <t>1</t>
        </is>
      </c>
      <c r="J1802" t="inlineStr"/>
      <c r="K1802" t="inlineStr"/>
      <c r="L1802" t="inlineStr"/>
      <c r="M1802" t="inlineStr"/>
      <c r="N1802" t="inlineStr"/>
      <c r="O1802">
        <f>(1-Summary!$B$11)*T1802+Summary!$B$11*V1802</f>
        <v/>
      </c>
      <c r="P1802">
        <f>IF(B1816=0,0,O1802/B1816)</f>
        <v/>
      </c>
      <c r="Q1802" t="n">
        <v>0</v>
      </c>
      <c r="R1802" t="n">
        <v>0</v>
      </c>
      <c r="S1802">
        <f>IFERROR(O1802/N1802,0)</f>
        <v/>
      </c>
      <c r="T1802" t="n">
        <v>0</v>
      </c>
      <c r="V1802" t="n">
        <v>0</v>
      </c>
    </row>
    <row r="1803">
      <c r="A1803">
        <f>Skills!A22</f>
        <v/>
      </c>
      <c r="B1803">
        <f>Skills!B22</f>
        <v/>
      </c>
      <c r="C1803">
        <f>Inputs!$B$3&gt;=75</f>
        <v/>
      </c>
      <c r="D1803">
        <f>IF(Skills!C22=1,60+Inputs!$B$25+Inputs!$B$29,IF(Skills!C22=2,90+Inputs!$B$26+Inputs!$B$29,IF(Skills!C22=3,120+Inputs!$B$27+Inputs!$B$29,MAX(0,(Inputs!$B$3-100)*3)+Inputs!$B$28+Inputs!$B$29)))</f>
        <v/>
      </c>
      <c r="E1803">
        <f>INDEX(FactorTable!$B$2:$Y$301, MATCH(ROUND(MIN(300,MAX(1,D1803)),0), FactorTable!$A$2:$A$301,0), Skills!M22+1)</f>
        <v/>
      </c>
      <c r="F1803">
        <f>IF(Skills!N22=TRUE,(Skills!L22/10)*(E1803/1000),Skills!L22/10)+Skills!O22</f>
        <v/>
      </c>
      <c r="G1803">
        <f>Skills!G22*IF(Skills!H22&gt;0,Skills!I22/Skills!H22,1)</f>
        <v/>
      </c>
      <c r="H1803">
        <f>1-(1-Skills!J22/100)^Skills!K22</f>
        <v/>
      </c>
      <c r="I1803" t="inlineStr">
        <is>
          <t>1</t>
        </is>
      </c>
      <c r="J1803" t="inlineStr"/>
      <c r="K1803" t="inlineStr"/>
      <c r="L1803" t="inlineStr"/>
      <c r="M1803" t="inlineStr"/>
      <c r="N1803" t="inlineStr"/>
      <c r="O1803">
        <f>(1-Summary!$B$11)*T1803+Summary!$B$11*V1803</f>
        <v/>
      </c>
      <c r="P1803">
        <f>IF(B1816=0,0,O1803/B1816)</f>
        <v/>
      </c>
      <c r="Q1803" t="n">
        <v>0</v>
      </c>
      <c r="R1803" t="n">
        <v>0</v>
      </c>
      <c r="S1803">
        <f>IFERROR(O1803/N1803,0)</f>
        <v/>
      </c>
      <c r="T1803" t="n">
        <v>0</v>
      </c>
      <c r="V1803" t="n">
        <v>0</v>
      </c>
    </row>
    <row r="1805">
      <c r="A1805" t="inlineStr">
        <is>
          <t>Attack% Bucket Multiplier</t>
        </is>
      </c>
      <c r="B1805">
        <f>(1+(((C1794=TRUE)*F1794)+((C1800=TRUE)*(F1800-Calc!F19))+(IF(ArtifactsInput!$M$21,CHOOSE(ArtifactsInput!$N$21+1,25,30,35,40,45,50)*(IF(OR(Inputs!$B$4="Chapter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06">
      <c r="A1806" t="inlineStr">
        <is>
          <t>Global Crit Rate Bonus %</t>
        </is>
      </c>
      <c r="B1806" t="n">
        <v>0</v>
      </c>
    </row>
    <row r="1807">
      <c r="A1807" t="inlineStr">
        <is>
          <t>Attack Speed Buff Bonus % (unused)</t>
        </is>
      </c>
      <c r="B1807" t="n">
        <v>0</v>
      </c>
    </row>
    <row r="1808">
      <c r="A1808" t="inlineStr">
        <is>
          <t>Actions Per Second</t>
        </is>
      </c>
      <c r="B1808">
        <f>1+MIN(150,150*(1-(1-(Inputs!$B$11+((C1798=TRUE)*(F1798-Calc!F17))+((C1799=TRUE)*(F1799-Calc!F18)))/150)*(1-B1807/150)))/100</f>
        <v/>
      </c>
    </row>
    <row r="1809">
      <c r="A1809" t="inlineStr">
        <is>
          <t>Skill + Buff Cast Rate</t>
        </is>
      </c>
      <c r="B1809">
        <f>IF(AND(Inputs!$B$38&lt;&gt;"pvp",Inputs!$B$43&gt;0),SUMPRODUCT((Skills!E2:E22=TRUE)*(C1783:C1803=TRUE)*R1783:R1803*Skills!F2:F22)/Inputs!$B$43,SUMPRODUCT((Skills!E2:E22=TRUE)*(C1783:C1803=TRUE)*Q1783:Q1803*Skills!F2:F22))</f>
        <v/>
      </c>
    </row>
    <row r="1810">
      <c r="A1810" t="inlineStr">
        <is>
          <t>Hook Bomber Casts Per Second</t>
        </is>
      </c>
      <c r="B1810">
        <f>MAX(0,B1808-B1809)</f>
        <v/>
      </c>
    </row>
    <row r="1811">
      <c r="A1811" t="inlineStr">
        <is>
          <t>Global Critical Damage Bonus % (unused)</t>
        </is>
      </c>
      <c r="B1811" t="n">
        <v>0</v>
      </c>
    </row>
    <row r="1812">
      <c r="A1812" t="inlineStr">
        <is>
          <t>Global Final Damage Bonus % (Serpent Scale + Crossbones + Time Leap + Speed Infusion)</t>
        </is>
      </c>
      <c r="B1812">
        <f>((C1786=TRUE)*F1786*((10+IF(Inputs!$B$3&gt;=94,5,0))/((10+IF(Inputs!$B$3&gt;=94,5,0))+5/(B1810*(1+IF(Inputs!$B$3&gt;=104,1,0))))))+((C1795=TRUE)*F1795)+((C1796=TRUE)*F1796)+((Inputs!$B$3&gt;=110)*20*(B1808-1))</f>
        <v/>
      </c>
    </row>
    <row r="1813">
      <c r="A1813" t="inlineStr">
        <is>
          <t>Buff-Casting Startup Delay (s, fixed-duration only)</t>
        </is>
      </c>
      <c r="B1813">
        <f>IF(AND(Inputs!$B$38&lt;&gt;"pvp",Inputs!$B$43&gt;0),SUMPRODUCT((Skills!T2:T22&gt;0)*(Skills!E2:E22=TRUE)*(C1783:C1803=TRUE))/B1808,0)</f>
        <v/>
      </c>
    </row>
    <row r="1814">
      <c r="A1814" t="inlineStr">
        <is>
          <t>Boss-Only Total DPS (this block's swept value)</t>
        </is>
      </c>
      <c r="B1814">
        <f>SUM(T1783:T1803)</f>
        <v/>
      </c>
    </row>
    <row r="1815">
      <c r="A1815" t="inlineStr">
        <is>
          <t>Normal-Only Total DPS (this block's swept value)</t>
        </is>
      </c>
      <c r="B1815">
        <f>SUM(V1783:V1803)</f>
        <v/>
      </c>
    </row>
    <row r="1816">
      <c r="A1816" s="6" t="inlineStr">
        <is>
          <t>TOTAL DPS</t>
        </is>
      </c>
      <c r="B1816" s="6">
        <f>SUM(O1783:O1803)</f>
        <v/>
      </c>
    </row>
    <row r="1819">
      <c r="A1819" s="6" t="inlineStr">
        <is>
          <t>Stat: Soul Contract (Equip)</t>
        </is>
      </c>
    </row>
    <row r="1820">
      <c r="A1820" s="5" t="inlineStr">
        <is>
          <t>Key</t>
        </is>
      </c>
      <c r="B1820" s="5" t="inlineStr">
        <is>
          <t>Name</t>
        </is>
      </c>
      <c r="C1820" s="5" t="inlineStr">
        <is>
          <t>Unlocked</t>
        </is>
      </c>
      <c r="D1820" s="5" t="inlineStr">
        <is>
          <t>InputLevel</t>
        </is>
      </c>
      <c r="E1820" s="5" t="inlineStr">
        <is>
          <t>Factor</t>
        </is>
      </c>
      <c r="F1820" s="5" t="inlineStr">
        <is>
          <t>CoefficientPercent</t>
        </is>
      </c>
      <c r="G1820" s="5" t="inlineStr">
        <is>
          <t>EffectiveHits</t>
        </is>
      </c>
      <c r="H1820" s="5" t="inlineStr">
        <is>
          <t>ProcProbability</t>
        </is>
      </c>
      <c r="I1820" s="5" t="inlineStr">
        <is>
          <t>MapleHeroMultiplier</t>
        </is>
      </c>
      <c r="J1820" s="5" t="inlineStr">
        <is>
          <t>BaseDamage</t>
        </is>
      </c>
      <c r="K1820" s="5" t="inlineStr">
        <is>
          <t>BaseHitDamage</t>
        </is>
      </c>
      <c r="L1820" s="5" t="inlineStr">
        <is>
          <t>NonCritAvg</t>
        </is>
      </c>
      <c r="M1820" s="5" t="inlineStr">
        <is>
          <t>CritAvg</t>
        </is>
      </c>
      <c r="N1820" s="5" t="inlineStr">
        <is>
          <t>ExpectedDamage(perHit)</t>
        </is>
      </c>
      <c r="O1820" s="5" t="inlineStr">
        <is>
          <t>DPS</t>
        </is>
      </c>
      <c r="P1820" s="5" t="inlineStr">
        <is>
          <t>% of Total</t>
        </is>
      </c>
      <c r="Q1820" s="5" t="inlineStr">
        <is>
          <t>InvCooldown</t>
        </is>
      </c>
      <c r="R1820" s="5" t="inlineStr">
        <is>
          <t>CastsInFight</t>
        </is>
      </c>
      <c r="S1820" s="5" t="inlineStr">
        <is>
          <t>HitRate(perSec)</t>
        </is>
      </c>
      <c r="U1820" t="inlineStr">
        <is>
          <t>helpers</t>
        </is>
      </c>
    </row>
    <row r="1821">
      <c r="A1821">
        <f>Skills!A2</f>
        <v/>
      </c>
      <c r="B1821">
        <f>Skills!B2</f>
        <v/>
      </c>
      <c r="C1821">
        <f>Inputs!$B$3&gt;=100</f>
        <v/>
      </c>
      <c r="D1821" t="inlineStr"/>
      <c r="E1821" t="inlineStr"/>
      <c r="F1821">
        <f>U1823+Skills!O2</f>
        <v/>
      </c>
      <c r="G1821">
        <f>Skills!G2*IF(Skills!H2&gt;0,Skills!I2/Skills!H2,1)</f>
        <v/>
      </c>
      <c r="H1821">
        <f>1-(1-Skills!J2/100)^Skills!K2</f>
        <v/>
      </c>
      <c r="I1821" t="inlineStr">
        <is>
          <t>1</t>
        </is>
      </c>
      <c r="J1821">
        <f>((Inputs!$B$6*(1+Inputs!$B$7/100))+(((Inputs!$B$12*(1+Inputs!$B$13/100))-(Inputs!$B$12*(1+Inputs!$B$13/100)))+0.25*(Inputs!$B$14-Inputs!$B$14))*(1+Inputs!$B$7/100))*(F1821/100)</f>
        <v/>
      </c>
      <c r="K1821">
        <f>J1821*(1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1821)</f>
        <v/>
      </c>
      <c r="L1821">
        <f>K1821*(MIN(Inputs!$B$22+((C1839=TRUE)*(F1839-Calc!F20)),(Inputs!$B$23+0+(IF(ArtifactsInput!$M$15,CHOOSE(ArtifactsInput!$N$15+1,25,30,35,40,45,50)/100*(Inputs!$B$11-Inputs!$B$11),0))))/100+(Inputs!$B$23+0+(IF(ArtifactsInput!$M$15,CHOOSE(ArtifactsInput!$N$15+1,25,30,35,40,45,50)/100*(Inputs!$B$11-Inputs!$B$11),0)))/100)/2</f>
        <v/>
      </c>
      <c r="M1821">
        <f>L1821*(1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1">
        <f>L1821*(1-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1">
        <f>(1-Summary!$B$11)*T1821+Summary!$B$11*V1821</f>
        <v/>
      </c>
      <c r="P1821">
        <f>IF(B1854=0,0,O1821/B1854)</f>
        <v/>
      </c>
      <c r="Q1821" t="n">
        <v>0</v>
      </c>
      <c r="R1821" t="n">
        <v>0</v>
      </c>
      <c r="S1821">
        <f>IFERROR(O1821/N1821,0)</f>
        <v/>
      </c>
      <c r="T1821">
        <f>IF(C1821,(Skills!G2*N1821*B1848)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1821*(1-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1821*(1-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1">
        <f>MAX(0,(Inputs!$B$3-100)*3)+Inputs!$B$28+Inputs!$B$29</f>
        <v/>
      </c>
      <c r="V1821">
        <f>IF(C1821,(Skills!G2*N1821*B1848)*IF(Inputs!$B$38="pvp",1,(1+(Inputs!$B$21+Skills!Q2+(IF(ArtifactsInput!$M$33,CHOOSE(ArtifactsInput!$N$33+1,30,36,42,48,54,60),0))+(IF(AND(ArtifactsInput!$M$35,Inputs!$B$4&lt;&gt;"Chapter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2">
      <c r="A1822">
        <f>Skills!A3</f>
        <v/>
      </c>
      <c r="B1822">
        <f>Skills!B3</f>
        <v/>
      </c>
      <c r="C1822">
        <f>Inputs!$B$3&gt;=35</f>
        <v/>
      </c>
      <c r="D1822">
        <f>IF(Skills!C3=1,60+Inputs!$B$25+Inputs!$B$29,IF(Skills!C3=2,90+Inputs!$B$26+Inputs!$B$29,IF(Skills!C3=3,120+Inputs!$B$27+Inputs!$B$29,MAX(0,(Inputs!$B$3-100)*3)+Inputs!$B$28+Inputs!$B$29)))</f>
        <v/>
      </c>
      <c r="E1822">
        <f>INDEX(FactorTable!$B$2:$Y$301, MATCH(ROUND(MIN(300,MAX(1,D1822)),0), FactorTable!$A$2:$A$301,0), Skills!M3+1)</f>
        <v/>
      </c>
      <c r="F1822">
        <f>IF(Skills!N3=TRUE,(Skills!L3/10)*(E1822/1000),Skills!L3/10)+Skills!O3</f>
        <v/>
      </c>
      <c r="G1822">
        <f>Skills!G3*IF(Skills!H3&gt;0,Skills!I3/Skills!H3,1)</f>
        <v/>
      </c>
      <c r="H1822">
        <f>1-(1-Skills!J3/100)^Skills!K3</f>
        <v/>
      </c>
      <c r="I1822" t="inlineStr">
        <is>
          <t>1</t>
        </is>
      </c>
      <c r="J1822">
        <f>((Inputs!$B$6*(1+Inputs!$B$7/100))+(((Inputs!$B$12*(1+Inputs!$B$13/100))-(Inputs!$B$12*(1+Inputs!$B$13/100)))+0.25*(Inputs!$B$14-Inputs!$B$14))*(1+Inputs!$B$7/100))*(F1822/100)</f>
        <v/>
      </c>
      <c r="K1822">
        <f>J1822*(1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1822)</f>
        <v/>
      </c>
      <c r="L1822">
        <f>K1822*(MIN(Inputs!$B$22+((C1839=TRUE)*(F1839-Calc!F20)),(Inputs!$B$23+0+(IF(ArtifactsInput!$M$15,CHOOSE(ArtifactsInput!$N$15+1,25,30,35,40,45,50)/100*(Inputs!$B$11-Inputs!$B$11),0))))/100+(Inputs!$B$23+0+(IF(ArtifactsInput!$M$15,CHOOSE(ArtifactsInput!$N$15+1,25,30,35,40,45,50)/100*(Inputs!$B$11-Inputs!$B$11),0)))/100)/2</f>
        <v/>
      </c>
      <c r="M1822">
        <f>L1822*(1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2">
        <f>L1822*(1-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1822*(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2">
        <f>(1-Summary!$B$11)*T1822+Summary!$B$11*V1822</f>
        <v/>
      </c>
      <c r="P1822">
        <f>IF(B1854=0,0,O1822/B1854)</f>
        <v/>
      </c>
      <c r="Q1822" t="n">
        <v>0</v>
      </c>
      <c r="R1822" t="n">
        <v>0</v>
      </c>
      <c r="S1822">
        <f>IFERROR(O1822/N1822,0)</f>
        <v/>
      </c>
      <c r="T1822">
        <f>IF(C1822,(Skills!G3*H1822*N1822*B1848)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1822*(1-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1822*(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1822*(1-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1822*(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2">
        <f>INDEX(FactorTable!$B$2:$Y$301, MATCH(ROUND(MIN(300,MAX(1,U1821)),0), FactorTable!$A$2:$A$301,0), 22)</f>
        <v/>
      </c>
      <c r="V1822">
        <f>IF(C1822,(Skills!G3*H1822*N1822*B1848)*IF(Inputs!$B$38="pvp",1,(1+(Inputs!$B$21+Skills!Q3+(IF(ArtifactsInput!$M$33,CHOOSE(ArtifactsInput!$N$33+1,30,36,42,48,54,60),0))+(IF(AND(ArtifactsInput!$M$35,Inputs!$B$4&lt;&gt;"Chapter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3">
      <c r="A1823">
        <f>Skills!A4</f>
        <v/>
      </c>
      <c r="B1823">
        <f>Skills!B4</f>
        <v/>
      </c>
      <c r="C1823">
        <f>Inputs!$B$3&gt;=60</f>
        <v/>
      </c>
      <c r="D1823">
        <f>IF(Skills!C4=1,60+Inputs!$B$25+Inputs!$B$29,IF(Skills!C4=2,90+Inputs!$B$26+Inputs!$B$29,IF(Skills!C4=3,120+Inputs!$B$27+Inputs!$B$29,MAX(0,(Inputs!$B$3-100)*3)+Inputs!$B$28+Inputs!$B$29)))</f>
        <v/>
      </c>
      <c r="E1823">
        <f>INDEX(FactorTable!$B$2:$Y$301, MATCH(ROUND(MIN(300,MAX(1,D1823)),0), FactorTable!$A$2:$A$301,0), Skills!M4+1)</f>
        <v/>
      </c>
      <c r="F1823">
        <f>IF(Skills!N4=TRUE,(Skills!L4/10)*(E1823/1000),Skills!L4/10)+Skills!O4</f>
        <v/>
      </c>
      <c r="G1823">
        <f>Skills!G4*IF(Skills!H4&gt;0,Skills!I4/Skills!H4,1)</f>
        <v/>
      </c>
      <c r="H1823">
        <f>1-(1-Skills!J4/100)^Skills!K4</f>
        <v/>
      </c>
      <c r="I1823" t="inlineStr">
        <is>
          <t>1</t>
        </is>
      </c>
      <c r="J1823">
        <f>((Inputs!$B$6*(1+Inputs!$B$7/100))+(((Inputs!$B$12*(1+Inputs!$B$13/100))-(Inputs!$B$12*(1+Inputs!$B$13/100)))+0.25*(Inputs!$B$14-Inputs!$B$14))*(1+Inputs!$B$7/100))*(F1823/100)</f>
        <v/>
      </c>
      <c r="K1823">
        <f>J1823*(1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1831=TRUE,F1831,0)/100)*(1+(IF(Skills!A4="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1823)</f>
        <v/>
      </c>
      <c r="L1823">
        <f>K1823*(MIN(Inputs!$B$22+((C1839=TRUE)*(F1839-Calc!F20)),(Inputs!$B$23+0+(IF(ArtifactsInput!$M$15,CHOOSE(ArtifactsInput!$N$15+1,25,30,35,40,45,50)/100*(Inputs!$B$11-Inputs!$B$11),0))))/100+(Inputs!$B$23+0+(IF(ArtifactsInput!$M$15,CHOOSE(ArtifactsInput!$N$15+1,25,30,35,40,45,50)/100*(Inputs!$B$11-Inputs!$B$11),0)))/100)/2</f>
        <v/>
      </c>
      <c r="M1823">
        <f>L1823*(1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3">
        <f>L1823*(1-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1823*(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3">
        <f>(1-Summary!$B$11)*T1823+Summary!$B$11*V1823</f>
        <v/>
      </c>
      <c r="P1823">
        <f>IF(B1854=0,0,O1823/B1854)</f>
        <v/>
      </c>
      <c r="Q1823" t="n">
        <v>0</v>
      </c>
      <c r="R1823" t="n">
        <v>0</v>
      </c>
      <c r="S1823">
        <f>IFERROR(O1823/N1823,0)</f>
        <v/>
      </c>
      <c r="T1823">
        <f>IF(C1823,(Skills!G4*H1823*N1823*B1848)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1823*(1-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1823*(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1823*(1-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1823*(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3">
        <f>290*U1822/1000</f>
        <v/>
      </c>
      <c r="V1823">
        <f>IF(C1823,(Skills!G4*H1823*N1823*B1848)*IF(Inputs!$B$38="pvp",1,(1+(Inputs!$B$21+Skills!Q4+(IF(ArtifactsInput!$M$33,CHOOSE(ArtifactsInput!$N$33+1,30,36,42,48,54,60),0))+(IF(AND(ArtifactsInput!$M$35,Inputs!$B$4&lt;&gt;"Chapter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4">
      <c r="A1824">
        <f>Skills!A5</f>
        <v/>
      </c>
      <c r="B1824">
        <f>Skills!B5</f>
        <v/>
      </c>
      <c r="C1824">
        <f>Inputs!$B$3&gt;=60</f>
        <v/>
      </c>
      <c r="D1824">
        <f>IF(Skills!C5=1,60+Inputs!$B$25+Inputs!$B$29,IF(Skills!C5=2,90+Inputs!$B$26+Inputs!$B$29,IF(Skills!C5=3,120+Inputs!$B$27+Inputs!$B$29,MAX(0,(Inputs!$B$3-100)*3)+Inputs!$B$28+Inputs!$B$29)))</f>
        <v/>
      </c>
      <c r="E1824">
        <f>INDEX(FactorTable!$B$2:$Y$301, MATCH(ROUND(MIN(300,MAX(1,D1824)),0), FactorTable!$A$2:$A$301,0), Skills!M5+1)</f>
        <v/>
      </c>
      <c r="F1824">
        <f>IF(Skills!N5=TRUE,(Skills!L5/10)*(E1824/1000),Skills!L5/10)+Skills!O5</f>
        <v/>
      </c>
      <c r="G1824">
        <f>Skills!G5*IF(Skills!H5&gt;0,Skills!I5/Skills!H5,1)</f>
        <v/>
      </c>
      <c r="H1824">
        <f>1-(1-Skills!J5/100)^Skills!K5</f>
        <v/>
      </c>
      <c r="I1824" t="inlineStr">
        <is>
          <t>1</t>
        </is>
      </c>
      <c r="J1824" t="inlineStr"/>
      <c r="K1824" t="inlineStr"/>
      <c r="L1824" t="inlineStr"/>
      <c r="M1824" t="inlineStr"/>
      <c r="N1824" t="inlineStr"/>
      <c r="O1824">
        <f>(1-Summary!$B$11)*T1824+Summary!$B$11*V1824</f>
        <v/>
      </c>
      <c r="P1824">
        <f>IF(B1854=0,0,O1824/B1854)</f>
        <v/>
      </c>
      <c r="Q1824" t="n">
        <v>0</v>
      </c>
      <c r="R1824" t="n">
        <v>0</v>
      </c>
      <c r="S1824">
        <f>IFERROR(O1824/N1824,0)</f>
        <v/>
      </c>
      <c r="T1824" t="n">
        <v>0</v>
      </c>
      <c r="V1824" t="n">
        <v>0</v>
      </c>
    </row>
    <row r="1825">
      <c r="A1825">
        <f>Skills!A6</f>
        <v/>
      </c>
      <c r="B1825">
        <f>Skills!B6</f>
        <v/>
      </c>
      <c r="C1825">
        <f>Inputs!$B$3&gt;=63</f>
        <v/>
      </c>
      <c r="D1825">
        <f>IF(Skills!C6=1,60+Inputs!$B$25+Inputs!$B$29,IF(Skills!C6=2,90+Inputs!$B$26+Inputs!$B$29,IF(Skills!C6=3,120+Inputs!$B$27+Inputs!$B$29,MAX(0,(Inputs!$B$3-100)*3)+Inputs!$B$28+Inputs!$B$29)))</f>
        <v/>
      </c>
      <c r="E1825">
        <f>INDEX(FactorTable!$B$2:$Y$301, MATCH(ROUND(MIN(300,MAX(1,D1825)),0), FactorTable!$A$2:$A$301,0), Skills!M6+1)</f>
        <v/>
      </c>
      <c r="F1825">
        <f>IF(Skills!N6=TRUE,(Skills!L6/10)*(E1825/1000),Skills!L6/10)+Skills!O6</f>
        <v/>
      </c>
      <c r="G1825">
        <f>Skills!G6*IF(Skills!H6&gt;0,Skills!I6/Skills!H6,1)</f>
        <v/>
      </c>
      <c r="H1825">
        <f>1-(1-Skills!J6/100)^Skills!K6</f>
        <v/>
      </c>
      <c r="I1825" t="inlineStr">
        <is>
          <t>1</t>
        </is>
      </c>
      <c r="J1825">
        <f>((Inputs!$B$6*(1+Inputs!$B$7/100))+(((Inputs!$B$12*(1+Inputs!$B$13/100))-(Inputs!$B$12*(1+Inputs!$B$13/100)))+0.25*(Inputs!$B$14-Inputs!$B$14))*(1+Inputs!$B$7/100))*(F1825/100)</f>
        <v/>
      </c>
      <c r="K1825">
        <f>J1825*(1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1825)</f>
        <v/>
      </c>
      <c r="L1825">
        <f>K1825*(MIN(Inputs!$B$22+((C1839=TRUE)*(F1839-Calc!F20)),(Inputs!$B$23+0+(IF(ArtifactsInput!$M$15,CHOOSE(ArtifactsInput!$N$15+1,25,30,35,40,45,50)/100*(Inputs!$B$11-Inputs!$B$11),0))))/100+(Inputs!$B$23+0+(IF(ArtifactsInput!$M$15,CHOOSE(ArtifactsInput!$N$15+1,25,30,35,40,45,50)/100*(Inputs!$B$11-Inputs!$B$11),0)))/100)/2</f>
        <v/>
      </c>
      <c r="M1825">
        <f>L1825*(1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5">
        <f>L1825*(1-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1825*(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5">
        <f>(1-Summary!$B$11)*T1825+Summary!$B$11*V1825</f>
        <v/>
      </c>
      <c r="P1825">
        <f>IF(B1854=0,0,O1825/B1854)</f>
        <v/>
      </c>
      <c r="Q1825">
        <f>IFERROR(1/(IF(Inputs!$B$38="pvp",15,MAX(0.1,Skills!D6-IF(Skills!E6=TRUE,Inputs!$B$32,0)))*(1-IF(AND(IF(ArtifactsInput!$M$27,FALSE,TRUE),Inputs!$B$4="Chapter Hunt"),CHOOSE(ArtifactsInput!$N$27+1,20,24,28,32,36,40),0)/100)),0)</f>
        <v/>
      </c>
      <c r="R1825">
        <f>IF(AND(Inputs!$B$38&lt;&gt;"pvp",Inputs!$B$43&gt;0),IF(MAX(0,Inputs!$B$43-B1851)&lt;=0,0,(INT(MAX(0,Inputs!$B$43-B1851)/(IF(Inputs!$B$38="pvp",15,MAX(0.1,Skills!D6-IF(Skills!E6=TRUE,Inputs!$B$32,0)))*(1-IF(AND(IF(ArtifactsInput!$M$27,FALSE,TRUE),Inputs!$B$4="Chapter Hunt"),CHOOSE(ArtifactsInput!$N$27+1,20,24,28,32,36,40),0)/100)))+1)),0)</f>
        <v/>
      </c>
      <c r="S1825">
        <f>IFERROR(O1825/N1825,0)</f>
        <v/>
      </c>
      <c r="T1825">
        <f>IF(C1825,(H1825*N1825*IF(AND(Inputs!$B$38&lt;&gt;"pvp",Inputs!$B$43&gt;0),((Skills!G6*((R1825-1)*IF(Skills!H6&gt;0,Skills!I6/Skills!H6,1)+IF(Skills!H6&gt;0,MIN(Skills!I6,MAX(0,MAX(0,Inputs!$B$43-B1851)-((R1825-1)*(IF(Inputs!$B$38="pvp",15,MAX(0.1,Skills!D6-IF(Skills!E6=TRUE,Inputs!$B$32,0)))*(1-IF(AND(IF(ArtifactsInput!$M$27,FALSE,TRUE),Inputs!$B$4="Chapter Hunt"),CHOOSE(ArtifactsInput!$N$27+1,20,24,28,32,36,40),0)/100)))))/Skills!H6,1)))/Inputs!$B$43),G1825*Q1825)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1825*(1-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1825*(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1825*(1-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1825*(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5">
        <f>IF(C1825,(H1825*N1825*IF(AND(Inputs!$B$38&lt;&gt;"pvp",Inputs!$B$43&gt;0),((Skills!G6*((R1825-1)*IF(Skills!H6&gt;0,Skills!I6/Skills!H6,1)+IF(Skills!H6&gt;0,MIN(Skills!I6,MAX(0,MAX(0,Inputs!$B$43-B1851)-((R1825-1)*(IF(Inputs!$B$38="pvp",15,MAX(0.1,Skills!D6-IF(Skills!E6=TRUE,Inputs!$B$32,0)))*(1-IF(AND(IF(ArtifactsInput!$M$27,FALSE,TRUE),Inputs!$B$4="Chapter Hunt"),CHOOSE(ArtifactsInput!$N$27+1,20,24,28,32,36,40),0)/100)))))/Skills!H6,1)))/Inputs!$B$43),G1825*Q1825))*IF(Inputs!$B$38="pvp",1,(1+(Inputs!$B$21+Skills!Q6+(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6">
      <c r="A1826">
        <f>Skills!A7</f>
        <v/>
      </c>
      <c r="B1826">
        <f>Skills!B7</f>
        <v/>
      </c>
      <c r="C1826">
        <f>Inputs!$B$3&gt;=100</f>
        <v/>
      </c>
      <c r="D1826">
        <f>IF(Skills!C7=1,60+Inputs!$B$25+Inputs!$B$29,IF(Skills!C7=2,90+Inputs!$B$26+Inputs!$B$29,IF(Skills!C7=3,120+Inputs!$B$27+Inputs!$B$29,MAX(0,(Inputs!$B$3-100)*3)+Inputs!$B$28+Inputs!$B$29)))</f>
        <v/>
      </c>
      <c r="E1826">
        <f>INDEX(FactorTable!$B$2:$Y$301, MATCH(ROUND(MIN(300,MAX(1,D1826)),0), FactorTable!$A$2:$A$301,0), Skills!M7+1)</f>
        <v/>
      </c>
      <c r="F1826">
        <f>IF(Skills!N7=TRUE,(Skills!L7/10)*(E1826/1000),Skills!L7/10)+Skills!O7</f>
        <v/>
      </c>
      <c r="G1826">
        <f>Skills!G7*IF(Skills!H7&gt;0,Skills!I7/Skills!H7,1)</f>
        <v/>
      </c>
      <c r="H1826">
        <f>1-(1-Skills!J7/100)^Skills!K7</f>
        <v/>
      </c>
      <c r="I1826" t="inlineStr">
        <is>
          <t>1</t>
        </is>
      </c>
      <c r="J1826">
        <f>((Inputs!$B$6*(1+Inputs!$B$7/100))+(((Inputs!$B$12*(1+Inputs!$B$13/100))-(Inputs!$B$12*(1+Inputs!$B$13/100)))+0.25*(Inputs!$B$14-Inputs!$B$14))*(1+Inputs!$B$7/100))*(F1826/100)</f>
        <v/>
      </c>
      <c r="K1826">
        <f>J1826*(1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1826)</f>
        <v/>
      </c>
      <c r="L1826">
        <f>K1826*(MIN(Inputs!$B$22+((C1839=TRUE)*(F1839-Calc!F20)),(Inputs!$B$23+0+(IF(ArtifactsInput!$M$15,CHOOSE(ArtifactsInput!$N$15+1,25,30,35,40,45,50)/100*(Inputs!$B$11-Inputs!$B$11),0))))/100+(Inputs!$B$23+0+(IF(ArtifactsInput!$M$15,CHOOSE(ArtifactsInput!$N$15+1,25,30,35,40,45,50)/100*(Inputs!$B$11-Inputs!$B$11),0)))/100)/2</f>
        <v/>
      </c>
      <c r="M1826">
        <f>L1826*(1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6">
        <f>L1826*(1-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1826*(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6">
        <f>(1-Summary!$B$11)*T1826+Summary!$B$11*V1826</f>
        <v/>
      </c>
      <c r="P1826">
        <f>IF(B1854=0,0,O1826/B1854)</f>
        <v/>
      </c>
      <c r="Q1826">
        <f>IFERROR(1/(IF(Inputs!$B$38="pvp",15,MAX(0.1,Skills!D7-IF(Skills!E7=TRUE,Inputs!$B$32,0)))*(1-IF(AND(IF(ArtifactsInput!$M$27,FALSE,TRUE),Inputs!$B$4="Chapter Hunt"),CHOOSE(ArtifactsInput!$N$27+1,20,24,28,32,36,40),0)/100)),0)</f>
        <v/>
      </c>
      <c r="R1826">
        <f>IF(AND(Inputs!$B$38&lt;&gt;"pvp",Inputs!$B$43&gt;0),IF(MAX(0,Inputs!$B$43-B1851)&lt;=0,0,(INT(MAX(0,Inputs!$B$43-B1851)/(IF(Inputs!$B$38="pvp",15,MAX(0.1,Skills!D7-IF(Skills!E7=TRUE,Inputs!$B$32,0)))*(1-IF(AND(IF(ArtifactsInput!$M$27,FALSE,TRUE),Inputs!$B$4="Chapter Hunt"),CHOOSE(ArtifactsInput!$N$27+1,20,24,28,32,36,40),0)/100)))+1)),0)</f>
        <v/>
      </c>
      <c r="S1826">
        <f>IFERROR(O1826/N1826,0)</f>
        <v/>
      </c>
      <c r="T1826">
        <f>IF(C1826,(H1826*N1826*IF(AND(Inputs!$B$38&lt;&gt;"pvp",Inputs!$B$43&gt;0),((Skills!G7*((R1826-1)*IF(Skills!H7&gt;0,Skills!I7/Skills!H7,1)+IF(Skills!H7&gt;0,MIN(Skills!I7,MAX(0,MAX(0,Inputs!$B$43-B1851)-((R1826-1)*(IF(Inputs!$B$38="pvp",15,MAX(0.1,Skills!D7-IF(Skills!E7=TRUE,Inputs!$B$32,0)))*(1-IF(AND(IF(ArtifactsInput!$M$27,FALSE,TRUE),Inputs!$B$4="Chapter Hunt"),CHOOSE(ArtifactsInput!$N$27+1,20,24,28,32,36,40),0)/100)))))/Skills!H7,1)))/Inputs!$B$43),G1826*Q1826)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1826*(1-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1826*(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1826*(1-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1826*(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6">
        <f>IF(C1826,(H1826*N1826*IF(AND(Inputs!$B$38&lt;&gt;"pvp",Inputs!$B$43&gt;0),((Skills!G7*((R1826-1)*IF(Skills!H7&gt;0,Skills!I7/Skills!H7,1)+IF(Skills!H7&gt;0,MIN(Skills!I7,MAX(0,MAX(0,Inputs!$B$43-B1851)-((R1826-1)*(IF(Inputs!$B$38="pvp",15,MAX(0.1,Skills!D7-IF(Skills!E7=TRUE,Inputs!$B$32,0)))*(1-IF(AND(IF(ArtifactsInput!$M$27,FALSE,TRUE),Inputs!$B$4="Chapter Hunt"),CHOOSE(ArtifactsInput!$N$27+1,20,24,28,32,36,40),0)/100)))))/Skills!H7,1)))/Inputs!$B$43),G1826*Q1826))*IF(Inputs!$B$38="pvp",1,(1+(Inputs!$B$21+Skills!Q7+(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7">
      <c r="A1827">
        <f>Skills!A8</f>
        <v/>
      </c>
      <c r="B1827">
        <f>Skills!B8</f>
        <v/>
      </c>
      <c r="C1827">
        <f>Inputs!$B$3&gt;=110</f>
        <v/>
      </c>
      <c r="D1827">
        <f>IF(Skills!C8=1,60+Inputs!$B$25+Inputs!$B$29,IF(Skills!C8=2,90+Inputs!$B$26+Inputs!$B$29,IF(Skills!C8=3,120+Inputs!$B$27+Inputs!$B$29,MAX(0,(Inputs!$B$3-100)*3)+Inputs!$B$28+Inputs!$B$29)))</f>
        <v/>
      </c>
      <c r="E1827">
        <f>INDEX(FactorTable!$B$2:$Y$301, MATCH(ROUND(MIN(300,MAX(1,D1827)),0), FactorTable!$A$2:$A$301,0), Skills!M8+1)</f>
        <v/>
      </c>
      <c r="F1827">
        <f>IF(Skills!N8=TRUE,(Skills!L8/10)*(E1827/1000),Skills!L8/10)+Skills!O8</f>
        <v/>
      </c>
      <c r="G1827">
        <f>Skills!G8*IF(Skills!H8&gt;0,Skills!I8/Skills!H8,1)</f>
        <v/>
      </c>
      <c r="H1827">
        <f>1-(1-Skills!J8/100)^Skills!K8</f>
        <v/>
      </c>
      <c r="I1827" t="inlineStr">
        <is>
          <t>1</t>
        </is>
      </c>
      <c r="J1827">
        <f>((Inputs!$B$6*(1+Inputs!$B$7/100))+(((Inputs!$B$12*(1+Inputs!$B$13/100))-(Inputs!$B$12*(1+Inputs!$B$13/100)))+0.25*(Inputs!$B$14-Inputs!$B$14))*(1+Inputs!$B$7/100))*(F1827/100)</f>
        <v/>
      </c>
      <c r="K1827">
        <f>J1827*(1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1827)</f>
        <v/>
      </c>
      <c r="L1827">
        <f>K1827*(MIN(Inputs!$B$22+((C1839=TRUE)*(F1839-Calc!F20)),(Inputs!$B$23+0+(IF(ArtifactsInput!$M$15,CHOOSE(ArtifactsInput!$N$15+1,25,30,35,40,45,50)/100*(Inputs!$B$11-Inputs!$B$11),0))))/100+(Inputs!$B$23+0+(IF(ArtifactsInput!$M$15,CHOOSE(ArtifactsInput!$N$15+1,25,30,35,40,45,50)/100*(Inputs!$B$11-Inputs!$B$11),0)))/100)/2</f>
        <v/>
      </c>
      <c r="M1827">
        <f>L1827*(1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7">
        <f>L1827*(1-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1827*(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7">
        <f>(1-Summary!$B$11)*T1827+Summary!$B$11*V1827</f>
        <v/>
      </c>
      <c r="P1827">
        <f>IF(B1854=0,0,O1827/B1854)</f>
        <v/>
      </c>
      <c r="Q1827">
        <f>IFERROR(1/(IF(Inputs!$B$38="pvp",15,MAX(0.1,Skills!D8-IF(Skills!E8=TRUE,Inputs!$B$32,0)))*(1-IF(AND(IF(ArtifactsInput!$M$27,FALSE,TRUE),Inputs!$B$4="Chapter Hunt"),CHOOSE(ArtifactsInput!$N$27+1,20,24,28,32,36,40),0)/100)),0)</f>
        <v/>
      </c>
      <c r="R1827">
        <f>IF(AND(Inputs!$B$38&lt;&gt;"pvp",Inputs!$B$43&gt;0),IF(MAX(0,Inputs!$B$43-B1851)&lt;=0,0,(INT(MAX(0,Inputs!$B$43-B1851)/(IF(Inputs!$B$38="pvp",15,MAX(0.1,Skills!D8-IF(Skills!E8=TRUE,Inputs!$B$32,0)))*(1-IF(AND(IF(ArtifactsInput!$M$27,FALSE,TRUE),Inputs!$B$4="Chapter Hunt"),CHOOSE(ArtifactsInput!$N$27+1,20,24,28,32,36,40),0)/100)))+1)),0)</f>
        <v/>
      </c>
      <c r="S1827">
        <f>IFERROR(O1827/N1827,0)</f>
        <v/>
      </c>
      <c r="T1827">
        <f>IF(C1827,(H1827*N1827*IF(AND(Inputs!$B$38&lt;&gt;"pvp",Inputs!$B$43&gt;0),((Skills!G8*((R1827-1)*IF(Skills!H8&gt;0,Skills!I8/Skills!H8,1)+IF(Skills!H8&gt;0,MIN(Skills!I8,MAX(0,MAX(0,Inputs!$B$43-B1851)-((R1827-1)*(IF(Inputs!$B$38="pvp",15,MAX(0.1,Skills!D8-IF(Skills!E8=TRUE,Inputs!$B$32,0)))*(1-IF(AND(IF(ArtifactsInput!$M$27,FALSE,TRUE),Inputs!$B$4="Chapter Hunt"),CHOOSE(ArtifactsInput!$N$27+1,20,24,28,32,36,40),0)/100)))))/Skills!H8,1)))/Inputs!$B$43),G1827*Q1827)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1827*(1-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1827*(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1827*(1-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1827*(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7">
        <f>IF(C1827,(H1827*N1827*IF(AND(Inputs!$B$38&lt;&gt;"pvp",Inputs!$B$43&gt;0),((Skills!G8*((R1827-1)*IF(Skills!H8&gt;0,Skills!I8/Skills!H8,1)+IF(Skills!H8&gt;0,MIN(Skills!I8,MAX(0,MAX(0,Inputs!$B$43-B1851)-((R1827-1)*(IF(Inputs!$B$38="pvp",15,MAX(0.1,Skills!D8-IF(Skills!E8=TRUE,Inputs!$B$32,0)))*(1-IF(AND(IF(ArtifactsInput!$M$27,FALSE,TRUE),Inputs!$B$4="Chapter Hunt"),CHOOSE(ArtifactsInput!$N$27+1,20,24,28,32,36,40),0)/100)))))/Skills!H8,1)))/Inputs!$B$43),G1827*Q1827))*IF(Inputs!$B$38="pvp",1,(1+(Inputs!$B$21+Skills!Q8+(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8">
      <c r="A1828">
        <f>Skills!A9</f>
        <v/>
      </c>
      <c r="B1828">
        <f>Skills!B9</f>
        <v/>
      </c>
      <c r="C1828">
        <f>Inputs!$B$3&gt;=110</f>
        <v/>
      </c>
      <c r="D1828">
        <f>IF(Skills!C9=1,60+Inputs!$B$25+Inputs!$B$29,IF(Skills!C9=2,90+Inputs!$B$26+Inputs!$B$29,IF(Skills!C9=3,120+Inputs!$B$27+Inputs!$B$29,MAX(0,(Inputs!$B$3-100)*3)+Inputs!$B$28+Inputs!$B$29)))</f>
        <v/>
      </c>
      <c r="E1828">
        <f>INDEX(FactorTable!$B$2:$Y$301, MATCH(ROUND(MIN(300,MAX(1,D1828)),0), FactorTable!$A$2:$A$301,0), Skills!M9+1)</f>
        <v/>
      </c>
      <c r="F1828">
        <f>IF(Skills!N9=TRUE,(Skills!L9/10)*(E1828/1000),Skills!L9/10)+Skills!O9</f>
        <v/>
      </c>
      <c r="G1828">
        <f>Skills!G9*IF(Skills!H9&gt;0,Skills!I9/Skills!H9,1)</f>
        <v/>
      </c>
      <c r="H1828">
        <f>1-(1-Skills!J9/100)^Skills!K9</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1839=TRUE)*(F1839-Calc!F20)),(Inputs!$B$23+0+(IF(ArtifactsInput!$M$15,CHOOSE(ArtifactsInput!$N$15+1,25,30,35,40,45,50)/100*(Inputs!$B$11-Inputs!$B$11),0))))/100+(Inputs!$B$23+0+(IF(ArtifactsInput!$M$15,CHOOSE(ArtifactsInput!$N$15+1,25,30,35,40,45,50)/100*(Inputs!$B$11-Inputs!$B$11),0)))/100)/2</f>
        <v/>
      </c>
      <c r="M1828">
        <f>L1828*(1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IF(B1854=0,0,O1828/B1854)</f>
        <v/>
      </c>
      <c r="Q1828">
        <f>IFERROR(1/(IF(Inputs!$B$38="pvp",15,MAX(0.1,Skills!D9-IF(Skills!E9=TRUE,Inputs!$B$32,0)))*(1-IF(AND(IF(ArtifactsInput!$M$27,FALSE,TRUE),Inputs!$B$4="Chapter Hunt"),CHOOSE(ArtifactsInput!$N$27+1,20,24,28,32,36,40),0)/100)),0)</f>
        <v/>
      </c>
      <c r="R1828">
        <f>IF(AND(Inputs!$B$38&lt;&gt;"pvp",Inputs!$B$43&gt;0),IF(MAX(0,Inputs!$B$43-B1851)&lt;=0,0,(INT(MAX(0,Inputs!$B$43-B1851)/(IF(Inputs!$B$38="pvp",15,MAX(0.1,Skills!D9-IF(Skills!E9=TRUE,Inputs!$B$32,0)))*(1-IF(AND(IF(ArtifactsInput!$M$27,FALSE,TRUE),Inputs!$B$4="Chapter Hunt"),CHOOSE(ArtifactsInput!$N$27+1,20,24,28,32,36,40),0)/100)))+1)),0)</f>
        <v/>
      </c>
      <c r="S1828">
        <f>IFERROR(O1828/N1828,0)</f>
        <v/>
      </c>
      <c r="T1828">
        <f>IF(C1828,(H1828*N1828*IF(AND(Inputs!$B$38&lt;&gt;"pvp",Inputs!$B$43&gt;0),((Skills!G9*((R1828-1)*IF(Skills!H9&gt;0,Skills!I9/Skills!H9,1)+IF(Skills!H9&gt;0,MIN(Skills!I9,MAX(0,MAX(0,Inputs!$B$43-B1851)-((R1828-1)*(IF(Inputs!$B$38="pvp",15,MAX(0.1,Skills!D9-IF(Skills!E9=TRUE,Inputs!$B$32,0)))*(1-IF(AND(IF(ArtifactsInput!$M$27,FALSE,TRUE),Inputs!$B$4="Chapter Hunt"),CHOOSE(ArtifactsInput!$N$27+1,20,24,28,32,36,40),0)/100)))))/Skills!H9,1)))/Inputs!$B$43),G1828*Q1828)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8">
        <f>IF(C1828,(H1828*N1828*IF(AND(Inputs!$B$38&lt;&gt;"pvp",Inputs!$B$43&gt;0),((Skills!G9*((R1828-1)*IF(Skills!H9&gt;0,Skills!I9/Skills!H9,1)+IF(Skills!H9&gt;0,MIN(Skills!I9,MAX(0,MAX(0,Inputs!$B$43-B1851)-((R1828-1)*(IF(Inputs!$B$38="pvp",15,MAX(0.1,Skills!D9-IF(Skills!E9=TRUE,Inputs!$B$32,0)))*(1-IF(AND(IF(ArtifactsInput!$M$27,FALSE,TRUE),Inputs!$B$4="Chapter Hunt"),CHOOSE(ArtifactsInput!$N$27+1,20,24,28,32,36,40),0)/100)))))/Skills!H9,1)))/Inputs!$B$43),G1828*Q1828))*IF(Inputs!$B$38="pvp",1,(1+(Inputs!$B$21+Skills!Q9+(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Skills!A10</f>
        <v/>
      </c>
      <c r="B1829">
        <f>Skills!B10</f>
        <v/>
      </c>
      <c r="C1829">
        <f>Inputs!$B$3&gt;=103</f>
        <v/>
      </c>
      <c r="D1829">
        <f>IF(Skills!C10=1,60+Inputs!$B$25+Inputs!$B$29,IF(Skills!C10=2,90+Inputs!$B$26+Inputs!$B$29,IF(Skills!C10=3,120+Inputs!$B$27+Inputs!$B$29,MAX(0,(Inputs!$B$3-100)*3)+Inputs!$B$28+Inputs!$B$29)))</f>
        <v/>
      </c>
      <c r="E1829">
        <f>INDEX(FactorTable!$B$2:$Y$301, MATCH(ROUND(MIN(300,MAX(1,D1829)),0), FactorTable!$A$2:$A$301,0), Skills!M10+1)</f>
        <v/>
      </c>
      <c r="F1829">
        <f>IF(Skills!N10=TRUE,(Skills!L10/10)*(E1829/1000),Skills!L10/10)+Skills!O10</f>
        <v/>
      </c>
      <c r="G1829">
        <f>Skills!G10*IF(Skills!H10&gt;0,Skills!I10/Skills!H10,1)</f>
        <v/>
      </c>
      <c r="H1829">
        <f>1-(1-Skills!J10/100)^Skills!K10</f>
        <v/>
      </c>
      <c r="I1829" t="inlineStr">
        <is>
          <t>1</t>
        </is>
      </c>
      <c r="J1829">
        <f>((Inputs!$B$6*(1+Inputs!$B$7/100))+(((Inputs!$B$12*(1+Inputs!$B$13/100))-(Inputs!$B$12*(1+Inputs!$B$13/100)))+0.25*(Inputs!$B$14-Inputs!$B$14))*(1+Inputs!$B$7/100))*(F1829/100)</f>
        <v/>
      </c>
      <c r="K1829">
        <f>J1829*(1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1829)</f>
        <v/>
      </c>
      <c r="L1829">
        <f>K1829*(MIN(Inputs!$B$22+((C1839=TRUE)*(F1839-Calc!F20)),(Inputs!$B$23+0+(IF(ArtifactsInput!$M$15,CHOOSE(ArtifactsInput!$N$15+1,25,30,35,40,45,50)/100*(Inputs!$B$11-Inputs!$B$11),0))))/100+(Inputs!$B$23+0+(IF(ArtifactsInput!$M$15,CHOOSE(ArtifactsInput!$N$15+1,25,30,35,40,45,50)/100*(Inputs!$B$11-Inputs!$B$11),0)))/100)/2</f>
        <v/>
      </c>
      <c r="M1829">
        <f>L1829*(1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9">
        <f>L1829*(1-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1829*(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9">
        <f>(1-Summary!$B$11)*T1829+Summary!$B$11*V1829</f>
        <v/>
      </c>
      <c r="P1829">
        <f>IF(B1854=0,0,O1829/B1854)</f>
        <v/>
      </c>
      <c r="Q1829">
        <f>IFERROR(1/(IF(Inputs!$B$38="pvp",15,MAX(0.1,Skills!D10-IF(Skills!E10=TRUE,Inputs!$B$32,0)))*(1-IF(AND(IF(ArtifactsInput!$M$27,FALSE,TRUE),Inputs!$B$4="Chapter Hunt"),CHOOSE(ArtifactsInput!$N$27+1,20,24,28,32,36,40),0)/100)),0)</f>
        <v/>
      </c>
      <c r="R1829">
        <f>IF(AND(Inputs!$B$38&lt;&gt;"pvp",Inputs!$B$43&gt;0),IF(MAX(0,Inputs!$B$43-B1851)&lt;=0,0,(INT(MAX(0,Inputs!$B$43-B1851)/(IF(Inputs!$B$38="pvp",15,MAX(0.1,Skills!D10-IF(Skills!E10=TRUE,Inputs!$B$32,0)))*(1-IF(AND(IF(ArtifactsInput!$M$27,FALSE,TRUE),Inputs!$B$4="Chapter Hunt"),CHOOSE(ArtifactsInput!$N$27+1,20,24,28,32,36,40),0)/100)))+1)),0)</f>
        <v/>
      </c>
      <c r="S1829">
        <f>IFERROR(O1829/N1829,0)</f>
        <v/>
      </c>
      <c r="T1829">
        <f>IF(C1829,(H1829*N1829*IF(AND(Inputs!$B$38&lt;&gt;"pvp",Inputs!$B$43&gt;0),((Skills!G10*((R1829-1)*IF(Skills!H10&gt;0,Skills!I10/Skills!H10,1)+IF(Skills!H10&gt;0,MIN(Skills!I10,MAX(0,MAX(0,Inputs!$B$43-B1851)-((R1829-1)*(IF(Inputs!$B$38="pvp",15,MAX(0.1,Skills!D10-IF(Skills!E10=TRUE,Inputs!$B$32,0)))*(1-IF(AND(IF(ArtifactsInput!$M$27,FALSE,TRUE),Inputs!$B$4="Chapter Hunt"),CHOOSE(ArtifactsInput!$N$27+1,20,24,28,32,36,40),0)/100)))))/Skills!H10,1)))/Inputs!$B$43),G1829*Q1829)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1829*(1-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1829*(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1829*(1-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1829*(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9">
        <f>IF(C1829,(H1829*N1829*IF(AND(Inputs!$B$38&lt;&gt;"pvp",Inputs!$B$43&gt;0),((Skills!G10*((R1829-1)*IF(Skills!H10&gt;0,Skills!I10/Skills!H10,1)+IF(Skills!H10&gt;0,MIN(Skills!I10,MAX(0,MAX(0,Inputs!$B$43-B1851)-((R1829-1)*(IF(Inputs!$B$38="pvp",15,MAX(0.1,Skills!D10-IF(Skills!E10=TRUE,Inputs!$B$32,0)))*(1-IF(AND(IF(ArtifactsInput!$M$27,FALSE,TRUE),Inputs!$B$4="Chapter Hunt"),CHOOSE(ArtifactsInput!$N$27+1,20,24,28,32,36,40),0)/100)))))/Skills!H10,1)))/Inputs!$B$43),G1829*Q1829))*IF(Inputs!$B$38="pvp",1,(1+(Inputs!$B$21+Skills!Q10+(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0">
      <c r="A1830">
        <f>Skills!A11</f>
        <v/>
      </c>
      <c r="B1830">
        <f>Skills!B11</f>
        <v/>
      </c>
      <c r="C1830">
        <f>Inputs!$B$3&gt;=113</f>
        <v/>
      </c>
      <c r="D1830">
        <f>IF(Skills!C11=1,60+Inputs!$B$25+Inputs!$B$29,IF(Skills!C11=2,90+Inputs!$B$26+Inputs!$B$29,IF(Skills!C11=3,120+Inputs!$B$27+Inputs!$B$29,MAX(0,(Inputs!$B$3-100)*3)+Inputs!$B$28+Inputs!$B$29)))</f>
        <v/>
      </c>
      <c r="E1830">
        <f>INDEX(FactorTable!$B$2:$Y$301, MATCH(ROUND(MIN(300,MAX(1,D1830)),0), FactorTable!$A$2:$A$301,0), Skills!M11+1)</f>
        <v/>
      </c>
      <c r="F1830">
        <f>IF(Skills!N11=TRUE,(Skills!L11/10)*(E1830/1000),Skills!L11/10)+Skills!O11</f>
        <v/>
      </c>
      <c r="G1830">
        <f>Skills!G11*IF(Skills!H11&gt;0,Skills!I11/Skills!H11,1)</f>
        <v/>
      </c>
      <c r="H1830">
        <f>1-(1-Skills!J11/100)^Skills!K11</f>
        <v/>
      </c>
      <c r="I1830" t="inlineStr">
        <is>
          <t>1</t>
        </is>
      </c>
      <c r="J1830">
        <f>((Inputs!$B$6*(1+Inputs!$B$7/100))+(((Inputs!$B$12*(1+Inputs!$B$13/100))-(Inputs!$B$12*(1+Inputs!$B$13/100)))+0.25*(Inputs!$B$14-Inputs!$B$14))*(1+Inputs!$B$7/100))*(F1830/100)</f>
        <v/>
      </c>
      <c r="K1830">
        <f>J1830*(1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1830)</f>
        <v/>
      </c>
      <c r="L1830">
        <f>K1830*(MIN(Inputs!$B$22+((C1839=TRUE)*(F1839-Calc!F20)),(Inputs!$B$23+0+(IF(ArtifactsInput!$M$15,CHOOSE(ArtifactsInput!$N$15+1,25,30,35,40,45,50)/100*(Inputs!$B$11-Inputs!$B$11),0))))/100+(Inputs!$B$23+0+(IF(ArtifactsInput!$M$15,CHOOSE(ArtifactsInput!$N$15+1,25,30,35,40,45,50)/100*(Inputs!$B$11-Inputs!$B$11),0)))/100)/2</f>
        <v/>
      </c>
      <c r="M1830">
        <f>L1830*(1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0">
        <f>L1830*(1-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1830*(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0">
        <f>(1-Summary!$B$11)*T1830+Summary!$B$11*V1830</f>
        <v/>
      </c>
      <c r="P1830">
        <f>IF(B1854=0,0,O1830/B1854)</f>
        <v/>
      </c>
      <c r="Q1830">
        <f>IFERROR(1/(IF(Inputs!$B$38="pvp",15,MAX(0.1,Skills!D11-IF(Skills!E11=TRUE,Inputs!$B$32,0)))*(1-IF(AND(IF(ArtifactsInput!$M$27,FALSE,TRUE),Inputs!$B$4="Chapter Hunt"),CHOOSE(ArtifactsInput!$N$27+1,20,24,28,32,36,40),0)/100)),0)</f>
        <v/>
      </c>
      <c r="R1830">
        <f>IF(AND(Inputs!$B$38&lt;&gt;"pvp",Inputs!$B$43&gt;0),IF(MAX(0,Inputs!$B$43-B1851)&lt;=0,0,(INT(MAX(0,Inputs!$B$43-B1851)/(IF(Inputs!$B$38="pvp",15,MAX(0.1,Skills!D11-IF(Skills!E11=TRUE,Inputs!$B$32,0)))*(1-IF(AND(IF(ArtifactsInput!$M$27,FALSE,TRUE),Inputs!$B$4="Chapter Hunt"),CHOOSE(ArtifactsInput!$N$27+1,20,24,28,32,36,40),0)/100)))+1)),0)</f>
        <v/>
      </c>
      <c r="S1830">
        <f>IFERROR(O1830/N1830,0)</f>
        <v/>
      </c>
      <c r="T1830">
        <f>IF(C1830,(H1830*N1830*IF(AND(Inputs!$B$38&lt;&gt;"pvp",Inputs!$B$43&gt;0),((Skills!G11*((R1830-1)*IF(Skills!H11&gt;0,Skills!I11/Skills!H11,1)+IF(Skills!H11&gt;0,MIN(Skills!I11,MAX(0,MAX(0,Inputs!$B$43-B1851)-((R1830-1)*(IF(Inputs!$B$38="pvp",15,MAX(0.1,Skills!D11-IF(Skills!E11=TRUE,Inputs!$B$32,0)))*(1-IF(AND(IF(ArtifactsInput!$M$27,FALSE,TRUE),Inputs!$B$4="Chapter Hunt"),CHOOSE(ArtifactsInput!$N$27+1,20,24,28,32,36,40),0)/100)))))/Skills!H11,1)))/Inputs!$B$43),G1830*Q1830)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1830*(1-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1830*(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1830*(1-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1830*(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0">
        <f>IF(C1830,(H1830*N1830*IF(AND(Inputs!$B$38&lt;&gt;"pvp",Inputs!$B$43&gt;0),((Skills!G11*((R1830-1)*IF(Skills!H11&gt;0,Skills!I11/Skills!H11,1)+IF(Skills!H11&gt;0,MIN(Skills!I11,MAX(0,MAX(0,Inputs!$B$43-B1851)-((R1830-1)*(IF(Inputs!$B$38="pvp",15,MAX(0.1,Skills!D11-IF(Skills!E11=TRUE,Inputs!$B$32,0)))*(1-IF(AND(IF(ArtifactsInput!$M$27,FALSE,TRUE),Inputs!$B$4="Chapter Hunt"),CHOOSE(ArtifactsInput!$N$27+1,20,24,28,32,36,40),0)/100)))))/Skills!H11,1)))/Inputs!$B$43),G1830*Q1830))*IF(Inputs!$B$38="pvp",1,(1+(Inputs!$B$21+Skills!Q11+(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1">
      <c r="A1831">
        <f>Skills!A12</f>
        <v/>
      </c>
      <c r="B1831">
        <f>Skills!B12</f>
        <v/>
      </c>
      <c r="C1831">
        <f>Inputs!$B$3&gt;=100</f>
        <v/>
      </c>
      <c r="D1831">
        <f>IF(Skills!C12=1,60+Inputs!$B$25+Inputs!$B$29,IF(Skills!C12=2,90+Inputs!$B$26+Inputs!$B$29,IF(Skills!C12=3,120+Inputs!$B$27+Inputs!$B$29,MAX(0,(Inputs!$B$3-100)*3)+Inputs!$B$28+Inputs!$B$29)))</f>
        <v/>
      </c>
      <c r="E1831">
        <f>INDEX(FactorTable!$B$2:$Y$301, MATCH(ROUND(MIN(300,MAX(1,D1831)),0), FactorTable!$A$2:$A$301,0), Skills!M12+1)</f>
        <v/>
      </c>
      <c r="F1831">
        <f>IF(Skills!N12=TRUE,(Skills!L12/10)*(E1831/1000),Skills!L12/10)+Skills!O12</f>
        <v/>
      </c>
      <c r="G1831" t="inlineStr"/>
      <c r="H1831" t="inlineStr"/>
      <c r="I1831" t="inlineStr">
        <is>
          <t>1</t>
        </is>
      </c>
      <c r="J1831" t="inlineStr"/>
      <c r="K1831" t="inlineStr"/>
      <c r="L1831" t="inlineStr"/>
      <c r="M1831" t="inlineStr"/>
      <c r="N1831" t="inlineStr"/>
      <c r="O1831" t="inlineStr"/>
      <c r="P1831" t="inlineStr"/>
      <c r="Q1831" t="inlineStr"/>
      <c r="R1831" t="inlineStr"/>
      <c r="S1831" t="inlineStr"/>
      <c r="T1831" t="inlineStr"/>
      <c r="V1831" t="inlineStr"/>
    </row>
    <row r="1832">
      <c r="A1832">
        <f>Skills!A13</f>
        <v/>
      </c>
      <c r="B1832">
        <f>Skills!B13</f>
        <v/>
      </c>
      <c r="C1832">
        <f>Inputs!$B$3&gt;=66</f>
        <v/>
      </c>
      <c r="D1832">
        <f>IF(Skills!C13=1,60+Inputs!$B$25+Inputs!$B$29,IF(Skills!C13=2,90+Inputs!$B$26+Inputs!$B$29,IF(Skills!C13=3,120+Inputs!$B$27+Inputs!$B$29,MAX(0,(Inputs!$B$3-100)*3)+Inputs!$B$28+Inputs!$B$29)))</f>
        <v/>
      </c>
      <c r="E1832">
        <f>INDEX(FactorTable!$B$2:$Y$301, MATCH(ROUND(MIN(300,MAX(1,D1832)),0), FactorTable!$A$2:$A$301,0), Skills!M13+1)</f>
        <v/>
      </c>
      <c r="F1832">
        <f>IF(Skills!N13=TRUE,(Skills!L13/10)*(E1832/1000),Skills!L13/10)+Skills!O13</f>
        <v/>
      </c>
      <c r="G1832">
        <f>Skills!G13*IF(Skills!H13&gt;0,Skills!I13/Skills!H13,1)</f>
        <v/>
      </c>
      <c r="H1832">
        <f>1-(1-Skills!J13/100)^Skills!K13</f>
        <v/>
      </c>
      <c r="I1832" t="inlineStr">
        <is>
          <t>1</t>
        </is>
      </c>
      <c r="J1832" t="inlineStr"/>
      <c r="K1832" t="inlineStr"/>
      <c r="L1832" t="inlineStr"/>
      <c r="M1832" t="inlineStr"/>
      <c r="N1832" t="inlineStr"/>
      <c r="O1832">
        <f>(1-Summary!$B$11)*T1832+Summary!$B$11*V1832</f>
        <v/>
      </c>
      <c r="P1832">
        <f>IF(B1854=0,0,O1832/B1854)</f>
        <v/>
      </c>
      <c r="Q1832" t="n">
        <v>0</v>
      </c>
      <c r="R1832" t="n">
        <v>0</v>
      </c>
      <c r="S1832">
        <f>IFERROR(O1832/N1832,0)</f>
        <v/>
      </c>
      <c r="T1832" t="n">
        <v>0</v>
      </c>
      <c r="V1832" t="n">
        <v>0</v>
      </c>
    </row>
    <row r="1833">
      <c r="A1833">
        <f>Skills!A14</f>
        <v/>
      </c>
      <c r="B1833">
        <f>Skills!B14</f>
        <v/>
      </c>
      <c r="C1833">
        <f>Inputs!$B$3&gt;=107</f>
        <v/>
      </c>
      <c r="D1833">
        <f>IF(Skills!C14=1,60+Inputs!$B$25+Inputs!$B$29,IF(Skills!C14=2,90+Inputs!$B$26+Inputs!$B$29,IF(Skills!C14=3,120+Inputs!$B$27+Inputs!$B$29,MAX(0,(Inputs!$B$3-100)*3)+Inputs!$B$28+Inputs!$B$29)))</f>
        <v/>
      </c>
      <c r="E1833">
        <f>INDEX(FactorTable!$B$2:$Y$301, MATCH(ROUND(MIN(300,MAX(1,D1833)),0), FactorTable!$A$2:$A$301,0), Skills!M14+1)</f>
        <v/>
      </c>
      <c r="F1833">
        <f>IF(Skills!N14=TRUE,(Skills!L14/10)*(E1833/1000),Skills!L14/10)+Skills!O14</f>
        <v/>
      </c>
      <c r="G1833">
        <f>Skills!G14*IF(Skills!H14&gt;0,Skills!I14/Skills!H14,1)</f>
        <v/>
      </c>
      <c r="H1833">
        <f>1-(1-Skills!J14/100)^Skills!K14</f>
        <v/>
      </c>
      <c r="I1833" t="inlineStr">
        <is>
          <t>1</t>
        </is>
      </c>
      <c r="J1833" t="inlineStr"/>
      <c r="K1833" t="inlineStr"/>
      <c r="L1833" t="inlineStr"/>
      <c r="M1833" t="inlineStr"/>
      <c r="N1833" t="inlineStr"/>
      <c r="O1833">
        <f>(1-Summary!$B$11)*T1833+Summary!$B$11*V1833</f>
        <v/>
      </c>
      <c r="P1833">
        <f>IF(B1854=0,0,O1833/B1854)</f>
        <v/>
      </c>
      <c r="Q1833" t="n">
        <v>0</v>
      </c>
      <c r="R1833" t="n">
        <v>0</v>
      </c>
      <c r="S1833">
        <f>IFERROR(O1833/N1833,0)</f>
        <v/>
      </c>
      <c r="T1833" t="n">
        <v>0</v>
      </c>
      <c r="V1833" t="n">
        <v>0</v>
      </c>
    </row>
    <row r="1834">
      <c r="A1834">
        <f>Skills!A15</f>
        <v/>
      </c>
      <c r="B1834">
        <f>Skills!B15</f>
        <v/>
      </c>
      <c r="C1834">
        <f>Inputs!$B$3&gt;=115</f>
        <v/>
      </c>
      <c r="D1834">
        <f>IF(Skills!C15=1,60+Inputs!$B$25+Inputs!$B$29,IF(Skills!C15=2,90+Inputs!$B$26+Inputs!$B$29,IF(Skills!C15=3,120+Inputs!$B$27+Inputs!$B$29,MAX(0,(Inputs!$B$3-100)*3)+Inputs!$B$28+Inputs!$B$29)))</f>
        <v/>
      </c>
      <c r="E1834">
        <f>INDEX(FactorTable!$B$2:$Y$301, MATCH(ROUND(MIN(300,MAX(1,D1834)),0), FactorTable!$A$2:$A$301,0), Skills!M15+1)</f>
        <v/>
      </c>
      <c r="F1834">
        <f>IF(Skills!N15=TRUE,(Skills!L15/10)*(E1834/1000),Skills!L15/10)+Skills!O15</f>
        <v/>
      </c>
      <c r="G1834">
        <f>Skills!G15*IF(Skills!H15&gt;0,Skills!I15/Skills!H15,1)</f>
        <v/>
      </c>
      <c r="H1834">
        <f>1-(1-Skills!J15/100)^Skills!K15</f>
        <v/>
      </c>
      <c r="I1834" t="inlineStr">
        <is>
          <t>1</t>
        </is>
      </c>
      <c r="J1834" t="inlineStr"/>
      <c r="K1834" t="inlineStr"/>
      <c r="L1834" t="inlineStr"/>
      <c r="M1834" t="inlineStr"/>
      <c r="N1834" t="inlineStr"/>
      <c r="O1834">
        <f>(1-Summary!$B$11)*T1834+Summary!$B$11*V1834</f>
        <v/>
      </c>
      <c r="P1834">
        <f>IF(B1854=0,0,O1834/B1854)</f>
        <v/>
      </c>
      <c r="Q1834" t="n">
        <v>0</v>
      </c>
      <c r="R1834" t="n">
        <v>0</v>
      </c>
      <c r="S1834">
        <f>IFERROR(O1834/N1834,0)</f>
        <v/>
      </c>
      <c r="T1834" t="n">
        <v>0</v>
      </c>
      <c r="V1834" t="n">
        <v>0</v>
      </c>
    </row>
    <row r="1835">
      <c r="A1835">
        <f>Skills!A16</f>
        <v/>
      </c>
      <c r="B1835">
        <f>Skills!B16</f>
        <v/>
      </c>
      <c r="C1835">
        <f>Inputs!$B$3&gt;=15</f>
        <v/>
      </c>
      <c r="D1835">
        <f>IF(Skills!C16=1,60+Inputs!$B$25+Inputs!$B$29,IF(Skills!C16=2,90+Inputs!$B$26+Inputs!$B$29,IF(Skills!C16=3,120+Inputs!$B$27+Inputs!$B$29,MAX(0,(Inputs!$B$3-100)*3)+Inputs!$B$28+Inputs!$B$29)))</f>
        <v/>
      </c>
      <c r="E1835">
        <f>INDEX(FactorTable!$B$2:$Y$301, MATCH(ROUND(MIN(300,MAX(1,D1835)),0), FactorTable!$A$2:$A$301,0), Skills!M16+1)</f>
        <v/>
      </c>
      <c r="F1835">
        <f>IF(Skills!N16=TRUE,(Skills!L16/10)*(E1835/1000),Skills!L16/10)+Skills!O16</f>
        <v/>
      </c>
      <c r="G1835">
        <f>Skills!G16*IF(Skills!H16&gt;0,Skills!I16/Skills!H16,1)</f>
        <v/>
      </c>
      <c r="H1835">
        <f>1-(1-Skills!J16/100)^Skills!K16</f>
        <v/>
      </c>
      <c r="I1835" t="inlineStr">
        <is>
          <t>1</t>
        </is>
      </c>
      <c r="J1835" t="inlineStr"/>
      <c r="K1835" t="inlineStr"/>
      <c r="L1835" t="inlineStr"/>
      <c r="M1835" t="inlineStr"/>
      <c r="N1835" t="inlineStr"/>
      <c r="O1835">
        <f>(1-Summary!$B$11)*T1835+Summary!$B$11*V1835</f>
        <v/>
      </c>
      <c r="P1835">
        <f>IF(B1854=0,0,O1835/B1854)</f>
        <v/>
      </c>
      <c r="Q1835" t="n">
        <v>0</v>
      </c>
      <c r="R1835" t="n">
        <v>0</v>
      </c>
      <c r="S1835">
        <f>IFERROR(O1835/N1835,0)</f>
        <v/>
      </c>
      <c r="T1835" t="n">
        <v>0</v>
      </c>
      <c r="V1835" t="n">
        <v>0</v>
      </c>
    </row>
    <row r="1836">
      <c r="A1836">
        <f>Skills!A17</f>
        <v/>
      </c>
      <c r="B1836">
        <f>Skills!B17</f>
        <v/>
      </c>
      <c r="C1836">
        <f>Inputs!$B$3&gt;=10</f>
        <v/>
      </c>
      <c r="D1836">
        <f>IF(Skills!C17=1,60+Inputs!$B$25+Inputs!$B$29,IF(Skills!C17=2,90+Inputs!$B$26+Inputs!$B$29,IF(Skills!C17=3,120+Inputs!$B$27+Inputs!$B$29,MAX(0,(Inputs!$B$3-100)*3)+Inputs!$B$28+Inputs!$B$29)))</f>
        <v/>
      </c>
      <c r="E1836">
        <f>INDEX(FactorTable!$B$2:$Y$301, MATCH(ROUND(MIN(300,MAX(1,D1836)),0), FactorTable!$A$2:$A$301,0), Skills!M17+1)</f>
        <v/>
      </c>
      <c r="F1836">
        <f>IF(Skills!N17=TRUE,(Skills!L17/10)*(E1836/1000),Skills!L17/10)+Skills!O17</f>
        <v/>
      </c>
      <c r="G1836">
        <f>Skills!G17*IF(Skills!H17&gt;0,Skills!I17/Skills!H17,1)</f>
        <v/>
      </c>
      <c r="H1836">
        <f>1-(1-Skills!J17/100)^Skills!K17</f>
        <v/>
      </c>
      <c r="I1836" t="inlineStr">
        <is>
          <t>1</t>
        </is>
      </c>
      <c r="J1836" t="inlineStr"/>
      <c r="K1836" t="inlineStr"/>
      <c r="L1836" t="inlineStr"/>
      <c r="M1836" t="inlineStr"/>
      <c r="N1836" t="inlineStr"/>
      <c r="O1836">
        <f>(1-Summary!$B$11)*T1836+Summary!$B$11*V1836</f>
        <v/>
      </c>
      <c r="P1836">
        <f>IF(B1854=0,0,O1836/B1854)</f>
        <v/>
      </c>
      <c r="Q1836" t="n">
        <v>0</v>
      </c>
      <c r="R1836" t="n">
        <v>0</v>
      </c>
      <c r="S1836">
        <f>IFERROR(O1836/N1836,0)</f>
        <v/>
      </c>
      <c r="T1836" t="n">
        <v>0</v>
      </c>
      <c r="V1836" t="n">
        <v>0</v>
      </c>
    </row>
    <row r="1837">
      <c r="A1837">
        <f>Skills!A18</f>
        <v/>
      </c>
      <c r="B1837">
        <f>Skills!B18</f>
        <v/>
      </c>
      <c r="C1837">
        <f>Inputs!$B$3&gt;=33</f>
        <v/>
      </c>
      <c r="D1837">
        <f>IF(Skills!C18=1,60+Inputs!$B$25+Inputs!$B$29,IF(Skills!C18=2,90+Inputs!$B$26+Inputs!$B$29,IF(Skills!C18=3,120+Inputs!$B$27+Inputs!$B$29,MAX(0,(Inputs!$B$3-100)*3)+Inputs!$B$28+Inputs!$B$29)))</f>
        <v/>
      </c>
      <c r="E1837">
        <f>INDEX(FactorTable!$B$2:$Y$301, MATCH(ROUND(MIN(300,MAX(1,D1837)),0), FactorTable!$A$2:$A$301,0), Skills!M18+1)</f>
        <v/>
      </c>
      <c r="F1837">
        <f>IF(Skills!N18=TRUE,(Skills!L18/10)*(E1837/1000),Skills!L18/10)+Skills!O18</f>
        <v/>
      </c>
      <c r="G1837">
        <f>Skills!G18*IF(Skills!H18&gt;0,Skills!I18/Skills!H18,1)</f>
        <v/>
      </c>
      <c r="H1837">
        <f>1-(1-Skills!J18/100)^Skills!K18</f>
        <v/>
      </c>
      <c r="I1837" t="inlineStr">
        <is>
          <t>1</t>
        </is>
      </c>
      <c r="J1837" t="inlineStr"/>
      <c r="K1837" t="inlineStr"/>
      <c r="L1837" t="inlineStr"/>
      <c r="M1837" t="inlineStr"/>
      <c r="N1837" t="inlineStr"/>
      <c r="O1837">
        <f>(1-Summary!$B$11)*T1837+Summary!$B$11*V1837</f>
        <v/>
      </c>
      <c r="P1837">
        <f>IF(B1854=0,0,O1837/B1854)</f>
        <v/>
      </c>
      <c r="Q1837" t="n">
        <v>0</v>
      </c>
      <c r="R1837" t="n">
        <v>0</v>
      </c>
      <c r="S1837">
        <f>IFERROR(O1837/N1837,0)</f>
        <v/>
      </c>
      <c r="T1837" t="n">
        <v>0</v>
      </c>
      <c r="V1837" t="n">
        <v>0</v>
      </c>
    </row>
    <row r="1838">
      <c r="A1838">
        <f>Skills!A19</f>
        <v/>
      </c>
      <c r="B1838">
        <f>Skills!B19</f>
        <v/>
      </c>
      <c r="C1838">
        <f>Inputs!$B$3&gt;=40</f>
        <v/>
      </c>
      <c r="D1838">
        <f>IF(Skills!C19=1,60+Inputs!$B$25+Inputs!$B$29,IF(Skills!C19=2,90+Inputs!$B$26+Inputs!$B$29,IF(Skills!C19=3,120+Inputs!$B$27+Inputs!$B$29,MAX(0,(Inputs!$B$3-100)*3)+Inputs!$B$28+Inputs!$B$29)))</f>
        <v/>
      </c>
      <c r="E1838">
        <f>INDEX(FactorTable!$B$2:$Y$301, MATCH(ROUND(MIN(300,MAX(1,D1838)),0), FactorTable!$A$2:$A$301,0), Skills!M19+1)</f>
        <v/>
      </c>
      <c r="F1838">
        <f>IF(Skills!N19=TRUE,(Skills!L19/10)*(E1838/1000),Skills!L19/10)+Skills!O19</f>
        <v/>
      </c>
      <c r="G1838">
        <f>Skills!G19*IF(Skills!H19&gt;0,Skills!I19/Skills!H19,1)</f>
        <v/>
      </c>
      <c r="H1838">
        <f>1-(1-Skills!J19/100)^Skills!K19</f>
        <v/>
      </c>
      <c r="I1838" t="inlineStr">
        <is>
          <t>1</t>
        </is>
      </c>
      <c r="J1838" t="inlineStr"/>
      <c r="K1838" t="inlineStr"/>
      <c r="L1838" t="inlineStr"/>
      <c r="M1838" t="inlineStr"/>
      <c r="N1838" t="inlineStr"/>
      <c r="O1838">
        <f>(1-Summary!$B$11)*T1838+Summary!$B$11*V1838</f>
        <v/>
      </c>
      <c r="P1838">
        <f>IF(B1854=0,0,O1838/B1854)</f>
        <v/>
      </c>
      <c r="Q1838" t="n">
        <v>0</v>
      </c>
      <c r="R1838" t="n">
        <v>0</v>
      </c>
      <c r="S1838">
        <f>IFERROR(O1838/N1838,0)</f>
        <v/>
      </c>
      <c r="T1838" t="n">
        <v>0</v>
      </c>
      <c r="V1838" t="n">
        <v>0</v>
      </c>
    </row>
    <row r="1839">
      <c r="A1839">
        <f>Skills!A20</f>
        <v/>
      </c>
      <c r="B1839">
        <f>Skills!B20</f>
        <v/>
      </c>
      <c r="C1839">
        <f>Inputs!$B$3&gt;=43</f>
        <v/>
      </c>
      <c r="D1839">
        <f>IF(Skills!C20=1,60+Inputs!$B$25+Inputs!$B$29,IF(Skills!C20=2,90+Inputs!$B$26+Inputs!$B$29,IF(Skills!C20=3,120+Inputs!$B$27+Inputs!$B$29,MAX(0,(Inputs!$B$3-100)*3)+Inputs!$B$28+Inputs!$B$29)))</f>
        <v/>
      </c>
      <c r="E1839">
        <f>INDEX(FactorTable!$B$2:$Y$301, MATCH(ROUND(MIN(300,MAX(1,D1839)),0), FactorTable!$A$2:$A$301,0), Skills!M20+1)</f>
        <v/>
      </c>
      <c r="F1839">
        <f>IF(Skills!N20=TRUE,(Skills!L20/10)*(E1839/1000),Skills!L20/10)+Skills!O20</f>
        <v/>
      </c>
      <c r="G1839">
        <f>Skills!G20*IF(Skills!H20&gt;0,Skills!I20/Skills!H20,1)</f>
        <v/>
      </c>
      <c r="H1839">
        <f>1-(1-Skills!J20/100)^Skills!K20</f>
        <v/>
      </c>
      <c r="I1839" t="inlineStr">
        <is>
          <t>1</t>
        </is>
      </c>
      <c r="J1839" t="inlineStr"/>
      <c r="K1839" t="inlineStr"/>
      <c r="L1839" t="inlineStr"/>
      <c r="M1839" t="inlineStr"/>
      <c r="N1839" t="inlineStr"/>
      <c r="O1839">
        <f>(1-Summary!$B$11)*T1839+Summary!$B$11*V1839</f>
        <v/>
      </c>
      <c r="P1839">
        <f>IF(B1854=0,0,O1839/B1854)</f>
        <v/>
      </c>
      <c r="Q1839" t="n">
        <v>0</v>
      </c>
      <c r="R1839" t="n">
        <v>0</v>
      </c>
      <c r="S1839">
        <f>IFERROR(O1839/N1839,0)</f>
        <v/>
      </c>
      <c r="T1839" t="n">
        <v>0</v>
      </c>
      <c r="V1839" t="n">
        <v>0</v>
      </c>
    </row>
    <row r="1840">
      <c r="A1840">
        <f>Skills!A21</f>
        <v/>
      </c>
      <c r="B1840">
        <f>Skills!B21</f>
        <v/>
      </c>
      <c r="C1840">
        <f>Inputs!$B$3&gt;=38</f>
        <v/>
      </c>
      <c r="D1840">
        <f>IF(Skills!C21=1,60+Inputs!$B$25+Inputs!$B$29,IF(Skills!C21=2,90+Inputs!$B$26+Inputs!$B$29,IF(Skills!C21=3,120+Inputs!$B$27+Inputs!$B$29,MAX(0,(Inputs!$B$3-100)*3)+Inputs!$B$28+Inputs!$B$29)))</f>
        <v/>
      </c>
      <c r="E1840">
        <f>INDEX(FactorTable!$B$2:$Y$301, MATCH(ROUND(MIN(300,MAX(1,D1840)),0), FactorTable!$A$2:$A$301,0), Skills!M21+1)</f>
        <v/>
      </c>
      <c r="F1840">
        <f>IF(Skills!N21=TRUE,(Skills!L21/10)*(E1840/1000),Skills!L21/10)+Skills!O21</f>
        <v/>
      </c>
      <c r="G1840">
        <f>Skills!G21*IF(Skills!H21&gt;0,Skills!I21/Skills!H21,1)</f>
        <v/>
      </c>
      <c r="H1840">
        <f>1-(1-Skills!J21/100)^Skills!K21</f>
        <v/>
      </c>
      <c r="I1840" t="inlineStr">
        <is>
          <t>1</t>
        </is>
      </c>
      <c r="J1840" t="inlineStr"/>
      <c r="K1840" t="inlineStr"/>
      <c r="L1840" t="inlineStr"/>
      <c r="M1840" t="inlineStr"/>
      <c r="N1840" t="inlineStr"/>
      <c r="O1840">
        <f>(1-Summary!$B$11)*T1840+Summary!$B$11*V1840</f>
        <v/>
      </c>
      <c r="P1840">
        <f>IF(B1854=0,0,O1840/B1854)</f>
        <v/>
      </c>
      <c r="Q1840" t="n">
        <v>0</v>
      </c>
      <c r="R1840" t="n">
        <v>0</v>
      </c>
      <c r="S1840">
        <f>IFERROR(O1840/N1840,0)</f>
        <v/>
      </c>
      <c r="T1840" t="n">
        <v>0</v>
      </c>
      <c r="V1840" t="n">
        <v>0</v>
      </c>
    </row>
    <row r="1841">
      <c r="A1841">
        <f>Skills!A22</f>
        <v/>
      </c>
      <c r="B1841">
        <f>Skills!B22</f>
        <v/>
      </c>
      <c r="C1841">
        <f>Inputs!$B$3&gt;=75</f>
        <v/>
      </c>
      <c r="D1841">
        <f>IF(Skills!C22=1,60+Inputs!$B$25+Inputs!$B$29,IF(Skills!C22=2,90+Inputs!$B$26+Inputs!$B$29,IF(Skills!C22=3,120+Inputs!$B$27+Inputs!$B$29,MAX(0,(Inputs!$B$3-100)*3)+Inputs!$B$28+Inputs!$B$29)))</f>
        <v/>
      </c>
      <c r="E1841">
        <f>INDEX(FactorTable!$B$2:$Y$301, MATCH(ROUND(MIN(300,MAX(1,D1841)),0), FactorTable!$A$2:$A$301,0), Skills!M22+1)</f>
        <v/>
      </c>
      <c r="F1841">
        <f>IF(Skills!N22=TRUE,(Skills!L22/10)*(E1841/1000),Skills!L22/10)+Skills!O22</f>
        <v/>
      </c>
      <c r="G1841">
        <f>Skills!G22*IF(Skills!H22&gt;0,Skills!I22/Skills!H22,1)</f>
        <v/>
      </c>
      <c r="H1841">
        <f>1-(1-Skills!J22/100)^Skills!K22</f>
        <v/>
      </c>
      <c r="I1841" t="inlineStr">
        <is>
          <t>1</t>
        </is>
      </c>
      <c r="J1841" t="inlineStr"/>
      <c r="K1841" t="inlineStr"/>
      <c r="L1841" t="inlineStr"/>
      <c r="M1841" t="inlineStr"/>
      <c r="N1841" t="inlineStr"/>
      <c r="O1841">
        <f>(1-Summary!$B$11)*T1841+Summary!$B$11*V1841</f>
        <v/>
      </c>
      <c r="P1841">
        <f>IF(B1854=0,0,O1841/B1854)</f>
        <v/>
      </c>
      <c r="Q1841" t="n">
        <v>0</v>
      </c>
      <c r="R1841" t="n">
        <v>0</v>
      </c>
      <c r="S1841">
        <f>IFERROR(O1841/N1841,0)</f>
        <v/>
      </c>
      <c r="T1841" t="n">
        <v>0</v>
      </c>
      <c r="V1841" t="n">
        <v>0</v>
      </c>
    </row>
    <row r="1843">
      <c r="A1843" t="inlineStr">
        <is>
          <t>Attack% Bucket Multiplier</t>
        </is>
      </c>
      <c r="B1843">
        <f>(1+(((C1832=TRUE)*F1832)+((C1838=TRUE)*(F1838-Calc!F19))+(IF(ArtifactsInput!$M$21,CHOOSE(ArtifactsInput!$N$21+1,25,30,35,40,45,50)*(IF(OR(Inputs!$B$4="Chapter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4">
      <c r="A1844" t="inlineStr">
        <is>
          <t>Global Crit Rate Bonus %</t>
        </is>
      </c>
      <c r="B1844" t="n">
        <v>0</v>
      </c>
    </row>
    <row r="1845">
      <c r="A1845" t="inlineStr">
        <is>
          <t>Attack Speed Buff Bonus % (unused)</t>
        </is>
      </c>
      <c r="B1845" t="n">
        <v>0</v>
      </c>
    </row>
    <row r="1846">
      <c r="A1846" t="inlineStr">
        <is>
          <t>Actions Per Second</t>
        </is>
      </c>
      <c r="B1846">
        <f>1+MIN(150,150*(1-(1-(Inputs!$B$11+((C1836=TRUE)*(F1836-Calc!F17))+((C1837=TRUE)*(F1837-Calc!F18)))/150)*(1-B1845/150)))/100</f>
        <v/>
      </c>
    </row>
    <row r="1847">
      <c r="A1847" t="inlineStr">
        <is>
          <t>Skill + Buff Cast Rate</t>
        </is>
      </c>
      <c r="B1847">
        <f>IF(AND(Inputs!$B$38&lt;&gt;"pvp",Inputs!$B$43&gt;0),SUMPRODUCT((Skills!E2:E22=TRUE)*(C1821:C1841=TRUE)*R1821:R1841*Skills!F2:F22)/Inputs!$B$43,SUMPRODUCT((Skills!E2:E22=TRUE)*(C1821:C1841=TRUE)*Q1821:Q1841*Skills!F2:F22))</f>
        <v/>
      </c>
    </row>
    <row r="1848">
      <c r="A1848" t="inlineStr">
        <is>
          <t>Hook Bomber Casts Per Second</t>
        </is>
      </c>
      <c r="B1848">
        <f>MAX(0,B1846-B1847)</f>
        <v/>
      </c>
    </row>
    <row r="1849">
      <c r="A1849" t="inlineStr">
        <is>
          <t>Global Critical Damage Bonus % (unused)</t>
        </is>
      </c>
      <c r="B1849" t="n">
        <v>0</v>
      </c>
    </row>
    <row r="1850">
      <c r="A1850" t="inlineStr">
        <is>
          <t>Global Final Damage Bonus % (Serpent Scale + Crossbones + Time Leap + Speed Infusion)</t>
        </is>
      </c>
      <c r="B1850">
        <f>((C1824=TRUE)*F1824*((10+IF(Inputs!$B$3&gt;=94,5,0))/((10+IF(Inputs!$B$3&gt;=94,5,0))+5/(B1848*(1+IF(Inputs!$B$3&gt;=104,1,0))))))+((C1833=TRUE)*F1833)+((C1834=TRUE)*F1834)+((Inputs!$B$3&gt;=110)*20*(B1846-1))</f>
        <v/>
      </c>
    </row>
    <row r="1851">
      <c r="A1851" t="inlineStr">
        <is>
          <t>Buff-Casting Startup Delay (s, fixed-duration only)</t>
        </is>
      </c>
      <c r="B1851">
        <f>IF(AND(Inputs!$B$38&lt;&gt;"pvp",Inputs!$B$43&gt;0),SUMPRODUCT((Skills!T2:T22&gt;0)*(Skills!E2:E22=TRUE)*(C1821:C1841=TRUE))/B1846,0)</f>
        <v/>
      </c>
    </row>
    <row r="1852">
      <c r="A1852" t="inlineStr">
        <is>
          <t>Boss-Only Total DPS (this block's swept value)</t>
        </is>
      </c>
      <c r="B1852">
        <f>SUM(T1821:T1841)</f>
        <v/>
      </c>
    </row>
    <row r="1853">
      <c r="A1853" t="inlineStr">
        <is>
          <t>Normal-Only Total DPS (this block's swept value)</t>
        </is>
      </c>
      <c r="B1853">
        <f>SUM(V1821:V1841)</f>
        <v/>
      </c>
    </row>
    <row r="1854">
      <c r="A1854" s="6" t="inlineStr">
        <is>
          <t>TOTAL DPS</t>
        </is>
      </c>
      <c r="B1854" s="6">
        <f>SUM(O1821:O1841)</f>
        <v/>
      </c>
    </row>
    <row r="1857">
      <c r="A1857" s="6" t="inlineStr">
        <is>
          <t>Stat: Lit Lamp (Equip)</t>
        </is>
      </c>
    </row>
    <row r="1858">
      <c r="A1858" s="5" t="inlineStr">
        <is>
          <t>Key</t>
        </is>
      </c>
      <c r="B1858" s="5" t="inlineStr">
        <is>
          <t>Name</t>
        </is>
      </c>
      <c r="C1858" s="5" t="inlineStr">
        <is>
          <t>Unlocked</t>
        </is>
      </c>
      <c r="D1858" s="5" t="inlineStr">
        <is>
          <t>InputLevel</t>
        </is>
      </c>
      <c r="E1858" s="5" t="inlineStr">
        <is>
          <t>Factor</t>
        </is>
      </c>
      <c r="F1858" s="5" t="inlineStr">
        <is>
          <t>CoefficientPercent</t>
        </is>
      </c>
      <c r="G1858" s="5" t="inlineStr">
        <is>
          <t>EffectiveHits</t>
        </is>
      </c>
      <c r="H1858" s="5" t="inlineStr">
        <is>
          <t>ProcProbability</t>
        </is>
      </c>
      <c r="I1858" s="5" t="inlineStr">
        <is>
          <t>MapleHeroMultiplier</t>
        </is>
      </c>
      <c r="J1858" s="5" t="inlineStr">
        <is>
          <t>BaseDamage</t>
        </is>
      </c>
      <c r="K1858" s="5" t="inlineStr">
        <is>
          <t>BaseHitDamage</t>
        </is>
      </c>
      <c r="L1858" s="5" t="inlineStr">
        <is>
          <t>NonCritAvg</t>
        </is>
      </c>
      <c r="M1858" s="5" t="inlineStr">
        <is>
          <t>CritAvg</t>
        </is>
      </c>
      <c r="N1858" s="5" t="inlineStr">
        <is>
          <t>ExpectedDamage(perHit)</t>
        </is>
      </c>
      <c r="O1858" s="5" t="inlineStr">
        <is>
          <t>DPS</t>
        </is>
      </c>
      <c r="P1858" s="5" t="inlineStr">
        <is>
          <t>% of Total</t>
        </is>
      </c>
      <c r="Q1858" s="5" t="inlineStr">
        <is>
          <t>InvCooldown</t>
        </is>
      </c>
      <c r="R1858" s="5" t="inlineStr">
        <is>
          <t>CastsInFight</t>
        </is>
      </c>
      <c r="S1858" s="5" t="inlineStr">
        <is>
          <t>HitRate(perSec)</t>
        </is>
      </c>
      <c r="U1858" t="inlineStr">
        <is>
          <t>helpers</t>
        </is>
      </c>
    </row>
    <row r="1859">
      <c r="A1859">
        <f>Skills!A2</f>
        <v/>
      </c>
      <c r="B1859">
        <f>Skills!B2</f>
        <v/>
      </c>
      <c r="C1859">
        <f>Inputs!$B$3&gt;=100</f>
        <v/>
      </c>
      <c r="D1859" t="inlineStr"/>
      <c r="E1859" t="inlineStr"/>
      <c r="F1859">
        <f>U1861+Skills!O2</f>
        <v/>
      </c>
      <c r="G1859">
        <f>Skills!G2*IF(Skills!H2&gt;0,Skills!I2/Skills!H2,1)</f>
        <v/>
      </c>
      <c r="H1859">
        <f>1-(1-Skills!J2/100)^Skills!K2</f>
        <v/>
      </c>
      <c r="I1859" t="inlineStr">
        <is>
          <t>1</t>
        </is>
      </c>
      <c r="J1859">
        <f>((Inputs!$B$6*(1+Inputs!$B$7/100))+(((Inputs!$B$12*(1+Inputs!$B$13/100))-(Inputs!$B$12*(1+Inputs!$B$13/100)))+0.25*(Inputs!$B$14-Inputs!$B$14))*(1+Inputs!$B$7/100))*(F1859/100)</f>
        <v/>
      </c>
      <c r="K1859">
        <f>J1859*(1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1859)</f>
        <v/>
      </c>
      <c r="L1859">
        <f>K1859*(MIN(Inputs!$B$22+((C1877=TRUE)*(F1877-Calc!F20)),(Inputs!$B$23+0+(IF(ArtifactsInput!$M$15,CHOOSE(ArtifactsInput!$N$15+1,25,30,35,40,45,50)/100*(Inputs!$B$11-Inputs!$B$11),0))))/100+(Inputs!$B$23+0+(IF(ArtifactsInput!$M$15,CHOOSE(ArtifactsInput!$N$15+1,25,30,35,40,45,50)/100*(Inputs!$B$11-Inputs!$B$11),0)))/100)/2</f>
        <v/>
      </c>
      <c r="M1859">
        <f>L1859*(1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9">
        <f>L1859*(1-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1859*(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9">
        <f>(1-Summary!$B$11)*T1859+Summary!$B$11*V1859</f>
        <v/>
      </c>
      <c r="P1859">
        <f>IF(B1892=0,0,O1859/B1892)</f>
        <v/>
      </c>
      <c r="Q1859" t="n">
        <v>0</v>
      </c>
      <c r="R1859" t="n">
        <v>0</v>
      </c>
      <c r="S1859">
        <f>IFERROR(O1859/N1859,0)</f>
        <v/>
      </c>
      <c r="T1859">
        <f>IF(C1859,(Skills!G2*N1859*B1886)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1859*(1-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1859*(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1859*(1-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1859*(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9">
        <f>MAX(0,(Inputs!$B$3-100)*3)+Inputs!$B$28+Inputs!$B$29</f>
        <v/>
      </c>
      <c r="V1859">
        <f>IF(C1859,(Skills!G2*N1859*B1886)*IF(Inputs!$B$38="pvp",1,(1+(Inputs!$B$21+Skills!Q2+(IF(ArtifactsInput!$M$33,CHOOSE(ArtifactsInput!$N$33+1,30,36,42,48,54,60),0))+(IF(AND(ArtifactsInput!$M$35,Inputs!$B$4&lt;&gt;"Chapter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0">
      <c r="A1860">
        <f>Skills!A3</f>
        <v/>
      </c>
      <c r="B1860">
        <f>Skills!B3</f>
        <v/>
      </c>
      <c r="C1860">
        <f>Inputs!$B$3&gt;=35</f>
        <v/>
      </c>
      <c r="D1860">
        <f>IF(Skills!C3=1,60+Inputs!$B$25+Inputs!$B$29,IF(Skills!C3=2,90+Inputs!$B$26+Inputs!$B$29,IF(Skills!C3=3,120+Inputs!$B$27+Inputs!$B$29,MAX(0,(Inputs!$B$3-100)*3)+Inputs!$B$28+Inputs!$B$29)))</f>
        <v/>
      </c>
      <c r="E1860">
        <f>INDEX(FactorTable!$B$2:$Y$301, MATCH(ROUND(MIN(300,MAX(1,D1860)),0), FactorTable!$A$2:$A$301,0), Skills!M3+1)</f>
        <v/>
      </c>
      <c r="F1860">
        <f>IF(Skills!N3=TRUE,(Skills!L3/10)*(E1860/1000),Skills!L3/10)+Skills!O3</f>
        <v/>
      </c>
      <c r="G1860">
        <f>Skills!G3*IF(Skills!H3&gt;0,Skills!I3/Skills!H3,1)</f>
        <v/>
      </c>
      <c r="H1860">
        <f>1-(1-Skills!J3/100)^Skills!K3</f>
        <v/>
      </c>
      <c r="I1860" t="inlineStr">
        <is>
          <t>1</t>
        </is>
      </c>
      <c r="J1860">
        <f>((Inputs!$B$6*(1+Inputs!$B$7/100))+(((Inputs!$B$12*(1+Inputs!$B$13/100))-(Inputs!$B$12*(1+Inputs!$B$13/100)))+0.25*(Inputs!$B$14-Inputs!$B$14))*(1+Inputs!$B$7/100))*(F1860/100)</f>
        <v/>
      </c>
      <c r="K1860">
        <f>J1860*(1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1860)</f>
        <v/>
      </c>
      <c r="L1860">
        <f>K1860*(MIN(Inputs!$B$22+((C1877=TRUE)*(F1877-Calc!F20)),(Inputs!$B$23+0+(IF(ArtifactsInput!$M$15,CHOOSE(ArtifactsInput!$N$15+1,25,30,35,40,45,50)/100*(Inputs!$B$11-Inputs!$B$11),0))))/100+(Inputs!$B$23+0+(IF(ArtifactsInput!$M$15,CHOOSE(ArtifactsInput!$N$15+1,25,30,35,40,45,50)/100*(Inputs!$B$11-Inputs!$B$11),0)))/100)/2</f>
        <v/>
      </c>
      <c r="M1860">
        <f>L1860*(1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0">
        <f>L1860*(1-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1860*(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0">
        <f>(1-Summary!$B$11)*T1860+Summary!$B$11*V1860</f>
        <v/>
      </c>
      <c r="P1860">
        <f>IF(B1892=0,0,O1860/B1892)</f>
        <v/>
      </c>
      <c r="Q1860" t="n">
        <v>0</v>
      </c>
      <c r="R1860" t="n">
        <v>0</v>
      </c>
      <c r="S1860">
        <f>IFERROR(O1860/N1860,0)</f>
        <v/>
      </c>
      <c r="T1860">
        <f>IF(C1860,(Skills!G3*H1860*N1860*B1886)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1860*(1-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1860*(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1860*(1-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1860*(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0">
        <f>INDEX(FactorTable!$B$2:$Y$301, MATCH(ROUND(MIN(300,MAX(1,U1859)),0), FactorTable!$A$2:$A$301,0), 22)</f>
        <v/>
      </c>
      <c r="V1860">
        <f>IF(C1860,(Skills!G3*H1860*N1860*B1886)*IF(Inputs!$B$38="pvp",1,(1+(Inputs!$B$21+Skills!Q3+(IF(ArtifactsInput!$M$33,CHOOSE(ArtifactsInput!$N$33+1,30,36,42,48,54,60),0))+(IF(AND(ArtifactsInput!$M$35,Inputs!$B$4&lt;&gt;"Chapter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1">
      <c r="A1861">
        <f>Skills!A4</f>
        <v/>
      </c>
      <c r="B1861">
        <f>Skills!B4</f>
        <v/>
      </c>
      <c r="C1861">
        <f>Inputs!$B$3&gt;=60</f>
        <v/>
      </c>
      <c r="D1861">
        <f>IF(Skills!C4=1,60+Inputs!$B$25+Inputs!$B$29,IF(Skills!C4=2,90+Inputs!$B$26+Inputs!$B$29,IF(Skills!C4=3,120+Inputs!$B$27+Inputs!$B$29,MAX(0,(Inputs!$B$3-100)*3)+Inputs!$B$28+Inputs!$B$29)))</f>
        <v/>
      </c>
      <c r="E1861">
        <f>INDEX(FactorTable!$B$2:$Y$301, MATCH(ROUND(MIN(300,MAX(1,D1861)),0), FactorTable!$A$2:$A$301,0), Skills!M4+1)</f>
        <v/>
      </c>
      <c r="F1861">
        <f>IF(Skills!N4=TRUE,(Skills!L4/10)*(E1861/1000),Skills!L4/10)+Skills!O4</f>
        <v/>
      </c>
      <c r="G1861">
        <f>Skills!G4*IF(Skills!H4&gt;0,Skills!I4/Skills!H4,1)</f>
        <v/>
      </c>
      <c r="H1861">
        <f>1-(1-Skills!J4/100)^Skills!K4</f>
        <v/>
      </c>
      <c r="I1861" t="inlineStr">
        <is>
          <t>1</t>
        </is>
      </c>
      <c r="J1861">
        <f>((Inputs!$B$6*(1+Inputs!$B$7/100))+(((Inputs!$B$12*(1+Inputs!$B$13/100))-(Inputs!$B$12*(1+Inputs!$B$13/100)))+0.25*(Inputs!$B$14-Inputs!$B$14))*(1+Inputs!$B$7/100))*(F1861/100)</f>
        <v/>
      </c>
      <c r="K1861">
        <f>J1861*(1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1869=TRUE,F1869,0)/100)*(1+(IF(Skills!A4="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1861)</f>
        <v/>
      </c>
      <c r="L1861">
        <f>K1861*(MIN(Inputs!$B$22+((C1877=TRUE)*(F1877-Calc!F20)),(Inputs!$B$23+0+(IF(ArtifactsInput!$M$15,CHOOSE(ArtifactsInput!$N$15+1,25,30,35,40,45,50)/100*(Inputs!$B$11-Inputs!$B$11),0))))/100+(Inputs!$B$23+0+(IF(ArtifactsInput!$M$15,CHOOSE(ArtifactsInput!$N$15+1,25,30,35,40,45,50)/100*(Inputs!$B$11-Inputs!$B$11),0)))/100)/2</f>
        <v/>
      </c>
      <c r="M1861">
        <f>L1861*(1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1">
        <f>L1861*(1-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1">
        <f>(1-Summary!$B$11)*T1861+Summary!$B$11*V1861</f>
        <v/>
      </c>
      <c r="P1861">
        <f>IF(B1892=0,0,O1861/B1892)</f>
        <v/>
      </c>
      <c r="Q1861" t="n">
        <v>0</v>
      </c>
      <c r="R1861" t="n">
        <v>0</v>
      </c>
      <c r="S1861">
        <f>IFERROR(O1861/N1861,0)</f>
        <v/>
      </c>
      <c r="T1861">
        <f>IF(C1861,(Skills!G4*H1861*N1861*B1886)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1861*(1-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1861*(1-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1">
        <f>290*U1860/1000</f>
        <v/>
      </c>
      <c r="V1861">
        <f>IF(C1861,(Skills!G4*H1861*N1861*B1886)*IF(Inputs!$B$38="pvp",1,(1+(Inputs!$B$21+Skills!Q4+(IF(ArtifactsInput!$M$33,CHOOSE(ArtifactsInput!$N$33+1,30,36,42,48,54,60),0))+(IF(AND(ArtifactsInput!$M$35,Inputs!$B$4&lt;&gt;"Chapter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2">
      <c r="A1862">
        <f>Skills!A5</f>
        <v/>
      </c>
      <c r="B1862">
        <f>Skills!B5</f>
        <v/>
      </c>
      <c r="C1862">
        <f>Inputs!$B$3&gt;=60</f>
        <v/>
      </c>
      <c r="D1862">
        <f>IF(Skills!C5=1,60+Inputs!$B$25+Inputs!$B$29,IF(Skills!C5=2,90+Inputs!$B$26+Inputs!$B$29,IF(Skills!C5=3,120+Inputs!$B$27+Inputs!$B$29,MAX(0,(Inputs!$B$3-100)*3)+Inputs!$B$28+Inputs!$B$29)))</f>
        <v/>
      </c>
      <c r="E1862">
        <f>INDEX(FactorTable!$B$2:$Y$301, MATCH(ROUND(MIN(300,MAX(1,D1862)),0), FactorTable!$A$2:$A$301,0), Skills!M5+1)</f>
        <v/>
      </c>
      <c r="F1862">
        <f>IF(Skills!N5=TRUE,(Skills!L5/10)*(E1862/1000),Skills!L5/10)+Skills!O5</f>
        <v/>
      </c>
      <c r="G1862">
        <f>Skills!G5*IF(Skills!H5&gt;0,Skills!I5/Skills!H5,1)</f>
        <v/>
      </c>
      <c r="H1862">
        <f>1-(1-Skills!J5/100)^Skills!K5</f>
        <v/>
      </c>
      <c r="I1862" t="inlineStr">
        <is>
          <t>1</t>
        </is>
      </c>
      <c r="J1862" t="inlineStr"/>
      <c r="K1862" t="inlineStr"/>
      <c r="L1862" t="inlineStr"/>
      <c r="M1862" t="inlineStr"/>
      <c r="N1862" t="inlineStr"/>
      <c r="O1862">
        <f>(1-Summary!$B$11)*T1862+Summary!$B$11*V1862</f>
        <v/>
      </c>
      <c r="P1862">
        <f>IF(B1892=0,0,O1862/B1892)</f>
        <v/>
      </c>
      <c r="Q1862" t="n">
        <v>0</v>
      </c>
      <c r="R1862" t="n">
        <v>0</v>
      </c>
      <c r="S1862">
        <f>IFERROR(O1862/N1862,0)</f>
        <v/>
      </c>
      <c r="T1862" t="n">
        <v>0</v>
      </c>
      <c r="V1862" t="n">
        <v>0</v>
      </c>
    </row>
    <row r="1863">
      <c r="A1863">
        <f>Skills!A6</f>
        <v/>
      </c>
      <c r="B1863">
        <f>Skills!B6</f>
        <v/>
      </c>
      <c r="C1863">
        <f>Inputs!$B$3&gt;=63</f>
        <v/>
      </c>
      <c r="D1863">
        <f>IF(Skills!C6=1,60+Inputs!$B$25+Inputs!$B$29,IF(Skills!C6=2,90+Inputs!$B$26+Inputs!$B$29,IF(Skills!C6=3,120+Inputs!$B$27+Inputs!$B$29,MAX(0,(Inputs!$B$3-100)*3)+Inputs!$B$28+Inputs!$B$29)))</f>
        <v/>
      </c>
      <c r="E1863">
        <f>INDEX(FactorTable!$B$2:$Y$301, MATCH(ROUND(MIN(300,MAX(1,D1863)),0), FactorTable!$A$2:$A$301,0), Skills!M6+1)</f>
        <v/>
      </c>
      <c r="F1863">
        <f>IF(Skills!N6=TRUE,(Skills!L6/10)*(E1863/1000),Skills!L6/10)+Skills!O6</f>
        <v/>
      </c>
      <c r="G1863">
        <f>Skills!G6*IF(Skills!H6&gt;0,Skills!I6/Skills!H6,1)</f>
        <v/>
      </c>
      <c r="H1863">
        <f>1-(1-Skills!J6/100)^Skills!K6</f>
        <v/>
      </c>
      <c r="I1863" t="inlineStr">
        <is>
          <t>1</t>
        </is>
      </c>
      <c r="J1863">
        <f>((Inputs!$B$6*(1+Inputs!$B$7/100))+(((Inputs!$B$12*(1+Inputs!$B$13/100))-(Inputs!$B$12*(1+Inputs!$B$13/100)))+0.25*(Inputs!$B$14-Inputs!$B$14))*(1+Inputs!$B$7/100))*(F1863/100)</f>
        <v/>
      </c>
      <c r="K1863">
        <f>J1863*(1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1863)</f>
        <v/>
      </c>
      <c r="L1863">
        <f>K1863*(MIN(Inputs!$B$22+((C1877=TRUE)*(F1877-Calc!F20)),(Inputs!$B$23+0+(IF(ArtifactsInput!$M$15,CHOOSE(ArtifactsInput!$N$15+1,25,30,35,40,45,50)/100*(Inputs!$B$11-Inputs!$B$11),0))))/100+(Inputs!$B$23+0+(IF(ArtifactsInput!$M$15,CHOOSE(ArtifactsInput!$N$15+1,25,30,35,40,45,50)/100*(Inputs!$B$11-Inputs!$B$11),0)))/100)/2</f>
        <v/>
      </c>
      <c r="M1863">
        <f>L1863*(1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3">
        <f>L1863*(1-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1863*(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3">
        <f>(1-Summary!$B$11)*T1863+Summary!$B$11*V1863</f>
        <v/>
      </c>
      <c r="P1863">
        <f>IF(B1892=0,0,O1863/B1892)</f>
        <v/>
      </c>
      <c r="Q1863">
        <f>IFERROR(1/(IF(Inputs!$B$38="pvp",15,MAX(0.1,Skills!D6-IF(Skills!E6=TRUE,Inputs!$B$32,0)))*(1-IF(AND(ArtifactsInput!$M$27,Inputs!$B$4="Chapter Hunt"),CHOOSE(ArtifactsInput!$N$27+1,20,24,28,32,36,40),0)/100)),0)</f>
        <v/>
      </c>
      <c r="R1863">
        <f>IF(AND(Inputs!$B$38&lt;&gt;"pvp",Inputs!$B$43&gt;0),IF(MAX(0,Inputs!$B$43-B1889)&lt;=0,0,(INT(MAX(0,Inputs!$B$43-B1889)/(IF(Inputs!$B$38="pvp",15,MAX(0.1,Skills!D6-IF(Skills!E6=TRUE,Inputs!$B$32,0)))*(1-IF(AND(ArtifactsInput!$M$27,Inputs!$B$4="Chapter Hunt"),CHOOSE(ArtifactsInput!$N$27+1,20,24,28,32,36,40),0)/100)))+1)),0)</f>
        <v/>
      </c>
      <c r="S1863">
        <f>IFERROR(O1863/N1863,0)</f>
        <v/>
      </c>
      <c r="T1863">
        <f>IF(C1863,(H1863*N1863*IF(AND(Inputs!$B$38&lt;&gt;"pvp",Inputs!$B$43&gt;0),((Skills!G6*((R1863-1)*IF(Skills!H6&gt;0,Skills!I6/Skills!H6,1)+IF(Skills!H6&gt;0,MIN(Skills!I6,MAX(0,MAX(0,Inputs!$B$43-B1889)-((R1863-1)*(IF(Inputs!$B$38="pvp",15,MAX(0.1,Skills!D6-IF(Skills!E6=TRUE,Inputs!$B$32,0)))*(1-IF(AND(ArtifactsInput!$M$27,Inputs!$B$4="Chapter Hunt"),CHOOSE(ArtifactsInput!$N$27+1,20,24,28,32,36,40),0)/100)))))/Skills!H6,1)))/Inputs!$B$43),G1863*Q1863)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1863*(1-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1863*(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1863*(1-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1863*(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3">
        <f>IF(C1863,(H1863*N1863*IF(AND(Inputs!$B$38&lt;&gt;"pvp",Inputs!$B$43&gt;0),((Skills!G6*((R1863-1)*IF(Skills!H6&gt;0,Skills!I6/Skills!H6,1)+IF(Skills!H6&gt;0,MIN(Skills!I6,MAX(0,MAX(0,Inputs!$B$43-B1889)-((R1863-1)*(IF(Inputs!$B$38="pvp",15,MAX(0.1,Skills!D6-IF(Skills!E6=TRUE,Inputs!$B$32,0)))*(1-IF(AND(ArtifactsInput!$M$27,Inputs!$B$4="Chapter Hunt"),CHOOSE(ArtifactsInput!$N$27+1,20,24,28,32,36,40),0)/100)))))/Skills!H6,1)))/Inputs!$B$43),G1863*Q1863))*IF(Inputs!$B$38="pvp",1,(1+(Inputs!$B$21+Skills!Q6+(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4">
      <c r="A1864">
        <f>Skills!A7</f>
        <v/>
      </c>
      <c r="B1864">
        <f>Skills!B7</f>
        <v/>
      </c>
      <c r="C1864">
        <f>Inputs!$B$3&gt;=100</f>
        <v/>
      </c>
      <c r="D1864">
        <f>IF(Skills!C7=1,60+Inputs!$B$25+Inputs!$B$29,IF(Skills!C7=2,90+Inputs!$B$26+Inputs!$B$29,IF(Skills!C7=3,120+Inputs!$B$27+Inputs!$B$29,MAX(0,(Inputs!$B$3-100)*3)+Inputs!$B$28+Inputs!$B$29)))</f>
        <v/>
      </c>
      <c r="E1864">
        <f>INDEX(FactorTable!$B$2:$Y$301, MATCH(ROUND(MIN(300,MAX(1,D1864)),0), FactorTable!$A$2:$A$301,0), Skills!M7+1)</f>
        <v/>
      </c>
      <c r="F1864">
        <f>IF(Skills!N7=TRUE,(Skills!L7/10)*(E1864/1000),Skills!L7/10)+Skills!O7</f>
        <v/>
      </c>
      <c r="G1864">
        <f>Skills!G7*IF(Skills!H7&gt;0,Skills!I7/Skills!H7,1)</f>
        <v/>
      </c>
      <c r="H1864">
        <f>1-(1-Skills!J7/100)^Skills!K7</f>
        <v/>
      </c>
      <c r="I1864" t="inlineStr">
        <is>
          <t>1</t>
        </is>
      </c>
      <c r="J1864">
        <f>((Inputs!$B$6*(1+Inputs!$B$7/100))+(((Inputs!$B$12*(1+Inputs!$B$13/100))-(Inputs!$B$12*(1+Inputs!$B$13/100)))+0.25*(Inputs!$B$14-Inputs!$B$14))*(1+Inputs!$B$7/100))*(F1864/100)</f>
        <v/>
      </c>
      <c r="K1864">
        <f>J1864*(1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1864)</f>
        <v/>
      </c>
      <c r="L1864">
        <f>K1864*(MIN(Inputs!$B$22+((C1877=TRUE)*(F1877-Calc!F20)),(Inputs!$B$23+0+(IF(ArtifactsInput!$M$15,CHOOSE(ArtifactsInput!$N$15+1,25,30,35,40,45,50)/100*(Inputs!$B$11-Inputs!$B$11),0))))/100+(Inputs!$B$23+0+(IF(ArtifactsInput!$M$15,CHOOSE(ArtifactsInput!$N$15+1,25,30,35,40,45,50)/100*(Inputs!$B$11-Inputs!$B$11),0)))/100)/2</f>
        <v/>
      </c>
      <c r="M1864">
        <f>L1864*(1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4">
        <f>L1864*(1-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1864*(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4">
        <f>(1-Summary!$B$11)*T1864+Summary!$B$11*V1864</f>
        <v/>
      </c>
      <c r="P1864">
        <f>IF(B1892=0,0,O1864/B1892)</f>
        <v/>
      </c>
      <c r="Q1864">
        <f>IFERROR(1/(IF(Inputs!$B$38="pvp",15,MAX(0.1,Skills!D7-IF(Skills!E7=TRUE,Inputs!$B$32,0)))*(1-IF(AND(ArtifactsInput!$M$27,Inputs!$B$4="Chapter Hunt"),CHOOSE(ArtifactsInput!$N$27+1,20,24,28,32,36,40),0)/100)),0)</f>
        <v/>
      </c>
      <c r="R1864">
        <f>IF(AND(Inputs!$B$38&lt;&gt;"pvp",Inputs!$B$43&gt;0),IF(MAX(0,Inputs!$B$43-B1889)&lt;=0,0,(INT(MAX(0,Inputs!$B$43-B1889)/(IF(Inputs!$B$38="pvp",15,MAX(0.1,Skills!D7-IF(Skills!E7=TRUE,Inputs!$B$32,0)))*(1-IF(AND(ArtifactsInput!$M$27,Inputs!$B$4="Chapter Hunt"),CHOOSE(ArtifactsInput!$N$27+1,20,24,28,32,36,40),0)/100)))+1)),0)</f>
        <v/>
      </c>
      <c r="S1864">
        <f>IFERROR(O1864/N1864,0)</f>
        <v/>
      </c>
      <c r="T1864">
        <f>IF(C1864,(H1864*N1864*IF(AND(Inputs!$B$38&lt;&gt;"pvp",Inputs!$B$43&gt;0),((Skills!G7*((R1864-1)*IF(Skills!H7&gt;0,Skills!I7/Skills!H7,1)+IF(Skills!H7&gt;0,MIN(Skills!I7,MAX(0,MAX(0,Inputs!$B$43-B1889)-((R1864-1)*(IF(Inputs!$B$38="pvp",15,MAX(0.1,Skills!D7-IF(Skills!E7=TRUE,Inputs!$B$32,0)))*(1-IF(AND(ArtifactsInput!$M$27,Inputs!$B$4="Chapter Hunt"),CHOOSE(ArtifactsInput!$N$27+1,20,24,28,32,36,40),0)/100)))))/Skills!H7,1)))/Inputs!$B$43),G1864*Q1864)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1864*(1-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1864*(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1864*(1-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1864*(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4">
        <f>IF(C1864,(H1864*N1864*IF(AND(Inputs!$B$38&lt;&gt;"pvp",Inputs!$B$43&gt;0),((Skills!G7*((R1864-1)*IF(Skills!H7&gt;0,Skills!I7/Skills!H7,1)+IF(Skills!H7&gt;0,MIN(Skills!I7,MAX(0,MAX(0,Inputs!$B$43-B1889)-((R1864-1)*(IF(Inputs!$B$38="pvp",15,MAX(0.1,Skills!D7-IF(Skills!E7=TRUE,Inputs!$B$32,0)))*(1-IF(AND(ArtifactsInput!$M$27,Inputs!$B$4="Chapter Hunt"),CHOOSE(ArtifactsInput!$N$27+1,20,24,28,32,36,40),0)/100)))))/Skills!H7,1)))/Inputs!$B$43),G1864*Q1864))*IF(Inputs!$B$38="pvp",1,(1+(Inputs!$B$21+Skills!Q7+(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5">
      <c r="A1865">
        <f>Skills!A8</f>
        <v/>
      </c>
      <c r="B1865">
        <f>Skills!B8</f>
        <v/>
      </c>
      <c r="C1865">
        <f>Inputs!$B$3&gt;=110</f>
        <v/>
      </c>
      <c r="D1865">
        <f>IF(Skills!C8=1,60+Inputs!$B$25+Inputs!$B$29,IF(Skills!C8=2,90+Inputs!$B$26+Inputs!$B$29,IF(Skills!C8=3,120+Inputs!$B$27+Inputs!$B$29,MAX(0,(Inputs!$B$3-100)*3)+Inputs!$B$28+Inputs!$B$29)))</f>
        <v/>
      </c>
      <c r="E1865">
        <f>INDEX(FactorTable!$B$2:$Y$301, MATCH(ROUND(MIN(300,MAX(1,D1865)),0), FactorTable!$A$2:$A$301,0), Skills!M8+1)</f>
        <v/>
      </c>
      <c r="F1865">
        <f>IF(Skills!N8=TRUE,(Skills!L8/10)*(E1865/1000),Skills!L8/10)+Skills!O8</f>
        <v/>
      </c>
      <c r="G1865">
        <f>Skills!G8*IF(Skills!H8&gt;0,Skills!I8/Skills!H8,1)</f>
        <v/>
      </c>
      <c r="H1865">
        <f>1-(1-Skills!J8/100)^Skills!K8</f>
        <v/>
      </c>
      <c r="I1865" t="inlineStr">
        <is>
          <t>1</t>
        </is>
      </c>
      <c r="J1865">
        <f>((Inputs!$B$6*(1+Inputs!$B$7/100))+(((Inputs!$B$12*(1+Inputs!$B$13/100))-(Inputs!$B$12*(1+Inputs!$B$13/100)))+0.25*(Inputs!$B$14-Inputs!$B$14))*(1+Inputs!$B$7/100))*(F1865/100)</f>
        <v/>
      </c>
      <c r="K1865">
        <f>J1865*(1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1865)</f>
        <v/>
      </c>
      <c r="L1865">
        <f>K1865*(MIN(Inputs!$B$22+((C1877=TRUE)*(F1877-Calc!F20)),(Inputs!$B$23+0+(IF(ArtifactsInput!$M$15,CHOOSE(ArtifactsInput!$N$15+1,25,30,35,40,45,50)/100*(Inputs!$B$11-Inputs!$B$11),0))))/100+(Inputs!$B$23+0+(IF(ArtifactsInput!$M$15,CHOOSE(ArtifactsInput!$N$15+1,25,30,35,40,45,50)/100*(Inputs!$B$11-Inputs!$B$11),0)))/100)/2</f>
        <v/>
      </c>
      <c r="M1865">
        <f>L1865*(1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5">
        <f>L1865*(1-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1865*(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5">
        <f>(1-Summary!$B$11)*T1865+Summary!$B$11*V1865</f>
        <v/>
      </c>
      <c r="P1865">
        <f>IF(B1892=0,0,O1865/B1892)</f>
        <v/>
      </c>
      <c r="Q1865">
        <f>IFERROR(1/(IF(Inputs!$B$38="pvp",15,MAX(0.1,Skills!D8-IF(Skills!E8=TRUE,Inputs!$B$32,0)))*(1-IF(AND(ArtifactsInput!$M$27,Inputs!$B$4="Chapter Hunt"),CHOOSE(ArtifactsInput!$N$27+1,20,24,28,32,36,40),0)/100)),0)</f>
        <v/>
      </c>
      <c r="R1865">
        <f>IF(AND(Inputs!$B$38&lt;&gt;"pvp",Inputs!$B$43&gt;0),IF(MAX(0,Inputs!$B$43-B1889)&lt;=0,0,(INT(MAX(0,Inputs!$B$43-B1889)/(IF(Inputs!$B$38="pvp",15,MAX(0.1,Skills!D8-IF(Skills!E8=TRUE,Inputs!$B$32,0)))*(1-IF(AND(ArtifactsInput!$M$27,Inputs!$B$4="Chapter Hunt"),CHOOSE(ArtifactsInput!$N$27+1,20,24,28,32,36,40),0)/100)))+1)),0)</f>
        <v/>
      </c>
      <c r="S1865">
        <f>IFERROR(O1865/N1865,0)</f>
        <v/>
      </c>
      <c r="T1865">
        <f>IF(C1865,(H1865*N1865*IF(AND(Inputs!$B$38&lt;&gt;"pvp",Inputs!$B$43&gt;0),((Skills!G8*((R1865-1)*IF(Skills!H8&gt;0,Skills!I8/Skills!H8,1)+IF(Skills!H8&gt;0,MIN(Skills!I8,MAX(0,MAX(0,Inputs!$B$43-B1889)-((R1865-1)*(IF(Inputs!$B$38="pvp",15,MAX(0.1,Skills!D8-IF(Skills!E8=TRUE,Inputs!$B$32,0)))*(1-IF(AND(ArtifactsInput!$M$27,Inputs!$B$4="Chapter Hunt"),CHOOSE(ArtifactsInput!$N$27+1,20,24,28,32,36,40),0)/100)))))/Skills!H8,1)))/Inputs!$B$43),G1865*Q1865)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1865*(1-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1865*(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1865*(1-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1865*(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5">
        <f>IF(C1865,(H1865*N1865*IF(AND(Inputs!$B$38&lt;&gt;"pvp",Inputs!$B$43&gt;0),((Skills!G8*((R1865-1)*IF(Skills!H8&gt;0,Skills!I8/Skills!H8,1)+IF(Skills!H8&gt;0,MIN(Skills!I8,MAX(0,MAX(0,Inputs!$B$43-B1889)-((R1865-1)*(IF(Inputs!$B$38="pvp",15,MAX(0.1,Skills!D8-IF(Skills!E8=TRUE,Inputs!$B$32,0)))*(1-IF(AND(ArtifactsInput!$M$27,Inputs!$B$4="Chapter Hunt"),CHOOSE(ArtifactsInput!$N$27+1,20,24,28,32,36,40),0)/100)))))/Skills!H8,1)))/Inputs!$B$43),G1865*Q1865))*IF(Inputs!$B$38="pvp",1,(1+(Inputs!$B$21+Skills!Q8+(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6">
      <c r="A1866">
        <f>Skills!A9</f>
        <v/>
      </c>
      <c r="B1866">
        <f>Skills!B9</f>
        <v/>
      </c>
      <c r="C1866">
        <f>Inputs!$B$3&gt;=110</f>
        <v/>
      </c>
      <c r="D1866">
        <f>IF(Skills!C9=1,60+Inputs!$B$25+Inputs!$B$29,IF(Skills!C9=2,90+Inputs!$B$26+Inputs!$B$29,IF(Skills!C9=3,120+Inputs!$B$27+Inputs!$B$29,MAX(0,(Inputs!$B$3-100)*3)+Inputs!$B$28+Inputs!$B$29)))</f>
        <v/>
      </c>
      <c r="E1866">
        <f>INDEX(FactorTable!$B$2:$Y$301, MATCH(ROUND(MIN(300,MAX(1,D1866)),0), FactorTable!$A$2:$A$301,0), Skills!M9+1)</f>
        <v/>
      </c>
      <c r="F1866">
        <f>IF(Skills!N9=TRUE,(Skills!L9/10)*(E1866/1000),Skills!L9/10)+Skills!O9</f>
        <v/>
      </c>
      <c r="G1866">
        <f>Skills!G9*IF(Skills!H9&gt;0,Skills!I9/Skills!H9,1)</f>
        <v/>
      </c>
      <c r="H1866">
        <f>1-(1-Skills!J9/100)^Skills!K9</f>
        <v/>
      </c>
      <c r="I1866" t="inlineStr">
        <is>
          <t>1</t>
        </is>
      </c>
      <c r="J1866">
        <f>((Inputs!$B$6*(1+Inputs!$B$7/100))+(((Inputs!$B$12*(1+Inputs!$B$13/100))-(Inputs!$B$12*(1+Inputs!$B$13/100)))+0.25*(Inputs!$B$14-Inputs!$B$14))*(1+Inputs!$B$7/100))*(F1866/100)</f>
        <v/>
      </c>
      <c r="K1866">
        <f>J1866*(1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1866)</f>
        <v/>
      </c>
      <c r="L1866">
        <f>K1866*(MIN(Inputs!$B$22+((C1877=TRUE)*(F1877-Calc!F20)),(Inputs!$B$23+0+(IF(ArtifactsInput!$M$15,CHOOSE(ArtifactsInput!$N$15+1,25,30,35,40,45,50)/100*(Inputs!$B$11-Inputs!$B$11),0))))/100+(Inputs!$B$23+0+(IF(ArtifactsInput!$M$15,CHOOSE(ArtifactsInput!$N$15+1,25,30,35,40,45,50)/100*(Inputs!$B$11-Inputs!$B$11),0)))/100)/2</f>
        <v/>
      </c>
      <c r="M1866">
        <f>L1866*(1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6">
        <f>L1866*(1-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1866*(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6">
        <f>(1-Summary!$B$11)*T1866+Summary!$B$11*V1866</f>
        <v/>
      </c>
      <c r="P1866">
        <f>IF(B1892=0,0,O1866/B1892)</f>
        <v/>
      </c>
      <c r="Q1866">
        <f>IFERROR(1/(IF(Inputs!$B$38="pvp",15,MAX(0.1,Skills!D9-IF(Skills!E9=TRUE,Inputs!$B$32,0)))*(1-IF(AND(ArtifactsInput!$M$27,Inputs!$B$4="Chapter Hunt"),CHOOSE(ArtifactsInput!$N$27+1,20,24,28,32,36,40),0)/100)),0)</f>
        <v/>
      </c>
      <c r="R1866">
        <f>IF(AND(Inputs!$B$38&lt;&gt;"pvp",Inputs!$B$43&gt;0),IF(MAX(0,Inputs!$B$43-B1889)&lt;=0,0,(INT(MAX(0,Inputs!$B$43-B1889)/(IF(Inputs!$B$38="pvp",15,MAX(0.1,Skills!D9-IF(Skills!E9=TRUE,Inputs!$B$32,0)))*(1-IF(AND(ArtifactsInput!$M$27,Inputs!$B$4="Chapter Hunt"),CHOOSE(ArtifactsInput!$N$27+1,20,24,28,32,36,40),0)/100)))+1)),0)</f>
        <v/>
      </c>
      <c r="S1866">
        <f>IFERROR(O1866/N1866,0)</f>
        <v/>
      </c>
      <c r="T1866">
        <f>IF(C1866,(H1866*N1866*IF(AND(Inputs!$B$38&lt;&gt;"pvp",Inputs!$B$43&gt;0),((Skills!G9*((R1866-1)*IF(Skills!H9&gt;0,Skills!I9/Skills!H9,1)+IF(Skills!H9&gt;0,MIN(Skills!I9,MAX(0,MAX(0,Inputs!$B$43-B1889)-((R1866-1)*(IF(Inputs!$B$38="pvp",15,MAX(0.1,Skills!D9-IF(Skills!E9=TRUE,Inputs!$B$32,0)))*(1-IF(AND(ArtifactsInput!$M$27,Inputs!$B$4="Chapter Hunt"),CHOOSE(ArtifactsInput!$N$27+1,20,24,28,32,36,40),0)/100)))))/Skills!H9,1)))/Inputs!$B$43),G1866*Q1866)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1866*(1-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1866*(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1866*(1-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1866*(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6">
        <f>IF(C1866,(H1866*N1866*IF(AND(Inputs!$B$38&lt;&gt;"pvp",Inputs!$B$43&gt;0),((Skills!G9*((R1866-1)*IF(Skills!H9&gt;0,Skills!I9/Skills!H9,1)+IF(Skills!H9&gt;0,MIN(Skills!I9,MAX(0,MAX(0,Inputs!$B$43-B1889)-((R1866-1)*(IF(Inputs!$B$38="pvp",15,MAX(0.1,Skills!D9-IF(Skills!E9=TRUE,Inputs!$B$32,0)))*(1-IF(AND(ArtifactsInput!$M$27,Inputs!$B$4="Chapter Hunt"),CHOOSE(ArtifactsInput!$N$27+1,20,24,28,32,36,40),0)/100)))))/Skills!H9,1)))/Inputs!$B$43),G1866*Q1866))*IF(Inputs!$B$38="pvp",1,(1+(Inputs!$B$21+Skills!Q9+(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7">
      <c r="A1867">
        <f>Skills!A10</f>
        <v/>
      </c>
      <c r="B1867">
        <f>Skills!B10</f>
        <v/>
      </c>
      <c r="C1867">
        <f>Inputs!$B$3&gt;=103</f>
        <v/>
      </c>
      <c r="D1867">
        <f>IF(Skills!C10=1,60+Inputs!$B$25+Inputs!$B$29,IF(Skills!C10=2,90+Inputs!$B$26+Inputs!$B$29,IF(Skills!C10=3,120+Inputs!$B$27+Inputs!$B$29,MAX(0,(Inputs!$B$3-100)*3)+Inputs!$B$28+Inputs!$B$29)))</f>
        <v/>
      </c>
      <c r="E1867">
        <f>INDEX(FactorTable!$B$2:$Y$301, MATCH(ROUND(MIN(300,MAX(1,D1867)),0), FactorTable!$A$2:$A$301,0), Skills!M10+1)</f>
        <v/>
      </c>
      <c r="F1867">
        <f>IF(Skills!N10=TRUE,(Skills!L10/10)*(E1867/1000),Skills!L10/10)+Skills!O10</f>
        <v/>
      </c>
      <c r="G1867">
        <f>Skills!G10*IF(Skills!H10&gt;0,Skills!I10/Skills!H10,1)</f>
        <v/>
      </c>
      <c r="H1867">
        <f>1-(1-Skills!J10/100)^Skills!K10</f>
        <v/>
      </c>
      <c r="I1867" t="inlineStr">
        <is>
          <t>1</t>
        </is>
      </c>
      <c r="J1867">
        <f>((Inputs!$B$6*(1+Inputs!$B$7/100))+(((Inputs!$B$12*(1+Inputs!$B$13/100))-(Inputs!$B$12*(1+Inputs!$B$13/100)))+0.25*(Inputs!$B$14-Inputs!$B$14))*(1+Inputs!$B$7/100))*(F1867/100)</f>
        <v/>
      </c>
      <c r="K1867">
        <f>J1867*(1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1867)</f>
        <v/>
      </c>
      <c r="L1867">
        <f>K1867*(MIN(Inputs!$B$22+((C1877=TRUE)*(F1877-Calc!F20)),(Inputs!$B$23+0+(IF(ArtifactsInput!$M$15,CHOOSE(ArtifactsInput!$N$15+1,25,30,35,40,45,50)/100*(Inputs!$B$11-Inputs!$B$11),0))))/100+(Inputs!$B$23+0+(IF(ArtifactsInput!$M$15,CHOOSE(ArtifactsInput!$N$15+1,25,30,35,40,45,50)/100*(Inputs!$B$11-Inputs!$B$11),0)))/100)/2</f>
        <v/>
      </c>
      <c r="M1867">
        <f>L1867*(1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7">
        <f>L1867*(1-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1867*(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7">
        <f>(1-Summary!$B$11)*T1867+Summary!$B$11*V1867</f>
        <v/>
      </c>
      <c r="P1867">
        <f>IF(B1892=0,0,O1867/B1892)</f>
        <v/>
      </c>
      <c r="Q1867">
        <f>IFERROR(1/(IF(Inputs!$B$38="pvp",15,MAX(0.1,Skills!D10-IF(Skills!E10=TRUE,Inputs!$B$32,0)))*(1-IF(AND(ArtifactsInput!$M$27,Inputs!$B$4="Chapter Hunt"),CHOOSE(ArtifactsInput!$N$27+1,20,24,28,32,36,40),0)/100)),0)</f>
        <v/>
      </c>
      <c r="R1867">
        <f>IF(AND(Inputs!$B$38&lt;&gt;"pvp",Inputs!$B$43&gt;0),IF(MAX(0,Inputs!$B$43-B1889)&lt;=0,0,(INT(MAX(0,Inputs!$B$43-B1889)/(IF(Inputs!$B$38="pvp",15,MAX(0.1,Skills!D10-IF(Skills!E10=TRUE,Inputs!$B$32,0)))*(1-IF(AND(ArtifactsInput!$M$27,Inputs!$B$4="Chapter Hunt"),CHOOSE(ArtifactsInput!$N$27+1,20,24,28,32,36,40),0)/100)))+1)),0)</f>
        <v/>
      </c>
      <c r="S1867">
        <f>IFERROR(O1867/N1867,0)</f>
        <v/>
      </c>
      <c r="T1867">
        <f>IF(C1867,(H1867*N1867*IF(AND(Inputs!$B$38&lt;&gt;"pvp",Inputs!$B$43&gt;0),((Skills!G10*((R1867-1)*IF(Skills!H10&gt;0,Skills!I10/Skills!H10,1)+IF(Skills!H10&gt;0,MIN(Skills!I10,MAX(0,MAX(0,Inputs!$B$43-B1889)-((R1867-1)*(IF(Inputs!$B$38="pvp",15,MAX(0.1,Skills!D10-IF(Skills!E10=TRUE,Inputs!$B$32,0)))*(1-IF(AND(ArtifactsInput!$M$27,Inputs!$B$4="Chapter Hunt"),CHOOSE(ArtifactsInput!$N$27+1,20,24,28,32,36,40),0)/100)))))/Skills!H10,1)))/Inputs!$B$43),G1867*Q1867)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1867*(1-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1867*(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1867*(1-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1867*(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7">
        <f>IF(C1867,(H1867*N1867*IF(AND(Inputs!$B$38&lt;&gt;"pvp",Inputs!$B$43&gt;0),((Skills!G10*((R1867-1)*IF(Skills!H10&gt;0,Skills!I10/Skills!H10,1)+IF(Skills!H10&gt;0,MIN(Skills!I10,MAX(0,MAX(0,Inputs!$B$43-B1889)-((R1867-1)*(IF(Inputs!$B$38="pvp",15,MAX(0.1,Skills!D10-IF(Skills!E10=TRUE,Inputs!$B$32,0)))*(1-IF(AND(ArtifactsInput!$M$27,Inputs!$B$4="Chapter Hunt"),CHOOSE(ArtifactsInput!$N$27+1,20,24,28,32,36,40),0)/100)))))/Skills!H10,1)))/Inputs!$B$43),G1867*Q1867))*IF(Inputs!$B$38="pvp",1,(1+(Inputs!$B$21+Skills!Q10+(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8">
      <c r="A1868">
        <f>Skills!A11</f>
        <v/>
      </c>
      <c r="B1868">
        <f>Skills!B11</f>
        <v/>
      </c>
      <c r="C1868">
        <f>Inputs!$B$3&gt;=113</f>
        <v/>
      </c>
      <c r="D1868">
        <f>IF(Skills!C11=1,60+Inputs!$B$25+Inputs!$B$29,IF(Skills!C11=2,90+Inputs!$B$26+Inputs!$B$29,IF(Skills!C11=3,120+Inputs!$B$27+Inputs!$B$29,MAX(0,(Inputs!$B$3-100)*3)+Inputs!$B$28+Inputs!$B$29)))</f>
        <v/>
      </c>
      <c r="E1868">
        <f>INDEX(FactorTable!$B$2:$Y$301, MATCH(ROUND(MIN(300,MAX(1,D1868)),0), FactorTable!$A$2:$A$301,0), Skills!M11+1)</f>
        <v/>
      </c>
      <c r="F1868">
        <f>IF(Skills!N11=TRUE,(Skills!L11/10)*(E1868/1000),Skills!L11/10)+Skills!O11</f>
        <v/>
      </c>
      <c r="G1868">
        <f>Skills!G11*IF(Skills!H11&gt;0,Skills!I11/Skills!H11,1)</f>
        <v/>
      </c>
      <c r="H1868">
        <f>1-(1-Skills!J11/100)^Skills!K11</f>
        <v/>
      </c>
      <c r="I1868" t="inlineStr">
        <is>
          <t>1</t>
        </is>
      </c>
      <c r="J1868">
        <f>((Inputs!$B$6*(1+Inputs!$B$7/100))+(((Inputs!$B$12*(1+Inputs!$B$13/100))-(Inputs!$B$12*(1+Inputs!$B$13/100)))+0.25*(Inputs!$B$14-Inputs!$B$14))*(1+Inputs!$B$7/100))*(F1868/100)</f>
        <v/>
      </c>
      <c r="K1868">
        <f>J1868*(1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1868)</f>
        <v/>
      </c>
      <c r="L1868">
        <f>K1868*(MIN(Inputs!$B$22+((C1877=TRUE)*(F1877-Calc!F20)),(Inputs!$B$23+0+(IF(ArtifactsInput!$M$15,CHOOSE(ArtifactsInput!$N$15+1,25,30,35,40,45,50)/100*(Inputs!$B$11-Inputs!$B$11),0))))/100+(Inputs!$B$23+0+(IF(ArtifactsInput!$M$15,CHOOSE(ArtifactsInput!$N$15+1,25,30,35,40,45,50)/100*(Inputs!$B$11-Inputs!$B$11),0)))/100)/2</f>
        <v/>
      </c>
      <c r="M1868">
        <f>L1868*(1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8">
        <f>L1868*(1-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1868*(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8">
        <f>(1-Summary!$B$11)*T1868+Summary!$B$11*V1868</f>
        <v/>
      </c>
      <c r="P1868">
        <f>IF(B1892=0,0,O1868/B1892)</f>
        <v/>
      </c>
      <c r="Q1868">
        <f>IFERROR(1/(IF(Inputs!$B$38="pvp",15,MAX(0.1,Skills!D11-IF(Skills!E11=TRUE,Inputs!$B$32,0)))*(1-IF(AND(ArtifactsInput!$M$27,Inputs!$B$4="Chapter Hunt"),CHOOSE(ArtifactsInput!$N$27+1,20,24,28,32,36,40),0)/100)),0)</f>
        <v/>
      </c>
      <c r="R1868">
        <f>IF(AND(Inputs!$B$38&lt;&gt;"pvp",Inputs!$B$43&gt;0),IF(MAX(0,Inputs!$B$43-B1889)&lt;=0,0,(INT(MAX(0,Inputs!$B$43-B1889)/(IF(Inputs!$B$38="pvp",15,MAX(0.1,Skills!D11-IF(Skills!E11=TRUE,Inputs!$B$32,0)))*(1-IF(AND(ArtifactsInput!$M$27,Inputs!$B$4="Chapter Hunt"),CHOOSE(ArtifactsInput!$N$27+1,20,24,28,32,36,40),0)/100)))+1)),0)</f>
        <v/>
      </c>
      <c r="S1868">
        <f>IFERROR(O1868/N1868,0)</f>
        <v/>
      </c>
      <c r="T1868">
        <f>IF(C1868,(H1868*N1868*IF(AND(Inputs!$B$38&lt;&gt;"pvp",Inputs!$B$43&gt;0),((Skills!G11*((R1868-1)*IF(Skills!H11&gt;0,Skills!I11/Skills!H11,1)+IF(Skills!H11&gt;0,MIN(Skills!I11,MAX(0,MAX(0,Inputs!$B$43-B1889)-((R1868-1)*(IF(Inputs!$B$38="pvp",15,MAX(0.1,Skills!D11-IF(Skills!E11=TRUE,Inputs!$B$32,0)))*(1-IF(AND(ArtifactsInput!$M$27,Inputs!$B$4="Chapter Hunt"),CHOOSE(ArtifactsInput!$N$27+1,20,24,28,32,36,40),0)/100)))))/Skills!H11,1)))/Inputs!$B$43),G1868*Q1868)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1868*(1-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1868*(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1868*(1-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1868*(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8">
        <f>IF(C1868,(H1868*N1868*IF(AND(Inputs!$B$38&lt;&gt;"pvp",Inputs!$B$43&gt;0),((Skills!G11*((R1868-1)*IF(Skills!H11&gt;0,Skills!I11/Skills!H11,1)+IF(Skills!H11&gt;0,MIN(Skills!I11,MAX(0,MAX(0,Inputs!$B$43-B1889)-((R1868-1)*(IF(Inputs!$B$38="pvp",15,MAX(0.1,Skills!D11-IF(Skills!E11=TRUE,Inputs!$B$32,0)))*(1-IF(AND(ArtifactsInput!$M$27,Inputs!$B$4="Chapter Hunt"),CHOOSE(ArtifactsInput!$N$27+1,20,24,28,32,36,40),0)/100)))))/Skills!H11,1)))/Inputs!$B$43),G1868*Q1868))*IF(Inputs!$B$38="pvp",1,(1+(Inputs!$B$21+Skills!Q11+(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9">
      <c r="A1869">
        <f>Skills!A12</f>
        <v/>
      </c>
      <c r="B1869">
        <f>Skills!B12</f>
        <v/>
      </c>
      <c r="C1869">
        <f>Inputs!$B$3&gt;=100</f>
        <v/>
      </c>
      <c r="D1869">
        <f>IF(Skills!C12=1,60+Inputs!$B$25+Inputs!$B$29,IF(Skills!C12=2,90+Inputs!$B$26+Inputs!$B$29,IF(Skills!C12=3,120+Inputs!$B$27+Inputs!$B$29,MAX(0,(Inputs!$B$3-100)*3)+Inputs!$B$28+Inputs!$B$29)))</f>
        <v/>
      </c>
      <c r="E1869">
        <f>INDEX(FactorTable!$B$2:$Y$301, MATCH(ROUND(MIN(300,MAX(1,D1869)),0), FactorTable!$A$2:$A$301,0), Skills!M12+1)</f>
        <v/>
      </c>
      <c r="F1869">
        <f>IF(Skills!N12=TRUE,(Skills!L12/10)*(E1869/1000),Skills!L12/10)+Skills!O12</f>
        <v/>
      </c>
      <c r="G1869" t="inlineStr"/>
      <c r="H1869" t="inlineStr"/>
      <c r="I1869" t="inlineStr">
        <is>
          <t>1</t>
        </is>
      </c>
      <c r="J1869" t="inlineStr"/>
      <c r="K1869" t="inlineStr"/>
      <c r="L1869" t="inlineStr"/>
      <c r="M1869" t="inlineStr"/>
      <c r="N1869" t="inlineStr"/>
      <c r="O1869" t="inlineStr"/>
      <c r="P1869" t="inlineStr"/>
      <c r="Q1869" t="inlineStr"/>
      <c r="R1869" t="inlineStr"/>
      <c r="S1869" t="inlineStr"/>
      <c r="T1869" t="inlineStr"/>
      <c r="V1869" t="inlineStr"/>
    </row>
    <row r="1870">
      <c r="A1870">
        <f>Skills!A13</f>
        <v/>
      </c>
      <c r="B1870">
        <f>Skills!B13</f>
        <v/>
      </c>
      <c r="C1870">
        <f>Inputs!$B$3&gt;=66</f>
        <v/>
      </c>
      <c r="D1870">
        <f>IF(Skills!C13=1,60+Inputs!$B$25+Inputs!$B$29,IF(Skills!C13=2,90+Inputs!$B$26+Inputs!$B$29,IF(Skills!C13=3,120+Inputs!$B$27+Inputs!$B$29,MAX(0,(Inputs!$B$3-100)*3)+Inputs!$B$28+Inputs!$B$29)))</f>
        <v/>
      </c>
      <c r="E1870">
        <f>INDEX(FactorTable!$B$2:$Y$301, MATCH(ROUND(MIN(300,MAX(1,D1870)),0), FactorTable!$A$2:$A$301,0), Skills!M13+1)</f>
        <v/>
      </c>
      <c r="F1870">
        <f>IF(Skills!N13=TRUE,(Skills!L13/10)*(E1870/1000),Skills!L13/10)+Skills!O13</f>
        <v/>
      </c>
      <c r="G1870">
        <f>Skills!G13*IF(Skills!H13&gt;0,Skills!I13/Skills!H13,1)</f>
        <v/>
      </c>
      <c r="H1870">
        <f>1-(1-Skills!J13/100)^Skills!K13</f>
        <v/>
      </c>
      <c r="I1870" t="inlineStr">
        <is>
          <t>1</t>
        </is>
      </c>
      <c r="J1870" t="inlineStr"/>
      <c r="K1870" t="inlineStr"/>
      <c r="L1870" t="inlineStr"/>
      <c r="M1870" t="inlineStr"/>
      <c r="N1870" t="inlineStr"/>
      <c r="O1870">
        <f>(1-Summary!$B$11)*T1870+Summary!$B$11*V1870</f>
        <v/>
      </c>
      <c r="P1870">
        <f>IF(B1892=0,0,O1870/B1892)</f>
        <v/>
      </c>
      <c r="Q1870" t="n">
        <v>0</v>
      </c>
      <c r="R1870" t="n">
        <v>0</v>
      </c>
      <c r="S1870">
        <f>IFERROR(O1870/N1870,0)</f>
        <v/>
      </c>
      <c r="T1870" t="n">
        <v>0</v>
      </c>
      <c r="V1870" t="n">
        <v>0</v>
      </c>
    </row>
    <row r="1871">
      <c r="A1871">
        <f>Skills!A14</f>
        <v/>
      </c>
      <c r="B1871">
        <f>Skills!B14</f>
        <v/>
      </c>
      <c r="C1871">
        <f>Inputs!$B$3&gt;=107</f>
        <v/>
      </c>
      <c r="D1871">
        <f>IF(Skills!C14=1,60+Inputs!$B$25+Inputs!$B$29,IF(Skills!C14=2,90+Inputs!$B$26+Inputs!$B$29,IF(Skills!C14=3,120+Inputs!$B$27+Inputs!$B$29,MAX(0,(Inputs!$B$3-100)*3)+Inputs!$B$28+Inputs!$B$29)))</f>
        <v/>
      </c>
      <c r="E1871">
        <f>INDEX(FactorTable!$B$2:$Y$301, MATCH(ROUND(MIN(300,MAX(1,D1871)),0), FactorTable!$A$2:$A$301,0), Skills!M14+1)</f>
        <v/>
      </c>
      <c r="F1871">
        <f>IF(Skills!N14=TRUE,(Skills!L14/10)*(E1871/1000),Skills!L14/10)+Skills!O14</f>
        <v/>
      </c>
      <c r="G1871">
        <f>Skills!G14*IF(Skills!H14&gt;0,Skills!I14/Skills!H14,1)</f>
        <v/>
      </c>
      <c r="H1871">
        <f>1-(1-Skills!J14/100)^Skills!K14</f>
        <v/>
      </c>
      <c r="I1871" t="inlineStr">
        <is>
          <t>1</t>
        </is>
      </c>
      <c r="J1871" t="inlineStr"/>
      <c r="K1871" t="inlineStr"/>
      <c r="L1871" t="inlineStr"/>
      <c r="M1871" t="inlineStr"/>
      <c r="N1871" t="inlineStr"/>
      <c r="O1871">
        <f>(1-Summary!$B$11)*T1871+Summary!$B$11*V1871</f>
        <v/>
      </c>
      <c r="P1871">
        <f>IF(B1892=0,0,O1871/B1892)</f>
        <v/>
      </c>
      <c r="Q1871" t="n">
        <v>0</v>
      </c>
      <c r="R1871" t="n">
        <v>0</v>
      </c>
      <c r="S1871">
        <f>IFERROR(O1871/N1871,0)</f>
        <v/>
      </c>
      <c r="T1871" t="n">
        <v>0</v>
      </c>
      <c r="V1871" t="n">
        <v>0</v>
      </c>
    </row>
    <row r="1872">
      <c r="A1872">
        <f>Skills!A15</f>
        <v/>
      </c>
      <c r="B1872">
        <f>Skills!B15</f>
        <v/>
      </c>
      <c r="C1872">
        <f>Inputs!$B$3&gt;=115</f>
        <v/>
      </c>
      <c r="D1872">
        <f>IF(Skills!C15=1,60+Inputs!$B$25+Inputs!$B$29,IF(Skills!C15=2,90+Inputs!$B$26+Inputs!$B$29,IF(Skills!C15=3,120+Inputs!$B$27+Inputs!$B$29,MAX(0,(Inputs!$B$3-100)*3)+Inputs!$B$28+Inputs!$B$29)))</f>
        <v/>
      </c>
      <c r="E1872">
        <f>INDEX(FactorTable!$B$2:$Y$301, MATCH(ROUND(MIN(300,MAX(1,D1872)),0), FactorTable!$A$2:$A$301,0), Skills!M15+1)</f>
        <v/>
      </c>
      <c r="F1872">
        <f>IF(Skills!N15=TRUE,(Skills!L15/10)*(E1872/1000),Skills!L15/10)+Skills!O15</f>
        <v/>
      </c>
      <c r="G1872">
        <f>Skills!G15*IF(Skills!H15&gt;0,Skills!I15/Skills!H15,1)</f>
        <v/>
      </c>
      <c r="H1872">
        <f>1-(1-Skills!J15/100)^Skills!K15</f>
        <v/>
      </c>
      <c r="I1872" t="inlineStr">
        <is>
          <t>1</t>
        </is>
      </c>
      <c r="J1872" t="inlineStr"/>
      <c r="K1872" t="inlineStr"/>
      <c r="L1872" t="inlineStr"/>
      <c r="M1872" t="inlineStr"/>
      <c r="N1872" t="inlineStr"/>
      <c r="O1872">
        <f>(1-Summary!$B$11)*T1872+Summary!$B$11*V1872</f>
        <v/>
      </c>
      <c r="P1872">
        <f>IF(B1892=0,0,O1872/B1892)</f>
        <v/>
      </c>
      <c r="Q1872" t="n">
        <v>0</v>
      </c>
      <c r="R1872" t="n">
        <v>0</v>
      </c>
      <c r="S1872">
        <f>IFERROR(O1872/N1872,0)</f>
        <v/>
      </c>
      <c r="T1872" t="n">
        <v>0</v>
      </c>
      <c r="V1872" t="n">
        <v>0</v>
      </c>
    </row>
    <row r="1873">
      <c r="A1873">
        <f>Skills!A16</f>
        <v/>
      </c>
      <c r="B1873">
        <f>Skills!B16</f>
        <v/>
      </c>
      <c r="C1873">
        <f>Inputs!$B$3&gt;=15</f>
        <v/>
      </c>
      <c r="D1873">
        <f>IF(Skills!C16=1,60+Inputs!$B$25+Inputs!$B$29,IF(Skills!C16=2,90+Inputs!$B$26+Inputs!$B$29,IF(Skills!C16=3,120+Inputs!$B$27+Inputs!$B$29,MAX(0,(Inputs!$B$3-100)*3)+Inputs!$B$28+Inputs!$B$29)))</f>
        <v/>
      </c>
      <c r="E1873">
        <f>INDEX(FactorTable!$B$2:$Y$301, MATCH(ROUND(MIN(300,MAX(1,D1873)),0), FactorTable!$A$2:$A$301,0), Skills!M16+1)</f>
        <v/>
      </c>
      <c r="F1873">
        <f>IF(Skills!N16=TRUE,(Skills!L16/10)*(E1873/1000),Skills!L16/10)+Skills!O16</f>
        <v/>
      </c>
      <c r="G1873">
        <f>Skills!G16*IF(Skills!H16&gt;0,Skills!I16/Skills!H16,1)</f>
        <v/>
      </c>
      <c r="H1873">
        <f>1-(1-Skills!J16/100)^Skills!K16</f>
        <v/>
      </c>
      <c r="I1873" t="inlineStr">
        <is>
          <t>1</t>
        </is>
      </c>
      <c r="J1873" t="inlineStr"/>
      <c r="K1873" t="inlineStr"/>
      <c r="L1873" t="inlineStr"/>
      <c r="M1873" t="inlineStr"/>
      <c r="N1873" t="inlineStr"/>
      <c r="O1873">
        <f>(1-Summary!$B$11)*T1873+Summary!$B$11*V1873</f>
        <v/>
      </c>
      <c r="P1873">
        <f>IF(B1892=0,0,O1873/B1892)</f>
        <v/>
      </c>
      <c r="Q1873" t="n">
        <v>0</v>
      </c>
      <c r="R1873" t="n">
        <v>0</v>
      </c>
      <c r="S1873">
        <f>IFERROR(O1873/N1873,0)</f>
        <v/>
      </c>
      <c r="T1873" t="n">
        <v>0</v>
      </c>
      <c r="V1873" t="n">
        <v>0</v>
      </c>
    </row>
    <row r="1874">
      <c r="A1874">
        <f>Skills!A17</f>
        <v/>
      </c>
      <c r="B1874">
        <f>Skills!B17</f>
        <v/>
      </c>
      <c r="C1874">
        <f>Inputs!$B$3&gt;=10</f>
        <v/>
      </c>
      <c r="D1874">
        <f>IF(Skills!C17=1,60+Inputs!$B$25+Inputs!$B$29,IF(Skills!C17=2,90+Inputs!$B$26+Inputs!$B$29,IF(Skills!C17=3,120+Inputs!$B$27+Inputs!$B$29,MAX(0,(Inputs!$B$3-100)*3)+Inputs!$B$28+Inputs!$B$29)))</f>
        <v/>
      </c>
      <c r="E1874">
        <f>INDEX(FactorTable!$B$2:$Y$301, MATCH(ROUND(MIN(300,MAX(1,D1874)),0), FactorTable!$A$2:$A$301,0), Skills!M17+1)</f>
        <v/>
      </c>
      <c r="F1874">
        <f>IF(Skills!N17=TRUE,(Skills!L17/10)*(E1874/1000),Skills!L17/10)+Skills!O17</f>
        <v/>
      </c>
      <c r="G1874">
        <f>Skills!G17*IF(Skills!H17&gt;0,Skills!I17/Skills!H17,1)</f>
        <v/>
      </c>
      <c r="H1874">
        <f>1-(1-Skills!J17/100)^Skills!K17</f>
        <v/>
      </c>
      <c r="I1874" t="inlineStr">
        <is>
          <t>1</t>
        </is>
      </c>
      <c r="J1874" t="inlineStr"/>
      <c r="K1874" t="inlineStr"/>
      <c r="L1874" t="inlineStr"/>
      <c r="M1874" t="inlineStr"/>
      <c r="N1874" t="inlineStr"/>
      <c r="O1874">
        <f>(1-Summary!$B$11)*T1874+Summary!$B$11*V1874</f>
        <v/>
      </c>
      <c r="P1874">
        <f>IF(B1892=0,0,O1874/B1892)</f>
        <v/>
      </c>
      <c r="Q1874" t="n">
        <v>0</v>
      </c>
      <c r="R1874" t="n">
        <v>0</v>
      </c>
      <c r="S1874">
        <f>IFERROR(O1874/N1874,0)</f>
        <v/>
      </c>
      <c r="T1874" t="n">
        <v>0</v>
      </c>
      <c r="V1874" t="n">
        <v>0</v>
      </c>
    </row>
    <row r="1875">
      <c r="A1875">
        <f>Skills!A18</f>
        <v/>
      </c>
      <c r="B1875">
        <f>Skills!B18</f>
        <v/>
      </c>
      <c r="C1875">
        <f>Inputs!$B$3&gt;=33</f>
        <v/>
      </c>
      <c r="D1875">
        <f>IF(Skills!C18=1,60+Inputs!$B$25+Inputs!$B$29,IF(Skills!C18=2,90+Inputs!$B$26+Inputs!$B$29,IF(Skills!C18=3,120+Inputs!$B$27+Inputs!$B$29,MAX(0,(Inputs!$B$3-100)*3)+Inputs!$B$28+Inputs!$B$29)))</f>
        <v/>
      </c>
      <c r="E1875">
        <f>INDEX(FactorTable!$B$2:$Y$301, MATCH(ROUND(MIN(300,MAX(1,D1875)),0), FactorTable!$A$2:$A$301,0), Skills!M18+1)</f>
        <v/>
      </c>
      <c r="F1875">
        <f>IF(Skills!N18=TRUE,(Skills!L18/10)*(E1875/1000),Skills!L18/10)+Skills!O18</f>
        <v/>
      </c>
      <c r="G1875">
        <f>Skills!G18*IF(Skills!H18&gt;0,Skills!I18/Skills!H18,1)</f>
        <v/>
      </c>
      <c r="H1875">
        <f>1-(1-Skills!J18/100)^Skills!K18</f>
        <v/>
      </c>
      <c r="I1875" t="inlineStr">
        <is>
          <t>1</t>
        </is>
      </c>
      <c r="J1875" t="inlineStr"/>
      <c r="K1875" t="inlineStr"/>
      <c r="L1875" t="inlineStr"/>
      <c r="M1875" t="inlineStr"/>
      <c r="N1875" t="inlineStr"/>
      <c r="O1875">
        <f>(1-Summary!$B$11)*T1875+Summary!$B$11*V1875</f>
        <v/>
      </c>
      <c r="P1875">
        <f>IF(B1892=0,0,O1875/B1892)</f>
        <v/>
      </c>
      <c r="Q1875" t="n">
        <v>0</v>
      </c>
      <c r="R1875" t="n">
        <v>0</v>
      </c>
      <c r="S1875">
        <f>IFERROR(O1875/N1875,0)</f>
        <v/>
      </c>
      <c r="T1875" t="n">
        <v>0</v>
      </c>
      <c r="V1875" t="n">
        <v>0</v>
      </c>
    </row>
    <row r="1876">
      <c r="A1876">
        <f>Skills!A19</f>
        <v/>
      </c>
      <c r="B1876">
        <f>Skills!B19</f>
        <v/>
      </c>
      <c r="C1876">
        <f>Inputs!$B$3&gt;=40</f>
        <v/>
      </c>
      <c r="D1876">
        <f>IF(Skills!C19=1,60+Inputs!$B$25+Inputs!$B$29,IF(Skills!C19=2,90+Inputs!$B$26+Inputs!$B$29,IF(Skills!C19=3,120+Inputs!$B$27+Inputs!$B$29,MAX(0,(Inputs!$B$3-100)*3)+Inputs!$B$28+Inputs!$B$29)))</f>
        <v/>
      </c>
      <c r="E1876">
        <f>INDEX(FactorTable!$B$2:$Y$301, MATCH(ROUND(MIN(300,MAX(1,D1876)),0), FactorTable!$A$2:$A$301,0), Skills!M19+1)</f>
        <v/>
      </c>
      <c r="F1876">
        <f>IF(Skills!N19=TRUE,(Skills!L19/10)*(E1876/1000),Skills!L19/10)+Skills!O19</f>
        <v/>
      </c>
      <c r="G1876">
        <f>Skills!G19*IF(Skills!H19&gt;0,Skills!I19/Skills!H19,1)</f>
        <v/>
      </c>
      <c r="H1876">
        <f>1-(1-Skills!J19/100)^Skills!K19</f>
        <v/>
      </c>
      <c r="I1876" t="inlineStr">
        <is>
          <t>1</t>
        </is>
      </c>
      <c r="J1876" t="inlineStr"/>
      <c r="K1876" t="inlineStr"/>
      <c r="L1876" t="inlineStr"/>
      <c r="M1876" t="inlineStr"/>
      <c r="N1876" t="inlineStr"/>
      <c r="O1876">
        <f>(1-Summary!$B$11)*T1876+Summary!$B$11*V1876</f>
        <v/>
      </c>
      <c r="P1876">
        <f>IF(B1892=0,0,O1876/B1892)</f>
        <v/>
      </c>
      <c r="Q1876" t="n">
        <v>0</v>
      </c>
      <c r="R1876" t="n">
        <v>0</v>
      </c>
      <c r="S1876">
        <f>IFERROR(O1876/N1876,0)</f>
        <v/>
      </c>
      <c r="T1876" t="n">
        <v>0</v>
      </c>
      <c r="V1876" t="n">
        <v>0</v>
      </c>
    </row>
    <row r="1877">
      <c r="A1877">
        <f>Skills!A20</f>
        <v/>
      </c>
      <c r="B1877">
        <f>Skills!B20</f>
        <v/>
      </c>
      <c r="C1877">
        <f>Inputs!$B$3&gt;=43</f>
        <v/>
      </c>
      <c r="D1877">
        <f>IF(Skills!C20=1,60+Inputs!$B$25+Inputs!$B$29,IF(Skills!C20=2,90+Inputs!$B$26+Inputs!$B$29,IF(Skills!C20=3,120+Inputs!$B$27+Inputs!$B$29,MAX(0,(Inputs!$B$3-100)*3)+Inputs!$B$28+Inputs!$B$29)))</f>
        <v/>
      </c>
      <c r="E1877">
        <f>INDEX(FactorTable!$B$2:$Y$301, MATCH(ROUND(MIN(300,MAX(1,D1877)),0), FactorTable!$A$2:$A$301,0), Skills!M20+1)</f>
        <v/>
      </c>
      <c r="F1877">
        <f>IF(Skills!N20=TRUE,(Skills!L20/10)*(E1877/1000),Skills!L20/10)+Skills!O20</f>
        <v/>
      </c>
      <c r="G1877">
        <f>Skills!G20*IF(Skills!H20&gt;0,Skills!I20/Skills!H20,1)</f>
        <v/>
      </c>
      <c r="H1877">
        <f>1-(1-Skills!J20/100)^Skills!K20</f>
        <v/>
      </c>
      <c r="I1877" t="inlineStr">
        <is>
          <t>1</t>
        </is>
      </c>
      <c r="J1877" t="inlineStr"/>
      <c r="K1877" t="inlineStr"/>
      <c r="L1877" t="inlineStr"/>
      <c r="M1877" t="inlineStr"/>
      <c r="N1877" t="inlineStr"/>
      <c r="O1877">
        <f>(1-Summary!$B$11)*T1877+Summary!$B$11*V1877</f>
        <v/>
      </c>
      <c r="P1877">
        <f>IF(B1892=0,0,O1877/B1892)</f>
        <v/>
      </c>
      <c r="Q1877" t="n">
        <v>0</v>
      </c>
      <c r="R1877" t="n">
        <v>0</v>
      </c>
      <c r="S1877">
        <f>IFERROR(O1877/N1877,0)</f>
        <v/>
      </c>
      <c r="T1877" t="n">
        <v>0</v>
      </c>
      <c r="V1877" t="n">
        <v>0</v>
      </c>
    </row>
    <row r="1878">
      <c r="A1878">
        <f>Skills!A21</f>
        <v/>
      </c>
      <c r="B1878">
        <f>Skills!B21</f>
        <v/>
      </c>
      <c r="C1878">
        <f>Inputs!$B$3&gt;=38</f>
        <v/>
      </c>
      <c r="D1878">
        <f>IF(Skills!C21=1,60+Inputs!$B$25+Inputs!$B$29,IF(Skills!C21=2,90+Inputs!$B$26+Inputs!$B$29,IF(Skills!C21=3,120+Inputs!$B$27+Inputs!$B$29,MAX(0,(Inputs!$B$3-100)*3)+Inputs!$B$28+Inputs!$B$29)))</f>
        <v/>
      </c>
      <c r="E1878">
        <f>INDEX(FactorTable!$B$2:$Y$301, MATCH(ROUND(MIN(300,MAX(1,D1878)),0), FactorTable!$A$2:$A$301,0), Skills!M21+1)</f>
        <v/>
      </c>
      <c r="F1878">
        <f>IF(Skills!N21=TRUE,(Skills!L21/10)*(E1878/1000),Skills!L21/10)+Skills!O21</f>
        <v/>
      </c>
      <c r="G1878">
        <f>Skills!G21*IF(Skills!H21&gt;0,Skills!I21/Skills!H21,1)</f>
        <v/>
      </c>
      <c r="H1878">
        <f>1-(1-Skills!J21/100)^Skills!K21</f>
        <v/>
      </c>
      <c r="I1878" t="inlineStr">
        <is>
          <t>1</t>
        </is>
      </c>
      <c r="J1878" t="inlineStr"/>
      <c r="K1878" t="inlineStr"/>
      <c r="L1878" t="inlineStr"/>
      <c r="M1878" t="inlineStr"/>
      <c r="N1878" t="inlineStr"/>
      <c r="O1878">
        <f>(1-Summary!$B$11)*T1878+Summary!$B$11*V1878</f>
        <v/>
      </c>
      <c r="P1878">
        <f>IF(B1892=0,0,O1878/B1892)</f>
        <v/>
      </c>
      <c r="Q1878" t="n">
        <v>0</v>
      </c>
      <c r="R1878" t="n">
        <v>0</v>
      </c>
      <c r="S1878">
        <f>IFERROR(O1878/N1878,0)</f>
        <v/>
      </c>
      <c r="T1878" t="n">
        <v>0</v>
      </c>
      <c r="V1878" t="n">
        <v>0</v>
      </c>
    </row>
    <row r="1879">
      <c r="A1879">
        <f>Skills!A22</f>
        <v/>
      </c>
      <c r="B1879">
        <f>Skills!B22</f>
        <v/>
      </c>
      <c r="C1879">
        <f>Inputs!$B$3&gt;=75</f>
        <v/>
      </c>
      <c r="D1879">
        <f>IF(Skills!C22=1,60+Inputs!$B$25+Inputs!$B$29,IF(Skills!C22=2,90+Inputs!$B$26+Inputs!$B$29,IF(Skills!C22=3,120+Inputs!$B$27+Inputs!$B$29,MAX(0,(Inputs!$B$3-100)*3)+Inputs!$B$28+Inputs!$B$29)))</f>
        <v/>
      </c>
      <c r="E1879">
        <f>INDEX(FactorTable!$B$2:$Y$301, MATCH(ROUND(MIN(300,MAX(1,D1879)),0), FactorTable!$A$2:$A$301,0), Skills!M22+1)</f>
        <v/>
      </c>
      <c r="F1879">
        <f>IF(Skills!N22=TRUE,(Skills!L22/10)*(E1879/1000),Skills!L22/10)+Skills!O22</f>
        <v/>
      </c>
      <c r="G1879">
        <f>Skills!G22*IF(Skills!H22&gt;0,Skills!I22/Skills!H22,1)</f>
        <v/>
      </c>
      <c r="H1879">
        <f>1-(1-Skills!J22/100)^Skills!K22</f>
        <v/>
      </c>
      <c r="I1879" t="inlineStr">
        <is>
          <t>1</t>
        </is>
      </c>
      <c r="J1879" t="inlineStr"/>
      <c r="K1879" t="inlineStr"/>
      <c r="L1879" t="inlineStr"/>
      <c r="M1879" t="inlineStr"/>
      <c r="N1879" t="inlineStr"/>
      <c r="O1879">
        <f>(1-Summary!$B$11)*T1879+Summary!$B$11*V1879</f>
        <v/>
      </c>
      <c r="P1879">
        <f>IF(B1892=0,0,O1879/B1892)</f>
        <v/>
      </c>
      <c r="Q1879" t="n">
        <v>0</v>
      </c>
      <c r="R1879" t="n">
        <v>0</v>
      </c>
      <c r="S1879">
        <f>IFERROR(O1879/N1879,0)</f>
        <v/>
      </c>
      <c r="T1879" t="n">
        <v>0</v>
      </c>
      <c r="V1879" t="n">
        <v>0</v>
      </c>
    </row>
    <row r="1881">
      <c r="A1881" t="inlineStr">
        <is>
          <t>Attack% Bucket Multiplier</t>
        </is>
      </c>
      <c r="B1881">
        <f>(1+(((C1870=TRUE)*F1870)+((C1876=TRUE)*(F1876-Calc!F19))+(IF(ArtifactsInput!$M$21,CHOOSE(ArtifactsInput!$N$21+1,25,30,35,40,45,50)*(IF(OR(Inputs!$B$4="Chapter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82">
      <c r="A1882" t="inlineStr">
        <is>
          <t>Global Crit Rate Bonus %</t>
        </is>
      </c>
      <c r="B1882" t="n">
        <v>0</v>
      </c>
    </row>
    <row r="1883">
      <c r="A1883" t="inlineStr">
        <is>
          <t>Attack Speed Buff Bonus % (unused)</t>
        </is>
      </c>
      <c r="B1883" t="n">
        <v>0</v>
      </c>
    </row>
    <row r="1884">
      <c r="A1884" t="inlineStr">
        <is>
          <t>Actions Per Second</t>
        </is>
      </c>
      <c r="B1884">
        <f>1+MIN(150,150*(1-(1-(Inputs!$B$11+((C1874=TRUE)*(F1874-Calc!F17))+((C1875=TRUE)*(F1875-Calc!F18)))/150)*(1-B1883/150)))/100</f>
        <v/>
      </c>
    </row>
    <row r="1885">
      <c r="A1885" t="inlineStr">
        <is>
          <t>Skill + Buff Cast Rate</t>
        </is>
      </c>
      <c r="B1885">
        <f>IF(AND(Inputs!$B$38&lt;&gt;"pvp",Inputs!$B$43&gt;0),SUMPRODUCT((Skills!E2:E22=TRUE)*(C1859:C1879=TRUE)*R1859:R1879*Skills!F2:F22)/Inputs!$B$43,SUMPRODUCT((Skills!E2:E22=TRUE)*(C1859:C1879=TRUE)*Q1859:Q1879*Skills!F2:F22))</f>
        <v/>
      </c>
    </row>
    <row r="1886">
      <c r="A1886" t="inlineStr">
        <is>
          <t>Hook Bomber Casts Per Second</t>
        </is>
      </c>
      <c r="B1886">
        <f>MAX(0,B1884-B1885)</f>
        <v/>
      </c>
    </row>
    <row r="1887">
      <c r="A1887" t="inlineStr">
        <is>
          <t>Global Critical Damage Bonus % (unused)</t>
        </is>
      </c>
      <c r="B1887" t="n">
        <v>0</v>
      </c>
    </row>
    <row r="1888">
      <c r="A1888" t="inlineStr">
        <is>
          <t>Global Final Damage Bonus % (Serpent Scale + Crossbones + Time Leap + Speed Infusion)</t>
        </is>
      </c>
      <c r="B1888">
        <f>((C1862=TRUE)*F1862*((10+IF(Inputs!$B$3&gt;=94,5,0))/((10+IF(Inputs!$B$3&gt;=94,5,0))+5/(B1886*(1+IF(Inputs!$B$3&gt;=104,1,0))))))+((C1871=TRUE)*F1871)+((C1872=TRUE)*F1872)+((Inputs!$B$3&gt;=110)*20*(B1884-1))</f>
        <v/>
      </c>
    </row>
    <row r="1889">
      <c r="A1889" t="inlineStr">
        <is>
          <t>Buff-Casting Startup Delay (s, fixed-duration only)</t>
        </is>
      </c>
      <c r="B1889">
        <f>IF(AND(Inputs!$B$38&lt;&gt;"pvp",Inputs!$B$43&gt;0),SUMPRODUCT((Skills!T2:T22&gt;0)*(Skills!E2:E22=TRUE)*(C1859:C1879=TRUE))/B1884,0)</f>
        <v/>
      </c>
    </row>
    <row r="1890">
      <c r="A1890" t="inlineStr">
        <is>
          <t>Boss-Only Total DPS (this block's swept value)</t>
        </is>
      </c>
      <c r="B1890">
        <f>SUM(T1859:T1879)</f>
        <v/>
      </c>
    </row>
    <row r="1891">
      <c r="A1891" t="inlineStr">
        <is>
          <t>Normal-Only Total DPS (this block's swept value)</t>
        </is>
      </c>
      <c r="B1891">
        <f>SUM(V1859:V1879)</f>
        <v/>
      </c>
    </row>
    <row r="1892">
      <c r="A1892" s="6" t="inlineStr">
        <is>
          <t>TOTAL DPS</t>
        </is>
      </c>
      <c r="B1892" s="6">
        <f>SUM(O1859:O1879)</f>
        <v/>
      </c>
    </row>
    <row r="1895">
      <c r="A1895" s="6" t="inlineStr">
        <is>
          <t>Stat: Soul Pouch (Equip)</t>
        </is>
      </c>
    </row>
    <row r="1896">
      <c r="A1896" s="5" t="inlineStr">
        <is>
          <t>Key</t>
        </is>
      </c>
      <c r="B1896" s="5" t="inlineStr">
        <is>
          <t>Name</t>
        </is>
      </c>
      <c r="C1896" s="5" t="inlineStr">
        <is>
          <t>Unlocked</t>
        </is>
      </c>
      <c r="D1896" s="5" t="inlineStr">
        <is>
          <t>InputLevel</t>
        </is>
      </c>
      <c r="E1896" s="5" t="inlineStr">
        <is>
          <t>Factor</t>
        </is>
      </c>
      <c r="F1896" s="5" t="inlineStr">
        <is>
          <t>CoefficientPercent</t>
        </is>
      </c>
      <c r="G1896" s="5" t="inlineStr">
        <is>
          <t>EffectiveHits</t>
        </is>
      </c>
      <c r="H1896" s="5" t="inlineStr">
        <is>
          <t>ProcProbability</t>
        </is>
      </c>
      <c r="I1896" s="5" t="inlineStr">
        <is>
          <t>MapleHeroMultiplier</t>
        </is>
      </c>
      <c r="J1896" s="5" t="inlineStr">
        <is>
          <t>BaseDamage</t>
        </is>
      </c>
      <c r="K1896" s="5" t="inlineStr">
        <is>
          <t>BaseHitDamage</t>
        </is>
      </c>
      <c r="L1896" s="5" t="inlineStr">
        <is>
          <t>NonCritAvg</t>
        </is>
      </c>
      <c r="M1896" s="5" t="inlineStr">
        <is>
          <t>CritAvg</t>
        </is>
      </c>
      <c r="N1896" s="5" t="inlineStr">
        <is>
          <t>ExpectedDamage(perHit)</t>
        </is>
      </c>
      <c r="O1896" s="5" t="inlineStr">
        <is>
          <t>DPS</t>
        </is>
      </c>
      <c r="P1896" s="5" t="inlineStr">
        <is>
          <t>% of Total</t>
        </is>
      </c>
      <c r="Q1896" s="5" t="inlineStr">
        <is>
          <t>InvCooldown</t>
        </is>
      </c>
      <c r="R1896" s="5" t="inlineStr">
        <is>
          <t>CastsInFight</t>
        </is>
      </c>
      <c r="S1896" s="5" t="inlineStr">
        <is>
          <t>HitRate(perSec)</t>
        </is>
      </c>
      <c r="U1896" t="inlineStr">
        <is>
          <t>helpers</t>
        </is>
      </c>
    </row>
    <row r="1897">
      <c r="A1897">
        <f>Skills!A2</f>
        <v/>
      </c>
      <c r="B1897">
        <f>Skills!B2</f>
        <v/>
      </c>
      <c r="C1897">
        <f>Inputs!$B$3&gt;=100</f>
        <v/>
      </c>
      <c r="D1897" t="inlineStr"/>
      <c r="E1897" t="inlineStr"/>
      <c r="F1897">
        <f>U1899+Skills!O2</f>
        <v/>
      </c>
      <c r="G1897">
        <f>Skills!G2*IF(Skills!H2&gt;0,Skills!I2/Skills!H2,1)</f>
        <v/>
      </c>
      <c r="H1897">
        <f>1-(1-Skills!J2/100)^Skills!K2</f>
        <v/>
      </c>
      <c r="I1897" t="inlineStr">
        <is>
          <t>1</t>
        </is>
      </c>
      <c r="J1897">
        <f>((Inputs!$B$6*(1+Inputs!$B$7/100))+(((Inputs!$B$12*(1+Inputs!$B$13/100))-(Inputs!$B$12*(1+Inputs!$B$13/100)))+0.25*(Inputs!$B$14-Inputs!$B$14))*(1+Inputs!$B$7/100))*(F1897/100)</f>
        <v/>
      </c>
      <c r="K1897">
        <f>J1897*(1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1897)</f>
        <v/>
      </c>
      <c r="L1897">
        <f>K1897*(MIN(Inputs!$B$22+((C1915=TRUE)*(F1915-Calc!F20)),(Inputs!$B$23+0+(IF(ArtifactsInput!$M$15,CHOOSE(ArtifactsInput!$N$15+1,25,30,35,40,45,50)/100*(Inputs!$B$11-Inputs!$B$11),0))))/100+(Inputs!$B$23+0+(IF(ArtifactsInput!$M$15,CHOOSE(ArtifactsInput!$N$15+1,25,30,35,40,45,50)/100*(Inputs!$B$11-Inputs!$B$11),0)))/100)/2</f>
        <v/>
      </c>
      <c r="M1897">
        <f>L1897*(1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7">
        <f>L1897*(1-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1897*(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7">
        <f>(1-Summary!$B$11)*T1897+Summary!$B$11*V1897</f>
        <v/>
      </c>
      <c r="P1897">
        <f>IF(B1930=0,0,O1897/B1930)</f>
        <v/>
      </c>
      <c r="Q1897" t="n">
        <v>0</v>
      </c>
      <c r="R1897" t="n">
        <v>0</v>
      </c>
      <c r="S1897">
        <f>IFERROR(O1897/N1897,0)</f>
        <v/>
      </c>
      <c r="T1897">
        <f>IF(C1897,(Skills!G2*N1897*B1924)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1897*(1-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1897*(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1897*(1-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1897*(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7">
        <f>MAX(0,(Inputs!$B$3-100)*3)+Inputs!$B$28+Inputs!$B$29</f>
        <v/>
      </c>
      <c r="V1897">
        <f>IF(C1897,(Skills!G2*N1897*B1924)*IF(Inputs!$B$38="pvp",1,(1+(Inputs!$B$21+Skills!Q2+(IF(ArtifactsInput!$M$33,CHOOSE(ArtifactsInput!$N$33+1,30,36,42,48,54,60),0))+(IF(AND(ArtifactsInput!$M$35,Inputs!$B$4&lt;&gt;"Chapter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8">
      <c r="A1898">
        <f>Skills!A3</f>
        <v/>
      </c>
      <c r="B1898">
        <f>Skills!B3</f>
        <v/>
      </c>
      <c r="C1898">
        <f>Inputs!$B$3&gt;=35</f>
        <v/>
      </c>
      <c r="D1898">
        <f>IF(Skills!C3=1,60+Inputs!$B$25+Inputs!$B$29,IF(Skills!C3=2,90+Inputs!$B$26+Inputs!$B$29,IF(Skills!C3=3,120+Inputs!$B$27+Inputs!$B$29,MAX(0,(Inputs!$B$3-100)*3)+Inputs!$B$28+Inputs!$B$29)))</f>
        <v/>
      </c>
      <c r="E1898">
        <f>INDEX(FactorTable!$B$2:$Y$301, MATCH(ROUND(MIN(300,MAX(1,D1898)),0), FactorTable!$A$2:$A$301,0), Skills!M3+1)</f>
        <v/>
      </c>
      <c r="F1898">
        <f>IF(Skills!N3=TRUE,(Skills!L3/10)*(E1898/1000),Skills!L3/10)+Skills!O3</f>
        <v/>
      </c>
      <c r="G1898">
        <f>Skills!G3*IF(Skills!H3&gt;0,Skills!I3/Skills!H3,1)</f>
        <v/>
      </c>
      <c r="H1898">
        <f>1-(1-Skills!J3/100)^Skills!K3</f>
        <v/>
      </c>
      <c r="I1898" t="inlineStr">
        <is>
          <t>1</t>
        </is>
      </c>
      <c r="J1898">
        <f>((Inputs!$B$6*(1+Inputs!$B$7/100))+(((Inputs!$B$12*(1+Inputs!$B$13/100))-(Inputs!$B$12*(1+Inputs!$B$13/100)))+0.25*(Inputs!$B$14-Inputs!$B$14))*(1+Inputs!$B$7/100))*(F1898/100)</f>
        <v/>
      </c>
      <c r="K1898">
        <f>J1898*(1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1898)</f>
        <v/>
      </c>
      <c r="L1898">
        <f>K1898*(MIN(Inputs!$B$22+((C1915=TRUE)*(F1915-Calc!F20)),(Inputs!$B$23+0+(IF(ArtifactsInput!$M$15,CHOOSE(ArtifactsInput!$N$15+1,25,30,35,40,45,50)/100*(Inputs!$B$11-Inputs!$B$11),0))))/100+(Inputs!$B$23+0+(IF(ArtifactsInput!$M$15,CHOOSE(ArtifactsInput!$N$15+1,25,30,35,40,45,50)/100*(Inputs!$B$11-Inputs!$B$11),0)))/100)/2</f>
        <v/>
      </c>
      <c r="M1898">
        <f>L1898*(1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8">
        <f>L1898*(1-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1898*(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8">
        <f>(1-Summary!$B$11)*T1898+Summary!$B$11*V1898</f>
        <v/>
      </c>
      <c r="P1898">
        <f>IF(B1930=0,0,O1898/B1930)</f>
        <v/>
      </c>
      <c r="Q1898" t="n">
        <v>0</v>
      </c>
      <c r="R1898" t="n">
        <v>0</v>
      </c>
      <c r="S1898">
        <f>IFERROR(O1898/N1898,0)</f>
        <v/>
      </c>
      <c r="T1898">
        <f>IF(C1898,(Skills!G3*H1898*N1898*B1924)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1898*(1-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1898*(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1898*(1-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1898*(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8">
        <f>INDEX(FactorTable!$B$2:$Y$301, MATCH(ROUND(MIN(300,MAX(1,U1897)),0), FactorTable!$A$2:$A$301,0), 22)</f>
        <v/>
      </c>
      <c r="V1898">
        <f>IF(C1898,(Skills!G3*H1898*N1898*B1924)*IF(Inputs!$B$38="pvp",1,(1+(Inputs!$B$21+Skills!Q3+(IF(ArtifactsInput!$M$33,CHOOSE(ArtifactsInput!$N$33+1,30,36,42,48,54,60),0))+(IF(AND(ArtifactsInput!$M$35,Inputs!$B$4&lt;&gt;"Chapter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9">
      <c r="A1899">
        <f>Skills!A4</f>
        <v/>
      </c>
      <c r="B1899">
        <f>Skills!B4</f>
        <v/>
      </c>
      <c r="C1899">
        <f>Inputs!$B$3&gt;=60</f>
        <v/>
      </c>
      <c r="D1899">
        <f>IF(Skills!C4=1,60+Inputs!$B$25+Inputs!$B$29,IF(Skills!C4=2,90+Inputs!$B$26+Inputs!$B$29,IF(Skills!C4=3,120+Inputs!$B$27+Inputs!$B$29,MAX(0,(Inputs!$B$3-100)*3)+Inputs!$B$28+Inputs!$B$29)))</f>
        <v/>
      </c>
      <c r="E1899">
        <f>INDEX(FactorTable!$B$2:$Y$301, MATCH(ROUND(MIN(300,MAX(1,D1899)),0), FactorTable!$A$2:$A$301,0), Skills!M4+1)</f>
        <v/>
      </c>
      <c r="F1899">
        <f>IF(Skills!N4=TRUE,(Skills!L4/10)*(E1899/1000),Skills!L4/10)+Skills!O4</f>
        <v/>
      </c>
      <c r="G1899">
        <f>Skills!G4*IF(Skills!H4&gt;0,Skills!I4/Skills!H4,1)</f>
        <v/>
      </c>
      <c r="H1899">
        <f>1-(1-Skills!J4/100)^Skills!K4</f>
        <v/>
      </c>
      <c r="I1899" t="inlineStr">
        <is>
          <t>1</t>
        </is>
      </c>
      <c r="J1899">
        <f>((Inputs!$B$6*(1+Inputs!$B$7/100))+(((Inputs!$B$12*(1+Inputs!$B$13/100))-(Inputs!$B$12*(1+Inputs!$B$13/100)))+0.25*(Inputs!$B$14-Inputs!$B$14))*(1+Inputs!$B$7/100))*(F1899/100)</f>
        <v/>
      </c>
      <c r="K1899">
        <f>J1899*(1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1907=TRUE,F1907,0)/100)*(1+(IF(Skills!A4="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1899)</f>
        <v/>
      </c>
      <c r="L1899">
        <f>K1899*(MIN(Inputs!$B$22+((C1915=TRUE)*(F1915-Calc!F20)),(Inputs!$B$23+0+(IF(ArtifactsInput!$M$15,CHOOSE(ArtifactsInput!$N$15+1,25,30,35,40,45,50)/100*(Inputs!$B$11-Inputs!$B$11),0))))/100+(Inputs!$B$23+0+(IF(ArtifactsInput!$M$15,CHOOSE(ArtifactsInput!$N$15+1,25,30,35,40,45,50)/100*(Inputs!$B$11-Inputs!$B$11),0)))/100)/2</f>
        <v/>
      </c>
      <c r="M1899">
        <f>L1899*(1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9">
        <f>L1899*(1-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1899*(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9">
        <f>(1-Summary!$B$11)*T1899+Summary!$B$11*V1899</f>
        <v/>
      </c>
      <c r="P1899">
        <f>IF(B1930=0,0,O1899/B1930)</f>
        <v/>
      </c>
      <c r="Q1899" t="n">
        <v>0</v>
      </c>
      <c r="R1899" t="n">
        <v>0</v>
      </c>
      <c r="S1899">
        <f>IFERROR(O1899/N1899,0)</f>
        <v/>
      </c>
      <c r="T1899">
        <f>IF(C1899,(Skills!G4*H1899*N1899*B1924)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1899*(1-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1899*(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1899*(1-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1899*(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9">
        <f>290*U1898/1000</f>
        <v/>
      </c>
      <c r="V1899">
        <f>IF(C1899,(Skills!G4*H1899*N1899*B1924)*IF(Inputs!$B$38="pvp",1,(1+(Inputs!$B$21+Skills!Q4+(IF(ArtifactsInput!$M$33,CHOOSE(ArtifactsInput!$N$33+1,30,36,42,48,54,60),0))+(IF(AND(ArtifactsInput!$M$35,Inputs!$B$4&lt;&gt;"Chapter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0">
      <c r="A1900">
        <f>Skills!A5</f>
        <v/>
      </c>
      <c r="B1900">
        <f>Skills!B5</f>
        <v/>
      </c>
      <c r="C1900">
        <f>Inputs!$B$3&gt;=60</f>
        <v/>
      </c>
      <c r="D1900">
        <f>IF(Skills!C5=1,60+Inputs!$B$25+Inputs!$B$29,IF(Skills!C5=2,90+Inputs!$B$26+Inputs!$B$29,IF(Skills!C5=3,120+Inputs!$B$27+Inputs!$B$29,MAX(0,(Inputs!$B$3-100)*3)+Inputs!$B$28+Inputs!$B$29)))</f>
        <v/>
      </c>
      <c r="E1900">
        <f>INDEX(FactorTable!$B$2:$Y$301, MATCH(ROUND(MIN(300,MAX(1,D1900)),0), FactorTable!$A$2:$A$301,0), Skills!M5+1)</f>
        <v/>
      </c>
      <c r="F1900">
        <f>IF(Skills!N5=TRUE,(Skills!L5/10)*(E1900/1000),Skills!L5/10)+Skills!O5</f>
        <v/>
      </c>
      <c r="G1900">
        <f>Skills!G5*IF(Skills!H5&gt;0,Skills!I5/Skills!H5,1)</f>
        <v/>
      </c>
      <c r="H1900">
        <f>1-(1-Skills!J5/100)^Skills!K5</f>
        <v/>
      </c>
      <c r="I1900" t="inlineStr">
        <is>
          <t>1</t>
        </is>
      </c>
      <c r="J1900" t="inlineStr"/>
      <c r="K1900" t="inlineStr"/>
      <c r="L1900" t="inlineStr"/>
      <c r="M1900" t="inlineStr"/>
      <c r="N1900" t="inlineStr"/>
      <c r="O1900">
        <f>(1-Summary!$B$11)*T1900+Summary!$B$11*V1900</f>
        <v/>
      </c>
      <c r="P1900">
        <f>IF(B1930=0,0,O1900/B1930)</f>
        <v/>
      </c>
      <c r="Q1900" t="n">
        <v>0</v>
      </c>
      <c r="R1900" t="n">
        <v>0</v>
      </c>
      <c r="S1900">
        <f>IFERROR(O1900/N1900,0)</f>
        <v/>
      </c>
      <c r="T1900" t="n">
        <v>0</v>
      </c>
      <c r="V1900" t="n">
        <v>0</v>
      </c>
    </row>
    <row r="1901">
      <c r="A1901">
        <f>Skills!A6</f>
        <v/>
      </c>
      <c r="B1901">
        <f>Skills!B6</f>
        <v/>
      </c>
      <c r="C1901">
        <f>Inputs!$B$3&gt;=63</f>
        <v/>
      </c>
      <c r="D1901">
        <f>IF(Skills!C6=1,60+Inputs!$B$25+Inputs!$B$29,IF(Skills!C6=2,90+Inputs!$B$26+Inputs!$B$29,IF(Skills!C6=3,120+Inputs!$B$27+Inputs!$B$29,MAX(0,(Inputs!$B$3-100)*3)+Inputs!$B$28+Inputs!$B$29)))</f>
        <v/>
      </c>
      <c r="E1901">
        <f>INDEX(FactorTable!$B$2:$Y$301, MATCH(ROUND(MIN(300,MAX(1,D1901)),0), FactorTable!$A$2:$A$301,0), Skills!M6+1)</f>
        <v/>
      </c>
      <c r="F1901">
        <f>IF(Skills!N6=TRUE,(Skills!L6/10)*(E1901/1000),Skills!L6/10)+Skills!O6</f>
        <v/>
      </c>
      <c r="G1901">
        <f>Skills!G6*IF(Skills!H6&gt;0,Skills!I6/Skills!H6,1)</f>
        <v/>
      </c>
      <c r="H1901">
        <f>1-(1-Skills!J6/100)^Skills!K6</f>
        <v/>
      </c>
      <c r="I1901" t="inlineStr">
        <is>
          <t>1</t>
        </is>
      </c>
      <c r="J1901">
        <f>((Inputs!$B$6*(1+Inputs!$B$7/100))+(((Inputs!$B$12*(1+Inputs!$B$13/100))-(Inputs!$B$12*(1+Inputs!$B$13/100)))+0.25*(Inputs!$B$14-Inputs!$B$14))*(1+Inputs!$B$7/100))*(F1901/100)</f>
        <v/>
      </c>
      <c r="K1901">
        <f>J1901*(1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1901)</f>
        <v/>
      </c>
      <c r="L1901">
        <f>K1901*(MIN(Inputs!$B$22+((C1915=TRUE)*(F1915-Calc!F20)),(Inputs!$B$23+0+(IF(ArtifactsInput!$M$15,CHOOSE(ArtifactsInput!$N$15+1,25,30,35,40,45,50)/100*(Inputs!$B$11-Inputs!$B$11),0))))/100+(Inputs!$B$23+0+(IF(ArtifactsInput!$M$15,CHOOSE(ArtifactsInput!$N$15+1,25,30,35,40,45,50)/100*(Inputs!$B$11-Inputs!$B$11),0)))/100)/2</f>
        <v/>
      </c>
      <c r="M1901">
        <f>L1901*(1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1">
        <f>L1901*(1-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1">
        <f>(1-Summary!$B$11)*T1901+Summary!$B$11*V1901</f>
        <v/>
      </c>
      <c r="P1901">
        <f>IF(B1930=0,0,O1901/B1930)</f>
        <v/>
      </c>
      <c r="Q1901">
        <f>IFERROR(1/(IF(Inputs!$B$38="pvp",15,MAX(0.1,Skills!D6-IF(Skills!E6=TRUE,Inputs!$B$32,0)))*(1-IF(AND(ArtifactsInput!$M$27,Inputs!$B$4="Chapter Hunt"),CHOOSE(ArtifactsInput!$N$27+1,20,24,28,32,36,40),0)/100)),0)</f>
        <v/>
      </c>
      <c r="R1901">
        <f>IF(AND(Inputs!$B$38&lt;&gt;"pvp",Inputs!$B$43&gt;0),IF(MAX(0,Inputs!$B$43-B1927)&lt;=0,0,(INT(MAX(0,Inputs!$B$43-B1927)/(IF(Inputs!$B$38="pvp",15,MAX(0.1,Skills!D6-IF(Skills!E6=TRUE,Inputs!$B$32,0)))*(1-IF(AND(ArtifactsInput!$M$27,Inputs!$B$4="Chapter Hunt"),CHOOSE(ArtifactsInput!$N$27+1,20,24,28,32,36,40),0)/100)))+1)),0)</f>
        <v/>
      </c>
      <c r="S1901">
        <f>IFERROR(O1901/N1901,0)</f>
        <v/>
      </c>
      <c r="T1901">
        <f>IF(C1901,(H1901*N1901*IF(AND(Inputs!$B$38&lt;&gt;"pvp",Inputs!$B$43&gt;0),((Skills!G6*((R1901-1)*IF(Skills!H6&gt;0,Skills!I6/Skills!H6,1)+IF(Skills!H6&gt;0,MIN(Skills!I6,MAX(0,MAX(0,Inputs!$B$43-B1927)-((R1901-1)*(IF(Inputs!$B$38="pvp",15,MAX(0.1,Skills!D6-IF(Skills!E6=TRUE,Inputs!$B$32,0)))*(1-IF(AND(ArtifactsInput!$M$27,Inputs!$B$4="Chapter Hunt"),CHOOSE(ArtifactsInput!$N$27+1,20,24,28,32,36,40),0)/100)))))/Skills!H6,1)))/Inputs!$B$43),G1901*Q1901)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1901*(1-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1901*(1-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1">
        <f>IF(C1901,(H1901*N1901*IF(AND(Inputs!$B$38&lt;&gt;"pvp",Inputs!$B$43&gt;0),((Skills!G6*((R1901-1)*IF(Skills!H6&gt;0,Skills!I6/Skills!H6,1)+IF(Skills!H6&gt;0,MIN(Skills!I6,MAX(0,MAX(0,Inputs!$B$43-B1927)-((R1901-1)*(IF(Inputs!$B$38="pvp",15,MAX(0.1,Skills!D6-IF(Skills!E6=TRUE,Inputs!$B$32,0)))*(1-IF(AND(ArtifactsInput!$M$27,Inputs!$B$4="Chapter Hunt"),CHOOSE(ArtifactsInput!$N$27+1,20,24,28,32,36,40),0)/100)))))/Skills!H6,1)))/Inputs!$B$43),G1901*Q1901))*IF(Inputs!$B$38="pvp",1,(1+(Inputs!$B$21+Skills!Q6+(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2">
      <c r="A1902">
        <f>Skills!A7</f>
        <v/>
      </c>
      <c r="B1902">
        <f>Skills!B7</f>
        <v/>
      </c>
      <c r="C1902">
        <f>Inputs!$B$3&gt;=100</f>
        <v/>
      </c>
      <c r="D1902">
        <f>IF(Skills!C7=1,60+Inputs!$B$25+Inputs!$B$29,IF(Skills!C7=2,90+Inputs!$B$26+Inputs!$B$29,IF(Skills!C7=3,120+Inputs!$B$27+Inputs!$B$29,MAX(0,(Inputs!$B$3-100)*3)+Inputs!$B$28+Inputs!$B$29)))</f>
        <v/>
      </c>
      <c r="E1902">
        <f>INDEX(FactorTable!$B$2:$Y$301, MATCH(ROUND(MIN(300,MAX(1,D1902)),0), FactorTable!$A$2:$A$301,0), Skills!M7+1)</f>
        <v/>
      </c>
      <c r="F1902">
        <f>IF(Skills!N7=TRUE,(Skills!L7/10)*(E1902/1000),Skills!L7/10)+Skills!O7</f>
        <v/>
      </c>
      <c r="G1902">
        <f>Skills!G7*IF(Skills!H7&gt;0,Skills!I7/Skills!H7,1)</f>
        <v/>
      </c>
      <c r="H1902">
        <f>1-(1-Skills!J7/100)^Skills!K7</f>
        <v/>
      </c>
      <c r="I1902" t="inlineStr">
        <is>
          <t>1</t>
        </is>
      </c>
      <c r="J1902">
        <f>((Inputs!$B$6*(1+Inputs!$B$7/100))+(((Inputs!$B$12*(1+Inputs!$B$13/100))-(Inputs!$B$12*(1+Inputs!$B$13/100)))+0.25*(Inputs!$B$14-Inputs!$B$14))*(1+Inputs!$B$7/100))*(F1902/100)</f>
        <v/>
      </c>
      <c r="K1902">
        <f>J1902*(1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1902)</f>
        <v/>
      </c>
      <c r="L1902">
        <f>K1902*(MIN(Inputs!$B$22+((C1915=TRUE)*(F1915-Calc!F20)),(Inputs!$B$23+0+(IF(ArtifactsInput!$M$15,CHOOSE(ArtifactsInput!$N$15+1,25,30,35,40,45,50)/100*(Inputs!$B$11-Inputs!$B$11),0))))/100+(Inputs!$B$23+0+(IF(ArtifactsInput!$M$15,CHOOSE(ArtifactsInput!$N$15+1,25,30,35,40,45,50)/100*(Inputs!$B$11-Inputs!$B$11),0)))/100)/2</f>
        <v/>
      </c>
      <c r="M1902">
        <f>L1902*(1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2">
        <f>L1902*(1-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1902*(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2">
        <f>(1-Summary!$B$11)*T1902+Summary!$B$11*V1902</f>
        <v/>
      </c>
      <c r="P1902">
        <f>IF(B1930=0,0,O1902/B1930)</f>
        <v/>
      </c>
      <c r="Q1902">
        <f>IFERROR(1/(IF(Inputs!$B$38="pvp",15,MAX(0.1,Skills!D7-IF(Skills!E7=TRUE,Inputs!$B$32,0)))*(1-IF(AND(ArtifactsInput!$M$27,Inputs!$B$4="Chapter Hunt"),CHOOSE(ArtifactsInput!$N$27+1,20,24,28,32,36,40),0)/100)),0)</f>
        <v/>
      </c>
      <c r="R1902">
        <f>IF(AND(Inputs!$B$38&lt;&gt;"pvp",Inputs!$B$43&gt;0),IF(MAX(0,Inputs!$B$43-B1927)&lt;=0,0,(INT(MAX(0,Inputs!$B$43-B1927)/(IF(Inputs!$B$38="pvp",15,MAX(0.1,Skills!D7-IF(Skills!E7=TRUE,Inputs!$B$32,0)))*(1-IF(AND(ArtifactsInput!$M$27,Inputs!$B$4="Chapter Hunt"),CHOOSE(ArtifactsInput!$N$27+1,20,24,28,32,36,40),0)/100)))+1)),0)</f>
        <v/>
      </c>
      <c r="S1902">
        <f>IFERROR(O1902/N1902,0)</f>
        <v/>
      </c>
      <c r="T1902">
        <f>IF(C1902,(H1902*N1902*IF(AND(Inputs!$B$38&lt;&gt;"pvp",Inputs!$B$43&gt;0),((Skills!G7*((R1902-1)*IF(Skills!H7&gt;0,Skills!I7/Skills!H7,1)+IF(Skills!H7&gt;0,MIN(Skills!I7,MAX(0,MAX(0,Inputs!$B$43-B1927)-((R1902-1)*(IF(Inputs!$B$38="pvp",15,MAX(0.1,Skills!D7-IF(Skills!E7=TRUE,Inputs!$B$32,0)))*(1-IF(AND(ArtifactsInput!$M$27,Inputs!$B$4="Chapter Hunt"),CHOOSE(ArtifactsInput!$N$27+1,20,24,28,32,36,40),0)/100)))))/Skills!H7,1)))/Inputs!$B$43),G1902*Q1902)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1902*(1-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1902*(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1902*(1-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1902*(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2">
        <f>IF(C1902,(H1902*N1902*IF(AND(Inputs!$B$38&lt;&gt;"pvp",Inputs!$B$43&gt;0),((Skills!G7*((R1902-1)*IF(Skills!H7&gt;0,Skills!I7/Skills!H7,1)+IF(Skills!H7&gt;0,MIN(Skills!I7,MAX(0,MAX(0,Inputs!$B$43-B1927)-((R1902-1)*(IF(Inputs!$B$38="pvp",15,MAX(0.1,Skills!D7-IF(Skills!E7=TRUE,Inputs!$B$32,0)))*(1-IF(AND(ArtifactsInput!$M$27,Inputs!$B$4="Chapter Hunt"),CHOOSE(ArtifactsInput!$N$27+1,20,24,28,32,36,40),0)/100)))))/Skills!H7,1)))/Inputs!$B$43),G1902*Q1902))*IF(Inputs!$B$38="pvp",1,(1+(Inputs!$B$21+Skills!Q7+(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3">
      <c r="A1903">
        <f>Skills!A8</f>
        <v/>
      </c>
      <c r="B1903">
        <f>Skills!B8</f>
        <v/>
      </c>
      <c r="C1903">
        <f>Inputs!$B$3&gt;=110</f>
        <v/>
      </c>
      <c r="D1903">
        <f>IF(Skills!C8=1,60+Inputs!$B$25+Inputs!$B$29,IF(Skills!C8=2,90+Inputs!$B$26+Inputs!$B$29,IF(Skills!C8=3,120+Inputs!$B$27+Inputs!$B$29,MAX(0,(Inputs!$B$3-100)*3)+Inputs!$B$28+Inputs!$B$29)))</f>
        <v/>
      </c>
      <c r="E1903">
        <f>INDEX(FactorTable!$B$2:$Y$301, MATCH(ROUND(MIN(300,MAX(1,D1903)),0), FactorTable!$A$2:$A$301,0), Skills!M8+1)</f>
        <v/>
      </c>
      <c r="F1903">
        <f>IF(Skills!N8=TRUE,(Skills!L8/10)*(E1903/1000),Skills!L8/10)+Skills!O8</f>
        <v/>
      </c>
      <c r="G1903">
        <f>Skills!G8*IF(Skills!H8&gt;0,Skills!I8/Skills!H8,1)</f>
        <v/>
      </c>
      <c r="H1903">
        <f>1-(1-Skills!J8/100)^Skills!K8</f>
        <v/>
      </c>
      <c r="I1903" t="inlineStr">
        <is>
          <t>1</t>
        </is>
      </c>
      <c r="J1903">
        <f>((Inputs!$B$6*(1+Inputs!$B$7/100))+(((Inputs!$B$12*(1+Inputs!$B$13/100))-(Inputs!$B$12*(1+Inputs!$B$13/100)))+0.25*(Inputs!$B$14-Inputs!$B$14))*(1+Inputs!$B$7/100))*(F1903/100)</f>
        <v/>
      </c>
      <c r="K1903">
        <f>J1903*(1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1903)</f>
        <v/>
      </c>
      <c r="L1903">
        <f>K1903*(MIN(Inputs!$B$22+((C1915=TRUE)*(F1915-Calc!F20)),(Inputs!$B$23+0+(IF(ArtifactsInput!$M$15,CHOOSE(ArtifactsInput!$N$15+1,25,30,35,40,45,50)/100*(Inputs!$B$11-Inputs!$B$11),0))))/100+(Inputs!$B$23+0+(IF(ArtifactsInput!$M$15,CHOOSE(ArtifactsInput!$N$15+1,25,30,35,40,45,50)/100*(Inputs!$B$11-Inputs!$B$11),0)))/100)/2</f>
        <v/>
      </c>
      <c r="M1903">
        <f>L1903*(1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3">
        <f>L1903*(1-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1903*(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3">
        <f>(1-Summary!$B$11)*T1903+Summary!$B$11*V1903</f>
        <v/>
      </c>
      <c r="P1903">
        <f>IF(B1930=0,0,O1903/B1930)</f>
        <v/>
      </c>
      <c r="Q1903">
        <f>IFERROR(1/(IF(Inputs!$B$38="pvp",15,MAX(0.1,Skills!D8-IF(Skills!E8=TRUE,Inputs!$B$32,0)))*(1-IF(AND(ArtifactsInput!$M$27,Inputs!$B$4="Chapter Hunt"),CHOOSE(ArtifactsInput!$N$27+1,20,24,28,32,36,40),0)/100)),0)</f>
        <v/>
      </c>
      <c r="R1903">
        <f>IF(AND(Inputs!$B$38&lt;&gt;"pvp",Inputs!$B$43&gt;0),IF(MAX(0,Inputs!$B$43-B1927)&lt;=0,0,(INT(MAX(0,Inputs!$B$43-B1927)/(IF(Inputs!$B$38="pvp",15,MAX(0.1,Skills!D8-IF(Skills!E8=TRUE,Inputs!$B$32,0)))*(1-IF(AND(ArtifactsInput!$M$27,Inputs!$B$4="Chapter Hunt"),CHOOSE(ArtifactsInput!$N$27+1,20,24,28,32,36,40),0)/100)))+1)),0)</f>
        <v/>
      </c>
      <c r="S1903">
        <f>IFERROR(O1903/N1903,0)</f>
        <v/>
      </c>
      <c r="T1903">
        <f>IF(C1903,(H1903*N1903*IF(AND(Inputs!$B$38&lt;&gt;"pvp",Inputs!$B$43&gt;0),((Skills!G8*((R1903-1)*IF(Skills!H8&gt;0,Skills!I8/Skills!H8,1)+IF(Skills!H8&gt;0,MIN(Skills!I8,MAX(0,MAX(0,Inputs!$B$43-B1927)-((R1903-1)*(IF(Inputs!$B$38="pvp",15,MAX(0.1,Skills!D8-IF(Skills!E8=TRUE,Inputs!$B$32,0)))*(1-IF(AND(ArtifactsInput!$M$27,Inputs!$B$4="Chapter Hunt"),CHOOSE(ArtifactsInput!$N$27+1,20,24,28,32,36,40),0)/100)))))/Skills!H8,1)))/Inputs!$B$43),G1903*Q1903)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1903*(1-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1903*(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1903*(1-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1903*(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3">
        <f>IF(C1903,(H1903*N1903*IF(AND(Inputs!$B$38&lt;&gt;"pvp",Inputs!$B$43&gt;0),((Skills!G8*((R1903-1)*IF(Skills!H8&gt;0,Skills!I8/Skills!H8,1)+IF(Skills!H8&gt;0,MIN(Skills!I8,MAX(0,MAX(0,Inputs!$B$43-B1927)-((R1903-1)*(IF(Inputs!$B$38="pvp",15,MAX(0.1,Skills!D8-IF(Skills!E8=TRUE,Inputs!$B$32,0)))*(1-IF(AND(ArtifactsInput!$M$27,Inputs!$B$4="Chapter Hunt"),CHOOSE(ArtifactsInput!$N$27+1,20,24,28,32,36,40),0)/100)))))/Skills!H8,1)))/Inputs!$B$43),G1903*Q1903))*IF(Inputs!$B$38="pvp",1,(1+(Inputs!$B$21+Skills!Q8+(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4">
      <c r="A1904">
        <f>Skills!A9</f>
        <v/>
      </c>
      <c r="B1904">
        <f>Skills!B9</f>
        <v/>
      </c>
      <c r="C1904">
        <f>Inputs!$B$3&gt;=110</f>
        <v/>
      </c>
      <c r="D1904">
        <f>IF(Skills!C9=1,60+Inputs!$B$25+Inputs!$B$29,IF(Skills!C9=2,90+Inputs!$B$26+Inputs!$B$29,IF(Skills!C9=3,120+Inputs!$B$27+Inputs!$B$29,MAX(0,(Inputs!$B$3-100)*3)+Inputs!$B$28+Inputs!$B$29)))</f>
        <v/>
      </c>
      <c r="E1904">
        <f>INDEX(FactorTable!$B$2:$Y$301, MATCH(ROUND(MIN(300,MAX(1,D1904)),0), FactorTable!$A$2:$A$301,0), Skills!M9+1)</f>
        <v/>
      </c>
      <c r="F1904">
        <f>IF(Skills!N9=TRUE,(Skills!L9/10)*(E1904/1000),Skills!L9/10)+Skills!O9</f>
        <v/>
      </c>
      <c r="G1904">
        <f>Skills!G9*IF(Skills!H9&gt;0,Skills!I9/Skills!H9,1)</f>
        <v/>
      </c>
      <c r="H1904">
        <f>1-(1-Skills!J9/100)^Skills!K9</f>
        <v/>
      </c>
      <c r="I1904" t="inlineStr">
        <is>
          <t>1</t>
        </is>
      </c>
      <c r="J1904">
        <f>((Inputs!$B$6*(1+Inputs!$B$7/100))+(((Inputs!$B$12*(1+Inputs!$B$13/100))-(Inputs!$B$12*(1+Inputs!$B$13/100)))+0.25*(Inputs!$B$14-Inputs!$B$14))*(1+Inputs!$B$7/100))*(F1904/100)</f>
        <v/>
      </c>
      <c r="K1904">
        <f>J1904*(1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1904)</f>
        <v/>
      </c>
      <c r="L1904">
        <f>K1904*(MIN(Inputs!$B$22+((C1915=TRUE)*(F1915-Calc!F20)),(Inputs!$B$23+0+(IF(ArtifactsInput!$M$15,CHOOSE(ArtifactsInput!$N$15+1,25,30,35,40,45,50)/100*(Inputs!$B$11-Inputs!$B$11),0))))/100+(Inputs!$B$23+0+(IF(ArtifactsInput!$M$15,CHOOSE(ArtifactsInput!$N$15+1,25,30,35,40,45,50)/100*(Inputs!$B$11-Inputs!$B$11),0)))/100)/2</f>
        <v/>
      </c>
      <c r="M1904">
        <f>L1904*(1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4">
        <f>L1904*(1-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1904*(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4">
        <f>(1-Summary!$B$11)*T1904+Summary!$B$11*V1904</f>
        <v/>
      </c>
      <c r="P1904">
        <f>IF(B1930=0,0,O1904/B1930)</f>
        <v/>
      </c>
      <c r="Q1904">
        <f>IFERROR(1/(IF(Inputs!$B$38="pvp",15,MAX(0.1,Skills!D9-IF(Skills!E9=TRUE,Inputs!$B$32,0)))*(1-IF(AND(ArtifactsInput!$M$27,Inputs!$B$4="Chapter Hunt"),CHOOSE(ArtifactsInput!$N$27+1,20,24,28,32,36,40),0)/100)),0)</f>
        <v/>
      </c>
      <c r="R1904">
        <f>IF(AND(Inputs!$B$38&lt;&gt;"pvp",Inputs!$B$43&gt;0),IF(MAX(0,Inputs!$B$43-B1927)&lt;=0,0,(INT(MAX(0,Inputs!$B$43-B1927)/(IF(Inputs!$B$38="pvp",15,MAX(0.1,Skills!D9-IF(Skills!E9=TRUE,Inputs!$B$32,0)))*(1-IF(AND(ArtifactsInput!$M$27,Inputs!$B$4="Chapter Hunt"),CHOOSE(ArtifactsInput!$N$27+1,20,24,28,32,36,40),0)/100)))+1)),0)</f>
        <v/>
      </c>
      <c r="S1904">
        <f>IFERROR(O1904/N1904,0)</f>
        <v/>
      </c>
      <c r="T1904">
        <f>IF(C1904,(H1904*N1904*IF(AND(Inputs!$B$38&lt;&gt;"pvp",Inputs!$B$43&gt;0),((Skills!G9*((R1904-1)*IF(Skills!H9&gt;0,Skills!I9/Skills!H9,1)+IF(Skills!H9&gt;0,MIN(Skills!I9,MAX(0,MAX(0,Inputs!$B$43-B1927)-((R1904-1)*(IF(Inputs!$B$38="pvp",15,MAX(0.1,Skills!D9-IF(Skills!E9=TRUE,Inputs!$B$32,0)))*(1-IF(AND(ArtifactsInput!$M$27,Inputs!$B$4="Chapter Hunt"),CHOOSE(ArtifactsInput!$N$27+1,20,24,28,32,36,40),0)/100)))))/Skills!H9,1)))/Inputs!$B$43),G1904*Q1904)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1904*(1-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1904*(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1904*(1-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1904*(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4">
        <f>IF(C1904,(H1904*N1904*IF(AND(Inputs!$B$38&lt;&gt;"pvp",Inputs!$B$43&gt;0),((Skills!G9*((R1904-1)*IF(Skills!H9&gt;0,Skills!I9/Skills!H9,1)+IF(Skills!H9&gt;0,MIN(Skills!I9,MAX(0,MAX(0,Inputs!$B$43-B1927)-((R1904-1)*(IF(Inputs!$B$38="pvp",15,MAX(0.1,Skills!D9-IF(Skills!E9=TRUE,Inputs!$B$32,0)))*(1-IF(AND(ArtifactsInput!$M$27,Inputs!$B$4="Chapter Hunt"),CHOOSE(ArtifactsInput!$N$27+1,20,24,28,32,36,40),0)/100)))))/Skills!H9,1)))/Inputs!$B$43),G1904*Q1904))*IF(Inputs!$B$38="pvp",1,(1+(Inputs!$B$21+Skills!Q9+(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5">
      <c r="A1905">
        <f>Skills!A10</f>
        <v/>
      </c>
      <c r="B1905">
        <f>Skills!B10</f>
        <v/>
      </c>
      <c r="C1905">
        <f>Inputs!$B$3&gt;=103</f>
        <v/>
      </c>
      <c r="D1905">
        <f>IF(Skills!C10=1,60+Inputs!$B$25+Inputs!$B$29,IF(Skills!C10=2,90+Inputs!$B$26+Inputs!$B$29,IF(Skills!C10=3,120+Inputs!$B$27+Inputs!$B$29,MAX(0,(Inputs!$B$3-100)*3)+Inputs!$B$28+Inputs!$B$29)))</f>
        <v/>
      </c>
      <c r="E1905">
        <f>INDEX(FactorTable!$B$2:$Y$301, MATCH(ROUND(MIN(300,MAX(1,D1905)),0), FactorTable!$A$2:$A$301,0), Skills!M10+1)</f>
        <v/>
      </c>
      <c r="F1905">
        <f>IF(Skills!N10=TRUE,(Skills!L10/10)*(E1905/1000),Skills!L10/10)+Skills!O10</f>
        <v/>
      </c>
      <c r="G1905">
        <f>Skills!G10*IF(Skills!H10&gt;0,Skills!I10/Skills!H10,1)</f>
        <v/>
      </c>
      <c r="H1905">
        <f>1-(1-Skills!J10/100)^Skills!K10</f>
        <v/>
      </c>
      <c r="I1905" t="inlineStr">
        <is>
          <t>1</t>
        </is>
      </c>
      <c r="J1905">
        <f>((Inputs!$B$6*(1+Inputs!$B$7/100))+(((Inputs!$B$12*(1+Inputs!$B$13/100))-(Inputs!$B$12*(1+Inputs!$B$13/100)))+0.25*(Inputs!$B$14-Inputs!$B$14))*(1+Inputs!$B$7/100))*(F1905/100)</f>
        <v/>
      </c>
      <c r="K1905">
        <f>J1905*(1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1905)</f>
        <v/>
      </c>
      <c r="L1905">
        <f>K1905*(MIN(Inputs!$B$22+((C1915=TRUE)*(F1915-Calc!F20)),(Inputs!$B$23+0+(IF(ArtifactsInput!$M$15,CHOOSE(ArtifactsInput!$N$15+1,25,30,35,40,45,50)/100*(Inputs!$B$11-Inputs!$B$11),0))))/100+(Inputs!$B$23+0+(IF(ArtifactsInput!$M$15,CHOOSE(ArtifactsInput!$N$15+1,25,30,35,40,45,50)/100*(Inputs!$B$11-Inputs!$B$11),0)))/100)/2</f>
        <v/>
      </c>
      <c r="M1905">
        <f>L1905*(1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5">
        <f>L1905*(1-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1905*(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5">
        <f>(1-Summary!$B$11)*T1905+Summary!$B$11*V1905</f>
        <v/>
      </c>
      <c r="P1905">
        <f>IF(B1930=0,0,O1905/B1930)</f>
        <v/>
      </c>
      <c r="Q1905">
        <f>IFERROR(1/(IF(Inputs!$B$38="pvp",15,MAX(0.1,Skills!D10-IF(Skills!E10=TRUE,Inputs!$B$32,0)))*(1-IF(AND(ArtifactsInput!$M$27,Inputs!$B$4="Chapter Hunt"),CHOOSE(ArtifactsInput!$N$27+1,20,24,28,32,36,40),0)/100)),0)</f>
        <v/>
      </c>
      <c r="R1905">
        <f>IF(AND(Inputs!$B$38&lt;&gt;"pvp",Inputs!$B$43&gt;0),IF(MAX(0,Inputs!$B$43-B1927)&lt;=0,0,(INT(MAX(0,Inputs!$B$43-B1927)/(IF(Inputs!$B$38="pvp",15,MAX(0.1,Skills!D10-IF(Skills!E10=TRUE,Inputs!$B$32,0)))*(1-IF(AND(ArtifactsInput!$M$27,Inputs!$B$4="Chapter Hunt"),CHOOSE(ArtifactsInput!$N$27+1,20,24,28,32,36,40),0)/100)))+1)),0)</f>
        <v/>
      </c>
      <c r="S1905">
        <f>IFERROR(O1905/N1905,0)</f>
        <v/>
      </c>
      <c r="T1905">
        <f>IF(C1905,(H1905*N1905*IF(AND(Inputs!$B$38&lt;&gt;"pvp",Inputs!$B$43&gt;0),((Skills!G10*((R1905-1)*IF(Skills!H10&gt;0,Skills!I10/Skills!H10,1)+IF(Skills!H10&gt;0,MIN(Skills!I10,MAX(0,MAX(0,Inputs!$B$43-B1927)-((R1905-1)*(IF(Inputs!$B$38="pvp",15,MAX(0.1,Skills!D10-IF(Skills!E10=TRUE,Inputs!$B$32,0)))*(1-IF(AND(ArtifactsInput!$M$27,Inputs!$B$4="Chapter Hunt"),CHOOSE(ArtifactsInput!$N$27+1,20,24,28,32,36,40),0)/100)))))/Skills!H10,1)))/Inputs!$B$43),G1905*Q1905)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1905*(1-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1905*(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1905*(1-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1905*(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5">
        <f>IF(C1905,(H1905*N1905*IF(AND(Inputs!$B$38&lt;&gt;"pvp",Inputs!$B$43&gt;0),((Skills!G10*((R1905-1)*IF(Skills!H10&gt;0,Skills!I10/Skills!H10,1)+IF(Skills!H10&gt;0,MIN(Skills!I10,MAX(0,MAX(0,Inputs!$B$43-B1927)-((R1905-1)*(IF(Inputs!$B$38="pvp",15,MAX(0.1,Skills!D10-IF(Skills!E10=TRUE,Inputs!$B$32,0)))*(1-IF(AND(ArtifactsInput!$M$27,Inputs!$B$4="Chapter Hunt"),CHOOSE(ArtifactsInput!$N$27+1,20,24,28,32,36,40),0)/100)))))/Skills!H10,1)))/Inputs!$B$43),G1905*Q1905))*IF(Inputs!$B$38="pvp",1,(1+(Inputs!$B$21+Skills!Q10+(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6">
      <c r="A1906">
        <f>Skills!A11</f>
        <v/>
      </c>
      <c r="B1906">
        <f>Skills!B11</f>
        <v/>
      </c>
      <c r="C1906">
        <f>Inputs!$B$3&gt;=113</f>
        <v/>
      </c>
      <c r="D1906">
        <f>IF(Skills!C11=1,60+Inputs!$B$25+Inputs!$B$29,IF(Skills!C11=2,90+Inputs!$B$26+Inputs!$B$29,IF(Skills!C11=3,120+Inputs!$B$27+Inputs!$B$29,MAX(0,(Inputs!$B$3-100)*3)+Inputs!$B$28+Inputs!$B$29)))</f>
        <v/>
      </c>
      <c r="E1906">
        <f>INDEX(FactorTable!$B$2:$Y$301, MATCH(ROUND(MIN(300,MAX(1,D1906)),0), FactorTable!$A$2:$A$301,0), Skills!M11+1)</f>
        <v/>
      </c>
      <c r="F1906">
        <f>IF(Skills!N11=TRUE,(Skills!L11/10)*(E1906/1000),Skills!L11/10)+Skills!O11</f>
        <v/>
      </c>
      <c r="G1906">
        <f>Skills!G11*IF(Skills!H11&gt;0,Skills!I11/Skills!H11,1)</f>
        <v/>
      </c>
      <c r="H1906">
        <f>1-(1-Skills!J11/100)^Skills!K11</f>
        <v/>
      </c>
      <c r="I1906" t="inlineStr">
        <is>
          <t>1</t>
        </is>
      </c>
      <c r="J1906">
        <f>((Inputs!$B$6*(1+Inputs!$B$7/100))+(((Inputs!$B$12*(1+Inputs!$B$13/100))-(Inputs!$B$12*(1+Inputs!$B$13/100)))+0.25*(Inputs!$B$14-Inputs!$B$14))*(1+Inputs!$B$7/100))*(F1906/100)</f>
        <v/>
      </c>
      <c r="K1906">
        <f>J1906*(1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1906)</f>
        <v/>
      </c>
      <c r="L1906">
        <f>K1906*(MIN(Inputs!$B$22+((C1915=TRUE)*(F1915-Calc!F20)),(Inputs!$B$23+0+(IF(ArtifactsInput!$M$15,CHOOSE(ArtifactsInput!$N$15+1,25,30,35,40,45,50)/100*(Inputs!$B$11-Inputs!$B$11),0))))/100+(Inputs!$B$23+0+(IF(ArtifactsInput!$M$15,CHOOSE(ArtifactsInput!$N$15+1,25,30,35,40,45,50)/100*(Inputs!$B$11-Inputs!$B$11),0)))/100)/2</f>
        <v/>
      </c>
      <c r="M1906">
        <f>L1906*(1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6">
        <f>L1906*(1-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1906*(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6">
        <f>(1-Summary!$B$11)*T1906+Summary!$B$11*V1906</f>
        <v/>
      </c>
      <c r="P1906">
        <f>IF(B1930=0,0,O1906/B1930)</f>
        <v/>
      </c>
      <c r="Q1906">
        <f>IFERROR(1/(IF(Inputs!$B$38="pvp",15,MAX(0.1,Skills!D11-IF(Skills!E11=TRUE,Inputs!$B$32,0)))*(1-IF(AND(ArtifactsInput!$M$27,Inputs!$B$4="Chapter Hunt"),CHOOSE(ArtifactsInput!$N$27+1,20,24,28,32,36,40),0)/100)),0)</f>
        <v/>
      </c>
      <c r="R1906">
        <f>IF(AND(Inputs!$B$38&lt;&gt;"pvp",Inputs!$B$43&gt;0),IF(MAX(0,Inputs!$B$43-B1927)&lt;=0,0,(INT(MAX(0,Inputs!$B$43-B1927)/(IF(Inputs!$B$38="pvp",15,MAX(0.1,Skills!D11-IF(Skills!E11=TRUE,Inputs!$B$32,0)))*(1-IF(AND(ArtifactsInput!$M$27,Inputs!$B$4="Chapter Hunt"),CHOOSE(ArtifactsInput!$N$27+1,20,24,28,32,36,40),0)/100)))+1)),0)</f>
        <v/>
      </c>
      <c r="S1906">
        <f>IFERROR(O1906/N1906,0)</f>
        <v/>
      </c>
      <c r="T1906">
        <f>IF(C1906,(H1906*N1906*IF(AND(Inputs!$B$38&lt;&gt;"pvp",Inputs!$B$43&gt;0),((Skills!G11*((R1906-1)*IF(Skills!H11&gt;0,Skills!I11/Skills!H11,1)+IF(Skills!H11&gt;0,MIN(Skills!I11,MAX(0,MAX(0,Inputs!$B$43-B1927)-((R1906-1)*(IF(Inputs!$B$38="pvp",15,MAX(0.1,Skills!D11-IF(Skills!E11=TRUE,Inputs!$B$32,0)))*(1-IF(AND(ArtifactsInput!$M$27,Inputs!$B$4="Chapter Hunt"),CHOOSE(ArtifactsInput!$N$27+1,20,24,28,32,36,40),0)/100)))))/Skills!H11,1)))/Inputs!$B$43),G1906*Q1906)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1906*(1-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1906*(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1906*(1-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1906*(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6">
        <f>IF(C1906,(H1906*N1906*IF(AND(Inputs!$B$38&lt;&gt;"pvp",Inputs!$B$43&gt;0),((Skills!G11*((R1906-1)*IF(Skills!H11&gt;0,Skills!I11/Skills!H11,1)+IF(Skills!H11&gt;0,MIN(Skills!I11,MAX(0,MAX(0,Inputs!$B$43-B1927)-((R1906-1)*(IF(Inputs!$B$38="pvp",15,MAX(0.1,Skills!D11-IF(Skills!E11=TRUE,Inputs!$B$32,0)))*(1-IF(AND(ArtifactsInput!$M$27,Inputs!$B$4="Chapter Hunt"),CHOOSE(ArtifactsInput!$N$27+1,20,24,28,32,36,40),0)/100)))))/Skills!H11,1)))/Inputs!$B$43),G1906*Q1906))*IF(Inputs!$B$38="pvp",1,(1+(Inputs!$B$21+Skills!Q11+(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7">
      <c r="A1907">
        <f>Skills!A12</f>
        <v/>
      </c>
      <c r="B1907">
        <f>Skills!B12</f>
        <v/>
      </c>
      <c r="C1907">
        <f>Inputs!$B$3&gt;=100</f>
        <v/>
      </c>
      <c r="D1907">
        <f>IF(Skills!C12=1,60+Inputs!$B$25+Inputs!$B$29,IF(Skills!C12=2,90+Inputs!$B$26+Inputs!$B$29,IF(Skills!C12=3,120+Inputs!$B$27+Inputs!$B$29,MAX(0,(Inputs!$B$3-100)*3)+Inputs!$B$28+Inputs!$B$29)))</f>
        <v/>
      </c>
      <c r="E1907">
        <f>INDEX(FactorTable!$B$2:$Y$301, MATCH(ROUND(MIN(300,MAX(1,D1907)),0), FactorTable!$A$2:$A$301,0), Skills!M12+1)</f>
        <v/>
      </c>
      <c r="F1907">
        <f>IF(Skills!N12=TRUE,(Skills!L12/10)*(E1907/1000),Skills!L12/10)+Skills!O12</f>
        <v/>
      </c>
      <c r="G1907" t="inlineStr"/>
      <c r="H1907" t="inlineStr"/>
      <c r="I1907" t="inlineStr">
        <is>
          <t>1</t>
        </is>
      </c>
      <c r="J1907" t="inlineStr"/>
      <c r="K1907" t="inlineStr"/>
      <c r="L1907" t="inlineStr"/>
      <c r="M1907" t="inlineStr"/>
      <c r="N1907" t="inlineStr"/>
      <c r="O1907" t="inlineStr"/>
      <c r="P1907" t="inlineStr"/>
      <c r="Q1907" t="inlineStr"/>
      <c r="R1907" t="inlineStr"/>
      <c r="S1907" t="inlineStr"/>
      <c r="T1907" t="inlineStr"/>
      <c r="V1907" t="inlineStr"/>
    </row>
    <row r="1908">
      <c r="A1908">
        <f>Skills!A13</f>
        <v/>
      </c>
      <c r="B1908">
        <f>Skills!B13</f>
        <v/>
      </c>
      <c r="C1908">
        <f>Inputs!$B$3&gt;=66</f>
        <v/>
      </c>
      <c r="D1908">
        <f>IF(Skills!C13=1,60+Inputs!$B$25+Inputs!$B$29,IF(Skills!C13=2,90+Inputs!$B$26+Inputs!$B$29,IF(Skills!C13=3,120+Inputs!$B$27+Inputs!$B$29,MAX(0,(Inputs!$B$3-100)*3)+Inputs!$B$28+Inputs!$B$29)))</f>
        <v/>
      </c>
      <c r="E1908">
        <f>INDEX(FactorTable!$B$2:$Y$301, MATCH(ROUND(MIN(300,MAX(1,D1908)),0), FactorTable!$A$2:$A$301,0), Skills!M13+1)</f>
        <v/>
      </c>
      <c r="F1908">
        <f>IF(Skills!N13=TRUE,(Skills!L13/10)*(E1908/1000),Skills!L13/10)+Skills!O13</f>
        <v/>
      </c>
      <c r="G1908">
        <f>Skills!G13*IF(Skills!H13&gt;0,Skills!I13/Skills!H13,1)</f>
        <v/>
      </c>
      <c r="H1908">
        <f>1-(1-Skills!J13/100)^Skills!K13</f>
        <v/>
      </c>
      <c r="I1908" t="inlineStr">
        <is>
          <t>1</t>
        </is>
      </c>
      <c r="J1908" t="inlineStr"/>
      <c r="K1908" t="inlineStr"/>
      <c r="L1908" t="inlineStr"/>
      <c r="M1908" t="inlineStr"/>
      <c r="N1908" t="inlineStr"/>
      <c r="O1908">
        <f>(1-Summary!$B$11)*T1908+Summary!$B$11*V1908</f>
        <v/>
      </c>
      <c r="P1908">
        <f>IF(B1930=0,0,O1908/B1930)</f>
        <v/>
      </c>
      <c r="Q1908" t="n">
        <v>0</v>
      </c>
      <c r="R1908" t="n">
        <v>0</v>
      </c>
      <c r="S1908">
        <f>IFERROR(O1908/N1908,0)</f>
        <v/>
      </c>
      <c r="T1908" t="n">
        <v>0</v>
      </c>
      <c r="V1908" t="n">
        <v>0</v>
      </c>
    </row>
    <row r="1909">
      <c r="A1909">
        <f>Skills!A14</f>
        <v/>
      </c>
      <c r="B1909">
        <f>Skills!B14</f>
        <v/>
      </c>
      <c r="C1909">
        <f>Inputs!$B$3&gt;=107</f>
        <v/>
      </c>
      <c r="D1909">
        <f>IF(Skills!C14=1,60+Inputs!$B$25+Inputs!$B$29,IF(Skills!C14=2,90+Inputs!$B$26+Inputs!$B$29,IF(Skills!C14=3,120+Inputs!$B$27+Inputs!$B$29,MAX(0,(Inputs!$B$3-100)*3)+Inputs!$B$28+Inputs!$B$29)))</f>
        <v/>
      </c>
      <c r="E1909">
        <f>INDEX(FactorTable!$B$2:$Y$301, MATCH(ROUND(MIN(300,MAX(1,D1909)),0), FactorTable!$A$2:$A$301,0), Skills!M14+1)</f>
        <v/>
      </c>
      <c r="F1909">
        <f>IF(Skills!N14=TRUE,(Skills!L14/10)*(E1909/1000),Skills!L14/10)+Skills!O14</f>
        <v/>
      </c>
      <c r="G1909">
        <f>Skills!G14*IF(Skills!H14&gt;0,Skills!I14/Skills!H14,1)</f>
        <v/>
      </c>
      <c r="H1909">
        <f>1-(1-Skills!J14/100)^Skills!K14</f>
        <v/>
      </c>
      <c r="I1909" t="inlineStr">
        <is>
          <t>1</t>
        </is>
      </c>
      <c r="J1909" t="inlineStr"/>
      <c r="K1909" t="inlineStr"/>
      <c r="L1909" t="inlineStr"/>
      <c r="M1909" t="inlineStr"/>
      <c r="N1909" t="inlineStr"/>
      <c r="O1909">
        <f>(1-Summary!$B$11)*T1909+Summary!$B$11*V1909</f>
        <v/>
      </c>
      <c r="P1909">
        <f>IF(B1930=0,0,O1909/B1930)</f>
        <v/>
      </c>
      <c r="Q1909" t="n">
        <v>0</v>
      </c>
      <c r="R1909" t="n">
        <v>0</v>
      </c>
      <c r="S1909">
        <f>IFERROR(O1909/N1909,0)</f>
        <v/>
      </c>
      <c r="T1909" t="n">
        <v>0</v>
      </c>
      <c r="V1909" t="n">
        <v>0</v>
      </c>
    </row>
    <row r="1910">
      <c r="A1910">
        <f>Skills!A15</f>
        <v/>
      </c>
      <c r="B1910">
        <f>Skills!B15</f>
        <v/>
      </c>
      <c r="C1910">
        <f>Inputs!$B$3&gt;=115</f>
        <v/>
      </c>
      <c r="D1910">
        <f>IF(Skills!C15=1,60+Inputs!$B$25+Inputs!$B$29,IF(Skills!C15=2,90+Inputs!$B$26+Inputs!$B$29,IF(Skills!C15=3,120+Inputs!$B$27+Inputs!$B$29,MAX(0,(Inputs!$B$3-100)*3)+Inputs!$B$28+Inputs!$B$29)))</f>
        <v/>
      </c>
      <c r="E1910">
        <f>INDEX(FactorTable!$B$2:$Y$301, MATCH(ROUND(MIN(300,MAX(1,D1910)),0), FactorTable!$A$2:$A$301,0), Skills!M15+1)</f>
        <v/>
      </c>
      <c r="F1910">
        <f>IF(Skills!N15=TRUE,(Skills!L15/10)*(E1910/1000),Skills!L15/10)+Skills!O15</f>
        <v/>
      </c>
      <c r="G1910">
        <f>Skills!G15*IF(Skills!H15&gt;0,Skills!I15/Skills!H15,1)</f>
        <v/>
      </c>
      <c r="H1910">
        <f>1-(1-Skills!J15/100)^Skills!K15</f>
        <v/>
      </c>
      <c r="I1910" t="inlineStr">
        <is>
          <t>1</t>
        </is>
      </c>
      <c r="J1910" t="inlineStr"/>
      <c r="K1910" t="inlineStr"/>
      <c r="L1910" t="inlineStr"/>
      <c r="M1910" t="inlineStr"/>
      <c r="N1910" t="inlineStr"/>
      <c r="O1910">
        <f>(1-Summary!$B$11)*T1910+Summary!$B$11*V1910</f>
        <v/>
      </c>
      <c r="P1910">
        <f>IF(B1930=0,0,O1910/B1930)</f>
        <v/>
      </c>
      <c r="Q1910" t="n">
        <v>0</v>
      </c>
      <c r="R1910" t="n">
        <v>0</v>
      </c>
      <c r="S1910">
        <f>IFERROR(O1910/N1910,0)</f>
        <v/>
      </c>
      <c r="T1910" t="n">
        <v>0</v>
      </c>
      <c r="V1910" t="n">
        <v>0</v>
      </c>
    </row>
    <row r="1911">
      <c r="A1911">
        <f>Skills!A16</f>
        <v/>
      </c>
      <c r="B1911">
        <f>Skills!B16</f>
        <v/>
      </c>
      <c r="C1911">
        <f>Inputs!$B$3&gt;=15</f>
        <v/>
      </c>
      <c r="D1911">
        <f>IF(Skills!C16=1,60+Inputs!$B$25+Inputs!$B$29,IF(Skills!C16=2,90+Inputs!$B$26+Inputs!$B$29,IF(Skills!C16=3,120+Inputs!$B$27+Inputs!$B$29,MAX(0,(Inputs!$B$3-100)*3)+Inputs!$B$28+Inputs!$B$29)))</f>
        <v/>
      </c>
      <c r="E1911">
        <f>INDEX(FactorTable!$B$2:$Y$301, MATCH(ROUND(MIN(300,MAX(1,D1911)),0), FactorTable!$A$2:$A$301,0), Skills!M16+1)</f>
        <v/>
      </c>
      <c r="F1911">
        <f>IF(Skills!N16=TRUE,(Skills!L16/10)*(E1911/1000),Skills!L16/10)+Skills!O16</f>
        <v/>
      </c>
      <c r="G1911">
        <f>Skills!G16*IF(Skills!H16&gt;0,Skills!I16/Skills!H16,1)</f>
        <v/>
      </c>
      <c r="H1911">
        <f>1-(1-Skills!J16/100)^Skills!K16</f>
        <v/>
      </c>
      <c r="I1911" t="inlineStr">
        <is>
          <t>1</t>
        </is>
      </c>
      <c r="J1911" t="inlineStr"/>
      <c r="K1911" t="inlineStr"/>
      <c r="L1911" t="inlineStr"/>
      <c r="M1911" t="inlineStr"/>
      <c r="N1911" t="inlineStr"/>
      <c r="O1911">
        <f>(1-Summary!$B$11)*T1911+Summary!$B$11*V1911</f>
        <v/>
      </c>
      <c r="P1911">
        <f>IF(B1930=0,0,O1911/B1930)</f>
        <v/>
      </c>
      <c r="Q1911" t="n">
        <v>0</v>
      </c>
      <c r="R1911" t="n">
        <v>0</v>
      </c>
      <c r="S1911">
        <f>IFERROR(O1911/N1911,0)</f>
        <v/>
      </c>
      <c r="T1911" t="n">
        <v>0</v>
      </c>
      <c r="V1911" t="n">
        <v>0</v>
      </c>
    </row>
    <row r="1912">
      <c r="A1912">
        <f>Skills!A17</f>
        <v/>
      </c>
      <c r="B1912">
        <f>Skills!B17</f>
        <v/>
      </c>
      <c r="C1912">
        <f>Inputs!$B$3&gt;=10</f>
        <v/>
      </c>
      <c r="D1912">
        <f>IF(Skills!C17=1,60+Inputs!$B$25+Inputs!$B$29,IF(Skills!C17=2,90+Inputs!$B$26+Inputs!$B$29,IF(Skills!C17=3,120+Inputs!$B$27+Inputs!$B$29,MAX(0,(Inputs!$B$3-100)*3)+Inputs!$B$28+Inputs!$B$29)))</f>
        <v/>
      </c>
      <c r="E1912">
        <f>INDEX(FactorTable!$B$2:$Y$301, MATCH(ROUND(MIN(300,MAX(1,D1912)),0), FactorTable!$A$2:$A$301,0), Skills!M17+1)</f>
        <v/>
      </c>
      <c r="F1912">
        <f>IF(Skills!N17=TRUE,(Skills!L17/10)*(E1912/1000),Skills!L17/10)+Skills!O17</f>
        <v/>
      </c>
      <c r="G1912">
        <f>Skills!G17*IF(Skills!H17&gt;0,Skills!I17/Skills!H17,1)</f>
        <v/>
      </c>
      <c r="H1912">
        <f>1-(1-Skills!J17/100)^Skills!K17</f>
        <v/>
      </c>
      <c r="I1912" t="inlineStr">
        <is>
          <t>1</t>
        </is>
      </c>
      <c r="J1912" t="inlineStr"/>
      <c r="K1912" t="inlineStr"/>
      <c r="L1912" t="inlineStr"/>
      <c r="M1912" t="inlineStr"/>
      <c r="N1912" t="inlineStr"/>
      <c r="O1912">
        <f>(1-Summary!$B$11)*T1912+Summary!$B$11*V1912</f>
        <v/>
      </c>
      <c r="P1912">
        <f>IF(B1930=0,0,O1912/B1930)</f>
        <v/>
      </c>
      <c r="Q1912" t="n">
        <v>0</v>
      </c>
      <c r="R1912" t="n">
        <v>0</v>
      </c>
      <c r="S1912">
        <f>IFERROR(O1912/N1912,0)</f>
        <v/>
      </c>
      <c r="T1912" t="n">
        <v>0</v>
      </c>
      <c r="V1912" t="n">
        <v>0</v>
      </c>
    </row>
    <row r="1913">
      <c r="A1913">
        <f>Skills!A18</f>
        <v/>
      </c>
      <c r="B1913">
        <f>Skills!B18</f>
        <v/>
      </c>
      <c r="C1913">
        <f>Inputs!$B$3&gt;=33</f>
        <v/>
      </c>
      <c r="D1913">
        <f>IF(Skills!C18=1,60+Inputs!$B$25+Inputs!$B$29,IF(Skills!C18=2,90+Inputs!$B$26+Inputs!$B$29,IF(Skills!C18=3,120+Inputs!$B$27+Inputs!$B$29,MAX(0,(Inputs!$B$3-100)*3)+Inputs!$B$28+Inputs!$B$29)))</f>
        <v/>
      </c>
      <c r="E1913">
        <f>INDEX(FactorTable!$B$2:$Y$301, MATCH(ROUND(MIN(300,MAX(1,D1913)),0), FactorTable!$A$2:$A$301,0), Skills!M18+1)</f>
        <v/>
      </c>
      <c r="F1913">
        <f>IF(Skills!N18=TRUE,(Skills!L18/10)*(E1913/1000),Skills!L18/10)+Skills!O18</f>
        <v/>
      </c>
      <c r="G1913">
        <f>Skills!G18*IF(Skills!H18&gt;0,Skills!I18/Skills!H18,1)</f>
        <v/>
      </c>
      <c r="H1913">
        <f>1-(1-Skills!J18/100)^Skills!K18</f>
        <v/>
      </c>
      <c r="I1913" t="inlineStr">
        <is>
          <t>1</t>
        </is>
      </c>
      <c r="J1913" t="inlineStr"/>
      <c r="K1913" t="inlineStr"/>
      <c r="L1913" t="inlineStr"/>
      <c r="M1913" t="inlineStr"/>
      <c r="N1913" t="inlineStr"/>
      <c r="O1913">
        <f>(1-Summary!$B$11)*T1913+Summary!$B$11*V1913</f>
        <v/>
      </c>
      <c r="P1913">
        <f>IF(B1930=0,0,O1913/B1930)</f>
        <v/>
      </c>
      <c r="Q1913" t="n">
        <v>0</v>
      </c>
      <c r="R1913" t="n">
        <v>0</v>
      </c>
      <c r="S1913">
        <f>IFERROR(O1913/N1913,0)</f>
        <v/>
      </c>
      <c r="T1913" t="n">
        <v>0</v>
      </c>
      <c r="V1913" t="n">
        <v>0</v>
      </c>
    </row>
    <row r="1914">
      <c r="A1914">
        <f>Skills!A19</f>
        <v/>
      </c>
      <c r="B1914">
        <f>Skills!B19</f>
        <v/>
      </c>
      <c r="C1914">
        <f>Inputs!$B$3&gt;=40</f>
        <v/>
      </c>
      <c r="D1914">
        <f>IF(Skills!C19=1,60+Inputs!$B$25+Inputs!$B$29,IF(Skills!C19=2,90+Inputs!$B$26+Inputs!$B$29,IF(Skills!C19=3,120+Inputs!$B$27+Inputs!$B$29,MAX(0,(Inputs!$B$3-100)*3)+Inputs!$B$28+Inputs!$B$29)))</f>
        <v/>
      </c>
      <c r="E1914">
        <f>INDEX(FactorTable!$B$2:$Y$301, MATCH(ROUND(MIN(300,MAX(1,D1914)),0), FactorTable!$A$2:$A$301,0), Skills!M19+1)</f>
        <v/>
      </c>
      <c r="F1914">
        <f>IF(Skills!N19=TRUE,(Skills!L19/10)*(E1914/1000),Skills!L19/10)+Skills!O19</f>
        <v/>
      </c>
      <c r="G1914">
        <f>Skills!G19*IF(Skills!H19&gt;0,Skills!I19/Skills!H19,1)</f>
        <v/>
      </c>
      <c r="H1914">
        <f>1-(1-Skills!J19/100)^Skills!K19</f>
        <v/>
      </c>
      <c r="I1914" t="inlineStr">
        <is>
          <t>1</t>
        </is>
      </c>
      <c r="J1914" t="inlineStr"/>
      <c r="K1914" t="inlineStr"/>
      <c r="L1914" t="inlineStr"/>
      <c r="M1914" t="inlineStr"/>
      <c r="N1914" t="inlineStr"/>
      <c r="O1914">
        <f>(1-Summary!$B$11)*T1914+Summary!$B$11*V1914</f>
        <v/>
      </c>
      <c r="P1914">
        <f>IF(B1930=0,0,O1914/B1930)</f>
        <v/>
      </c>
      <c r="Q1914" t="n">
        <v>0</v>
      </c>
      <c r="R1914" t="n">
        <v>0</v>
      </c>
      <c r="S1914">
        <f>IFERROR(O1914/N1914,0)</f>
        <v/>
      </c>
      <c r="T1914" t="n">
        <v>0</v>
      </c>
      <c r="V1914" t="n">
        <v>0</v>
      </c>
    </row>
    <row r="1915">
      <c r="A1915">
        <f>Skills!A20</f>
        <v/>
      </c>
      <c r="B1915">
        <f>Skills!B20</f>
        <v/>
      </c>
      <c r="C1915">
        <f>Inputs!$B$3&gt;=43</f>
        <v/>
      </c>
      <c r="D1915">
        <f>IF(Skills!C20=1,60+Inputs!$B$25+Inputs!$B$29,IF(Skills!C20=2,90+Inputs!$B$26+Inputs!$B$29,IF(Skills!C20=3,120+Inputs!$B$27+Inputs!$B$29,MAX(0,(Inputs!$B$3-100)*3)+Inputs!$B$28+Inputs!$B$29)))</f>
        <v/>
      </c>
      <c r="E1915">
        <f>INDEX(FactorTable!$B$2:$Y$301, MATCH(ROUND(MIN(300,MAX(1,D1915)),0), FactorTable!$A$2:$A$301,0), Skills!M20+1)</f>
        <v/>
      </c>
      <c r="F1915">
        <f>IF(Skills!N20=TRUE,(Skills!L20/10)*(E1915/1000),Skills!L20/10)+Skills!O20</f>
        <v/>
      </c>
      <c r="G1915">
        <f>Skills!G20*IF(Skills!H20&gt;0,Skills!I20/Skills!H20,1)</f>
        <v/>
      </c>
      <c r="H1915">
        <f>1-(1-Skills!J20/100)^Skills!K20</f>
        <v/>
      </c>
      <c r="I1915" t="inlineStr">
        <is>
          <t>1</t>
        </is>
      </c>
      <c r="J1915" t="inlineStr"/>
      <c r="K1915" t="inlineStr"/>
      <c r="L1915" t="inlineStr"/>
      <c r="M1915" t="inlineStr"/>
      <c r="N1915" t="inlineStr"/>
      <c r="O1915">
        <f>(1-Summary!$B$11)*T1915+Summary!$B$11*V1915</f>
        <v/>
      </c>
      <c r="P1915">
        <f>IF(B1930=0,0,O1915/B1930)</f>
        <v/>
      </c>
      <c r="Q1915" t="n">
        <v>0</v>
      </c>
      <c r="R1915" t="n">
        <v>0</v>
      </c>
      <c r="S1915">
        <f>IFERROR(O1915/N1915,0)</f>
        <v/>
      </c>
      <c r="T1915" t="n">
        <v>0</v>
      </c>
      <c r="V1915" t="n">
        <v>0</v>
      </c>
    </row>
    <row r="1916">
      <c r="A1916">
        <f>Skills!A21</f>
        <v/>
      </c>
      <c r="B1916">
        <f>Skills!B21</f>
        <v/>
      </c>
      <c r="C1916">
        <f>Inputs!$B$3&gt;=38</f>
        <v/>
      </c>
      <c r="D1916">
        <f>IF(Skills!C21=1,60+Inputs!$B$25+Inputs!$B$29,IF(Skills!C21=2,90+Inputs!$B$26+Inputs!$B$29,IF(Skills!C21=3,120+Inputs!$B$27+Inputs!$B$29,MAX(0,(Inputs!$B$3-100)*3)+Inputs!$B$28+Inputs!$B$29)))</f>
        <v/>
      </c>
      <c r="E1916">
        <f>INDEX(FactorTable!$B$2:$Y$301, MATCH(ROUND(MIN(300,MAX(1,D1916)),0), FactorTable!$A$2:$A$301,0), Skills!M21+1)</f>
        <v/>
      </c>
      <c r="F1916">
        <f>IF(Skills!N21=TRUE,(Skills!L21/10)*(E1916/1000),Skills!L21/10)+Skills!O21</f>
        <v/>
      </c>
      <c r="G1916">
        <f>Skills!G21*IF(Skills!H21&gt;0,Skills!I21/Skills!H21,1)</f>
        <v/>
      </c>
      <c r="H1916">
        <f>1-(1-Skills!J21/100)^Skills!K21</f>
        <v/>
      </c>
      <c r="I1916" t="inlineStr">
        <is>
          <t>1</t>
        </is>
      </c>
      <c r="J1916" t="inlineStr"/>
      <c r="K1916" t="inlineStr"/>
      <c r="L1916" t="inlineStr"/>
      <c r="M1916" t="inlineStr"/>
      <c r="N1916" t="inlineStr"/>
      <c r="O1916">
        <f>(1-Summary!$B$11)*T1916+Summary!$B$11*V1916</f>
        <v/>
      </c>
      <c r="P1916">
        <f>IF(B1930=0,0,O1916/B1930)</f>
        <v/>
      </c>
      <c r="Q1916" t="n">
        <v>0</v>
      </c>
      <c r="R1916" t="n">
        <v>0</v>
      </c>
      <c r="S1916">
        <f>IFERROR(O1916/N1916,0)</f>
        <v/>
      </c>
      <c r="T1916" t="n">
        <v>0</v>
      </c>
      <c r="V1916" t="n">
        <v>0</v>
      </c>
    </row>
    <row r="1917">
      <c r="A1917">
        <f>Skills!A22</f>
        <v/>
      </c>
      <c r="B1917">
        <f>Skills!B22</f>
        <v/>
      </c>
      <c r="C1917">
        <f>Inputs!$B$3&gt;=75</f>
        <v/>
      </c>
      <c r="D1917">
        <f>IF(Skills!C22=1,60+Inputs!$B$25+Inputs!$B$29,IF(Skills!C22=2,90+Inputs!$B$26+Inputs!$B$29,IF(Skills!C22=3,120+Inputs!$B$27+Inputs!$B$29,MAX(0,(Inputs!$B$3-100)*3)+Inputs!$B$28+Inputs!$B$29)))</f>
        <v/>
      </c>
      <c r="E1917">
        <f>INDEX(FactorTable!$B$2:$Y$301, MATCH(ROUND(MIN(300,MAX(1,D1917)),0), FactorTable!$A$2:$A$301,0), Skills!M22+1)</f>
        <v/>
      </c>
      <c r="F1917">
        <f>IF(Skills!N22=TRUE,(Skills!L22/10)*(E1917/1000),Skills!L22/10)+Skills!O22</f>
        <v/>
      </c>
      <c r="G1917">
        <f>Skills!G22*IF(Skills!H22&gt;0,Skills!I22/Skills!H22,1)</f>
        <v/>
      </c>
      <c r="H1917">
        <f>1-(1-Skills!J22/100)^Skills!K22</f>
        <v/>
      </c>
      <c r="I1917" t="inlineStr">
        <is>
          <t>1</t>
        </is>
      </c>
      <c r="J1917" t="inlineStr"/>
      <c r="K1917" t="inlineStr"/>
      <c r="L1917" t="inlineStr"/>
      <c r="M1917" t="inlineStr"/>
      <c r="N1917" t="inlineStr"/>
      <c r="O1917">
        <f>(1-Summary!$B$11)*T1917+Summary!$B$11*V1917</f>
        <v/>
      </c>
      <c r="P1917">
        <f>IF(B1930=0,0,O1917/B1930)</f>
        <v/>
      </c>
      <c r="Q1917" t="n">
        <v>0</v>
      </c>
      <c r="R1917" t="n">
        <v>0</v>
      </c>
      <c r="S1917">
        <f>IFERROR(O1917/N1917,0)</f>
        <v/>
      </c>
      <c r="T1917" t="n">
        <v>0</v>
      </c>
      <c r="V1917" t="n">
        <v>0</v>
      </c>
    </row>
    <row r="1919">
      <c r="A1919" t="inlineStr">
        <is>
          <t>Attack% Bucket Multiplier</t>
        </is>
      </c>
      <c r="B1919">
        <f>(1+(((C1908=TRUE)*F1908)+((C1914=TRUE)*(F1914-Calc!F19))+(IF(ArtifactsInput!$M$21,CHOOSE(ArtifactsInput!$N$21+1,25,30,35,40,45,50)*(IF(OR(Inputs!$B$4="Chapter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20">
      <c r="A1920" t="inlineStr">
        <is>
          <t>Global Crit Rate Bonus %</t>
        </is>
      </c>
      <c r="B1920" t="n">
        <v>0</v>
      </c>
    </row>
    <row r="1921">
      <c r="A1921" t="inlineStr">
        <is>
          <t>Attack Speed Buff Bonus % (unused)</t>
        </is>
      </c>
      <c r="B1921" t="n">
        <v>0</v>
      </c>
    </row>
    <row r="1922">
      <c r="A1922" t="inlineStr">
        <is>
          <t>Actions Per Second</t>
        </is>
      </c>
      <c r="B1922">
        <f>1+MIN(150,150*(1-(1-(Inputs!$B$11+((C1912=TRUE)*(F1912-Calc!F17))+((C1913=TRUE)*(F1913-Calc!F18)))/150)*(1-B1921/150)))/100</f>
        <v/>
      </c>
    </row>
    <row r="1923">
      <c r="A1923" t="inlineStr">
        <is>
          <t>Skill + Buff Cast Rate</t>
        </is>
      </c>
      <c r="B1923">
        <f>IF(AND(Inputs!$B$38&lt;&gt;"pvp",Inputs!$B$43&gt;0),SUMPRODUCT((Skills!E2:E22=TRUE)*(C1897:C1917=TRUE)*R1897:R1917*Skills!F2:F22)/Inputs!$B$43,SUMPRODUCT((Skills!E2:E22=TRUE)*(C1897:C1917=TRUE)*Q1897:Q1917*Skills!F2:F22))</f>
        <v/>
      </c>
    </row>
    <row r="1924">
      <c r="A1924" t="inlineStr">
        <is>
          <t>Hook Bomber Casts Per Second</t>
        </is>
      </c>
      <c r="B1924">
        <f>MAX(0,B1922-B1923)</f>
        <v/>
      </c>
    </row>
    <row r="1925">
      <c r="A1925" t="inlineStr">
        <is>
          <t>Global Critical Damage Bonus % (unused)</t>
        </is>
      </c>
      <c r="B1925" t="n">
        <v>0</v>
      </c>
    </row>
    <row r="1926">
      <c r="A1926" t="inlineStr">
        <is>
          <t>Global Final Damage Bonus % (Serpent Scale + Crossbones + Time Leap + Speed Infusion)</t>
        </is>
      </c>
      <c r="B1926">
        <f>((C1900=TRUE)*F1900*((10+IF(Inputs!$B$3&gt;=94,5,0))/((10+IF(Inputs!$B$3&gt;=94,5,0))+5/(B1924*(1+IF(Inputs!$B$3&gt;=104,1,0))))))+((C1909=TRUE)*F1909)+((C1910=TRUE)*F1910)+((Inputs!$B$3&gt;=110)*20*(B1922-1))</f>
        <v/>
      </c>
    </row>
    <row r="1927">
      <c r="A1927" t="inlineStr">
        <is>
          <t>Buff-Casting Startup Delay (s, fixed-duration only)</t>
        </is>
      </c>
      <c r="B1927">
        <f>IF(AND(Inputs!$B$38&lt;&gt;"pvp",Inputs!$B$43&gt;0),SUMPRODUCT((Skills!T2:T22&gt;0)*(Skills!E2:E22=TRUE)*(C1897:C1917=TRUE))/B1922,0)</f>
        <v/>
      </c>
    </row>
    <row r="1928">
      <c r="A1928" t="inlineStr">
        <is>
          <t>Boss-Only Total DPS (this block's swept value)</t>
        </is>
      </c>
      <c r="B1928">
        <f>SUM(T1897:T1917)</f>
        <v/>
      </c>
    </row>
    <row r="1929">
      <c r="A1929" t="inlineStr">
        <is>
          <t>Normal-Only Total DPS (this block's swept value)</t>
        </is>
      </c>
      <c r="B1929">
        <f>SUM(V1897:V1917)</f>
        <v/>
      </c>
    </row>
    <row r="1930">
      <c r="A1930" s="6" t="inlineStr">
        <is>
          <t>TOTAL DPS</t>
        </is>
      </c>
      <c r="B1930" s="6">
        <f>SUM(O1897:O1917)</f>
        <v/>
      </c>
    </row>
    <row r="1933">
      <c r="A1933" s="6" t="inlineStr">
        <is>
          <t>Stat: Ancient Text Piece (Equip)</t>
        </is>
      </c>
    </row>
    <row r="1934">
      <c r="A1934" s="5" t="inlineStr">
        <is>
          <t>Key</t>
        </is>
      </c>
      <c r="B1934" s="5" t="inlineStr">
        <is>
          <t>Name</t>
        </is>
      </c>
      <c r="C1934" s="5" t="inlineStr">
        <is>
          <t>Unlocked</t>
        </is>
      </c>
      <c r="D1934" s="5" t="inlineStr">
        <is>
          <t>InputLevel</t>
        </is>
      </c>
      <c r="E1934" s="5" t="inlineStr">
        <is>
          <t>Factor</t>
        </is>
      </c>
      <c r="F1934" s="5" t="inlineStr">
        <is>
          <t>CoefficientPercent</t>
        </is>
      </c>
      <c r="G1934" s="5" t="inlineStr">
        <is>
          <t>EffectiveHits</t>
        </is>
      </c>
      <c r="H1934" s="5" t="inlineStr">
        <is>
          <t>ProcProbability</t>
        </is>
      </c>
      <c r="I1934" s="5" t="inlineStr">
        <is>
          <t>MapleHeroMultiplier</t>
        </is>
      </c>
      <c r="J1934" s="5" t="inlineStr">
        <is>
          <t>BaseDamage</t>
        </is>
      </c>
      <c r="K1934" s="5" t="inlineStr">
        <is>
          <t>BaseHitDamage</t>
        </is>
      </c>
      <c r="L1934" s="5" t="inlineStr">
        <is>
          <t>NonCritAvg</t>
        </is>
      </c>
      <c r="M1934" s="5" t="inlineStr">
        <is>
          <t>CritAvg</t>
        </is>
      </c>
      <c r="N1934" s="5" t="inlineStr">
        <is>
          <t>ExpectedDamage(perHit)</t>
        </is>
      </c>
      <c r="O1934" s="5" t="inlineStr">
        <is>
          <t>DPS</t>
        </is>
      </c>
      <c r="P1934" s="5" t="inlineStr">
        <is>
          <t>% of Total</t>
        </is>
      </c>
      <c r="Q1934" s="5" t="inlineStr">
        <is>
          <t>InvCooldown</t>
        </is>
      </c>
      <c r="R1934" s="5" t="inlineStr">
        <is>
          <t>CastsInFight</t>
        </is>
      </c>
      <c r="S1934" s="5" t="inlineStr">
        <is>
          <t>HitRate(perSec)</t>
        </is>
      </c>
      <c r="U1934" t="inlineStr">
        <is>
          <t>helpers</t>
        </is>
      </c>
    </row>
    <row r="1935">
      <c r="A1935">
        <f>Skills!A2</f>
        <v/>
      </c>
      <c r="B1935">
        <f>Skills!B2</f>
        <v/>
      </c>
      <c r="C1935">
        <f>Inputs!$B$3&gt;=100</f>
        <v/>
      </c>
      <c r="D1935" t="inlineStr"/>
      <c r="E1935" t="inlineStr"/>
      <c r="F1935">
        <f>U1937+Skills!O2</f>
        <v/>
      </c>
      <c r="G1935">
        <f>Skills!G2*IF(Skills!H2&gt;0,Skills!I2/Skills!H2,1)</f>
        <v/>
      </c>
      <c r="H1935">
        <f>1-(1-Skills!J2/100)^Skills!K2</f>
        <v/>
      </c>
      <c r="I1935" t="inlineStr">
        <is>
          <t>1</t>
        </is>
      </c>
      <c r="J1935">
        <f>((Inputs!$B$6*(1+Inputs!$B$7/100))+(((Inputs!$B$12*(1+Inputs!$B$13/100))-(Inputs!$B$12*(1+Inputs!$B$13/100)))+0.25*(Inputs!$B$14-Inputs!$B$14))*(1+Inputs!$B$7/100))*(F1935/100)</f>
        <v/>
      </c>
      <c r="K1935">
        <f>J1935*(1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1935)</f>
        <v/>
      </c>
      <c r="L1935">
        <f>K1935*(MIN(Inputs!$B$22+((C1953=TRUE)*(F1953-Calc!F20)),(Inputs!$B$23+0+(IF(ArtifactsInput!$M$15,CHOOSE(ArtifactsInput!$N$15+1,25,30,35,40,45,50)/100*(Inputs!$B$11-Inputs!$B$11),0))))/100+(Inputs!$B$23+0+(IF(ArtifactsInput!$M$15,CHOOSE(ArtifactsInput!$N$15+1,25,30,35,40,45,50)/100*(Inputs!$B$11-Inputs!$B$11),0)))/100)/2</f>
        <v/>
      </c>
      <c r="M1935">
        <f>L1935*(1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5">
        <f>L1935*(1-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1935*(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5">
        <f>(1-Summary!$B$11)*T1935+Summary!$B$11*V1935</f>
        <v/>
      </c>
      <c r="P1935">
        <f>IF(B1968=0,0,O1935/B1968)</f>
        <v/>
      </c>
      <c r="Q1935" t="n">
        <v>0</v>
      </c>
      <c r="R1935" t="n">
        <v>0</v>
      </c>
      <c r="S1935">
        <f>IFERROR(O1935/N1935,0)</f>
        <v/>
      </c>
      <c r="T1935">
        <f>IF(C1935,(Skills!G2*N1935*B1962)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1935*(1-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1935*(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1935*(1-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1935*(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5">
        <f>MAX(0,(Inputs!$B$3-100)*3)+Inputs!$B$28+Inputs!$B$29</f>
        <v/>
      </c>
      <c r="V1935">
        <f>IF(C1935,(Skills!G2*N1935*B1962)*IF(Inputs!$B$38="pvp",1,(1+(Inputs!$B$21+Skills!Q2+(IF(ArtifactsInput!$M$33,CHOOSE(ArtifactsInput!$N$33+1,30,36,42,48,54,60),0))+(IF(AND(ArtifactsInput!$M$35,Inputs!$B$4&lt;&gt;"Chapter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6">
      <c r="A1936">
        <f>Skills!A3</f>
        <v/>
      </c>
      <c r="B1936">
        <f>Skills!B3</f>
        <v/>
      </c>
      <c r="C1936">
        <f>Inputs!$B$3&gt;=35</f>
        <v/>
      </c>
      <c r="D1936">
        <f>IF(Skills!C3=1,60+Inputs!$B$25+Inputs!$B$29,IF(Skills!C3=2,90+Inputs!$B$26+Inputs!$B$29,IF(Skills!C3=3,120+Inputs!$B$27+Inputs!$B$29,MAX(0,(Inputs!$B$3-100)*3)+Inputs!$B$28+Inputs!$B$29)))</f>
        <v/>
      </c>
      <c r="E1936">
        <f>INDEX(FactorTable!$B$2:$Y$301, MATCH(ROUND(MIN(300,MAX(1,D1936)),0), FactorTable!$A$2:$A$301,0), Skills!M3+1)</f>
        <v/>
      </c>
      <c r="F1936">
        <f>IF(Skills!N3=TRUE,(Skills!L3/10)*(E1936/1000),Skills!L3/10)+Skills!O3</f>
        <v/>
      </c>
      <c r="G1936">
        <f>Skills!G3*IF(Skills!H3&gt;0,Skills!I3/Skills!H3,1)</f>
        <v/>
      </c>
      <c r="H1936">
        <f>1-(1-Skills!J3/100)^Skills!K3</f>
        <v/>
      </c>
      <c r="I1936" t="inlineStr">
        <is>
          <t>1</t>
        </is>
      </c>
      <c r="J1936">
        <f>((Inputs!$B$6*(1+Inputs!$B$7/100))+(((Inputs!$B$12*(1+Inputs!$B$13/100))-(Inputs!$B$12*(1+Inputs!$B$13/100)))+0.25*(Inputs!$B$14-Inputs!$B$14))*(1+Inputs!$B$7/100))*(F1936/100)</f>
        <v/>
      </c>
      <c r="K1936">
        <f>J1936*(1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1936)</f>
        <v/>
      </c>
      <c r="L1936">
        <f>K1936*(MIN(Inputs!$B$22+((C1953=TRUE)*(F1953-Calc!F20)),(Inputs!$B$23+0+(IF(ArtifactsInput!$M$15,CHOOSE(ArtifactsInput!$N$15+1,25,30,35,40,45,50)/100*(Inputs!$B$11-Inputs!$B$11),0))))/100+(Inputs!$B$23+0+(IF(ArtifactsInput!$M$15,CHOOSE(ArtifactsInput!$N$15+1,25,30,35,40,45,50)/100*(Inputs!$B$11-Inputs!$B$11),0)))/100)/2</f>
        <v/>
      </c>
      <c r="M1936">
        <f>L1936*(1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6">
        <f>L1936*(1-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1936*(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6">
        <f>(1-Summary!$B$11)*T1936+Summary!$B$11*V1936</f>
        <v/>
      </c>
      <c r="P1936">
        <f>IF(B1968=0,0,O1936/B1968)</f>
        <v/>
      </c>
      <c r="Q1936" t="n">
        <v>0</v>
      </c>
      <c r="R1936" t="n">
        <v>0</v>
      </c>
      <c r="S1936">
        <f>IFERROR(O1936/N1936,0)</f>
        <v/>
      </c>
      <c r="T1936">
        <f>IF(C1936,(Skills!G3*H1936*N1936*B1962)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1936*(1-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1936*(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1936*(1-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1936*(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6">
        <f>INDEX(FactorTable!$B$2:$Y$301, MATCH(ROUND(MIN(300,MAX(1,U1935)),0), FactorTable!$A$2:$A$301,0), 22)</f>
        <v/>
      </c>
      <c r="V1936">
        <f>IF(C1936,(Skills!G3*H1936*N1936*B1962)*IF(Inputs!$B$38="pvp",1,(1+(Inputs!$B$21+Skills!Q3+(IF(ArtifactsInput!$M$33,CHOOSE(ArtifactsInput!$N$33+1,30,36,42,48,54,60),0))+(IF(AND(ArtifactsInput!$M$35,Inputs!$B$4&lt;&gt;"Chapter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7">
      <c r="A1937">
        <f>Skills!A4</f>
        <v/>
      </c>
      <c r="B1937">
        <f>Skills!B4</f>
        <v/>
      </c>
      <c r="C1937">
        <f>Inputs!$B$3&gt;=60</f>
        <v/>
      </c>
      <c r="D1937">
        <f>IF(Skills!C4=1,60+Inputs!$B$25+Inputs!$B$29,IF(Skills!C4=2,90+Inputs!$B$26+Inputs!$B$29,IF(Skills!C4=3,120+Inputs!$B$27+Inputs!$B$29,MAX(0,(Inputs!$B$3-100)*3)+Inputs!$B$28+Inputs!$B$29)))</f>
        <v/>
      </c>
      <c r="E1937">
        <f>INDEX(FactorTable!$B$2:$Y$301, MATCH(ROUND(MIN(300,MAX(1,D1937)),0), FactorTable!$A$2:$A$301,0), Skills!M4+1)</f>
        <v/>
      </c>
      <c r="F1937">
        <f>IF(Skills!N4=TRUE,(Skills!L4/10)*(E1937/1000),Skills!L4/10)+Skills!O4</f>
        <v/>
      </c>
      <c r="G1937">
        <f>Skills!G4*IF(Skills!H4&gt;0,Skills!I4/Skills!H4,1)</f>
        <v/>
      </c>
      <c r="H1937">
        <f>1-(1-Skills!J4/100)^Skills!K4</f>
        <v/>
      </c>
      <c r="I1937" t="inlineStr">
        <is>
          <t>1</t>
        </is>
      </c>
      <c r="J1937">
        <f>((Inputs!$B$6*(1+Inputs!$B$7/100))+(((Inputs!$B$12*(1+Inputs!$B$13/100))-(Inputs!$B$12*(1+Inputs!$B$13/100)))+0.25*(Inputs!$B$14-Inputs!$B$14))*(1+Inputs!$B$7/100))*(F1937/100)</f>
        <v/>
      </c>
      <c r="K1937">
        <f>J1937*(1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1945=TRUE,F1945,0)/100)*(1+(IF(Skills!A4="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1937)</f>
        <v/>
      </c>
      <c r="L1937">
        <f>K1937*(MIN(Inputs!$B$22+((C1953=TRUE)*(F1953-Calc!F20)),(Inputs!$B$23+0+(IF(ArtifactsInput!$M$15,CHOOSE(ArtifactsInput!$N$15+1,25,30,35,40,45,50)/100*(Inputs!$B$11-Inputs!$B$11),0))))/100+(Inputs!$B$23+0+(IF(ArtifactsInput!$M$15,CHOOSE(ArtifactsInput!$N$15+1,25,30,35,40,45,50)/100*(Inputs!$B$11-Inputs!$B$11),0)))/100)/2</f>
        <v/>
      </c>
      <c r="M1937">
        <f>L1937*(1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7">
        <f>L1937*(1-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1937*(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7">
        <f>(1-Summary!$B$11)*T1937+Summary!$B$11*V1937</f>
        <v/>
      </c>
      <c r="P1937">
        <f>IF(B1968=0,0,O1937/B1968)</f>
        <v/>
      </c>
      <c r="Q1937" t="n">
        <v>0</v>
      </c>
      <c r="R1937" t="n">
        <v>0</v>
      </c>
      <c r="S1937">
        <f>IFERROR(O1937/N1937,0)</f>
        <v/>
      </c>
      <c r="T1937">
        <f>IF(C1937,(Skills!G4*H1937*N1937*B1962)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1937*(1-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1937*(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1937*(1-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1937*(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7">
        <f>290*U1936/1000</f>
        <v/>
      </c>
      <c r="V1937">
        <f>IF(C1937,(Skills!G4*H1937*N1937*B1962)*IF(Inputs!$B$38="pvp",1,(1+(Inputs!$B$21+Skills!Q4+(IF(ArtifactsInput!$M$33,CHOOSE(ArtifactsInput!$N$33+1,30,36,42,48,54,60),0))+(IF(AND(ArtifactsInput!$M$35,Inputs!$B$4&lt;&gt;"Chapter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8">
      <c r="A1938">
        <f>Skills!A5</f>
        <v/>
      </c>
      <c r="B1938">
        <f>Skills!B5</f>
        <v/>
      </c>
      <c r="C1938">
        <f>Inputs!$B$3&gt;=60</f>
        <v/>
      </c>
      <c r="D1938">
        <f>IF(Skills!C5=1,60+Inputs!$B$25+Inputs!$B$29,IF(Skills!C5=2,90+Inputs!$B$26+Inputs!$B$29,IF(Skills!C5=3,120+Inputs!$B$27+Inputs!$B$29,MAX(0,(Inputs!$B$3-100)*3)+Inputs!$B$28+Inputs!$B$29)))</f>
        <v/>
      </c>
      <c r="E1938">
        <f>INDEX(FactorTable!$B$2:$Y$301, MATCH(ROUND(MIN(300,MAX(1,D1938)),0), FactorTable!$A$2:$A$301,0), Skills!M5+1)</f>
        <v/>
      </c>
      <c r="F1938">
        <f>IF(Skills!N5=TRUE,(Skills!L5/10)*(E1938/1000),Skills!L5/10)+Skills!O5</f>
        <v/>
      </c>
      <c r="G1938">
        <f>Skills!G5*IF(Skills!H5&gt;0,Skills!I5/Skills!H5,1)</f>
        <v/>
      </c>
      <c r="H1938">
        <f>1-(1-Skills!J5/100)^Skills!K5</f>
        <v/>
      </c>
      <c r="I1938" t="inlineStr">
        <is>
          <t>1</t>
        </is>
      </c>
      <c r="J1938" t="inlineStr"/>
      <c r="K1938" t="inlineStr"/>
      <c r="L1938" t="inlineStr"/>
      <c r="M1938" t="inlineStr"/>
      <c r="N1938" t="inlineStr"/>
      <c r="O1938">
        <f>(1-Summary!$B$11)*T1938+Summary!$B$11*V1938</f>
        <v/>
      </c>
      <c r="P1938">
        <f>IF(B1968=0,0,O1938/B1968)</f>
        <v/>
      </c>
      <c r="Q1938" t="n">
        <v>0</v>
      </c>
      <c r="R1938" t="n">
        <v>0</v>
      </c>
      <c r="S1938">
        <f>IFERROR(O1938/N1938,0)</f>
        <v/>
      </c>
      <c r="T1938" t="n">
        <v>0</v>
      </c>
      <c r="V1938" t="n">
        <v>0</v>
      </c>
    </row>
    <row r="1939">
      <c r="A1939">
        <f>Skills!A6</f>
        <v/>
      </c>
      <c r="B1939">
        <f>Skills!B6</f>
        <v/>
      </c>
      <c r="C1939">
        <f>Inputs!$B$3&gt;=63</f>
        <v/>
      </c>
      <c r="D1939">
        <f>IF(Skills!C6=1,60+Inputs!$B$25+Inputs!$B$29,IF(Skills!C6=2,90+Inputs!$B$26+Inputs!$B$29,IF(Skills!C6=3,120+Inputs!$B$27+Inputs!$B$29,MAX(0,(Inputs!$B$3-100)*3)+Inputs!$B$28+Inputs!$B$29)))</f>
        <v/>
      </c>
      <c r="E1939">
        <f>INDEX(FactorTable!$B$2:$Y$301, MATCH(ROUND(MIN(300,MAX(1,D1939)),0), FactorTable!$A$2:$A$301,0), Skills!M6+1)</f>
        <v/>
      </c>
      <c r="F1939">
        <f>IF(Skills!N6=TRUE,(Skills!L6/10)*(E1939/1000),Skills!L6/10)+Skills!O6</f>
        <v/>
      </c>
      <c r="G1939">
        <f>Skills!G6*IF(Skills!H6&gt;0,Skills!I6/Skills!H6,1)</f>
        <v/>
      </c>
      <c r="H1939">
        <f>1-(1-Skills!J6/100)^Skills!K6</f>
        <v/>
      </c>
      <c r="I1939" t="inlineStr">
        <is>
          <t>1</t>
        </is>
      </c>
      <c r="J1939">
        <f>((Inputs!$B$6*(1+Inputs!$B$7/100))+(((Inputs!$B$12*(1+Inputs!$B$13/100))-(Inputs!$B$12*(1+Inputs!$B$13/100)))+0.25*(Inputs!$B$14-Inputs!$B$14))*(1+Inputs!$B$7/100))*(F1939/100)</f>
        <v/>
      </c>
      <c r="K1939">
        <f>J1939*(1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1939)</f>
        <v/>
      </c>
      <c r="L1939">
        <f>K1939*(MIN(Inputs!$B$22+((C1953=TRUE)*(F1953-Calc!F20)),(Inputs!$B$23+0+(IF(ArtifactsInput!$M$15,CHOOSE(ArtifactsInput!$N$15+1,25,30,35,40,45,50)/100*(Inputs!$B$11-Inputs!$B$11),0))))/100+(Inputs!$B$23+0+(IF(ArtifactsInput!$M$15,CHOOSE(ArtifactsInput!$N$15+1,25,30,35,40,45,50)/100*(Inputs!$B$11-Inputs!$B$11),0)))/100)/2</f>
        <v/>
      </c>
      <c r="M1939">
        <f>L1939*(1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9">
        <f>L1939*(1-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1939*(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9">
        <f>(1-Summary!$B$11)*T1939+Summary!$B$11*V1939</f>
        <v/>
      </c>
      <c r="P1939">
        <f>IF(B1968=0,0,O1939/B1968)</f>
        <v/>
      </c>
      <c r="Q1939">
        <f>IFERROR(1/(IF(Inputs!$B$38="pvp",15,MAX(0.1,Skills!D6-IF(Skills!E6=TRUE,Inputs!$B$32,0)))*(1-IF(AND(ArtifactsInput!$M$27,Inputs!$B$4="Chapter Hunt"),CHOOSE(ArtifactsInput!$N$27+1,20,24,28,32,36,40),0)/100)),0)</f>
        <v/>
      </c>
      <c r="R1939">
        <f>IF(AND(Inputs!$B$38&lt;&gt;"pvp",Inputs!$B$43&gt;0),IF(MAX(0,Inputs!$B$43-B1965)&lt;=0,0,(INT(MAX(0,Inputs!$B$43-B1965)/(IF(Inputs!$B$38="pvp",15,MAX(0.1,Skills!D6-IF(Skills!E6=TRUE,Inputs!$B$32,0)))*(1-IF(AND(ArtifactsInput!$M$27,Inputs!$B$4="Chapter Hunt"),CHOOSE(ArtifactsInput!$N$27+1,20,24,28,32,36,40),0)/100)))+1)),0)</f>
        <v/>
      </c>
      <c r="S1939">
        <f>IFERROR(O1939/N1939,0)</f>
        <v/>
      </c>
      <c r="T1939">
        <f>IF(C1939,(H1939*N1939*IF(AND(Inputs!$B$38&lt;&gt;"pvp",Inputs!$B$43&gt;0),((Skills!G6*((R1939-1)*IF(Skills!H6&gt;0,Skills!I6/Skills!H6,1)+IF(Skills!H6&gt;0,MIN(Skills!I6,MAX(0,MAX(0,Inputs!$B$43-B1965)-((R1939-1)*(IF(Inputs!$B$38="pvp",15,MAX(0.1,Skills!D6-IF(Skills!E6=TRUE,Inputs!$B$32,0)))*(1-IF(AND(ArtifactsInput!$M$27,Inputs!$B$4="Chapter Hunt"),CHOOSE(ArtifactsInput!$N$27+1,20,24,28,32,36,40),0)/100)))))/Skills!H6,1)))/Inputs!$B$43),G1939*Q1939)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1939*(1-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1939*(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1939*(1-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1939*(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9">
        <f>IF(C1939,(H1939*N1939*IF(AND(Inputs!$B$38&lt;&gt;"pvp",Inputs!$B$43&gt;0),((Skills!G6*((R1939-1)*IF(Skills!H6&gt;0,Skills!I6/Skills!H6,1)+IF(Skills!H6&gt;0,MIN(Skills!I6,MAX(0,MAX(0,Inputs!$B$43-B1965)-((R1939-1)*(IF(Inputs!$B$38="pvp",15,MAX(0.1,Skills!D6-IF(Skills!E6=TRUE,Inputs!$B$32,0)))*(1-IF(AND(ArtifactsInput!$M$27,Inputs!$B$4="Chapter Hunt"),CHOOSE(ArtifactsInput!$N$27+1,20,24,28,32,36,40),0)/100)))))/Skills!H6,1)))/Inputs!$B$43),G1939*Q1939))*IF(Inputs!$B$38="pvp",1,(1+(Inputs!$B$21+Skills!Q6+(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0">
      <c r="A1940">
        <f>Skills!A7</f>
        <v/>
      </c>
      <c r="B1940">
        <f>Skills!B7</f>
        <v/>
      </c>
      <c r="C1940">
        <f>Inputs!$B$3&gt;=100</f>
        <v/>
      </c>
      <c r="D1940">
        <f>IF(Skills!C7=1,60+Inputs!$B$25+Inputs!$B$29,IF(Skills!C7=2,90+Inputs!$B$26+Inputs!$B$29,IF(Skills!C7=3,120+Inputs!$B$27+Inputs!$B$29,MAX(0,(Inputs!$B$3-100)*3)+Inputs!$B$28+Inputs!$B$29)))</f>
        <v/>
      </c>
      <c r="E1940">
        <f>INDEX(FactorTable!$B$2:$Y$301, MATCH(ROUND(MIN(300,MAX(1,D1940)),0), FactorTable!$A$2:$A$301,0), Skills!M7+1)</f>
        <v/>
      </c>
      <c r="F1940">
        <f>IF(Skills!N7=TRUE,(Skills!L7/10)*(E1940/1000),Skills!L7/10)+Skills!O7</f>
        <v/>
      </c>
      <c r="G1940">
        <f>Skills!G7*IF(Skills!H7&gt;0,Skills!I7/Skills!H7,1)</f>
        <v/>
      </c>
      <c r="H1940">
        <f>1-(1-Skills!J7/100)^Skills!K7</f>
        <v/>
      </c>
      <c r="I1940" t="inlineStr">
        <is>
          <t>1</t>
        </is>
      </c>
      <c r="J1940">
        <f>((Inputs!$B$6*(1+Inputs!$B$7/100))+(((Inputs!$B$12*(1+Inputs!$B$13/100))-(Inputs!$B$12*(1+Inputs!$B$13/100)))+0.25*(Inputs!$B$14-Inputs!$B$14))*(1+Inputs!$B$7/100))*(F1940/100)</f>
        <v/>
      </c>
      <c r="K1940">
        <f>J1940*(1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1940)</f>
        <v/>
      </c>
      <c r="L1940">
        <f>K1940*(MIN(Inputs!$B$22+((C1953=TRUE)*(F1953-Calc!F20)),(Inputs!$B$23+0+(IF(ArtifactsInput!$M$15,CHOOSE(ArtifactsInput!$N$15+1,25,30,35,40,45,50)/100*(Inputs!$B$11-Inputs!$B$11),0))))/100+(Inputs!$B$23+0+(IF(ArtifactsInput!$M$15,CHOOSE(ArtifactsInput!$N$15+1,25,30,35,40,45,50)/100*(Inputs!$B$11-Inputs!$B$11),0)))/100)/2</f>
        <v/>
      </c>
      <c r="M1940">
        <f>L1940*(1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0">
        <f>L1940*(1-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1940*(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0">
        <f>(1-Summary!$B$11)*T1940+Summary!$B$11*V1940</f>
        <v/>
      </c>
      <c r="P1940">
        <f>IF(B1968=0,0,O1940/B1968)</f>
        <v/>
      </c>
      <c r="Q1940">
        <f>IFERROR(1/(IF(Inputs!$B$38="pvp",15,MAX(0.1,Skills!D7-IF(Skills!E7=TRUE,Inputs!$B$32,0)))*(1-IF(AND(ArtifactsInput!$M$27,Inputs!$B$4="Chapter Hunt"),CHOOSE(ArtifactsInput!$N$27+1,20,24,28,32,36,40),0)/100)),0)</f>
        <v/>
      </c>
      <c r="R1940">
        <f>IF(AND(Inputs!$B$38&lt;&gt;"pvp",Inputs!$B$43&gt;0),IF(MAX(0,Inputs!$B$43-B1965)&lt;=0,0,(INT(MAX(0,Inputs!$B$43-B1965)/(IF(Inputs!$B$38="pvp",15,MAX(0.1,Skills!D7-IF(Skills!E7=TRUE,Inputs!$B$32,0)))*(1-IF(AND(ArtifactsInput!$M$27,Inputs!$B$4="Chapter Hunt"),CHOOSE(ArtifactsInput!$N$27+1,20,24,28,32,36,40),0)/100)))+1)),0)</f>
        <v/>
      </c>
      <c r="S1940">
        <f>IFERROR(O1940/N1940,0)</f>
        <v/>
      </c>
      <c r="T1940">
        <f>IF(C1940,(H1940*N1940*IF(AND(Inputs!$B$38&lt;&gt;"pvp",Inputs!$B$43&gt;0),((Skills!G7*((R1940-1)*IF(Skills!H7&gt;0,Skills!I7/Skills!H7,1)+IF(Skills!H7&gt;0,MIN(Skills!I7,MAX(0,MAX(0,Inputs!$B$43-B1965)-((R1940-1)*(IF(Inputs!$B$38="pvp",15,MAX(0.1,Skills!D7-IF(Skills!E7=TRUE,Inputs!$B$32,0)))*(1-IF(AND(ArtifactsInput!$M$27,Inputs!$B$4="Chapter Hunt"),CHOOSE(ArtifactsInput!$N$27+1,20,24,28,32,36,40),0)/100)))))/Skills!H7,1)))/Inputs!$B$43),G1940*Q1940)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1940*(1-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1940*(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1940*(1-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1940*(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0">
        <f>IF(C1940,(H1940*N1940*IF(AND(Inputs!$B$38&lt;&gt;"pvp",Inputs!$B$43&gt;0),((Skills!G7*((R1940-1)*IF(Skills!H7&gt;0,Skills!I7/Skills!H7,1)+IF(Skills!H7&gt;0,MIN(Skills!I7,MAX(0,MAX(0,Inputs!$B$43-B1965)-((R1940-1)*(IF(Inputs!$B$38="pvp",15,MAX(0.1,Skills!D7-IF(Skills!E7=TRUE,Inputs!$B$32,0)))*(1-IF(AND(ArtifactsInput!$M$27,Inputs!$B$4="Chapter Hunt"),CHOOSE(ArtifactsInput!$N$27+1,20,24,28,32,36,40),0)/100)))))/Skills!H7,1)))/Inputs!$B$43),G1940*Q1940))*IF(Inputs!$B$38="pvp",1,(1+(Inputs!$B$21+Skills!Q7+(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1">
      <c r="A1941">
        <f>Skills!A8</f>
        <v/>
      </c>
      <c r="B1941">
        <f>Skills!B8</f>
        <v/>
      </c>
      <c r="C1941">
        <f>Inputs!$B$3&gt;=110</f>
        <v/>
      </c>
      <c r="D1941">
        <f>IF(Skills!C8=1,60+Inputs!$B$25+Inputs!$B$29,IF(Skills!C8=2,90+Inputs!$B$26+Inputs!$B$29,IF(Skills!C8=3,120+Inputs!$B$27+Inputs!$B$29,MAX(0,(Inputs!$B$3-100)*3)+Inputs!$B$28+Inputs!$B$29)))</f>
        <v/>
      </c>
      <c r="E1941">
        <f>INDEX(FactorTable!$B$2:$Y$301, MATCH(ROUND(MIN(300,MAX(1,D1941)),0), FactorTable!$A$2:$A$301,0), Skills!M8+1)</f>
        <v/>
      </c>
      <c r="F1941">
        <f>IF(Skills!N8=TRUE,(Skills!L8/10)*(E1941/1000),Skills!L8/10)+Skills!O8</f>
        <v/>
      </c>
      <c r="G1941">
        <f>Skills!G8*IF(Skills!H8&gt;0,Skills!I8/Skills!H8,1)</f>
        <v/>
      </c>
      <c r="H1941">
        <f>1-(1-Skills!J8/100)^Skills!K8</f>
        <v/>
      </c>
      <c r="I1941" t="inlineStr">
        <is>
          <t>1</t>
        </is>
      </c>
      <c r="J1941">
        <f>((Inputs!$B$6*(1+Inputs!$B$7/100))+(((Inputs!$B$12*(1+Inputs!$B$13/100))-(Inputs!$B$12*(1+Inputs!$B$13/100)))+0.25*(Inputs!$B$14-Inputs!$B$14))*(1+Inputs!$B$7/100))*(F1941/100)</f>
        <v/>
      </c>
      <c r="K1941">
        <f>J1941*(1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1941)</f>
        <v/>
      </c>
      <c r="L1941">
        <f>K1941*(MIN(Inputs!$B$22+((C1953=TRUE)*(F1953-Calc!F20)),(Inputs!$B$23+0+(IF(ArtifactsInput!$M$15,CHOOSE(ArtifactsInput!$N$15+1,25,30,35,40,45,50)/100*(Inputs!$B$11-Inputs!$B$11),0))))/100+(Inputs!$B$23+0+(IF(ArtifactsInput!$M$15,CHOOSE(ArtifactsInput!$N$15+1,25,30,35,40,45,50)/100*(Inputs!$B$11-Inputs!$B$11),0)))/100)/2</f>
        <v/>
      </c>
      <c r="M1941">
        <f>L1941*(1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1">
        <f>L1941*(1-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1">
        <f>(1-Summary!$B$11)*T1941+Summary!$B$11*V1941</f>
        <v/>
      </c>
      <c r="P1941">
        <f>IF(B1968=0,0,O1941/B1968)</f>
        <v/>
      </c>
      <c r="Q1941">
        <f>IFERROR(1/(IF(Inputs!$B$38="pvp",15,MAX(0.1,Skills!D8-IF(Skills!E8=TRUE,Inputs!$B$32,0)))*(1-IF(AND(ArtifactsInput!$M$27,Inputs!$B$4="Chapter Hunt"),CHOOSE(ArtifactsInput!$N$27+1,20,24,28,32,36,40),0)/100)),0)</f>
        <v/>
      </c>
      <c r="R1941">
        <f>IF(AND(Inputs!$B$38&lt;&gt;"pvp",Inputs!$B$43&gt;0),IF(MAX(0,Inputs!$B$43-B1965)&lt;=0,0,(INT(MAX(0,Inputs!$B$43-B1965)/(IF(Inputs!$B$38="pvp",15,MAX(0.1,Skills!D8-IF(Skills!E8=TRUE,Inputs!$B$32,0)))*(1-IF(AND(ArtifactsInput!$M$27,Inputs!$B$4="Chapter Hunt"),CHOOSE(ArtifactsInput!$N$27+1,20,24,28,32,36,40),0)/100)))+1)),0)</f>
        <v/>
      </c>
      <c r="S1941">
        <f>IFERROR(O1941/N1941,0)</f>
        <v/>
      </c>
      <c r="T1941">
        <f>IF(C1941,(H1941*N1941*IF(AND(Inputs!$B$38&lt;&gt;"pvp",Inputs!$B$43&gt;0),((Skills!G8*((R1941-1)*IF(Skills!H8&gt;0,Skills!I8/Skills!H8,1)+IF(Skills!H8&gt;0,MIN(Skills!I8,MAX(0,MAX(0,Inputs!$B$43-B1965)-((R1941-1)*(IF(Inputs!$B$38="pvp",15,MAX(0.1,Skills!D8-IF(Skills!E8=TRUE,Inputs!$B$32,0)))*(1-IF(AND(ArtifactsInput!$M$27,Inputs!$B$4="Chapter Hunt"),CHOOSE(ArtifactsInput!$N$27+1,20,24,28,32,36,40),0)/100)))))/Skills!H8,1)))/Inputs!$B$43),G1941*Q1941)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1941*(1-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1941*(1-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1">
        <f>IF(C1941,(H1941*N1941*IF(AND(Inputs!$B$38&lt;&gt;"pvp",Inputs!$B$43&gt;0),((Skills!G8*((R1941-1)*IF(Skills!H8&gt;0,Skills!I8/Skills!H8,1)+IF(Skills!H8&gt;0,MIN(Skills!I8,MAX(0,MAX(0,Inputs!$B$43-B1965)-((R1941-1)*(IF(Inputs!$B$38="pvp",15,MAX(0.1,Skills!D8-IF(Skills!E8=TRUE,Inputs!$B$32,0)))*(1-IF(AND(ArtifactsInput!$M$27,Inputs!$B$4="Chapter Hunt"),CHOOSE(ArtifactsInput!$N$27+1,20,24,28,32,36,40),0)/100)))))/Skills!H8,1)))/Inputs!$B$43),G1941*Q1941))*IF(Inputs!$B$38="pvp",1,(1+(Inputs!$B$21+Skills!Q8+(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2">
      <c r="A1942">
        <f>Skills!A9</f>
        <v/>
      </c>
      <c r="B1942">
        <f>Skills!B9</f>
        <v/>
      </c>
      <c r="C1942">
        <f>Inputs!$B$3&gt;=110</f>
        <v/>
      </c>
      <c r="D1942">
        <f>IF(Skills!C9=1,60+Inputs!$B$25+Inputs!$B$29,IF(Skills!C9=2,90+Inputs!$B$26+Inputs!$B$29,IF(Skills!C9=3,120+Inputs!$B$27+Inputs!$B$29,MAX(0,(Inputs!$B$3-100)*3)+Inputs!$B$28+Inputs!$B$29)))</f>
        <v/>
      </c>
      <c r="E1942">
        <f>INDEX(FactorTable!$B$2:$Y$301, MATCH(ROUND(MIN(300,MAX(1,D1942)),0), FactorTable!$A$2:$A$301,0), Skills!M9+1)</f>
        <v/>
      </c>
      <c r="F1942">
        <f>IF(Skills!N9=TRUE,(Skills!L9/10)*(E1942/1000),Skills!L9/10)+Skills!O9</f>
        <v/>
      </c>
      <c r="G1942">
        <f>Skills!G9*IF(Skills!H9&gt;0,Skills!I9/Skills!H9,1)</f>
        <v/>
      </c>
      <c r="H1942">
        <f>1-(1-Skills!J9/100)^Skills!K9</f>
        <v/>
      </c>
      <c r="I1942" t="inlineStr">
        <is>
          <t>1</t>
        </is>
      </c>
      <c r="J1942">
        <f>((Inputs!$B$6*(1+Inputs!$B$7/100))+(((Inputs!$B$12*(1+Inputs!$B$13/100))-(Inputs!$B$12*(1+Inputs!$B$13/100)))+0.25*(Inputs!$B$14-Inputs!$B$14))*(1+Inputs!$B$7/100))*(F1942/100)</f>
        <v/>
      </c>
      <c r="K1942">
        <f>J1942*(1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1942)</f>
        <v/>
      </c>
      <c r="L1942">
        <f>K1942*(MIN(Inputs!$B$22+((C1953=TRUE)*(F1953-Calc!F20)),(Inputs!$B$23+0+(IF(ArtifactsInput!$M$15,CHOOSE(ArtifactsInput!$N$15+1,25,30,35,40,45,50)/100*(Inputs!$B$11-Inputs!$B$11),0))))/100+(Inputs!$B$23+0+(IF(ArtifactsInput!$M$15,CHOOSE(ArtifactsInput!$N$15+1,25,30,35,40,45,50)/100*(Inputs!$B$11-Inputs!$B$11),0)))/100)/2</f>
        <v/>
      </c>
      <c r="M1942">
        <f>L1942*(1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2">
        <f>L1942*(1-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1942*(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2">
        <f>(1-Summary!$B$11)*T1942+Summary!$B$11*V1942</f>
        <v/>
      </c>
      <c r="P1942">
        <f>IF(B1968=0,0,O1942/B1968)</f>
        <v/>
      </c>
      <c r="Q1942">
        <f>IFERROR(1/(IF(Inputs!$B$38="pvp",15,MAX(0.1,Skills!D9-IF(Skills!E9=TRUE,Inputs!$B$32,0)))*(1-IF(AND(ArtifactsInput!$M$27,Inputs!$B$4="Chapter Hunt"),CHOOSE(ArtifactsInput!$N$27+1,20,24,28,32,36,40),0)/100)),0)</f>
        <v/>
      </c>
      <c r="R1942">
        <f>IF(AND(Inputs!$B$38&lt;&gt;"pvp",Inputs!$B$43&gt;0),IF(MAX(0,Inputs!$B$43-B1965)&lt;=0,0,(INT(MAX(0,Inputs!$B$43-B1965)/(IF(Inputs!$B$38="pvp",15,MAX(0.1,Skills!D9-IF(Skills!E9=TRUE,Inputs!$B$32,0)))*(1-IF(AND(ArtifactsInput!$M$27,Inputs!$B$4="Chapter Hunt"),CHOOSE(ArtifactsInput!$N$27+1,20,24,28,32,36,40),0)/100)))+1)),0)</f>
        <v/>
      </c>
      <c r="S1942">
        <f>IFERROR(O1942/N1942,0)</f>
        <v/>
      </c>
      <c r="T1942">
        <f>IF(C1942,(H1942*N1942*IF(AND(Inputs!$B$38&lt;&gt;"pvp",Inputs!$B$43&gt;0),((Skills!G9*((R1942-1)*IF(Skills!H9&gt;0,Skills!I9/Skills!H9,1)+IF(Skills!H9&gt;0,MIN(Skills!I9,MAX(0,MAX(0,Inputs!$B$43-B1965)-((R1942-1)*(IF(Inputs!$B$38="pvp",15,MAX(0.1,Skills!D9-IF(Skills!E9=TRUE,Inputs!$B$32,0)))*(1-IF(AND(ArtifactsInput!$M$27,Inputs!$B$4="Chapter Hunt"),CHOOSE(ArtifactsInput!$N$27+1,20,24,28,32,36,40),0)/100)))))/Skills!H9,1)))/Inputs!$B$43),G1942*Q1942)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1942*(1-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1942*(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1942*(1-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1942*(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2">
        <f>IF(C1942,(H1942*N1942*IF(AND(Inputs!$B$38&lt;&gt;"pvp",Inputs!$B$43&gt;0),((Skills!G9*((R1942-1)*IF(Skills!H9&gt;0,Skills!I9/Skills!H9,1)+IF(Skills!H9&gt;0,MIN(Skills!I9,MAX(0,MAX(0,Inputs!$B$43-B1965)-((R1942-1)*(IF(Inputs!$B$38="pvp",15,MAX(0.1,Skills!D9-IF(Skills!E9=TRUE,Inputs!$B$32,0)))*(1-IF(AND(ArtifactsInput!$M$27,Inputs!$B$4="Chapter Hunt"),CHOOSE(ArtifactsInput!$N$27+1,20,24,28,32,36,40),0)/100)))))/Skills!H9,1)))/Inputs!$B$43),G1942*Q1942))*IF(Inputs!$B$38="pvp",1,(1+(Inputs!$B$21+Skills!Q9+(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3">
      <c r="A1943">
        <f>Skills!A10</f>
        <v/>
      </c>
      <c r="B1943">
        <f>Skills!B10</f>
        <v/>
      </c>
      <c r="C1943">
        <f>Inputs!$B$3&gt;=103</f>
        <v/>
      </c>
      <c r="D1943">
        <f>IF(Skills!C10=1,60+Inputs!$B$25+Inputs!$B$29,IF(Skills!C10=2,90+Inputs!$B$26+Inputs!$B$29,IF(Skills!C10=3,120+Inputs!$B$27+Inputs!$B$29,MAX(0,(Inputs!$B$3-100)*3)+Inputs!$B$28+Inputs!$B$29)))</f>
        <v/>
      </c>
      <c r="E1943">
        <f>INDEX(FactorTable!$B$2:$Y$301, MATCH(ROUND(MIN(300,MAX(1,D1943)),0), FactorTable!$A$2:$A$301,0), Skills!M10+1)</f>
        <v/>
      </c>
      <c r="F1943">
        <f>IF(Skills!N10=TRUE,(Skills!L10/10)*(E1943/1000),Skills!L10/10)+Skills!O10</f>
        <v/>
      </c>
      <c r="G1943">
        <f>Skills!G10*IF(Skills!H10&gt;0,Skills!I10/Skills!H10,1)</f>
        <v/>
      </c>
      <c r="H1943">
        <f>1-(1-Skills!J10/100)^Skills!K10</f>
        <v/>
      </c>
      <c r="I1943" t="inlineStr">
        <is>
          <t>1</t>
        </is>
      </c>
      <c r="J1943">
        <f>((Inputs!$B$6*(1+Inputs!$B$7/100))+(((Inputs!$B$12*(1+Inputs!$B$13/100))-(Inputs!$B$12*(1+Inputs!$B$13/100)))+0.25*(Inputs!$B$14-Inputs!$B$14))*(1+Inputs!$B$7/100))*(F1943/100)</f>
        <v/>
      </c>
      <c r="K1943">
        <f>J1943*(1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1943)</f>
        <v/>
      </c>
      <c r="L1943">
        <f>K1943*(MIN(Inputs!$B$22+((C1953=TRUE)*(F1953-Calc!F20)),(Inputs!$B$23+0+(IF(ArtifactsInput!$M$15,CHOOSE(ArtifactsInput!$N$15+1,25,30,35,40,45,50)/100*(Inputs!$B$11-Inputs!$B$11),0))))/100+(Inputs!$B$23+0+(IF(ArtifactsInput!$M$15,CHOOSE(ArtifactsInput!$N$15+1,25,30,35,40,45,50)/100*(Inputs!$B$11-Inputs!$B$11),0)))/100)/2</f>
        <v/>
      </c>
      <c r="M1943">
        <f>L1943*(1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3">
        <f>L1943*(1-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1943*(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3">
        <f>(1-Summary!$B$11)*T1943+Summary!$B$11*V1943</f>
        <v/>
      </c>
      <c r="P1943">
        <f>IF(B1968=0,0,O1943/B1968)</f>
        <v/>
      </c>
      <c r="Q1943">
        <f>IFERROR(1/(IF(Inputs!$B$38="pvp",15,MAX(0.1,Skills!D10-IF(Skills!E10=TRUE,Inputs!$B$32,0)))*(1-IF(AND(ArtifactsInput!$M$27,Inputs!$B$4="Chapter Hunt"),CHOOSE(ArtifactsInput!$N$27+1,20,24,28,32,36,40),0)/100)),0)</f>
        <v/>
      </c>
      <c r="R1943">
        <f>IF(AND(Inputs!$B$38&lt;&gt;"pvp",Inputs!$B$43&gt;0),IF(MAX(0,Inputs!$B$43-B1965)&lt;=0,0,(INT(MAX(0,Inputs!$B$43-B1965)/(IF(Inputs!$B$38="pvp",15,MAX(0.1,Skills!D10-IF(Skills!E10=TRUE,Inputs!$B$32,0)))*(1-IF(AND(ArtifactsInput!$M$27,Inputs!$B$4="Chapter Hunt"),CHOOSE(ArtifactsInput!$N$27+1,20,24,28,32,36,40),0)/100)))+1)),0)</f>
        <v/>
      </c>
      <c r="S1943">
        <f>IFERROR(O1943/N1943,0)</f>
        <v/>
      </c>
      <c r="T1943">
        <f>IF(C1943,(H1943*N1943*IF(AND(Inputs!$B$38&lt;&gt;"pvp",Inputs!$B$43&gt;0),((Skills!G10*((R1943-1)*IF(Skills!H10&gt;0,Skills!I10/Skills!H10,1)+IF(Skills!H10&gt;0,MIN(Skills!I10,MAX(0,MAX(0,Inputs!$B$43-B1965)-((R1943-1)*(IF(Inputs!$B$38="pvp",15,MAX(0.1,Skills!D10-IF(Skills!E10=TRUE,Inputs!$B$32,0)))*(1-IF(AND(ArtifactsInput!$M$27,Inputs!$B$4="Chapter Hunt"),CHOOSE(ArtifactsInput!$N$27+1,20,24,28,32,36,40),0)/100)))))/Skills!H10,1)))/Inputs!$B$43),G1943*Q1943)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1943*(1-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1943*(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1943*(1-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1943*(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3">
        <f>IF(C1943,(H1943*N1943*IF(AND(Inputs!$B$38&lt;&gt;"pvp",Inputs!$B$43&gt;0),((Skills!G10*((R1943-1)*IF(Skills!H10&gt;0,Skills!I10/Skills!H10,1)+IF(Skills!H10&gt;0,MIN(Skills!I10,MAX(0,MAX(0,Inputs!$B$43-B1965)-((R1943-1)*(IF(Inputs!$B$38="pvp",15,MAX(0.1,Skills!D10-IF(Skills!E10=TRUE,Inputs!$B$32,0)))*(1-IF(AND(ArtifactsInput!$M$27,Inputs!$B$4="Chapter Hunt"),CHOOSE(ArtifactsInput!$N$27+1,20,24,28,32,36,40),0)/100)))))/Skills!H10,1)))/Inputs!$B$43),G1943*Q1943))*IF(Inputs!$B$38="pvp",1,(1+(Inputs!$B$21+Skills!Q10+(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4">
      <c r="A1944">
        <f>Skills!A11</f>
        <v/>
      </c>
      <c r="B1944">
        <f>Skills!B11</f>
        <v/>
      </c>
      <c r="C1944">
        <f>Inputs!$B$3&gt;=113</f>
        <v/>
      </c>
      <c r="D1944">
        <f>IF(Skills!C11=1,60+Inputs!$B$25+Inputs!$B$29,IF(Skills!C11=2,90+Inputs!$B$26+Inputs!$B$29,IF(Skills!C11=3,120+Inputs!$B$27+Inputs!$B$29,MAX(0,(Inputs!$B$3-100)*3)+Inputs!$B$28+Inputs!$B$29)))</f>
        <v/>
      </c>
      <c r="E1944">
        <f>INDEX(FactorTable!$B$2:$Y$301, MATCH(ROUND(MIN(300,MAX(1,D1944)),0), FactorTable!$A$2:$A$301,0), Skills!M11+1)</f>
        <v/>
      </c>
      <c r="F1944">
        <f>IF(Skills!N11=TRUE,(Skills!L11/10)*(E1944/1000),Skills!L11/10)+Skills!O11</f>
        <v/>
      </c>
      <c r="G1944">
        <f>Skills!G11*IF(Skills!H11&gt;0,Skills!I11/Skills!H11,1)</f>
        <v/>
      </c>
      <c r="H1944">
        <f>1-(1-Skills!J11/100)^Skills!K11</f>
        <v/>
      </c>
      <c r="I1944" t="inlineStr">
        <is>
          <t>1</t>
        </is>
      </c>
      <c r="J1944">
        <f>((Inputs!$B$6*(1+Inputs!$B$7/100))+(((Inputs!$B$12*(1+Inputs!$B$13/100))-(Inputs!$B$12*(1+Inputs!$B$13/100)))+0.25*(Inputs!$B$14-Inputs!$B$14))*(1+Inputs!$B$7/100))*(F1944/100)</f>
        <v/>
      </c>
      <c r="K1944">
        <f>J1944*(1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1944)</f>
        <v/>
      </c>
      <c r="L1944">
        <f>K1944*(MIN(Inputs!$B$22+((C1953=TRUE)*(F1953-Calc!F20)),(Inputs!$B$23+0+(IF(ArtifactsInput!$M$15,CHOOSE(ArtifactsInput!$N$15+1,25,30,35,40,45,50)/100*(Inputs!$B$11-Inputs!$B$11),0))))/100+(Inputs!$B$23+0+(IF(ArtifactsInput!$M$15,CHOOSE(ArtifactsInput!$N$15+1,25,30,35,40,45,50)/100*(Inputs!$B$11-Inputs!$B$11),0)))/100)/2</f>
        <v/>
      </c>
      <c r="M1944">
        <f>L1944*(1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4">
        <f>L1944*(1-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1944*(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4">
        <f>(1-Summary!$B$11)*T1944+Summary!$B$11*V1944</f>
        <v/>
      </c>
      <c r="P1944">
        <f>IF(B1968=0,0,O1944/B1968)</f>
        <v/>
      </c>
      <c r="Q1944">
        <f>IFERROR(1/(IF(Inputs!$B$38="pvp",15,MAX(0.1,Skills!D11-IF(Skills!E11=TRUE,Inputs!$B$32,0)))*(1-IF(AND(ArtifactsInput!$M$27,Inputs!$B$4="Chapter Hunt"),CHOOSE(ArtifactsInput!$N$27+1,20,24,28,32,36,40),0)/100)),0)</f>
        <v/>
      </c>
      <c r="R1944">
        <f>IF(AND(Inputs!$B$38&lt;&gt;"pvp",Inputs!$B$43&gt;0),IF(MAX(0,Inputs!$B$43-B1965)&lt;=0,0,(INT(MAX(0,Inputs!$B$43-B1965)/(IF(Inputs!$B$38="pvp",15,MAX(0.1,Skills!D11-IF(Skills!E11=TRUE,Inputs!$B$32,0)))*(1-IF(AND(ArtifactsInput!$M$27,Inputs!$B$4="Chapter Hunt"),CHOOSE(ArtifactsInput!$N$27+1,20,24,28,32,36,40),0)/100)))+1)),0)</f>
        <v/>
      </c>
      <c r="S1944">
        <f>IFERROR(O1944/N1944,0)</f>
        <v/>
      </c>
      <c r="T1944">
        <f>IF(C1944,(H1944*N1944*IF(AND(Inputs!$B$38&lt;&gt;"pvp",Inputs!$B$43&gt;0),((Skills!G11*((R1944-1)*IF(Skills!H11&gt;0,Skills!I11/Skills!H11,1)+IF(Skills!H11&gt;0,MIN(Skills!I11,MAX(0,MAX(0,Inputs!$B$43-B1965)-((R1944-1)*(IF(Inputs!$B$38="pvp",15,MAX(0.1,Skills!D11-IF(Skills!E11=TRUE,Inputs!$B$32,0)))*(1-IF(AND(ArtifactsInput!$M$27,Inputs!$B$4="Chapter Hunt"),CHOOSE(ArtifactsInput!$N$27+1,20,24,28,32,36,40),0)/100)))))/Skills!H11,1)))/Inputs!$B$43),G1944*Q1944)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1944*(1-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1944*(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1944*(1-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1944*(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4">
        <f>IF(C1944,(H1944*N1944*IF(AND(Inputs!$B$38&lt;&gt;"pvp",Inputs!$B$43&gt;0),((Skills!G11*((R1944-1)*IF(Skills!H11&gt;0,Skills!I11/Skills!H11,1)+IF(Skills!H11&gt;0,MIN(Skills!I11,MAX(0,MAX(0,Inputs!$B$43-B1965)-((R1944-1)*(IF(Inputs!$B$38="pvp",15,MAX(0.1,Skills!D11-IF(Skills!E11=TRUE,Inputs!$B$32,0)))*(1-IF(AND(ArtifactsInput!$M$27,Inputs!$B$4="Chapter Hunt"),CHOOSE(ArtifactsInput!$N$27+1,20,24,28,32,36,40),0)/100)))))/Skills!H11,1)))/Inputs!$B$43),G1944*Q1944))*IF(Inputs!$B$38="pvp",1,(1+(Inputs!$B$21+Skills!Q11+(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5">
      <c r="A1945">
        <f>Skills!A12</f>
        <v/>
      </c>
      <c r="B1945">
        <f>Skills!B12</f>
        <v/>
      </c>
      <c r="C1945">
        <f>Inputs!$B$3&gt;=100</f>
        <v/>
      </c>
      <c r="D1945">
        <f>IF(Skills!C12=1,60+Inputs!$B$25+Inputs!$B$29,IF(Skills!C12=2,90+Inputs!$B$26+Inputs!$B$29,IF(Skills!C12=3,120+Inputs!$B$27+Inputs!$B$29,MAX(0,(Inputs!$B$3-100)*3)+Inputs!$B$28+Inputs!$B$29)))</f>
        <v/>
      </c>
      <c r="E1945">
        <f>INDEX(FactorTable!$B$2:$Y$301, MATCH(ROUND(MIN(300,MAX(1,D1945)),0), FactorTable!$A$2:$A$301,0), Skills!M12+1)</f>
        <v/>
      </c>
      <c r="F1945">
        <f>IF(Skills!N12=TRUE,(Skills!L12/10)*(E1945/1000),Skills!L12/10)+Skills!O12</f>
        <v/>
      </c>
      <c r="G1945" t="inlineStr"/>
      <c r="H1945" t="inlineStr"/>
      <c r="I1945" t="inlineStr">
        <is>
          <t>1</t>
        </is>
      </c>
      <c r="J1945" t="inlineStr"/>
      <c r="K1945" t="inlineStr"/>
      <c r="L1945" t="inlineStr"/>
      <c r="M1945" t="inlineStr"/>
      <c r="N1945" t="inlineStr"/>
      <c r="O1945" t="inlineStr"/>
      <c r="P1945" t="inlineStr"/>
      <c r="Q1945" t="inlineStr"/>
      <c r="R1945" t="inlineStr"/>
      <c r="S1945" t="inlineStr"/>
      <c r="T1945" t="inlineStr"/>
      <c r="V1945" t="inlineStr"/>
    </row>
    <row r="1946">
      <c r="A1946">
        <f>Skills!A13</f>
        <v/>
      </c>
      <c r="B1946">
        <f>Skills!B13</f>
        <v/>
      </c>
      <c r="C1946">
        <f>Inputs!$B$3&gt;=66</f>
        <v/>
      </c>
      <c r="D1946">
        <f>IF(Skills!C13=1,60+Inputs!$B$25+Inputs!$B$29,IF(Skills!C13=2,90+Inputs!$B$26+Inputs!$B$29,IF(Skills!C13=3,120+Inputs!$B$27+Inputs!$B$29,MAX(0,(Inputs!$B$3-100)*3)+Inputs!$B$28+Inputs!$B$29)))</f>
        <v/>
      </c>
      <c r="E1946">
        <f>INDEX(FactorTable!$B$2:$Y$301, MATCH(ROUND(MIN(300,MAX(1,D1946)),0), FactorTable!$A$2:$A$301,0), Skills!M13+1)</f>
        <v/>
      </c>
      <c r="F1946">
        <f>IF(Skills!N13=TRUE,(Skills!L13/10)*(E1946/1000),Skills!L13/10)+Skills!O13</f>
        <v/>
      </c>
      <c r="G1946">
        <f>Skills!G13*IF(Skills!H13&gt;0,Skills!I13/Skills!H13,1)</f>
        <v/>
      </c>
      <c r="H1946">
        <f>1-(1-Skills!J13/100)^Skills!K13</f>
        <v/>
      </c>
      <c r="I1946" t="inlineStr">
        <is>
          <t>1</t>
        </is>
      </c>
      <c r="J1946" t="inlineStr"/>
      <c r="K1946" t="inlineStr"/>
      <c r="L1946" t="inlineStr"/>
      <c r="M1946" t="inlineStr"/>
      <c r="N1946" t="inlineStr"/>
      <c r="O1946">
        <f>(1-Summary!$B$11)*T1946+Summary!$B$11*V1946</f>
        <v/>
      </c>
      <c r="P1946">
        <f>IF(B1968=0,0,O1946/B1968)</f>
        <v/>
      </c>
      <c r="Q1946" t="n">
        <v>0</v>
      </c>
      <c r="R1946" t="n">
        <v>0</v>
      </c>
      <c r="S1946">
        <f>IFERROR(O1946/N1946,0)</f>
        <v/>
      </c>
      <c r="T1946" t="n">
        <v>0</v>
      </c>
      <c r="V1946" t="n">
        <v>0</v>
      </c>
    </row>
    <row r="1947">
      <c r="A1947">
        <f>Skills!A14</f>
        <v/>
      </c>
      <c r="B1947">
        <f>Skills!B14</f>
        <v/>
      </c>
      <c r="C1947">
        <f>Inputs!$B$3&gt;=107</f>
        <v/>
      </c>
      <c r="D1947">
        <f>IF(Skills!C14=1,60+Inputs!$B$25+Inputs!$B$29,IF(Skills!C14=2,90+Inputs!$B$26+Inputs!$B$29,IF(Skills!C14=3,120+Inputs!$B$27+Inputs!$B$29,MAX(0,(Inputs!$B$3-100)*3)+Inputs!$B$28+Inputs!$B$29)))</f>
        <v/>
      </c>
      <c r="E1947">
        <f>INDEX(FactorTable!$B$2:$Y$301, MATCH(ROUND(MIN(300,MAX(1,D1947)),0), FactorTable!$A$2:$A$301,0), Skills!M14+1)</f>
        <v/>
      </c>
      <c r="F1947">
        <f>IF(Skills!N14=TRUE,(Skills!L14/10)*(E1947/1000),Skills!L14/10)+Skills!O14</f>
        <v/>
      </c>
      <c r="G1947">
        <f>Skills!G14*IF(Skills!H14&gt;0,Skills!I14/Skills!H14,1)</f>
        <v/>
      </c>
      <c r="H1947">
        <f>1-(1-Skills!J14/100)^Skills!K14</f>
        <v/>
      </c>
      <c r="I1947" t="inlineStr">
        <is>
          <t>1</t>
        </is>
      </c>
      <c r="J1947" t="inlineStr"/>
      <c r="K1947" t="inlineStr"/>
      <c r="L1947" t="inlineStr"/>
      <c r="M1947" t="inlineStr"/>
      <c r="N1947" t="inlineStr"/>
      <c r="O1947">
        <f>(1-Summary!$B$11)*T1947+Summary!$B$11*V1947</f>
        <v/>
      </c>
      <c r="P1947">
        <f>IF(B1968=0,0,O1947/B1968)</f>
        <v/>
      </c>
      <c r="Q1947" t="n">
        <v>0</v>
      </c>
      <c r="R1947" t="n">
        <v>0</v>
      </c>
      <c r="S1947">
        <f>IFERROR(O1947/N1947,0)</f>
        <v/>
      </c>
      <c r="T1947" t="n">
        <v>0</v>
      </c>
      <c r="V1947" t="n">
        <v>0</v>
      </c>
    </row>
    <row r="1948">
      <c r="A1948">
        <f>Skills!A15</f>
        <v/>
      </c>
      <c r="B1948">
        <f>Skills!B15</f>
        <v/>
      </c>
      <c r="C1948">
        <f>Inputs!$B$3&gt;=115</f>
        <v/>
      </c>
      <c r="D1948">
        <f>IF(Skills!C15=1,60+Inputs!$B$25+Inputs!$B$29,IF(Skills!C15=2,90+Inputs!$B$26+Inputs!$B$29,IF(Skills!C15=3,120+Inputs!$B$27+Inputs!$B$29,MAX(0,(Inputs!$B$3-100)*3)+Inputs!$B$28+Inputs!$B$29)))</f>
        <v/>
      </c>
      <c r="E1948">
        <f>INDEX(FactorTable!$B$2:$Y$301, MATCH(ROUND(MIN(300,MAX(1,D1948)),0), FactorTable!$A$2:$A$301,0), Skills!M15+1)</f>
        <v/>
      </c>
      <c r="F1948">
        <f>IF(Skills!N15=TRUE,(Skills!L15/10)*(E1948/1000),Skills!L15/10)+Skills!O15</f>
        <v/>
      </c>
      <c r="G1948">
        <f>Skills!G15*IF(Skills!H15&gt;0,Skills!I15/Skills!H15,1)</f>
        <v/>
      </c>
      <c r="H1948">
        <f>1-(1-Skills!J15/100)^Skills!K15</f>
        <v/>
      </c>
      <c r="I1948" t="inlineStr">
        <is>
          <t>1</t>
        </is>
      </c>
      <c r="J1948" t="inlineStr"/>
      <c r="K1948" t="inlineStr"/>
      <c r="L1948" t="inlineStr"/>
      <c r="M1948" t="inlineStr"/>
      <c r="N1948" t="inlineStr"/>
      <c r="O1948">
        <f>(1-Summary!$B$11)*T1948+Summary!$B$11*V1948</f>
        <v/>
      </c>
      <c r="P1948">
        <f>IF(B1968=0,0,O1948/B1968)</f>
        <v/>
      </c>
      <c r="Q1948" t="n">
        <v>0</v>
      </c>
      <c r="R1948" t="n">
        <v>0</v>
      </c>
      <c r="S1948">
        <f>IFERROR(O1948/N1948,0)</f>
        <v/>
      </c>
      <c r="T1948" t="n">
        <v>0</v>
      </c>
      <c r="V1948" t="n">
        <v>0</v>
      </c>
    </row>
    <row r="1949">
      <c r="A1949">
        <f>Skills!A16</f>
        <v/>
      </c>
      <c r="B1949">
        <f>Skills!B16</f>
        <v/>
      </c>
      <c r="C1949">
        <f>Inputs!$B$3&gt;=15</f>
        <v/>
      </c>
      <c r="D1949">
        <f>IF(Skills!C16=1,60+Inputs!$B$25+Inputs!$B$29,IF(Skills!C16=2,90+Inputs!$B$26+Inputs!$B$29,IF(Skills!C16=3,120+Inputs!$B$27+Inputs!$B$29,MAX(0,(Inputs!$B$3-100)*3)+Inputs!$B$28+Inputs!$B$29)))</f>
        <v/>
      </c>
      <c r="E1949">
        <f>INDEX(FactorTable!$B$2:$Y$301, MATCH(ROUND(MIN(300,MAX(1,D1949)),0), FactorTable!$A$2:$A$301,0), Skills!M16+1)</f>
        <v/>
      </c>
      <c r="F1949">
        <f>IF(Skills!N16=TRUE,(Skills!L16/10)*(E1949/1000),Skills!L16/10)+Skills!O16</f>
        <v/>
      </c>
      <c r="G1949">
        <f>Skills!G16*IF(Skills!H16&gt;0,Skills!I16/Skills!H16,1)</f>
        <v/>
      </c>
      <c r="H1949">
        <f>1-(1-Skills!J16/100)^Skills!K16</f>
        <v/>
      </c>
      <c r="I1949" t="inlineStr">
        <is>
          <t>1</t>
        </is>
      </c>
      <c r="J1949" t="inlineStr"/>
      <c r="K1949" t="inlineStr"/>
      <c r="L1949" t="inlineStr"/>
      <c r="M1949" t="inlineStr"/>
      <c r="N1949" t="inlineStr"/>
      <c r="O1949">
        <f>(1-Summary!$B$11)*T1949+Summary!$B$11*V1949</f>
        <v/>
      </c>
      <c r="P1949">
        <f>IF(B1968=0,0,O1949/B1968)</f>
        <v/>
      </c>
      <c r="Q1949" t="n">
        <v>0</v>
      </c>
      <c r="R1949" t="n">
        <v>0</v>
      </c>
      <c r="S1949">
        <f>IFERROR(O1949/N1949,0)</f>
        <v/>
      </c>
      <c r="T1949" t="n">
        <v>0</v>
      </c>
      <c r="V1949" t="n">
        <v>0</v>
      </c>
    </row>
    <row r="1950">
      <c r="A1950">
        <f>Skills!A17</f>
        <v/>
      </c>
      <c r="B1950">
        <f>Skills!B17</f>
        <v/>
      </c>
      <c r="C1950">
        <f>Inputs!$B$3&gt;=10</f>
        <v/>
      </c>
      <c r="D1950">
        <f>IF(Skills!C17=1,60+Inputs!$B$25+Inputs!$B$29,IF(Skills!C17=2,90+Inputs!$B$26+Inputs!$B$29,IF(Skills!C17=3,120+Inputs!$B$27+Inputs!$B$29,MAX(0,(Inputs!$B$3-100)*3)+Inputs!$B$28+Inputs!$B$29)))</f>
        <v/>
      </c>
      <c r="E1950">
        <f>INDEX(FactorTable!$B$2:$Y$301, MATCH(ROUND(MIN(300,MAX(1,D1950)),0), FactorTable!$A$2:$A$301,0), Skills!M17+1)</f>
        <v/>
      </c>
      <c r="F1950">
        <f>IF(Skills!N17=TRUE,(Skills!L17/10)*(E1950/1000),Skills!L17/10)+Skills!O17</f>
        <v/>
      </c>
      <c r="G1950">
        <f>Skills!G17*IF(Skills!H17&gt;0,Skills!I17/Skills!H17,1)</f>
        <v/>
      </c>
      <c r="H1950">
        <f>1-(1-Skills!J17/100)^Skills!K17</f>
        <v/>
      </c>
      <c r="I1950" t="inlineStr">
        <is>
          <t>1</t>
        </is>
      </c>
      <c r="J1950" t="inlineStr"/>
      <c r="K1950" t="inlineStr"/>
      <c r="L1950" t="inlineStr"/>
      <c r="M1950" t="inlineStr"/>
      <c r="N1950" t="inlineStr"/>
      <c r="O1950">
        <f>(1-Summary!$B$11)*T1950+Summary!$B$11*V1950</f>
        <v/>
      </c>
      <c r="P1950">
        <f>IF(B1968=0,0,O1950/B1968)</f>
        <v/>
      </c>
      <c r="Q1950" t="n">
        <v>0</v>
      </c>
      <c r="R1950" t="n">
        <v>0</v>
      </c>
      <c r="S1950">
        <f>IFERROR(O1950/N1950,0)</f>
        <v/>
      </c>
      <c r="T1950" t="n">
        <v>0</v>
      </c>
      <c r="V1950" t="n">
        <v>0</v>
      </c>
    </row>
    <row r="1951">
      <c r="A1951">
        <f>Skills!A18</f>
        <v/>
      </c>
      <c r="B1951">
        <f>Skills!B18</f>
        <v/>
      </c>
      <c r="C1951">
        <f>Inputs!$B$3&gt;=33</f>
        <v/>
      </c>
      <c r="D1951">
        <f>IF(Skills!C18=1,60+Inputs!$B$25+Inputs!$B$29,IF(Skills!C18=2,90+Inputs!$B$26+Inputs!$B$29,IF(Skills!C18=3,120+Inputs!$B$27+Inputs!$B$29,MAX(0,(Inputs!$B$3-100)*3)+Inputs!$B$28+Inputs!$B$29)))</f>
        <v/>
      </c>
      <c r="E1951">
        <f>INDEX(FactorTable!$B$2:$Y$301, MATCH(ROUND(MIN(300,MAX(1,D1951)),0), FactorTable!$A$2:$A$301,0), Skills!M18+1)</f>
        <v/>
      </c>
      <c r="F1951">
        <f>IF(Skills!N18=TRUE,(Skills!L18/10)*(E1951/1000),Skills!L18/10)+Skills!O18</f>
        <v/>
      </c>
      <c r="G1951">
        <f>Skills!G18*IF(Skills!H18&gt;0,Skills!I18/Skills!H18,1)</f>
        <v/>
      </c>
      <c r="H1951">
        <f>1-(1-Skills!J18/100)^Skills!K18</f>
        <v/>
      </c>
      <c r="I1951" t="inlineStr">
        <is>
          <t>1</t>
        </is>
      </c>
      <c r="J1951" t="inlineStr"/>
      <c r="K1951" t="inlineStr"/>
      <c r="L1951" t="inlineStr"/>
      <c r="M1951" t="inlineStr"/>
      <c r="N1951" t="inlineStr"/>
      <c r="O1951">
        <f>(1-Summary!$B$11)*T1951+Summary!$B$11*V1951</f>
        <v/>
      </c>
      <c r="P1951">
        <f>IF(B1968=0,0,O1951/B1968)</f>
        <v/>
      </c>
      <c r="Q1951" t="n">
        <v>0</v>
      </c>
      <c r="R1951" t="n">
        <v>0</v>
      </c>
      <c r="S1951">
        <f>IFERROR(O1951/N1951,0)</f>
        <v/>
      </c>
      <c r="T1951" t="n">
        <v>0</v>
      </c>
      <c r="V1951" t="n">
        <v>0</v>
      </c>
    </row>
    <row r="1952">
      <c r="A1952">
        <f>Skills!A19</f>
        <v/>
      </c>
      <c r="B1952">
        <f>Skills!B19</f>
        <v/>
      </c>
      <c r="C1952">
        <f>Inputs!$B$3&gt;=40</f>
        <v/>
      </c>
      <c r="D1952">
        <f>IF(Skills!C19=1,60+Inputs!$B$25+Inputs!$B$29,IF(Skills!C19=2,90+Inputs!$B$26+Inputs!$B$29,IF(Skills!C19=3,120+Inputs!$B$27+Inputs!$B$29,MAX(0,(Inputs!$B$3-100)*3)+Inputs!$B$28+Inputs!$B$29)))</f>
        <v/>
      </c>
      <c r="E1952">
        <f>INDEX(FactorTable!$B$2:$Y$301, MATCH(ROUND(MIN(300,MAX(1,D1952)),0), FactorTable!$A$2:$A$301,0), Skills!M19+1)</f>
        <v/>
      </c>
      <c r="F1952">
        <f>IF(Skills!N19=TRUE,(Skills!L19/10)*(E1952/1000),Skills!L19/10)+Skills!O19</f>
        <v/>
      </c>
      <c r="G1952">
        <f>Skills!G19*IF(Skills!H19&gt;0,Skills!I19/Skills!H19,1)</f>
        <v/>
      </c>
      <c r="H1952">
        <f>1-(1-Skills!J19/100)^Skills!K19</f>
        <v/>
      </c>
      <c r="I1952" t="inlineStr">
        <is>
          <t>1</t>
        </is>
      </c>
      <c r="J1952" t="inlineStr"/>
      <c r="K1952" t="inlineStr"/>
      <c r="L1952" t="inlineStr"/>
      <c r="M1952" t="inlineStr"/>
      <c r="N1952" t="inlineStr"/>
      <c r="O1952">
        <f>(1-Summary!$B$11)*T1952+Summary!$B$11*V1952</f>
        <v/>
      </c>
      <c r="P1952">
        <f>IF(B1968=0,0,O1952/B1968)</f>
        <v/>
      </c>
      <c r="Q1952" t="n">
        <v>0</v>
      </c>
      <c r="R1952" t="n">
        <v>0</v>
      </c>
      <c r="S1952">
        <f>IFERROR(O1952/N1952,0)</f>
        <v/>
      </c>
      <c r="T1952" t="n">
        <v>0</v>
      </c>
      <c r="V1952" t="n">
        <v>0</v>
      </c>
    </row>
    <row r="1953">
      <c r="A1953">
        <f>Skills!A20</f>
        <v/>
      </c>
      <c r="B1953">
        <f>Skills!B20</f>
        <v/>
      </c>
      <c r="C1953">
        <f>Inputs!$B$3&gt;=43</f>
        <v/>
      </c>
      <c r="D1953">
        <f>IF(Skills!C20=1,60+Inputs!$B$25+Inputs!$B$29,IF(Skills!C20=2,90+Inputs!$B$26+Inputs!$B$29,IF(Skills!C20=3,120+Inputs!$B$27+Inputs!$B$29,MAX(0,(Inputs!$B$3-100)*3)+Inputs!$B$28+Inputs!$B$29)))</f>
        <v/>
      </c>
      <c r="E1953">
        <f>INDEX(FactorTable!$B$2:$Y$301, MATCH(ROUND(MIN(300,MAX(1,D1953)),0), FactorTable!$A$2:$A$301,0), Skills!M20+1)</f>
        <v/>
      </c>
      <c r="F1953">
        <f>IF(Skills!N20=TRUE,(Skills!L20/10)*(E1953/1000),Skills!L20/10)+Skills!O20</f>
        <v/>
      </c>
      <c r="G1953">
        <f>Skills!G20*IF(Skills!H20&gt;0,Skills!I20/Skills!H20,1)</f>
        <v/>
      </c>
      <c r="H1953">
        <f>1-(1-Skills!J20/100)^Skills!K20</f>
        <v/>
      </c>
      <c r="I1953" t="inlineStr">
        <is>
          <t>1</t>
        </is>
      </c>
      <c r="J1953" t="inlineStr"/>
      <c r="K1953" t="inlineStr"/>
      <c r="L1953" t="inlineStr"/>
      <c r="M1953" t="inlineStr"/>
      <c r="N1953" t="inlineStr"/>
      <c r="O1953">
        <f>(1-Summary!$B$11)*T1953+Summary!$B$11*V1953</f>
        <v/>
      </c>
      <c r="P1953">
        <f>IF(B1968=0,0,O1953/B1968)</f>
        <v/>
      </c>
      <c r="Q1953" t="n">
        <v>0</v>
      </c>
      <c r="R1953" t="n">
        <v>0</v>
      </c>
      <c r="S1953">
        <f>IFERROR(O1953/N1953,0)</f>
        <v/>
      </c>
      <c r="T1953" t="n">
        <v>0</v>
      </c>
      <c r="V1953" t="n">
        <v>0</v>
      </c>
    </row>
    <row r="1954">
      <c r="A1954">
        <f>Skills!A21</f>
        <v/>
      </c>
      <c r="B1954">
        <f>Skills!B21</f>
        <v/>
      </c>
      <c r="C1954">
        <f>Inputs!$B$3&gt;=38</f>
        <v/>
      </c>
      <c r="D1954">
        <f>IF(Skills!C21=1,60+Inputs!$B$25+Inputs!$B$29,IF(Skills!C21=2,90+Inputs!$B$26+Inputs!$B$29,IF(Skills!C21=3,120+Inputs!$B$27+Inputs!$B$29,MAX(0,(Inputs!$B$3-100)*3)+Inputs!$B$28+Inputs!$B$29)))</f>
        <v/>
      </c>
      <c r="E1954">
        <f>INDEX(FactorTable!$B$2:$Y$301, MATCH(ROUND(MIN(300,MAX(1,D1954)),0), FactorTable!$A$2:$A$301,0), Skills!M21+1)</f>
        <v/>
      </c>
      <c r="F1954">
        <f>IF(Skills!N21=TRUE,(Skills!L21/10)*(E1954/1000),Skills!L21/10)+Skills!O21</f>
        <v/>
      </c>
      <c r="G1954">
        <f>Skills!G21*IF(Skills!H21&gt;0,Skills!I21/Skills!H21,1)</f>
        <v/>
      </c>
      <c r="H1954">
        <f>1-(1-Skills!J21/100)^Skills!K21</f>
        <v/>
      </c>
      <c r="I1954" t="inlineStr">
        <is>
          <t>1</t>
        </is>
      </c>
      <c r="J1954" t="inlineStr"/>
      <c r="K1954" t="inlineStr"/>
      <c r="L1954" t="inlineStr"/>
      <c r="M1954" t="inlineStr"/>
      <c r="N1954" t="inlineStr"/>
      <c r="O1954">
        <f>(1-Summary!$B$11)*T1954+Summary!$B$11*V1954</f>
        <v/>
      </c>
      <c r="P1954">
        <f>IF(B1968=0,0,O1954/B1968)</f>
        <v/>
      </c>
      <c r="Q1954" t="n">
        <v>0</v>
      </c>
      <c r="R1954" t="n">
        <v>0</v>
      </c>
      <c r="S1954">
        <f>IFERROR(O1954/N1954,0)</f>
        <v/>
      </c>
      <c r="T1954" t="n">
        <v>0</v>
      </c>
      <c r="V1954" t="n">
        <v>0</v>
      </c>
    </row>
    <row r="1955">
      <c r="A1955">
        <f>Skills!A22</f>
        <v/>
      </c>
      <c r="B1955">
        <f>Skills!B22</f>
        <v/>
      </c>
      <c r="C1955">
        <f>Inputs!$B$3&gt;=75</f>
        <v/>
      </c>
      <c r="D1955">
        <f>IF(Skills!C22=1,60+Inputs!$B$25+Inputs!$B$29,IF(Skills!C22=2,90+Inputs!$B$26+Inputs!$B$29,IF(Skills!C22=3,120+Inputs!$B$27+Inputs!$B$29,MAX(0,(Inputs!$B$3-100)*3)+Inputs!$B$28+Inputs!$B$29)))</f>
        <v/>
      </c>
      <c r="E1955">
        <f>INDEX(FactorTable!$B$2:$Y$301, MATCH(ROUND(MIN(300,MAX(1,D1955)),0), FactorTable!$A$2:$A$301,0), Skills!M22+1)</f>
        <v/>
      </c>
      <c r="F1955">
        <f>IF(Skills!N22=TRUE,(Skills!L22/10)*(E1955/1000),Skills!L22/10)+Skills!O22</f>
        <v/>
      </c>
      <c r="G1955">
        <f>Skills!G22*IF(Skills!H22&gt;0,Skills!I22/Skills!H22,1)</f>
        <v/>
      </c>
      <c r="H1955">
        <f>1-(1-Skills!J22/100)^Skills!K22</f>
        <v/>
      </c>
      <c r="I1955" t="inlineStr">
        <is>
          <t>1</t>
        </is>
      </c>
      <c r="J1955" t="inlineStr"/>
      <c r="K1955" t="inlineStr"/>
      <c r="L1955" t="inlineStr"/>
      <c r="M1955" t="inlineStr"/>
      <c r="N1955" t="inlineStr"/>
      <c r="O1955">
        <f>(1-Summary!$B$11)*T1955+Summary!$B$11*V1955</f>
        <v/>
      </c>
      <c r="P1955">
        <f>IF(B1968=0,0,O1955/B1968)</f>
        <v/>
      </c>
      <c r="Q1955" t="n">
        <v>0</v>
      </c>
      <c r="R1955" t="n">
        <v>0</v>
      </c>
      <c r="S1955">
        <f>IFERROR(O1955/N1955,0)</f>
        <v/>
      </c>
      <c r="T1955" t="n">
        <v>0</v>
      </c>
      <c r="V1955" t="n">
        <v>0</v>
      </c>
    </row>
    <row r="1957">
      <c r="A1957" t="inlineStr">
        <is>
          <t>Attack% Bucket Multiplier</t>
        </is>
      </c>
      <c r="B1957">
        <f>(1+(((C1946=TRUE)*F1946)+((C1952=TRUE)*(F1952-Calc!F19))+(IF(ArtifactsInput!$M$21,CHOOSE(ArtifactsInput!$N$21+1,25,30,35,40,45,50)*(IF(OR(Inputs!$B$4="Chapter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58">
      <c r="A1958" t="inlineStr">
        <is>
          <t>Global Crit Rate Bonus %</t>
        </is>
      </c>
      <c r="B1958" t="n">
        <v>0</v>
      </c>
    </row>
    <row r="1959">
      <c r="A1959" t="inlineStr">
        <is>
          <t>Attack Speed Buff Bonus % (unused)</t>
        </is>
      </c>
      <c r="B1959" t="n">
        <v>0</v>
      </c>
    </row>
    <row r="1960">
      <c r="A1960" t="inlineStr">
        <is>
          <t>Actions Per Second</t>
        </is>
      </c>
      <c r="B1960">
        <f>1+MIN(150,150*(1-(1-(Inputs!$B$11+((C1950=TRUE)*(F1950-Calc!F17))+((C1951=TRUE)*(F1951-Calc!F18)))/150)*(1-B1959/150)))/100</f>
        <v/>
      </c>
    </row>
    <row r="1961">
      <c r="A1961" t="inlineStr">
        <is>
          <t>Skill + Buff Cast Rate</t>
        </is>
      </c>
      <c r="B1961">
        <f>IF(AND(Inputs!$B$38&lt;&gt;"pvp",Inputs!$B$43&gt;0),SUMPRODUCT((Skills!E2:E22=TRUE)*(C1935:C1955=TRUE)*R1935:R1955*Skills!F2:F22)/Inputs!$B$43,SUMPRODUCT((Skills!E2:E22=TRUE)*(C1935:C1955=TRUE)*Q1935:Q1955*Skills!F2:F22))</f>
        <v/>
      </c>
    </row>
    <row r="1962">
      <c r="A1962" t="inlineStr">
        <is>
          <t>Hook Bomber Casts Per Second</t>
        </is>
      </c>
      <c r="B1962">
        <f>MAX(0,B1960-B1961)</f>
        <v/>
      </c>
    </row>
    <row r="1963">
      <c r="A1963" t="inlineStr">
        <is>
          <t>Global Critical Damage Bonus % (unused)</t>
        </is>
      </c>
      <c r="B1963" t="n">
        <v>0</v>
      </c>
    </row>
    <row r="1964">
      <c r="A1964" t="inlineStr">
        <is>
          <t>Global Final Damage Bonus % (Serpent Scale + Crossbones + Time Leap + Speed Infusion)</t>
        </is>
      </c>
      <c r="B1964">
        <f>((C1938=TRUE)*F1938*((10+IF(Inputs!$B$3&gt;=94,5,0))/((10+IF(Inputs!$B$3&gt;=94,5,0))+5/(B1962*(1+IF(Inputs!$B$3&gt;=104,1,0))))))+((C1947=TRUE)*F1947)+((C1948=TRUE)*F1948)+((Inputs!$B$3&gt;=110)*20*(B1960-1))</f>
        <v/>
      </c>
    </row>
    <row r="1965">
      <c r="A1965" t="inlineStr">
        <is>
          <t>Buff-Casting Startup Delay (s, fixed-duration only)</t>
        </is>
      </c>
      <c r="B1965">
        <f>IF(AND(Inputs!$B$38&lt;&gt;"pvp",Inputs!$B$43&gt;0),SUMPRODUCT((Skills!T2:T22&gt;0)*(Skills!E2:E22=TRUE)*(C1935:C1955=TRUE))/B1960,0)</f>
        <v/>
      </c>
    </row>
    <row r="1966">
      <c r="A1966" t="inlineStr">
        <is>
          <t>Boss-Only Total DPS (this block's swept value)</t>
        </is>
      </c>
      <c r="B1966">
        <f>SUM(T1935:T1955)</f>
        <v/>
      </c>
    </row>
    <row r="1967">
      <c r="A1967" t="inlineStr">
        <is>
          <t>Normal-Only Total DPS (this block's swept value)</t>
        </is>
      </c>
      <c r="B1967">
        <f>SUM(V1935:V1955)</f>
        <v/>
      </c>
    </row>
    <row r="1968">
      <c r="A1968" s="6" t="inlineStr">
        <is>
          <t>TOTAL DPS</t>
        </is>
      </c>
      <c r="B1968" s="6">
        <f>SUM(O1935:O1955)</f>
        <v/>
      </c>
    </row>
    <row r="1971">
      <c r="A1971" s="6" t="inlineStr">
        <is>
          <t>Stat: Icy Soul Rock (Equip)</t>
        </is>
      </c>
    </row>
    <row r="1972">
      <c r="A1972" s="5" t="inlineStr">
        <is>
          <t>Key</t>
        </is>
      </c>
      <c r="B1972" s="5" t="inlineStr">
        <is>
          <t>Name</t>
        </is>
      </c>
      <c r="C1972" s="5" t="inlineStr">
        <is>
          <t>Unlocked</t>
        </is>
      </c>
      <c r="D1972" s="5" t="inlineStr">
        <is>
          <t>InputLevel</t>
        </is>
      </c>
      <c r="E1972" s="5" t="inlineStr">
        <is>
          <t>Factor</t>
        </is>
      </c>
      <c r="F1972" s="5" t="inlineStr">
        <is>
          <t>CoefficientPercent</t>
        </is>
      </c>
      <c r="G1972" s="5" t="inlineStr">
        <is>
          <t>EffectiveHits</t>
        </is>
      </c>
      <c r="H1972" s="5" t="inlineStr">
        <is>
          <t>ProcProbability</t>
        </is>
      </c>
      <c r="I1972" s="5" t="inlineStr">
        <is>
          <t>MapleHeroMultiplier</t>
        </is>
      </c>
      <c r="J1972" s="5" t="inlineStr">
        <is>
          <t>BaseDamage</t>
        </is>
      </c>
      <c r="K1972" s="5" t="inlineStr">
        <is>
          <t>BaseHitDamage</t>
        </is>
      </c>
      <c r="L1972" s="5" t="inlineStr">
        <is>
          <t>NonCritAvg</t>
        </is>
      </c>
      <c r="M1972" s="5" t="inlineStr">
        <is>
          <t>CritAvg</t>
        </is>
      </c>
      <c r="N1972" s="5" t="inlineStr">
        <is>
          <t>ExpectedDamage(perHit)</t>
        </is>
      </c>
      <c r="O1972" s="5" t="inlineStr">
        <is>
          <t>DPS</t>
        </is>
      </c>
      <c r="P1972" s="5" t="inlineStr">
        <is>
          <t>% of Total</t>
        </is>
      </c>
      <c r="Q1972" s="5" t="inlineStr">
        <is>
          <t>InvCooldown</t>
        </is>
      </c>
      <c r="R1972" s="5" t="inlineStr">
        <is>
          <t>CastsInFight</t>
        </is>
      </c>
      <c r="S1972" s="5" t="inlineStr">
        <is>
          <t>HitRate(perSec)</t>
        </is>
      </c>
      <c r="U1972" t="inlineStr">
        <is>
          <t>helpers</t>
        </is>
      </c>
    </row>
    <row r="1973">
      <c r="A1973">
        <f>Skills!A2</f>
        <v/>
      </c>
      <c r="B1973">
        <f>Skills!B2</f>
        <v/>
      </c>
      <c r="C1973">
        <f>Inputs!$B$3&gt;=100</f>
        <v/>
      </c>
      <c r="D1973" t="inlineStr"/>
      <c r="E1973" t="inlineStr"/>
      <c r="F1973">
        <f>U1975+Skills!O2</f>
        <v/>
      </c>
      <c r="G1973">
        <f>Skills!G2*IF(Skills!H2&gt;0,Skills!I2/Skills!H2,1)</f>
        <v/>
      </c>
      <c r="H1973">
        <f>1-(1-Skills!J2/100)^Skills!K2</f>
        <v/>
      </c>
      <c r="I1973" t="inlineStr">
        <is>
          <t>1</t>
        </is>
      </c>
      <c r="J1973">
        <f>((Inputs!$B$6*(1+Inputs!$B$7/100))+(((Inputs!$B$12*(1+Inputs!$B$13/100))-(Inputs!$B$12*(1+Inputs!$B$13/100)))+0.25*(Inputs!$B$14-Inputs!$B$14))*(1+Inputs!$B$7/100))*(F1973/100)</f>
        <v/>
      </c>
      <c r="K1973">
        <f>J1973*(1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1973)</f>
        <v/>
      </c>
      <c r="L1973">
        <f>K1973*(MIN(Inputs!$B$22+((C1991=TRUE)*(F1991-Calc!F20)),(Inputs!$B$23+0+(IF(ArtifactsInput!$M$15,CHOOSE(ArtifactsInput!$N$15+1,25,30,35,40,45,50)/100*(Inputs!$B$11-Inputs!$B$11),0))))/100+(Inputs!$B$23+0+(IF(ArtifactsInput!$M$15,CHOOSE(ArtifactsInput!$N$15+1,25,30,35,40,45,50)/100*(Inputs!$B$11-Inputs!$B$11),0)))/100)/2</f>
        <v/>
      </c>
      <c r="M1973">
        <f>L1973*(1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73">
        <f>L1973*(1-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1973*(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3">
        <f>(1-Summary!$B$11)*T1973+Summary!$B$11*V1973</f>
        <v/>
      </c>
      <c r="P1973">
        <f>IF(B2006=0,0,O1973/B2006)</f>
        <v/>
      </c>
      <c r="Q1973" t="n">
        <v>0</v>
      </c>
      <c r="R1973" t="n">
        <v>0</v>
      </c>
      <c r="S1973">
        <f>IFERROR(O1973/N1973,0)</f>
        <v/>
      </c>
      <c r="T1973">
        <f>IF(C1973,(Skills!G2*N1973*B2000)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1973*(1-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1973*(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1973*(1-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1973*(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3">
        <f>MAX(0,(Inputs!$B$3-100)*3)+Inputs!$B$28+Inputs!$B$29</f>
        <v/>
      </c>
      <c r="V1973">
        <f>IF(C1973,(Skills!G2*N1973*B2000)*IF(Inputs!$B$38="pvp",1,(1+(Inputs!$B$21+Skills!Q2+(IF(ArtifactsInput!$M$33,CHOOSE(ArtifactsInput!$N$33+1,30,36,42,48,54,60),0))+(IF(AND(ArtifactsInput!$M$35,Inputs!$B$4&lt;&gt;"Chapter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4">
      <c r="A1974">
        <f>Skills!A3</f>
        <v/>
      </c>
      <c r="B1974">
        <f>Skills!B3</f>
        <v/>
      </c>
      <c r="C1974">
        <f>Inputs!$B$3&gt;=35</f>
        <v/>
      </c>
      <c r="D1974">
        <f>IF(Skills!C3=1,60+Inputs!$B$25+Inputs!$B$29,IF(Skills!C3=2,90+Inputs!$B$26+Inputs!$B$29,IF(Skills!C3=3,120+Inputs!$B$27+Inputs!$B$29,MAX(0,(Inputs!$B$3-100)*3)+Inputs!$B$28+Inputs!$B$29)))</f>
        <v/>
      </c>
      <c r="E1974">
        <f>INDEX(FactorTable!$B$2:$Y$301, MATCH(ROUND(MIN(300,MAX(1,D1974)),0), FactorTable!$A$2:$A$301,0), Skills!M3+1)</f>
        <v/>
      </c>
      <c r="F1974">
        <f>IF(Skills!N3=TRUE,(Skills!L3/10)*(E1974/1000),Skills!L3/10)+Skills!O3</f>
        <v/>
      </c>
      <c r="G1974">
        <f>Skills!G3*IF(Skills!H3&gt;0,Skills!I3/Skills!H3,1)</f>
        <v/>
      </c>
      <c r="H1974">
        <f>1-(1-Skills!J3/100)^Skills!K3</f>
        <v/>
      </c>
      <c r="I1974" t="inlineStr">
        <is>
          <t>1</t>
        </is>
      </c>
      <c r="J1974">
        <f>((Inputs!$B$6*(1+Inputs!$B$7/100))+(((Inputs!$B$12*(1+Inputs!$B$13/100))-(Inputs!$B$12*(1+Inputs!$B$13/100)))+0.25*(Inputs!$B$14-Inputs!$B$14))*(1+Inputs!$B$7/100))*(F1974/100)</f>
        <v/>
      </c>
      <c r="K1974">
        <f>J1974*(1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1974)</f>
        <v/>
      </c>
      <c r="L1974">
        <f>K1974*(MIN(Inputs!$B$22+((C1991=TRUE)*(F1991-Calc!F20)),(Inputs!$B$23+0+(IF(ArtifactsInput!$M$15,CHOOSE(ArtifactsInput!$N$15+1,25,30,35,40,45,50)/100*(Inputs!$B$11-Inputs!$B$11),0))))/100+(Inputs!$B$23+0+(IF(ArtifactsInput!$M$15,CHOOSE(ArtifactsInput!$N$15+1,25,30,35,40,45,50)/100*(Inputs!$B$11-Inputs!$B$11),0)))/100)/2</f>
        <v/>
      </c>
      <c r="M1974">
        <f>L1974*(1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74">
        <f>L1974*(1-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1974*(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4">
        <f>(1-Summary!$B$11)*T1974+Summary!$B$11*V1974</f>
        <v/>
      </c>
      <c r="P1974">
        <f>IF(B2006=0,0,O1974/B2006)</f>
        <v/>
      </c>
      <c r="Q1974" t="n">
        <v>0</v>
      </c>
      <c r="R1974" t="n">
        <v>0</v>
      </c>
      <c r="S1974">
        <f>IFERROR(O1974/N1974,0)</f>
        <v/>
      </c>
      <c r="T1974">
        <f>IF(C1974,(Skills!G3*H1974*N1974*B2000)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1974*(1-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1974*(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1974*(1-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1974*(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4">
        <f>INDEX(FactorTable!$B$2:$Y$301, MATCH(ROUND(MIN(300,MAX(1,U1973)),0), FactorTable!$A$2:$A$301,0), 22)</f>
        <v/>
      </c>
      <c r="V1974">
        <f>IF(C1974,(Skills!G3*H1974*N1974*B2000)*IF(Inputs!$B$38="pvp",1,(1+(Inputs!$B$21+Skills!Q3+(IF(ArtifactsInput!$M$33,CHOOSE(ArtifactsInput!$N$33+1,30,36,42,48,54,60),0))+(IF(AND(ArtifactsInput!$M$35,Inputs!$B$4&lt;&gt;"Chapter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5">
      <c r="A1975">
        <f>Skills!A4</f>
        <v/>
      </c>
      <c r="B1975">
        <f>Skills!B4</f>
        <v/>
      </c>
      <c r="C1975">
        <f>Inputs!$B$3&gt;=60</f>
        <v/>
      </c>
      <c r="D1975">
        <f>IF(Skills!C4=1,60+Inputs!$B$25+Inputs!$B$29,IF(Skills!C4=2,90+Inputs!$B$26+Inputs!$B$29,IF(Skills!C4=3,120+Inputs!$B$27+Inputs!$B$29,MAX(0,(Inputs!$B$3-100)*3)+Inputs!$B$28+Inputs!$B$29)))</f>
        <v/>
      </c>
      <c r="E1975">
        <f>INDEX(FactorTable!$B$2:$Y$301, MATCH(ROUND(MIN(300,MAX(1,D1975)),0), FactorTable!$A$2:$A$301,0), Skills!M4+1)</f>
        <v/>
      </c>
      <c r="F1975">
        <f>IF(Skills!N4=TRUE,(Skills!L4/10)*(E1975/1000),Skills!L4/10)+Skills!O4</f>
        <v/>
      </c>
      <c r="G1975">
        <f>Skills!G4*IF(Skills!H4&gt;0,Skills!I4/Skills!H4,1)</f>
        <v/>
      </c>
      <c r="H1975">
        <f>1-(1-Skills!J4/100)^Skills!K4</f>
        <v/>
      </c>
      <c r="I1975" t="inlineStr">
        <is>
          <t>1</t>
        </is>
      </c>
      <c r="J1975">
        <f>((Inputs!$B$6*(1+Inputs!$B$7/100))+(((Inputs!$B$12*(1+Inputs!$B$13/100))-(Inputs!$B$12*(1+Inputs!$B$13/100)))+0.25*(Inputs!$B$14-Inputs!$B$14))*(1+Inputs!$B$7/100))*(F1975/100)</f>
        <v/>
      </c>
      <c r="K1975">
        <f>J1975*(1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1983=TRUE,F1983,0)/100)*(1+(IF(Skills!A4="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
      </c>
      <c r="L1975">
        <f>K1975*(MIN(Inputs!$B$22+((C1991=TRUE)*(F1991-Calc!F20)),(Inputs!$B$23+0+(IF(ArtifactsInput!$M$15,CHOOSE(ArtifactsInput!$N$15+1,25,30,35,40,45,50)/100*(Inputs!$B$11-Inputs!$B$11),0))))/100+(Inputs!$B$23+0+(IF(ArtifactsInput!$M$15,CHOOSE(ArtifactsInput!$N$15+1,25,30,35,40,45,50)/100*(Inputs!$B$11-Inputs!$B$11),0)))/100)/2</f>
        <v/>
      </c>
      <c r="M1975">
        <f>L1975*(1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75">
        <f>L1975*(1-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5">
        <f>(1-Summary!$B$11)*T1975+Summary!$B$11*V1975</f>
        <v/>
      </c>
      <c r="P1975">
        <f>IF(B2006=0,0,O1975/B2006)</f>
        <v/>
      </c>
      <c r="Q1975" t="n">
        <v>0</v>
      </c>
      <c r="R1975" t="n">
        <v>0</v>
      </c>
      <c r="S1975">
        <f>IFERROR(O1975/N1975,0)</f>
        <v/>
      </c>
      <c r="T1975">
        <f>IF(C1975,(Skills!G4*H1975*N1975*B2000)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1975*(1-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5">
        <f>290*U1974/1000</f>
        <v/>
      </c>
      <c r="V1975">
        <f>IF(C1975,(Skills!G4*H1975*N1975*B2000)*IF(Inputs!$B$38="pvp",1,(1+(Inputs!$B$21+Skills!Q4+(IF(ArtifactsInput!$M$33,CHOOSE(ArtifactsInput!$N$33+1,30,36,42,48,54,60),0))+(IF(AND(ArtifactsInput!$M$35,Inputs!$B$4&lt;&gt;"Chapter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6">
      <c r="A1976">
        <f>Skills!A5</f>
        <v/>
      </c>
      <c r="B1976">
        <f>Skills!B5</f>
        <v/>
      </c>
      <c r="C1976">
        <f>Inputs!$B$3&gt;=60</f>
        <v/>
      </c>
      <c r="D1976">
        <f>IF(Skills!C5=1,60+Inputs!$B$25+Inputs!$B$29,IF(Skills!C5=2,90+Inputs!$B$26+Inputs!$B$29,IF(Skills!C5=3,120+Inputs!$B$27+Inputs!$B$29,MAX(0,(Inputs!$B$3-100)*3)+Inputs!$B$28+Inputs!$B$29)))</f>
        <v/>
      </c>
      <c r="E1976">
        <f>INDEX(FactorTable!$B$2:$Y$301, MATCH(ROUND(MIN(300,MAX(1,D1976)),0), FactorTable!$A$2:$A$301,0), Skills!M5+1)</f>
        <v/>
      </c>
      <c r="F1976">
        <f>IF(Skills!N5=TRUE,(Skills!L5/10)*(E1976/1000),Skills!L5/10)+Skills!O5</f>
        <v/>
      </c>
      <c r="G1976">
        <f>Skills!G5*IF(Skills!H5&gt;0,Skills!I5/Skills!H5,1)</f>
        <v/>
      </c>
      <c r="H1976">
        <f>1-(1-Skills!J5/100)^Skills!K5</f>
        <v/>
      </c>
      <c r="I1976" t="inlineStr">
        <is>
          <t>1</t>
        </is>
      </c>
      <c r="J1976" t="inlineStr"/>
      <c r="K1976" t="inlineStr"/>
      <c r="L1976" t="inlineStr"/>
      <c r="M1976" t="inlineStr"/>
      <c r="N1976" t="inlineStr"/>
      <c r="O1976">
        <f>(1-Summary!$B$11)*T1976+Summary!$B$11*V1976</f>
        <v/>
      </c>
      <c r="P1976">
        <f>IF(B2006=0,0,O1976/B2006)</f>
        <v/>
      </c>
      <c r="Q1976" t="n">
        <v>0</v>
      </c>
      <c r="R1976" t="n">
        <v>0</v>
      </c>
      <c r="S1976">
        <f>IFERROR(O1976/N1976,0)</f>
        <v/>
      </c>
      <c r="T1976" t="n">
        <v>0</v>
      </c>
      <c r="V1976" t="n">
        <v>0</v>
      </c>
    </row>
    <row r="1977">
      <c r="A1977">
        <f>Skills!A6</f>
        <v/>
      </c>
      <c r="B1977">
        <f>Skills!B6</f>
        <v/>
      </c>
      <c r="C1977">
        <f>Inputs!$B$3&gt;=63</f>
        <v/>
      </c>
      <c r="D1977">
        <f>IF(Skills!C6=1,60+Inputs!$B$25+Inputs!$B$29,IF(Skills!C6=2,90+Inputs!$B$26+Inputs!$B$29,IF(Skills!C6=3,120+Inputs!$B$27+Inputs!$B$29,MAX(0,(Inputs!$B$3-100)*3)+Inputs!$B$28+Inputs!$B$29)))</f>
        <v/>
      </c>
      <c r="E1977">
        <f>INDEX(FactorTable!$B$2:$Y$301, MATCH(ROUND(MIN(300,MAX(1,D1977)),0), FactorTable!$A$2:$A$301,0), Skills!M6+1)</f>
        <v/>
      </c>
      <c r="F1977">
        <f>IF(Skills!N6=TRUE,(Skills!L6/10)*(E1977/1000),Skills!L6/10)+Skills!O6</f>
        <v/>
      </c>
      <c r="G1977">
        <f>Skills!G6*IF(Skills!H6&gt;0,Skills!I6/Skills!H6,1)</f>
        <v/>
      </c>
      <c r="H1977">
        <f>1-(1-Skills!J6/100)^Skills!K6</f>
        <v/>
      </c>
      <c r="I1977" t="inlineStr">
        <is>
          <t>1</t>
        </is>
      </c>
      <c r="J1977">
        <f>((Inputs!$B$6*(1+Inputs!$B$7/100))+(((Inputs!$B$12*(1+Inputs!$B$13/100))-(Inputs!$B$12*(1+Inputs!$B$13/100)))+0.25*(Inputs!$B$14-Inputs!$B$14))*(1+Inputs!$B$7/100))*(F1977/100)</f>
        <v/>
      </c>
      <c r="K1977">
        <f>J1977*(1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
      </c>
      <c r="L1977">
        <f>K1977*(MIN(Inputs!$B$22+((C1991=TRUE)*(F1991-Calc!F20)),(Inputs!$B$23+0+(IF(ArtifactsInput!$M$15,CHOOSE(ArtifactsInput!$N$15+1,25,30,35,40,45,50)/100*(Inputs!$B$11-Inputs!$B$11),0))))/100+(Inputs!$B$23+0+(IF(ArtifactsInput!$M$15,CHOOSE(ArtifactsInput!$N$15+1,25,30,35,40,45,50)/100*(Inputs!$B$11-Inputs!$B$11),0)))/100)/2</f>
        <v/>
      </c>
      <c r="M1977">
        <f>L1977*(1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77">
        <f>L1977*(1-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7">
        <f>(1-Summary!$B$11)*T1977+Summary!$B$11*V1977</f>
        <v/>
      </c>
      <c r="P1977">
        <f>IF(B2006=0,0,O1977/B2006)</f>
        <v/>
      </c>
      <c r="Q1977">
        <f>IFERROR(1/(IF(Inputs!$B$38="pvp",15,MAX(0.1,Skills!D6-IF(Skills!E6=TRUE,Inputs!$B$32,0)))*(1-IF(AND(ArtifactsInput!$M$27,Inputs!$B$4="Chapter Hunt"),CHOOSE(ArtifactsInput!$N$27+1,20,24,28,32,36,40),0)/100)),0)</f>
        <v/>
      </c>
      <c r="R1977">
        <f>IF(AND(Inputs!$B$38&lt;&gt;"pvp",Inputs!$B$43&gt;0),IF(MAX(0,Inputs!$B$43-B2003)&lt;=0,0,(INT(MAX(0,Inputs!$B$43-B2003)/(IF(Inputs!$B$38="pvp",15,MAX(0.1,Skills!D6-IF(Skills!E6=TRUE,Inputs!$B$32,0)))*(1-IF(AND(ArtifactsInput!$M$27,Inputs!$B$4="Chapter Hunt"),CHOOSE(ArtifactsInput!$N$27+1,20,24,28,32,36,40),0)/100)))+1)),0)</f>
        <v/>
      </c>
      <c r="S1977">
        <f>IFERROR(O1977/N1977,0)</f>
        <v/>
      </c>
      <c r="T1977">
        <f>IF(C1977,(H1977*N1977*IF(AND(Inputs!$B$38&lt;&gt;"pvp",Inputs!$B$43&gt;0),((Skills!G6*((R1977-1)*IF(Skills!H6&gt;0,Skills!I6/Skills!H6,1)+IF(Skills!H6&gt;0,MIN(Skills!I6,MAX(0,MAX(0,Inputs!$B$43-B2003)-((R1977-1)*(IF(Inputs!$B$38="pvp",15,MAX(0.1,Skills!D6-IF(Skills!E6=TRUE,Inputs!$B$32,0)))*(1-IF(AND(ArtifactsInput!$M$27,Inputs!$B$4="Chapter Hunt"),CHOOSE(ArtifactsInput!$N$27+1,20,24,28,32,36,40),0)/100)))))/Skills!H6,1)))/Inputs!$B$43),G1977*Q1977)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1977*(1-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7">
        <f>IF(C1977,(H1977*N1977*IF(AND(Inputs!$B$38&lt;&gt;"pvp",Inputs!$B$43&gt;0),((Skills!G6*((R1977-1)*IF(Skills!H6&gt;0,Skills!I6/Skills!H6,1)+IF(Skills!H6&gt;0,MIN(Skills!I6,MAX(0,MAX(0,Inputs!$B$43-B2003)-((R1977-1)*(IF(Inputs!$B$38="pvp",15,MAX(0.1,Skills!D6-IF(Skills!E6=TRUE,Inputs!$B$32,0)))*(1-IF(AND(ArtifactsInput!$M$27,Inputs!$B$4="Chapter Hunt"),CHOOSE(ArtifactsInput!$N$27+1,20,24,28,32,36,40),0)/100)))))/Skills!H6,1)))/Inputs!$B$43),G1977*Q1977))*IF(Inputs!$B$38="pvp",1,(1+(Inputs!$B$21+Skills!Q6+(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8">
      <c r="A1978">
        <f>Skills!A7</f>
        <v/>
      </c>
      <c r="B1978">
        <f>Skills!B7</f>
        <v/>
      </c>
      <c r="C1978">
        <f>Inputs!$B$3&gt;=100</f>
        <v/>
      </c>
      <c r="D1978">
        <f>IF(Skills!C7=1,60+Inputs!$B$25+Inputs!$B$29,IF(Skills!C7=2,90+Inputs!$B$26+Inputs!$B$29,IF(Skills!C7=3,120+Inputs!$B$27+Inputs!$B$29,MAX(0,(Inputs!$B$3-100)*3)+Inputs!$B$28+Inputs!$B$29)))</f>
        <v/>
      </c>
      <c r="E1978">
        <f>INDEX(FactorTable!$B$2:$Y$301, MATCH(ROUND(MIN(300,MAX(1,D1978)),0), FactorTable!$A$2:$A$301,0), Skills!M7+1)</f>
        <v/>
      </c>
      <c r="F1978">
        <f>IF(Skills!N7=TRUE,(Skills!L7/10)*(E1978/1000),Skills!L7/10)+Skills!O7</f>
        <v/>
      </c>
      <c r="G1978">
        <f>Skills!G7*IF(Skills!H7&gt;0,Skills!I7/Skills!H7,1)</f>
        <v/>
      </c>
      <c r="H1978">
        <f>1-(1-Skills!J7/100)^Skills!K7</f>
        <v/>
      </c>
      <c r="I1978" t="inlineStr">
        <is>
          <t>1</t>
        </is>
      </c>
      <c r="J1978">
        <f>((Inputs!$B$6*(1+Inputs!$B$7/100))+(((Inputs!$B$12*(1+Inputs!$B$13/100))-(Inputs!$B$12*(1+Inputs!$B$13/100)))+0.25*(Inputs!$B$14-Inputs!$B$14))*(1+Inputs!$B$7/100))*(F1978/100)</f>
        <v/>
      </c>
      <c r="K1978">
        <f>J1978*(1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1978)</f>
        <v/>
      </c>
      <c r="L1978">
        <f>K1978*(MIN(Inputs!$B$22+((C1991=TRUE)*(F1991-Calc!F20)),(Inputs!$B$23+0+(IF(ArtifactsInput!$M$15,CHOOSE(ArtifactsInput!$N$15+1,25,30,35,40,45,50)/100*(Inputs!$B$11-Inputs!$B$11),0))))/100+(Inputs!$B$23+0+(IF(ArtifactsInput!$M$15,CHOOSE(ArtifactsInput!$N$15+1,25,30,35,40,45,50)/100*(Inputs!$B$11-Inputs!$B$11),0)))/100)/2</f>
        <v/>
      </c>
      <c r="M1978">
        <f>L1978*(1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78">
        <f>L1978*(1-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1978*(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8">
        <f>(1-Summary!$B$11)*T1978+Summary!$B$11*V1978</f>
        <v/>
      </c>
      <c r="P1978">
        <f>IF(B2006=0,0,O1978/B2006)</f>
        <v/>
      </c>
      <c r="Q1978">
        <f>IFERROR(1/(IF(Inputs!$B$38="pvp",15,MAX(0.1,Skills!D7-IF(Skills!E7=TRUE,Inputs!$B$32,0)))*(1-IF(AND(ArtifactsInput!$M$27,Inputs!$B$4="Chapter Hunt"),CHOOSE(ArtifactsInput!$N$27+1,20,24,28,32,36,40),0)/100)),0)</f>
        <v/>
      </c>
      <c r="R1978">
        <f>IF(AND(Inputs!$B$38&lt;&gt;"pvp",Inputs!$B$43&gt;0),IF(MAX(0,Inputs!$B$43-B2003)&lt;=0,0,(INT(MAX(0,Inputs!$B$43-B2003)/(IF(Inputs!$B$38="pvp",15,MAX(0.1,Skills!D7-IF(Skills!E7=TRUE,Inputs!$B$32,0)))*(1-IF(AND(ArtifactsInput!$M$27,Inputs!$B$4="Chapter Hunt"),CHOOSE(ArtifactsInput!$N$27+1,20,24,28,32,36,40),0)/100)))+1)),0)</f>
        <v/>
      </c>
      <c r="S1978">
        <f>IFERROR(O1978/N1978,0)</f>
        <v/>
      </c>
      <c r="T1978">
        <f>IF(C1978,(H1978*N1978*IF(AND(Inputs!$B$38&lt;&gt;"pvp",Inputs!$B$43&gt;0),((Skills!G7*((R1978-1)*IF(Skills!H7&gt;0,Skills!I7/Skills!H7,1)+IF(Skills!H7&gt;0,MIN(Skills!I7,MAX(0,MAX(0,Inputs!$B$43-B2003)-((R1978-1)*(IF(Inputs!$B$38="pvp",15,MAX(0.1,Skills!D7-IF(Skills!E7=TRUE,Inputs!$B$32,0)))*(1-IF(AND(ArtifactsInput!$M$27,Inputs!$B$4="Chapter Hunt"),CHOOSE(ArtifactsInput!$N$27+1,20,24,28,32,36,40),0)/100)))))/Skills!H7,1)))/Inputs!$B$43),G1978*Q1978)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1978*(1-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1978*(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1978*(1-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1978*(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8">
        <f>IF(C1978,(H1978*N1978*IF(AND(Inputs!$B$38&lt;&gt;"pvp",Inputs!$B$43&gt;0),((Skills!G7*((R1978-1)*IF(Skills!H7&gt;0,Skills!I7/Skills!H7,1)+IF(Skills!H7&gt;0,MIN(Skills!I7,MAX(0,MAX(0,Inputs!$B$43-B2003)-((R1978-1)*(IF(Inputs!$B$38="pvp",15,MAX(0.1,Skills!D7-IF(Skills!E7=TRUE,Inputs!$B$32,0)))*(1-IF(AND(ArtifactsInput!$M$27,Inputs!$B$4="Chapter Hunt"),CHOOSE(ArtifactsInput!$N$27+1,20,24,28,32,36,40),0)/100)))))/Skills!H7,1)))/Inputs!$B$43),G1978*Q1978))*IF(Inputs!$B$38="pvp",1,(1+(Inputs!$B$21+Skills!Q7+(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9">
      <c r="A1979">
        <f>Skills!A8</f>
        <v/>
      </c>
      <c r="B1979">
        <f>Skills!B8</f>
        <v/>
      </c>
      <c r="C1979">
        <f>Inputs!$B$3&gt;=110</f>
        <v/>
      </c>
      <c r="D1979">
        <f>IF(Skills!C8=1,60+Inputs!$B$25+Inputs!$B$29,IF(Skills!C8=2,90+Inputs!$B$26+Inputs!$B$29,IF(Skills!C8=3,120+Inputs!$B$27+Inputs!$B$29,MAX(0,(Inputs!$B$3-100)*3)+Inputs!$B$28+Inputs!$B$29)))</f>
        <v/>
      </c>
      <c r="E1979">
        <f>INDEX(FactorTable!$B$2:$Y$301, MATCH(ROUND(MIN(300,MAX(1,D1979)),0), FactorTable!$A$2:$A$301,0), Skills!M8+1)</f>
        <v/>
      </c>
      <c r="F1979">
        <f>IF(Skills!N8=TRUE,(Skills!L8/10)*(E1979/1000),Skills!L8/10)+Skills!O8</f>
        <v/>
      </c>
      <c r="G1979">
        <f>Skills!G8*IF(Skills!H8&gt;0,Skills!I8/Skills!H8,1)</f>
        <v/>
      </c>
      <c r="H1979">
        <f>1-(1-Skills!J8/100)^Skills!K8</f>
        <v/>
      </c>
      <c r="I1979" t="inlineStr">
        <is>
          <t>1</t>
        </is>
      </c>
      <c r="J1979">
        <f>((Inputs!$B$6*(1+Inputs!$B$7/100))+(((Inputs!$B$12*(1+Inputs!$B$13/100))-(Inputs!$B$12*(1+Inputs!$B$13/100)))+0.25*(Inputs!$B$14-Inputs!$B$14))*(1+Inputs!$B$7/100))*(F1979/100)</f>
        <v/>
      </c>
      <c r="K1979">
        <f>J1979*(1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1979)</f>
        <v/>
      </c>
      <c r="L1979">
        <f>K1979*(MIN(Inputs!$B$22+((C1991=TRUE)*(F1991-Calc!F20)),(Inputs!$B$23+0+(IF(ArtifactsInput!$M$15,CHOOSE(ArtifactsInput!$N$15+1,25,30,35,40,45,50)/100*(Inputs!$B$11-Inputs!$B$11),0))))/100+(Inputs!$B$23+0+(IF(ArtifactsInput!$M$15,CHOOSE(ArtifactsInput!$N$15+1,25,30,35,40,45,50)/100*(Inputs!$B$11-Inputs!$B$11),0)))/100)/2</f>
        <v/>
      </c>
      <c r="M1979">
        <f>L1979*(1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79">
        <f>L1979*(1-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1979*(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9">
        <f>(1-Summary!$B$11)*T1979+Summary!$B$11*V1979</f>
        <v/>
      </c>
      <c r="P1979">
        <f>IF(B2006=0,0,O1979/B2006)</f>
        <v/>
      </c>
      <c r="Q1979">
        <f>IFERROR(1/(IF(Inputs!$B$38="pvp",15,MAX(0.1,Skills!D8-IF(Skills!E8=TRUE,Inputs!$B$32,0)))*(1-IF(AND(ArtifactsInput!$M$27,Inputs!$B$4="Chapter Hunt"),CHOOSE(ArtifactsInput!$N$27+1,20,24,28,32,36,40),0)/100)),0)</f>
        <v/>
      </c>
      <c r="R1979">
        <f>IF(AND(Inputs!$B$38&lt;&gt;"pvp",Inputs!$B$43&gt;0),IF(MAX(0,Inputs!$B$43-B2003)&lt;=0,0,(INT(MAX(0,Inputs!$B$43-B2003)/(IF(Inputs!$B$38="pvp",15,MAX(0.1,Skills!D8-IF(Skills!E8=TRUE,Inputs!$B$32,0)))*(1-IF(AND(ArtifactsInput!$M$27,Inputs!$B$4="Chapter Hunt"),CHOOSE(ArtifactsInput!$N$27+1,20,24,28,32,36,40),0)/100)))+1)),0)</f>
        <v/>
      </c>
      <c r="S1979">
        <f>IFERROR(O1979/N1979,0)</f>
        <v/>
      </c>
      <c r="T1979">
        <f>IF(C1979,(H1979*N1979*IF(AND(Inputs!$B$38&lt;&gt;"pvp",Inputs!$B$43&gt;0),((Skills!G8*((R1979-1)*IF(Skills!H8&gt;0,Skills!I8/Skills!H8,1)+IF(Skills!H8&gt;0,MIN(Skills!I8,MAX(0,MAX(0,Inputs!$B$43-B2003)-((R1979-1)*(IF(Inputs!$B$38="pvp",15,MAX(0.1,Skills!D8-IF(Skills!E8=TRUE,Inputs!$B$32,0)))*(1-IF(AND(ArtifactsInput!$M$27,Inputs!$B$4="Chapter Hunt"),CHOOSE(ArtifactsInput!$N$27+1,20,24,28,32,36,40),0)/100)))))/Skills!H8,1)))/Inputs!$B$43),G1979*Q1979)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1979*(1-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1979*(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1979*(1-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1979*(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9">
        <f>IF(C1979,(H1979*N1979*IF(AND(Inputs!$B$38&lt;&gt;"pvp",Inputs!$B$43&gt;0),((Skills!G8*((R1979-1)*IF(Skills!H8&gt;0,Skills!I8/Skills!H8,1)+IF(Skills!H8&gt;0,MIN(Skills!I8,MAX(0,MAX(0,Inputs!$B$43-B2003)-((R1979-1)*(IF(Inputs!$B$38="pvp",15,MAX(0.1,Skills!D8-IF(Skills!E8=TRUE,Inputs!$B$32,0)))*(1-IF(AND(ArtifactsInput!$M$27,Inputs!$B$4="Chapter Hunt"),CHOOSE(ArtifactsInput!$N$27+1,20,24,28,32,36,40),0)/100)))))/Skills!H8,1)))/Inputs!$B$43),G1979*Q1979))*IF(Inputs!$B$38="pvp",1,(1+(Inputs!$B$21+Skills!Q8+(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0">
      <c r="A1980">
        <f>Skills!A9</f>
        <v/>
      </c>
      <c r="B1980">
        <f>Skills!B9</f>
        <v/>
      </c>
      <c r="C1980">
        <f>Inputs!$B$3&gt;=110</f>
        <v/>
      </c>
      <c r="D1980">
        <f>IF(Skills!C9=1,60+Inputs!$B$25+Inputs!$B$29,IF(Skills!C9=2,90+Inputs!$B$26+Inputs!$B$29,IF(Skills!C9=3,120+Inputs!$B$27+Inputs!$B$29,MAX(0,(Inputs!$B$3-100)*3)+Inputs!$B$28+Inputs!$B$29)))</f>
        <v/>
      </c>
      <c r="E1980">
        <f>INDEX(FactorTable!$B$2:$Y$301, MATCH(ROUND(MIN(300,MAX(1,D1980)),0), FactorTable!$A$2:$A$301,0), Skills!M9+1)</f>
        <v/>
      </c>
      <c r="F1980">
        <f>IF(Skills!N9=TRUE,(Skills!L9/10)*(E1980/1000),Skills!L9/10)+Skills!O9</f>
        <v/>
      </c>
      <c r="G1980">
        <f>Skills!G9*IF(Skills!H9&gt;0,Skills!I9/Skills!H9,1)</f>
        <v/>
      </c>
      <c r="H1980">
        <f>1-(1-Skills!J9/100)^Skills!K9</f>
        <v/>
      </c>
      <c r="I1980" t="inlineStr">
        <is>
          <t>1</t>
        </is>
      </c>
      <c r="J1980">
        <f>((Inputs!$B$6*(1+Inputs!$B$7/100))+(((Inputs!$B$12*(1+Inputs!$B$13/100))-(Inputs!$B$12*(1+Inputs!$B$13/100)))+0.25*(Inputs!$B$14-Inputs!$B$14))*(1+Inputs!$B$7/100))*(F1980/100)</f>
        <v/>
      </c>
      <c r="K1980">
        <f>J1980*(1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1980)</f>
        <v/>
      </c>
      <c r="L1980">
        <f>K1980*(MIN(Inputs!$B$22+((C1991=TRUE)*(F1991-Calc!F20)),(Inputs!$B$23+0+(IF(ArtifactsInput!$M$15,CHOOSE(ArtifactsInput!$N$15+1,25,30,35,40,45,50)/100*(Inputs!$B$11-Inputs!$B$11),0))))/100+(Inputs!$B$23+0+(IF(ArtifactsInput!$M$15,CHOOSE(ArtifactsInput!$N$15+1,25,30,35,40,45,50)/100*(Inputs!$B$11-Inputs!$B$11),0)))/100)/2</f>
        <v/>
      </c>
      <c r="M1980">
        <f>L1980*(1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0">
        <f>L1980*(1-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1980*(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0">
        <f>(1-Summary!$B$11)*T1980+Summary!$B$11*V1980</f>
        <v/>
      </c>
      <c r="P1980">
        <f>IF(B2006=0,0,O1980/B2006)</f>
        <v/>
      </c>
      <c r="Q1980">
        <f>IFERROR(1/(IF(Inputs!$B$38="pvp",15,MAX(0.1,Skills!D9-IF(Skills!E9=TRUE,Inputs!$B$32,0)))*(1-IF(AND(ArtifactsInput!$M$27,Inputs!$B$4="Chapter Hunt"),CHOOSE(ArtifactsInput!$N$27+1,20,24,28,32,36,40),0)/100)),0)</f>
        <v/>
      </c>
      <c r="R1980">
        <f>IF(AND(Inputs!$B$38&lt;&gt;"pvp",Inputs!$B$43&gt;0),IF(MAX(0,Inputs!$B$43-B2003)&lt;=0,0,(INT(MAX(0,Inputs!$B$43-B2003)/(IF(Inputs!$B$38="pvp",15,MAX(0.1,Skills!D9-IF(Skills!E9=TRUE,Inputs!$B$32,0)))*(1-IF(AND(ArtifactsInput!$M$27,Inputs!$B$4="Chapter Hunt"),CHOOSE(ArtifactsInput!$N$27+1,20,24,28,32,36,40),0)/100)))+1)),0)</f>
        <v/>
      </c>
      <c r="S1980">
        <f>IFERROR(O1980/N1980,0)</f>
        <v/>
      </c>
      <c r="T1980">
        <f>IF(C1980,(H1980*N1980*IF(AND(Inputs!$B$38&lt;&gt;"pvp",Inputs!$B$43&gt;0),((Skills!G9*((R1980-1)*IF(Skills!H9&gt;0,Skills!I9/Skills!H9,1)+IF(Skills!H9&gt;0,MIN(Skills!I9,MAX(0,MAX(0,Inputs!$B$43-B2003)-((R1980-1)*(IF(Inputs!$B$38="pvp",15,MAX(0.1,Skills!D9-IF(Skills!E9=TRUE,Inputs!$B$32,0)))*(1-IF(AND(ArtifactsInput!$M$27,Inputs!$B$4="Chapter Hunt"),CHOOSE(ArtifactsInput!$N$27+1,20,24,28,32,36,40),0)/100)))))/Skills!H9,1)))/Inputs!$B$43),G1980*Q1980)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1980*(1-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1980*(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1980*(1-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1980*(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0">
        <f>IF(C1980,(H1980*N1980*IF(AND(Inputs!$B$38&lt;&gt;"pvp",Inputs!$B$43&gt;0),((Skills!G9*((R1980-1)*IF(Skills!H9&gt;0,Skills!I9/Skills!H9,1)+IF(Skills!H9&gt;0,MIN(Skills!I9,MAX(0,MAX(0,Inputs!$B$43-B2003)-((R1980-1)*(IF(Inputs!$B$38="pvp",15,MAX(0.1,Skills!D9-IF(Skills!E9=TRUE,Inputs!$B$32,0)))*(1-IF(AND(ArtifactsInput!$M$27,Inputs!$B$4="Chapter Hunt"),CHOOSE(ArtifactsInput!$N$27+1,20,24,28,32,36,40),0)/100)))))/Skills!H9,1)))/Inputs!$B$43),G1980*Q1980))*IF(Inputs!$B$38="pvp",1,(1+(Inputs!$B$21+Skills!Q9+(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1">
      <c r="A1981">
        <f>Skills!A10</f>
        <v/>
      </c>
      <c r="B1981">
        <f>Skills!B10</f>
        <v/>
      </c>
      <c r="C1981">
        <f>Inputs!$B$3&gt;=103</f>
        <v/>
      </c>
      <c r="D1981">
        <f>IF(Skills!C10=1,60+Inputs!$B$25+Inputs!$B$29,IF(Skills!C10=2,90+Inputs!$B$26+Inputs!$B$29,IF(Skills!C10=3,120+Inputs!$B$27+Inputs!$B$29,MAX(0,(Inputs!$B$3-100)*3)+Inputs!$B$28+Inputs!$B$29)))</f>
        <v/>
      </c>
      <c r="E1981">
        <f>INDEX(FactorTable!$B$2:$Y$301, MATCH(ROUND(MIN(300,MAX(1,D1981)),0), FactorTable!$A$2:$A$301,0), Skills!M10+1)</f>
        <v/>
      </c>
      <c r="F1981">
        <f>IF(Skills!N10=TRUE,(Skills!L10/10)*(E1981/1000),Skills!L10/10)+Skills!O10</f>
        <v/>
      </c>
      <c r="G1981">
        <f>Skills!G10*IF(Skills!H10&gt;0,Skills!I10/Skills!H10,1)</f>
        <v/>
      </c>
      <c r="H1981">
        <f>1-(1-Skills!J10/100)^Skills!K10</f>
        <v/>
      </c>
      <c r="I1981" t="inlineStr">
        <is>
          <t>1</t>
        </is>
      </c>
      <c r="J1981">
        <f>((Inputs!$B$6*(1+Inputs!$B$7/100))+(((Inputs!$B$12*(1+Inputs!$B$13/100))-(Inputs!$B$12*(1+Inputs!$B$13/100)))+0.25*(Inputs!$B$14-Inputs!$B$14))*(1+Inputs!$B$7/100))*(F1981/100)</f>
        <v/>
      </c>
      <c r="K1981">
        <f>J1981*(1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1981)</f>
        <v/>
      </c>
      <c r="L1981">
        <f>K1981*(MIN(Inputs!$B$22+((C1991=TRUE)*(F1991-Calc!F20)),(Inputs!$B$23+0+(IF(ArtifactsInput!$M$15,CHOOSE(ArtifactsInput!$N$15+1,25,30,35,40,45,50)/100*(Inputs!$B$11-Inputs!$B$11),0))))/100+(Inputs!$B$23+0+(IF(ArtifactsInput!$M$15,CHOOSE(ArtifactsInput!$N$15+1,25,30,35,40,45,50)/100*(Inputs!$B$11-Inputs!$B$11),0)))/100)/2</f>
        <v/>
      </c>
      <c r="M1981">
        <f>L1981*(1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1">
        <f>L1981*(1-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1">
        <f>(1-Summary!$B$11)*T1981+Summary!$B$11*V1981</f>
        <v/>
      </c>
      <c r="P1981">
        <f>IF(B2006=0,0,O1981/B2006)</f>
        <v/>
      </c>
      <c r="Q1981">
        <f>IFERROR(1/(IF(Inputs!$B$38="pvp",15,MAX(0.1,Skills!D10-IF(Skills!E10=TRUE,Inputs!$B$32,0)))*(1-IF(AND(ArtifactsInput!$M$27,Inputs!$B$4="Chapter Hunt"),CHOOSE(ArtifactsInput!$N$27+1,20,24,28,32,36,40),0)/100)),0)</f>
        <v/>
      </c>
      <c r="R1981">
        <f>IF(AND(Inputs!$B$38&lt;&gt;"pvp",Inputs!$B$43&gt;0),IF(MAX(0,Inputs!$B$43-B2003)&lt;=0,0,(INT(MAX(0,Inputs!$B$43-B2003)/(IF(Inputs!$B$38="pvp",15,MAX(0.1,Skills!D10-IF(Skills!E10=TRUE,Inputs!$B$32,0)))*(1-IF(AND(ArtifactsInput!$M$27,Inputs!$B$4="Chapter Hunt"),CHOOSE(ArtifactsInput!$N$27+1,20,24,28,32,36,40),0)/100)))+1)),0)</f>
        <v/>
      </c>
      <c r="S1981">
        <f>IFERROR(O1981/N1981,0)</f>
        <v/>
      </c>
      <c r="T1981">
        <f>IF(C1981,(H1981*N1981*IF(AND(Inputs!$B$38&lt;&gt;"pvp",Inputs!$B$43&gt;0),((Skills!G10*((R1981-1)*IF(Skills!H10&gt;0,Skills!I10/Skills!H10,1)+IF(Skills!H10&gt;0,MIN(Skills!I10,MAX(0,MAX(0,Inputs!$B$43-B2003)-((R1981-1)*(IF(Inputs!$B$38="pvp",15,MAX(0.1,Skills!D10-IF(Skills!E10=TRUE,Inputs!$B$32,0)))*(1-IF(AND(ArtifactsInput!$M$27,Inputs!$B$4="Chapter Hunt"),CHOOSE(ArtifactsInput!$N$27+1,20,24,28,32,36,40),0)/100)))))/Skills!H10,1)))/Inputs!$B$43),G1981*Q1981)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1981*(1-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1">
        <f>IF(C1981,(H1981*N1981*IF(AND(Inputs!$B$38&lt;&gt;"pvp",Inputs!$B$43&gt;0),((Skills!G10*((R1981-1)*IF(Skills!H10&gt;0,Skills!I10/Skills!H10,1)+IF(Skills!H10&gt;0,MIN(Skills!I10,MAX(0,MAX(0,Inputs!$B$43-B2003)-((R1981-1)*(IF(Inputs!$B$38="pvp",15,MAX(0.1,Skills!D10-IF(Skills!E10=TRUE,Inputs!$B$32,0)))*(1-IF(AND(ArtifactsInput!$M$27,Inputs!$B$4="Chapter Hunt"),CHOOSE(ArtifactsInput!$N$27+1,20,24,28,32,36,40),0)/100)))))/Skills!H10,1)))/Inputs!$B$43),G1981*Q1981))*IF(Inputs!$B$38="pvp",1,(1+(Inputs!$B$21+Skills!Q10+(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2">
      <c r="A1982">
        <f>Skills!A11</f>
        <v/>
      </c>
      <c r="B1982">
        <f>Skills!B11</f>
        <v/>
      </c>
      <c r="C1982">
        <f>Inputs!$B$3&gt;=113</f>
        <v/>
      </c>
      <c r="D1982">
        <f>IF(Skills!C11=1,60+Inputs!$B$25+Inputs!$B$29,IF(Skills!C11=2,90+Inputs!$B$26+Inputs!$B$29,IF(Skills!C11=3,120+Inputs!$B$27+Inputs!$B$29,MAX(0,(Inputs!$B$3-100)*3)+Inputs!$B$28+Inputs!$B$29)))</f>
        <v/>
      </c>
      <c r="E1982">
        <f>INDEX(FactorTable!$B$2:$Y$301, MATCH(ROUND(MIN(300,MAX(1,D1982)),0), FactorTable!$A$2:$A$301,0), Skills!M11+1)</f>
        <v/>
      </c>
      <c r="F1982">
        <f>IF(Skills!N11=TRUE,(Skills!L11/10)*(E1982/1000),Skills!L11/10)+Skills!O11</f>
        <v/>
      </c>
      <c r="G1982">
        <f>Skills!G11*IF(Skills!H11&gt;0,Skills!I11/Skills!H11,1)</f>
        <v/>
      </c>
      <c r="H1982">
        <f>1-(1-Skills!J11/100)^Skills!K11</f>
        <v/>
      </c>
      <c r="I1982" t="inlineStr">
        <is>
          <t>1</t>
        </is>
      </c>
      <c r="J1982">
        <f>((Inputs!$B$6*(1+Inputs!$B$7/100))+(((Inputs!$B$12*(1+Inputs!$B$13/100))-(Inputs!$B$12*(1+Inputs!$B$13/100)))+0.25*(Inputs!$B$14-Inputs!$B$14))*(1+Inputs!$B$7/100))*(F1982/100)</f>
        <v/>
      </c>
      <c r="K1982">
        <f>J1982*(1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1982)</f>
        <v/>
      </c>
      <c r="L1982">
        <f>K1982*(MIN(Inputs!$B$22+((C1991=TRUE)*(F1991-Calc!F20)),(Inputs!$B$23+0+(IF(ArtifactsInput!$M$15,CHOOSE(ArtifactsInput!$N$15+1,25,30,35,40,45,50)/100*(Inputs!$B$11-Inputs!$B$11),0))))/100+(Inputs!$B$23+0+(IF(ArtifactsInput!$M$15,CHOOSE(ArtifactsInput!$N$15+1,25,30,35,40,45,50)/100*(Inputs!$B$11-Inputs!$B$11),0)))/100)/2</f>
        <v/>
      </c>
      <c r="M1982">
        <f>L1982*(1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2">
        <f>L1982*(1-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1982*(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2">
        <f>(1-Summary!$B$11)*T1982+Summary!$B$11*V1982</f>
        <v/>
      </c>
      <c r="P1982">
        <f>IF(B2006=0,0,O1982/B2006)</f>
        <v/>
      </c>
      <c r="Q1982">
        <f>IFERROR(1/(IF(Inputs!$B$38="pvp",15,MAX(0.1,Skills!D11-IF(Skills!E11=TRUE,Inputs!$B$32,0)))*(1-IF(AND(ArtifactsInput!$M$27,Inputs!$B$4="Chapter Hunt"),CHOOSE(ArtifactsInput!$N$27+1,20,24,28,32,36,40),0)/100)),0)</f>
        <v/>
      </c>
      <c r="R1982">
        <f>IF(AND(Inputs!$B$38&lt;&gt;"pvp",Inputs!$B$43&gt;0),IF(MAX(0,Inputs!$B$43-B2003)&lt;=0,0,(INT(MAX(0,Inputs!$B$43-B2003)/(IF(Inputs!$B$38="pvp",15,MAX(0.1,Skills!D11-IF(Skills!E11=TRUE,Inputs!$B$32,0)))*(1-IF(AND(ArtifactsInput!$M$27,Inputs!$B$4="Chapter Hunt"),CHOOSE(ArtifactsInput!$N$27+1,20,24,28,32,36,40),0)/100)))+1)),0)</f>
        <v/>
      </c>
      <c r="S1982">
        <f>IFERROR(O1982/N1982,0)</f>
        <v/>
      </c>
      <c r="T1982">
        <f>IF(C1982,(H1982*N1982*IF(AND(Inputs!$B$38&lt;&gt;"pvp",Inputs!$B$43&gt;0),((Skills!G11*((R1982-1)*IF(Skills!H11&gt;0,Skills!I11/Skills!H11,1)+IF(Skills!H11&gt;0,MIN(Skills!I11,MAX(0,MAX(0,Inputs!$B$43-B2003)-((R1982-1)*(IF(Inputs!$B$38="pvp",15,MAX(0.1,Skills!D11-IF(Skills!E11=TRUE,Inputs!$B$32,0)))*(1-IF(AND(ArtifactsInput!$M$27,Inputs!$B$4="Chapter Hunt"),CHOOSE(ArtifactsInput!$N$27+1,20,24,28,32,36,40),0)/100)))))/Skills!H11,1)))/Inputs!$B$43),G1982*Q1982)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1982*(1-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1982*(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1982*(1-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1982*(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2">
        <f>IF(C1982,(H1982*N1982*IF(AND(Inputs!$B$38&lt;&gt;"pvp",Inputs!$B$43&gt;0),((Skills!G11*((R1982-1)*IF(Skills!H11&gt;0,Skills!I11/Skills!H11,1)+IF(Skills!H11&gt;0,MIN(Skills!I11,MAX(0,MAX(0,Inputs!$B$43-B2003)-((R1982-1)*(IF(Inputs!$B$38="pvp",15,MAX(0.1,Skills!D11-IF(Skills!E11=TRUE,Inputs!$B$32,0)))*(1-IF(AND(ArtifactsInput!$M$27,Inputs!$B$4="Chapter Hunt"),CHOOSE(ArtifactsInput!$N$27+1,20,24,28,32,36,40),0)/100)))))/Skills!H11,1)))/Inputs!$B$43),G1982*Q1982))*IF(Inputs!$B$38="pvp",1,(1+(Inputs!$B$21+Skills!Q11+(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3">
      <c r="A1983">
        <f>Skills!A12</f>
        <v/>
      </c>
      <c r="B1983">
        <f>Skills!B12</f>
        <v/>
      </c>
      <c r="C1983">
        <f>Inputs!$B$3&gt;=100</f>
        <v/>
      </c>
      <c r="D1983">
        <f>IF(Skills!C12=1,60+Inputs!$B$25+Inputs!$B$29,IF(Skills!C12=2,90+Inputs!$B$26+Inputs!$B$29,IF(Skills!C12=3,120+Inputs!$B$27+Inputs!$B$29,MAX(0,(Inputs!$B$3-100)*3)+Inputs!$B$28+Inputs!$B$29)))</f>
        <v/>
      </c>
      <c r="E1983">
        <f>INDEX(FactorTable!$B$2:$Y$301, MATCH(ROUND(MIN(300,MAX(1,D1983)),0), FactorTable!$A$2:$A$301,0), Skills!M12+1)</f>
        <v/>
      </c>
      <c r="F1983">
        <f>IF(Skills!N12=TRUE,(Skills!L12/10)*(E1983/1000),Skills!L12/10)+Skills!O12</f>
        <v/>
      </c>
      <c r="G1983" t="inlineStr"/>
      <c r="H1983" t="inlineStr"/>
      <c r="I1983" t="inlineStr">
        <is>
          <t>1</t>
        </is>
      </c>
      <c r="J1983" t="inlineStr"/>
      <c r="K1983" t="inlineStr"/>
      <c r="L1983" t="inlineStr"/>
      <c r="M1983" t="inlineStr"/>
      <c r="N1983" t="inlineStr"/>
      <c r="O1983" t="inlineStr"/>
      <c r="P1983" t="inlineStr"/>
      <c r="Q1983" t="inlineStr"/>
      <c r="R1983" t="inlineStr"/>
      <c r="S1983" t="inlineStr"/>
      <c r="T1983" t="inlineStr"/>
      <c r="V1983" t="inlineStr"/>
    </row>
    <row r="1984">
      <c r="A1984">
        <f>Skills!A13</f>
        <v/>
      </c>
      <c r="B1984">
        <f>Skills!B13</f>
        <v/>
      </c>
      <c r="C1984">
        <f>Inputs!$B$3&gt;=66</f>
        <v/>
      </c>
      <c r="D1984">
        <f>IF(Skills!C13=1,60+Inputs!$B$25+Inputs!$B$29,IF(Skills!C13=2,90+Inputs!$B$26+Inputs!$B$29,IF(Skills!C13=3,120+Inputs!$B$27+Inputs!$B$29,MAX(0,(Inputs!$B$3-100)*3)+Inputs!$B$28+Inputs!$B$29)))</f>
        <v/>
      </c>
      <c r="E1984">
        <f>INDEX(FactorTable!$B$2:$Y$301, MATCH(ROUND(MIN(300,MAX(1,D1984)),0), FactorTable!$A$2:$A$301,0), Skills!M13+1)</f>
        <v/>
      </c>
      <c r="F1984">
        <f>IF(Skills!N13=TRUE,(Skills!L13/10)*(E1984/1000),Skills!L13/10)+Skills!O13</f>
        <v/>
      </c>
      <c r="G1984">
        <f>Skills!G13*IF(Skills!H13&gt;0,Skills!I13/Skills!H13,1)</f>
        <v/>
      </c>
      <c r="H1984">
        <f>1-(1-Skills!J13/100)^Skills!K13</f>
        <v/>
      </c>
      <c r="I1984" t="inlineStr">
        <is>
          <t>1</t>
        </is>
      </c>
      <c r="J1984" t="inlineStr"/>
      <c r="K1984" t="inlineStr"/>
      <c r="L1984" t="inlineStr"/>
      <c r="M1984" t="inlineStr"/>
      <c r="N1984" t="inlineStr"/>
      <c r="O1984">
        <f>(1-Summary!$B$11)*T1984+Summary!$B$11*V1984</f>
        <v/>
      </c>
      <c r="P1984">
        <f>IF(B2006=0,0,O1984/B2006)</f>
        <v/>
      </c>
      <c r="Q1984" t="n">
        <v>0</v>
      </c>
      <c r="R1984" t="n">
        <v>0</v>
      </c>
      <c r="S1984">
        <f>IFERROR(O1984/N1984,0)</f>
        <v/>
      </c>
      <c r="T1984" t="n">
        <v>0</v>
      </c>
      <c r="V1984" t="n">
        <v>0</v>
      </c>
    </row>
    <row r="1985">
      <c r="A1985">
        <f>Skills!A14</f>
        <v/>
      </c>
      <c r="B1985">
        <f>Skills!B14</f>
        <v/>
      </c>
      <c r="C1985">
        <f>Inputs!$B$3&gt;=107</f>
        <v/>
      </c>
      <c r="D1985">
        <f>IF(Skills!C14=1,60+Inputs!$B$25+Inputs!$B$29,IF(Skills!C14=2,90+Inputs!$B$26+Inputs!$B$29,IF(Skills!C14=3,120+Inputs!$B$27+Inputs!$B$29,MAX(0,(Inputs!$B$3-100)*3)+Inputs!$B$28+Inputs!$B$29)))</f>
        <v/>
      </c>
      <c r="E1985">
        <f>INDEX(FactorTable!$B$2:$Y$301, MATCH(ROUND(MIN(300,MAX(1,D1985)),0), FactorTable!$A$2:$A$301,0), Skills!M14+1)</f>
        <v/>
      </c>
      <c r="F1985">
        <f>IF(Skills!N14=TRUE,(Skills!L14/10)*(E1985/1000),Skills!L14/10)+Skills!O14</f>
        <v/>
      </c>
      <c r="G1985">
        <f>Skills!G14*IF(Skills!H14&gt;0,Skills!I14/Skills!H14,1)</f>
        <v/>
      </c>
      <c r="H1985">
        <f>1-(1-Skills!J14/100)^Skills!K14</f>
        <v/>
      </c>
      <c r="I1985" t="inlineStr">
        <is>
          <t>1</t>
        </is>
      </c>
      <c r="J1985" t="inlineStr"/>
      <c r="K1985" t="inlineStr"/>
      <c r="L1985" t="inlineStr"/>
      <c r="M1985" t="inlineStr"/>
      <c r="N1985" t="inlineStr"/>
      <c r="O1985">
        <f>(1-Summary!$B$11)*T1985+Summary!$B$11*V1985</f>
        <v/>
      </c>
      <c r="P1985">
        <f>IF(B2006=0,0,O1985/B2006)</f>
        <v/>
      </c>
      <c r="Q1985" t="n">
        <v>0</v>
      </c>
      <c r="R1985" t="n">
        <v>0</v>
      </c>
      <c r="S1985">
        <f>IFERROR(O1985/N1985,0)</f>
        <v/>
      </c>
      <c r="T1985" t="n">
        <v>0</v>
      </c>
      <c r="V1985" t="n">
        <v>0</v>
      </c>
    </row>
    <row r="1986">
      <c r="A1986">
        <f>Skills!A15</f>
        <v/>
      </c>
      <c r="B1986">
        <f>Skills!B15</f>
        <v/>
      </c>
      <c r="C1986">
        <f>Inputs!$B$3&gt;=115</f>
        <v/>
      </c>
      <c r="D1986">
        <f>IF(Skills!C15=1,60+Inputs!$B$25+Inputs!$B$29,IF(Skills!C15=2,90+Inputs!$B$26+Inputs!$B$29,IF(Skills!C15=3,120+Inputs!$B$27+Inputs!$B$29,MAX(0,(Inputs!$B$3-100)*3)+Inputs!$B$28+Inputs!$B$29)))</f>
        <v/>
      </c>
      <c r="E1986">
        <f>INDEX(FactorTable!$B$2:$Y$301, MATCH(ROUND(MIN(300,MAX(1,D1986)),0), FactorTable!$A$2:$A$301,0), Skills!M15+1)</f>
        <v/>
      </c>
      <c r="F1986">
        <f>IF(Skills!N15=TRUE,(Skills!L15/10)*(E1986/1000),Skills!L15/10)+Skills!O15</f>
        <v/>
      </c>
      <c r="G1986">
        <f>Skills!G15*IF(Skills!H15&gt;0,Skills!I15/Skills!H15,1)</f>
        <v/>
      </c>
      <c r="H1986">
        <f>1-(1-Skills!J15/100)^Skills!K15</f>
        <v/>
      </c>
      <c r="I1986" t="inlineStr">
        <is>
          <t>1</t>
        </is>
      </c>
      <c r="J1986" t="inlineStr"/>
      <c r="K1986" t="inlineStr"/>
      <c r="L1986" t="inlineStr"/>
      <c r="M1986" t="inlineStr"/>
      <c r="N1986" t="inlineStr"/>
      <c r="O1986">
        <f>(1-Summary!$B$11)*T1986+Summary!$B$11*V1986</f>
        <v/>
      </c>
      <c r="P1986">
        <f>IF(B2006=0,0,O1986/B2006)</f>
        <v/>
      </c>
      <c r="Q1986" t="n">
        <v>0</v>
      </c>
      <c r="R1986" t="n">
        <v>0</v>
      </c>
      <c r="S1986">
        <f>IFERROR(O1986/N1986,0)</f>
        <v/>
      </c>
      <c r="T1986" t="n">
        <v>0</v>
      </c>
      <c r="V1986" t="n">
        <v>0</v>
      </c>
    </row>
    <row r="1987">
      <c r="A1987">
        <f>Skills!A16</f>
        <v/>
      </c>
      <c r="B1987">
        <f>Skills!B16</f>
        <v/>
      </c>
      <c r="C1987">
        <f>Inputs!$B$3&gt;=15</f>
        <v/>
      </c>
      <c r="D1987">
        <f>IF(Skills!C16=1,60+Inputs!$B$25+Inputs!$B$29,IF(Skills!C16=2,90+Inputs!$B$26+Inputs!$B$29,IF(Skills!C16=3,120+Inputs!$B$27+Inputs!$B$29,MAX(0,(Inputs!$B$3-100)*3)+Inputs!$B$28+Inputs!$B$29)))</f>
        <v/>
      </c>
      <c r="E1987">
        <f>INDEX(FactorTable!$B$2:$Y$301, MATCH(ROUND(MIN(300,MAX(1,D1987)),0), FactorTable!$A$2:$A$301,0), Skills!M16+1)</f>
        <v/>
      </c>
      <c r="F1987">
        <f>IF(Skills!N16=TRUE,(Skills!L16/10)*(E1987/1000),Skills!L16/10)+Skills!O16</f>
        <v/>
      </c>
      <c r="G1987">
        <f>Skills!G16*IF(Skills!H16&gt;0,Skills!I16/Skills!H16,1)</f>
        <v/>
      </c>
      <c r="H1987">
        <f>1-(1-Skills!J16/100)^Skills!K16</f>
        <v/>
      </c>
      <c r="I1987" t="inlineStr">
        <is>
          <t>1</t>
        </is>
      </c>
      <c r="J1987" t="inlineStr"/>
      <c r="K1987" t="inlineStr"/>
      <c r="L1987" t="inlineStr"/>
      <c r="M1987" t="inlineStr"/>
      <c r="N1987" t="inlineStr"/>
      <c r="O1987">
        <f>(1-Summary!$B$11)*T1987+Summary!$B$11*V1987</f>
        <v/>
      </c>
      <c r="P1987">
        <f>IF(B2006=0,0,O1987/B2006)</f>
        <v/>
      </c>
      <c r="Q1987" t="n">
        <v>0</v>
      </c>
      <c r="R1987" t="n">
        <v>0</v>
      </c>
      <c r="S1987">
        <f>IFERROR(O1987/N1987,0)</f>
        <v/>
      </c>
      <c r="T1987" t="n">
        <v>0</v>
      </c>
      <c r="V1987" t="n">
        <v>0</v>
      </c>
    </row>
    <row r="1988">
      <c r="A1988">
        <f>Skills!A17</f>
        <v/>
      </c>
      <c r="B1988">
        <f>Skills!B17</f>
        <v/>
      </c>
      <c r="C1988">
        <f>Inputs!$B$3&gt;=10</f>
        <v/>
      </c>
      <c r="D1988">
        <f>IF(Skills!C17=1,60+Inputs!$B$25+Inputs!$B$29,IF(Skills!C17=2,90+Inputs!$B$26+Inputs!$B$29,IF(Skills!C17=3,120+Inputs!$B$27+Inputs!$B$29,MAX(0,(Inputs!$B$3-100)*3)+Inputs!$B$28+Inputs!$B$29)))</f>
        <v/>
      </c>
      <c r="E1988">
        <f>INDEX(FactorTable!$B$2:$Y$301, MATCH(ROUND(MIN(300,MAX(1,D1988)),0), FactorTable!$A$2:$A$301,0), Skills!M17+1)</f>
        <v/>
      </c>
      <c r="F1988">
        <f>IF(Skills!N17=TRUE,(Skills!L17/10)*(E1988/1000),Skills!L17/10)+Skills!O17</f>
        <v/>
      </c>
      <c r="G1988">
        <f>Skills!G17*IF(Skills!H17&gt;0,Skills!I17/Skills!H17,1)</f>
        <v/>
      </c>
      <c r="H1988">
        <f>1-(1-Skills!J17/100)^Skills!K17</f>
        <v/>
      </c>
      <c r="I1988" t="inlineStr">
        <is>
          <t>1</t>
        </is>
      </c>
      <c r="J1988" t="inlineStr"/>
      <c r="K1988" t="inlineStr"/>
      <c r="L1988" t="inlineStr"/>
      <c r="M1988" t="inlineStr"/>
      <c r="N1988" t="inlineStr"/>
      <c r="O1988">
        <f>(1-Summary!$B$11)*T1988+Summary!$B$11*V1988</f>
        <v/>
      </c>
      <c r="P1988">
        <f>IF(B2006=0,0,O1988/B2006)</f>
        <v/>
      </c>
      <c r="Q1988" t="n">
        <v>0</v>
      </c>
      <c r="R1988" t="n">
        <v>0</v>
      </c>
      <c r="S1988">
        <f>IFERROR(O1988/N1988,0)</f>
        <v/>
      </c>
      <c r="T1988" t="n">
        <v>0</v>
      </c>
      <c r="V1988" t="n">
        <v>0</v>
      </c>
    </row>
    <row r="1989">
      <c r="A1989">
        <f>Skills!A18</f>
        <v/>
      </c>
      <c r="B1989">
        <f>Skills!B18</f>
        <v/>
      </c>
      <c r="C1989">
        <f>Inputs!$B$3&gt;=33</f>
        <v/>
      </c>
      <c r="D1989">
        <f>IF(Skills!C18=1,60+Inputs!$B$25+Inputs!$B$29,IF(Skills!C18=2,90+Inputs!$B$26+Inputs!$B$29,IF(Skills!C18=3,120+Inputs!$B$27+Inputs!$B$29,MAX(0,(Inputs!$B$3-100)*3)+Inputs!$B$28+Inputs!$B$29)))</f>
        <v/>
      </c>
      <c r="E1989">
        <f>INDEX(FactorTable!$B$2:$Y$301, MATCH(ROUND(MIN(300,MAX(1,D1989)),0), FactorTable!$A$2:$A$301,0), Skills!M18+1)</f>
        <v/>
      </c>
      <c r="F1989">
        <f>IF(Skills!N18=TRUE,(Skills!L18/10)*(E1989/1000),Skills!L18/10)+Skills!O18</f>
        <v/>
      </c>
      <c r="G1989">
        <f>Skills!G18*IF(Skills!H18&gt;0,Skills!I18/Skills!H18,1)</f>
        <v/>
      </c>
      <c r="H1989">
        <f>1-(1-Skills!J18/100)^Skills!K18</f>
        <v/>
      </c>
      <c r="I1989" t="inlineStr">
        <is>
          <t>1</t>
        </is>
      </c>
      <c r="J1989" t="inlineStr"/>
      <c r="K1989" t="inlineStr"/>
      <c r="L1989" t="inlineStr"/>
      <c r="M1989" t="inlineStr"/>
      <c r="N1989" t="inlineStr"/>
      <c r="O1989">
        <f>(1-Summary!$B$11)*T1989+Summary!$B$11*V1989</f>
        <v/>
      </c>
      <c r="P1989">
        <f>IF(B2006=0,0,O1989/B2006)</f>
        <v/>
      </c>
      <c r="Q1989" t="n">
        <v>0</v>
      </c>
      <c r="R1989" t="n">
        <v>0</v>
      </c>
      <c r="S1989">
        <f>IFERROR(O1989/N1989,0)</f>
        <v/>
      </c>
      <c r="T1989" t="n">
        <v>0</v>
      </c>
      <c r="V1989" t="n">
        <v>0</v>
      </c>
    </row>
    <row r="1990">
      <c r="A1990">
        <f>Skills!A19</f>
        <v/>
      </c>
      <c r="B1990">
        <f>Skills!B19</f>
        <v/>
      </c>
      <c r="C1990">
        <f>Inputs!$B$3&gt;=40</f>
        <v/>
      </c>
      <c r="D1990">
        <f>IF(Skills!C19=1,60+Inputs!$B$25+Inputs!$B$29,IF(Skills!C19=2,90+Inputs!$B$26+Inputs!$B$29,IF(Skills!C19=3,120+Inputs!$B$27+Inputs!$B$29,MAX(0,(Inputs!$B$3-100)*3)+Inputs!$B$28+Inputs!$B$29)))</f>
        <v/>
      </c>
      <c r="E1990">
        <f>INDEX(FactorTable!$B$2:$Y$301, MATCH(ROUND(MIN(300,MAX(1,D1990)),0), FactorTable!$A$2:$A$301,0), Skills!M19+1)</f>
        <v/>
      </c>
      <c r="F1990">
        <f>IF(Skills!N19=TRUE,(Skills!L19/10)*(E1990/1000),Skills!L19/10)+Skills!O19</f>
        <v/>
      </c>
      <c r="G1990">
        <f>Skills!G19*IF(Skills!H19&gt;0,Skills!I19/Skills!H19,1)</f>
        <v/>
      </c>
      <c r="H1990">
        <f>1-(1-Skills!J19/100)^Skills!K19</f>
        <v/>
      </c>
      <c r="I1990" t="inlineStr">
        <is>
          <t>1</t>
        </is>
      </c>
      <c r="J1990" t="inlineStr"/>
      <c r="K1990" t="inlineStr"/>
      <c r="L1990" t="inlineStr"/>
      <c r="M1990" t="inlineStr"/>
      <c r="N1990" t="inlineStr"/>
      <c r="O1990">
        <f>(1-Summary!$B$11)*T1990+Summary!$B$11*V1990</f>
        <v/>
      </c>
      <c r="P1990">
        <f>IF(B2006=0,0,O1990/B2006)</f>
        <v/>
      </c>
      <c r="Q1990" t="n">
        <v>0</v>
      </c>
      <c r="R1990" t="n">
        <v>0</v>
      </c>
      <c r="S1990">
        <f>IFERROR(O1990/N1990,0)</f>
        <v/>
      </c>
      <c r="T1990" t="n">
        <v>0</v>
      </c>
      <c r="V1990" t="n">
        <v>0</v>
      </c>
    </row>
    <row r="1991">
      <c r="A1991">
        <f>Skills!A20</f>
        <v/>
      </c>
      <c r="B1991">
        <f>Skills!B20</f>
        <v/>
      </c>
      <c r="C1991">
        <f>Inputs!$B$3&gt;=43</f>
        <v/>
      </c>
      <c r="D1991">
        <f>IF(Skills!C20=1,60+Inputs!$B$25+Inputs!$B$29,IF(Skills!C20=2,90+Inputs!$B$26+Inputs!$B$29,IF(Skills!C20=3,120+Inputs!$B$27+Inputs!$B$29,MAX(0,(Inputs!$B$3-100)*3)+Inputs!$B$28+Inputs!$B$29)))</f>
        <v/>
      </c>
      <c r="E1991">
        <f>INDEX(FactorTable!$B$2:$Y$301, MATCH(ROUND(MIN(300,MAX(1,D1991)),0), FactorTable!$A$2:$A$301,0), Skills!M20+1)</f>
        <v/>
      </c>
      <c r="F1991">
        <f>IF(Skills!N20=TRUE,(Skills!L20/10)*(E1991/1000),Skills!L20/10)+Skills!O20</f>
        <v/>
      </c>
      <c r="G1991">
        <f>Skills!G20*IF(Skills!H20&gt;0,Skills!I20/Skills!H20,1)</f>
        <v/>
      </c>
      <c r="H1991">
        <f>1-(1-Skills!J20/100)^Skills!K20</f>
        <v/>
      </c>
      <c r="I1991" t="inlineStr">
        <is>
          <t>1</t>
        </is>
      </c>
      <c r="J1991" t="inlineStr"/>
      <c r="K1991" t="inlineStr"/>
      <c r="L1991" t="inlineStr"/>
      <c r="M1991" t="inlineStr"/>
      <c r="N1991" t="inlineStr"/>
      <c r="O1991">
        <f>(1-Summary!$B$11)*T1991+Summary!$B$11*V1991</f>
        <v/>
      </c>
      <c r="P1991">
        <f>IF(B2006=0,0,O1991/B2006)</f>
        <v/>
      </c>
      <c r="Q1991" t="n">
        <v>0</v>
      </c>
      <c r="R1991" t="n">
        <v>0</v>
      </c>
      <c r="S1991">
        <f>IFERROR(O1991/N1991,0)</f>
        <v/>
      </c>
      <c r="T1991" t="n">
        <v>0</v>
      </c>
      <c r="V1991" t="n">
        <v>0</v>
      </c>
    </row>
    <row r="1992">
      <c r="A1992">
        <f>Skills!A21</f>
        <v/>
      </c>
      <c r="B1992">
        <f>Skills!B21</f>
        <v/>
      </c>
      <c r="C1992">
        <f>Inputs!$B$3&gt;=38</f>
        <v/>
      </c>
      <c r="D1992">
        <f>IF(Skills!C21=1,60+Inputs!$B$25+Inputs!$B$29,IF(Skills!C21=2,90+Inputs!$B$26+Inputs!$B$29,IF(Skills!C21=3,120+Inputs!$B$27+Inputs!$B$29,MAX(0,(Inputs!$B$3-100)*3)+Inputs!$B$28+Inputs!$B$29)))</f>
        <v/>
      </c>
      <c r="E1992">
        <f>INDEX(FactorTable!$B$2:$Y$301, MATCH(ROUND(MIN(300,MAX(1,D1992)),0), FactorTable!$A$2:$A$301,0), Skills!M21+1)</f>
        <v/>
      </c>
      <c r="F1992">
        <f>IF(Skills!N21=TRUE,(Skills!L21/10)*(E1992/1000),Skills!L21/10)+Skills!O21</f>
        <v/>
      </c>
      <c r="G1992">
        <f>Skills!G21*IF(Skills!H21&gt;0,Skills!I21/Skills!H21,1)</f>
        <v/>
      </c>
      <c r="H1992">
        <f>1-(1-Skills!J21/100)^Skills!K21</f>
        <v/>
      </c>
      <c r="I1992" t="inlineStr">
        <is>
          <t>1</t>
        </is>
      </c>
      <c r="J1992" t="inlineStr"/>
      <c r="K1992" t="inlineStr"/>
      <c r="L1992" t="inlineStr"/>
      <c r="M1992" t="inlineStr"/>
      <c r="N1992" t="inlineStr"/>
      <c r="O1992">
        <f>(1-Summary!$B$11)*T1992+Summary!$B$11*V1992</f>
        <v/>
      </c>
      <c r="P1992">
        <f>IF(B2006=0,0,O1992/B2006)</f>
        <v/>
      </c>
      <c r="Q1992" t="n">
        <v>0</v>
      </c>
      <c r="R1992" t="n">
        <v>0</v>
      </c>
      <c r="S1992">
        <f>IFERROR(O1992/N1992,0)</f>
        <v/>
      </c>
      <c r="T1992" t="n">
        <v>0</v>
      </c>
      <c r="V1992" t="n">
        <v>0</v>
      </c>
    </row>
    <row r="1993">
      <c r="A1993">
        <f>Skills!A22</f>
        <v/>
      </c>
      <c r="B1993">
        <f>Skills!B22</f>
        <v/>
      </c>
      <c r="C1993">
        <f>Inputs!$B$3&gt;=75</f>
        <v/>
      </c>
      <c r="D1993">
        <f>IF(Skills!C22=1,60+Inputs!$B$25+Inputs!$B$29,IF(Skills!C22=2,90+Inputs!$B$26+Inputs!$B$29,IF(Skills!C22=3,120+Inputs!$B$27+Inputs!$B$29,MAX(0,(Inputs!$B$3-100)*3)+Inputs!$B$28+Inputs!$B$29)))</f>
        <v/>
      </c>
      <c r="E1993">
        <f>INDEX(FactorTable!$B$2:$Y$301, MATCH(ROUND(MIN(300,MAX(1,D1993)),0), FactorTable!$A$2:$A$301,0), Skills!M22+1)</f>
        <v/>
      </c>
      <c r="F1993">
        <f>IF(Skills!N22=TRUE,(Skills!L22/10)*(E1993/1000),Skills!L22/10)+Skills!O22</f>
        <v/>
      </c>
      <c r="G1993">
        <f>Skills!G22*IF(Skills!H22&gt;0,Skills!I22/Skills!H22,1)</f>
        <v/>
      </c>
      <c r="H1993">
        <f>1-(1-Skills!J22/100)^Skills!K22</f>
        <v/>
      </c>
      <c r="I1993" t="inlineStr">
        <is>
          <t>1</t>
        </is>
      </c>
      <c r="J1993" t="inlineStr"/>
      <c r="K1993" t="inlineStr"/>
      <c r="L1993" t="inlineStr"/>
      <c r="M1993" t="inlineStr"/>
      <c r="N1993" t="inlineStr"/>
      <c r="O1993">
        <f>(1-Summary!$B$11)*T1993+Summary!$B$11*V1993</f>
        <v/>
      </c>
      <c r="P1993">
        <f>IF(B2006=0,0,O1993/B2006)</f>
        <v/>
      </c>
      <c r="Q1993" t="n">
        <v>0</v>
      </c>
      <c r="R1993" t="n">
        <v>0</v>
      </c>
      <c r="S1993">
        <f>IFERROR(O1993/N1993,0)</f>
        <v/>
      </c>
      <c r="T1993" t="n">
        <v>0</v>
      </c>
      <c r="V1993" t="n">
        <v>0</v>
      </c>
    </row>
    <row r="1995">
      <c r="A1995" t="inlineStr">
        <is>
          <t>Attack% Bucket Multiplier</t>
        </is>
      </c>
      <c r="B1995">
        <f>(1+(((C1984=TRUE)*F1984)+((C1990=TRUE)*(F1990-Calc!F19))+(IF(ArtifactsInput!$M$21,CHOOSE(ArtifactsInput!$N$21+1,25,30,35,40,45,50)*(IF(OR(Inputs!$B$4="Chapter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6">
      <c r="A1996" t="inlineStr">
        <is>
          <t>Global Crit Rate Bonus %</t>
        </is>
      </c>
      <c r="B1996" t="n">
        <v>0</v>
      </c>
    </row>
    <row r="1997">
      <c r="A1997" t="inlineStr">
        <is>
          <t>Attack Speed Buff Bonus % (unused)</t>
        </is>
      </c>
      <c r="B1997" t="n">
        <v>0</v>
      </c>
    </row>
    <row r="1998">
      <c r="A1998" t="inlineStr">
        <is>
          <t>Actions Per Second</t>
        </is>
      </c>
      <c r="B1998">
        <f>1+MIN(150,150*(1-(1-(Inputs!$B$11+((C1988=TRUE)*(F1988-Calc!F17))+((C1989=TRUE)*(F1989-Calc!F18)))/150)*(1-B1997/150)))/100</f>
        <v/>
      </c>
    </row>
    <row r="1999">
      <c r="A1999" t="inlineStr">
        <is>
          <t>Skill + Buff Cast Rate</t>
        </is>
      </c>
      <c r="B1999">
        <f>IF(AND(Inputs!$B$38&lt;&gt;"pvp",Inputs!$B$43&gt;0),SUMPRODUCT((Skills!E2:E22=TRUE)*(C1973:C1993=TRUE)*R1973:R1993*Skills!F2:F22)/Inputs!$B$43,SUMPRODUCT((Skills!E2:E22=TRUE)*(C1973:C1993=TRUE)*Q1973:Q1993*Skills!F2:F22))</f>
        <v/>
      </c>
    </row>
    <row r="2000">
      <c r="A2000" t="inlineStr">
        <is>
          <t>Hook Bomber Casts Per Second</t>
        </is>
      </c>
      <c r="B2000">
        <f>MAX(0,B1998-B1999)</f>
        <v/>
      </c>
    </row>
    <row r="2001">
      <c r="A2001" t="inlineStr">
        <is>
          <t>Global Critical Damage Bonus % (unused)</t>
        </is>
      </c>
      <c r="B2001" t="n">
        <v>0</v>
      </c>
    </row>
    <row r="2002">
      <c r="A2002" t="inlineStr">
        <is>
          <t>Global Final Damage Bonus % (Serpent Scale + Crossbones + Time Leap + Speed Infusion)</t>
        </is>
      </c>
      <c r="B2002">
        <f>((C1976=TRUE)*F1976*((10+IF(Inputs!$B$3&gt;=94,5,0))/((10+IF(Inputs!$B$3&gt;=94,5,0))+5/(B2000*(1+IF(Inputs!$B$3&gt;=104,1,0))))))+((C1985=TRUE)*F1985)+((C1986=TRUE)*F1986)+((Inputs!$B$3&gt;=110)*20*(B1998-1))</f>
        <v/>
      </c>
    </row>
    <row r="2003">
      <c r="A2003" t="inlineStr">
        <is>
          <t>Buff-Casting Startup Delay (s, fixed-duration only)</t>
        </is>
      </c>
      <c r="B2003">
        <f>IF(AND(Inputs!$B$38&lt;&gt;"pvp",Inputs!$B$43&gt;0),SUMPRODUCT((Skills!T2:T22&gt;0)*(Skills!E2:E22=TRUE)*(C1973:C1993=TRUE))/B1998,0)</f>
        <v/>
      </c>
    </row>
    <row r="2004">
      <c r="A2004" t="inlineStr">
        <is>
          <t>Boss-Only Total DPS (this block's swept value)</t>
        </is>
      </c>
      <c r="B2004">
        <f>SUM(T1973:T1993)</f>
        <v/>
      </c>
    </row>
    <row r="2005">
      <c r="A2005" t="inlineStr">
        <is>
          <t>Normal-Only Total DPS (this block's swept value)</t>
        </is>
      </c>
      <c r="B2005">
        <f>SUM(V1973:V1993)</f>
        <v/>
      </c>
    </row>
    <row r="2006">
      <c r="A2006" s="6" t="inlineStr">
        <is>
          <t>TOTAL DPS</t>
        </is>
      </c>
      <c r="B2006" s="6">
        <f>SUM(O1973:O1993)</f>
        <v/>
      </c>
    </row>
    <row r="2009">
      <c r="A2009" s="6" t="inlineStr">
        <is>
          <t>Stat: Flaming Lava (Equip)</t>
        </is>
      </c>
    </row>
    <row r="2010">
      <c r="A2010" s="5" t="inlineStr">
        <is>
          <t>Key</t>
        </is>
      </c>
      <c r="B2010" s="5" t="inlineStr">
        <is>
          <t>Name</t>
        </is>
      </c>
      <c r="C2010" s="5" t="inlineStr">
        <is>
          <t>Unlocked</t>
        </is>
      </c>
      <c r="D2010" s="5" t="inlineStr">
        <is>
          <t>InputLevel</t>
        </is>
      </c>
      <c r="E2010" s="5" t="inlineStr">
        <is>
          <t>Factor</t>
        </is>
      </c>
      <c r="F2010" s="5" t="inlineStr">
        <is>
          <t>CoefficientPercent</t>
        </is>
      </c>
      <c r="G2010" s="5" t="inlineStr">
        <is>
          <t>EffectiveHits</t>
        </is>
      </c>
      <c r="H2010" s="5" t="inlineStr">
        <is>
          <t>ProcProbability</t>
        </is>
      </c>
      <c r="I2010" s="5" t="inlineStr">
        <is>
          <t>MapleHeroMultiplier</t>
        </is>
      </c>
      <c r="J2010" s="5" t="inlineStr">
        <is>
          <t>BaseDamage</t>
        </is>
      </c>
      <c r="K2010" s="5" t="inlineStr">
        <is>
          <t>BaseHitDamage</t>
        </is>
      </c>
      <c r="L2010" s="5" t="inlineStr">
        <is>
          <t>NonCritAvg</t>
        </is>
      </c>
      <c r="M2010" s="5" t="inlineStr">
        <is>
          <t>CritAvg</t>
        </is>
      </c>
      <c r="N2010" s="5" t="inlineStr">
        <is>
          <t>ExpectedDamage(perHit)</t>
        </is>
      </c>
      <c r="O2010" s="5" t="inlineStr">
        <is>
          <t>DPS</t>
        </is>
      </c>
      <c r="P2010" s="5" t="inlineStr">
        <is>
          <t>% of Total</t>
        </is>
      </c>
      <c r="Q2010" s="5" t="inlineStr">
        <is>
          <t>InvCooldown</t>
        </is>
      </c>
      <c r="R2010" s="5" t="inlineStr">
        <is>
          <t>CastsInFight</t>
        </is>
      </c>
      <c r="S2010" s="5" t="inlineStr">
        <is>
          <t>HitRate(perSec)</t>
        </is>
      </c>
      <c r="U2010" t="inlineStr">
        <is>
          <t>helpers</t>
        </is>
      </c>
    </row>
    <row r="2011">
      <c r="A2011">
        <f>Skills!A2</f>
        <v/>
      </c>
      <c r="B2011">
        <f>Skills!B2</f>
        <v/>
      </c>
      <c r="C2011">
        <f>Inputs!$B$3&gt;=100</f>
        <v/>
      </c>
      <c r="D2011" t="inlineStr"/>
      <c r="E2011" t="inlineStr"/>
      <c r="F2011">
        <f>U2013+Skills!O2</f>
        <v/>
      </c>
      <c r="G2011">
        <f>Skills!G2*IF(Skills!H2&gt;0,Skills!I2/Skills!H2,1)</f>
        <v/>
      </c>
      <c r="H2011">
        <f>1-(1-Skills!J2/100)^Skills!K2</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2029=TRUE)*(F2029-Calc!F20)),(Inputs!$B$23+0+(IF(ArtifactsInput!$M$15,CHOOSE(ArtifactsInput!$N$15+1,25,30,35,40,45,50)/100*(Inputs!$B$11-Inputs!$B$11),0))))/100+(Inputs!$B$23+0+(IF(ArtifactsInput!$M$15,CHOOSE(ArtifactsInput!$N$15+1,25,30,35,40,45,50)/100*(Inputs!$B$11-Inputs!$B$11),0)))/100)/2</f>
        <v/>
      </c>
      <c r="M2011">
        <f>L2011*(1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IF(B2044=0,0,O2011/B2044)</f>
        <v/>
      </c>
      <c r="Q2011" t="n">
        <v>0</v>
      </c>
      <c r="R2011" t="n">
        <v>0</v>
      </c>
      <c r="S2011">
        <f>IFERROR(O2011/N2011,0)</f>
        <v/>
      </c>
      <c r="T2011">
        <f>IF(C2011,(Skills!G2*N2011*B2038)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1">
        <f>MAX(0,(Inputs!$B$3-100)*3)+Inputs!$B$28+Inputs!$B$29</f>
        <v/>
      </c>
      <c r="V2011">
        <f>IF(C2011,(Skills!G2*N2011*B2038)*IF(Inputs!$B$38="pvp",1,(1+(Inputs!$B$21+Skills!Q2+(IF(ArtifactsInput!$M$33,CHOOSE(ArtifactsInput!$N$33+1,30,36,42,48,54,60),0))+(IF(AND(ArtifactsInput!$M$35,Inputs!$B$4&lt;&gt;"Chapter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Skills!A3</f>
        <v/>
      </c>
      <c r="B2012">
        <f>Skills!B3</f>
        <v/>
      </c>
      <c r="C2012">
        <f>Inputs!$B$3&gt;=35</f>
        <v/>
      </c>
      <c r="D2012">
        <f>IF(Skills!C3=1,60+Inputs!$B$25+Inputs!$B$29,IF(Skills!C3=2,90+Inputs!$B$26+Inputs!$B$29,IF(Skills!C3=3,120+Inputs!$B$27+Inputs!$B$29,MAX(0,(Inputs!$B$3-100)*3)+Inputs!$B$28+Inputs!$B$29)))</f>
        <v/>
      </c>
      <c r="E2012">
        <f>INDEX(FactorTable!$B$2:$Y$301, MATCH(ROUND(MIN(300,MAX(1,D2012)),0), FactorTable!$A$2:$A$301,0), Skills!M3+1)</f>
        <v/>
      </c>
      <c r="F2012">
        <f>IF(Skills!N3=TRUE,(Skills!L3/10)*(E2012/1000),Skills!L3/10)+Skills!O3</f>
        <v/>
      </c>
      <c r="G2012">
        <f>Skills!G3*IF(Skills!H3&gt;0,Skills!I3/Skills!H3,1)</f>
        <v/>
      </c>
      <c r="H2012">
        <f>1-(1-Skills!J3/100)^Skills!K3</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2029=TRUE)*(F2029-Calc!F20)),(Inputs!$B$23+0+(IF(ArtifactsInput!$M$15,CHOOSE(ArtifactsInput!$N$15+1,25,30,35,40,45,50)/100*(Inputs!$B$11-Inputs!$B$11),0))))/100+(Inputs!$B$23+0+(IF(ArtifactsInput!$M$15,CHOOSE(ArtifactsInput!$N$15+1,25,30,35,40,45,50)/100*(Inputs!$B$11-Inputs!$B$11),0)))/100)/2</f>
        <v/>
      </c>
      <c r="M2012">
        <f>L2012*(1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IF(B2044=0,0,O2012/B2044)</f>
        <v/>
      </c>
      <c r="Q2012" t="n">
        <v>0</v>
      </c>
      <c r="R2012" t="n">
        <v>0</v>
      </c>
      <c r="S2012">
        <f>IFERROR(O2012/N2012,0)</f>
        <v/>
      </c>
      <c r="T2012">
        <f>IF(C2012,(Skills!G3*H2012*N2012*B2038)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2">
        <f>INDEX(FactorTable!$B$2:$Y$301, MATCH(ROUND(MIN(300,MAX(1,U2011)),0), FactorTable!$A$2:$A$301,0), 22)</f>
        <v/>
      </c>
      <c r="V2012">
        <f>IF(C2012,(Skills!G3*H2012*N2012*B2038)*IF(Inputs!$B$38="pvp",1,(1+(Inputs!$B$21+Skills!Q3+(IF(ArtifactsInput!$M$33,CHOOSE(ArtifactsInput!$N$33+1,30,36,42,48,54,60),0))+(IF(AND(ArtifactsInput!$M$35,Inputs!$B$4&lt;&gt;"Chapter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Skills!A4</f>
        <v/>
      </c>
      <c r="B2013">
        <f>Skills!B4</f>
        <v/>
      </c>
      <c r="C2013">
        <f>Inputs!$B$3&gt;=60</f>
        <v/>
      </c>
      <c r="D2013">
        <f>IF(Skills!C4=1,60+Inputs!$B$25+Inputs!$B$29,IF(Skills!C4=2,90+Inputs!$B$26+Inputs!$B$29,IF(Skills!C4=3,120+Inputs!$B$27+Inputs!$B$29,MAX(0,(Inputs!$B$3-100)*3)+Inputs!$B$28+Inputs!$B$29)))</f>
        <v/>
      </c>
      <c r="E2013">
        <f>INDEX(FactorTable!$B$2:$Y$301, MATCH(ROUND(MIN(300,MAX(1,D2013)),0), FactorTable!$A$2:$A$301,0), Skills!M4+1)</f>
        <v/>
      </c>
      <c r="F2013">
        <f>IF(Skills!N4=TRUE,(Skills!L4/10)*(E2013/1000),Skills!L4/10)+Skills!O4</f>
        <v/>
      </c>
      <c r="G2013">
        <f>Skills!G4*IF(Skills!H4&gt;0,Skills!I4/Skills!H4,1)</f>
        <v/>
      </c>
      <c r="H2013">
        <f>1-(1-Skills!J4/100)^Skills!K4</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2021=TRUE,F2021,0)/100)*(1+(IF(Skills!A4="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2029=TRUE)*(F2029-Calc!F20)),(Inputs!$B$23+0+(IF(ArtifactsInput!$M$15,CHOOSE(ArtifactsInput!$N$15+1,25,30,35,40,45,50)/100*(Inputs!$B$11-Inputs!$B$11),0))))/100+(Inputs!$B$23+0+(IF(ArtifactsInput!$M$15,CHOOSE(ArtifactsInput!$N$15+1,25,30,35,40,45,50)/100*(Inputs!$B$11-Inputs!$B$11),0)))/100)/2</f>
        <v/>
      </c>
      <c r="M2013">
        <f>L2013*(1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IF(B2044=0,0,O2013/B2044)</f>
        <v/>
      </c>
      <c r="Q2013" t="n">
        <v>0</v>
      </c>
      <c r="R2013" t="n">
        <v>0</v>
      </c>
      <c r="S2013">
        <f>IFERROR(O2013/N2013,0)</f>
        <v/>
      </c>
      <c r="T2013">
        <f>IF(C2013,(Skills!G4*H2013*N2013*B2038)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3">
        <f>290*U2012/1000</f>
        <v/>
      </c>
      <c r="V2013">
        <f>IF(C2013,(Skills!G4*H2013*N2013*B2038)*IF(Inputs!$B$38="pvp",1,(1+(Inputs!$B$21+Skills!Q4+(IF(ArtifactsInput!$M$33,CHOOSE(ArtifactsInput!$N$33+1,30,36,42,48,54,60),0))+(IF(AND(ArtifactsInput!$M$35,Inputs!$B$4&lt;&gt;"Chapter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Skills!A5</f>
        <v/>
      </c>
      <c r="B2014">
        <f>Skills!B5</f>
        <v/>
      </c>
      <c r="C2014">
        <f>Inputs!$B$3&gt;=60</f>
        <v/>
      </c>
      <c r="D2014">
        <f>IF(Skills!C5=1,60+Inputs!$B$25+Inputs!$B$29,IF(Skills!C5=2,90+Inputs!$B$26+Inputs!$B$29,IF(Skills!C5=3,120+Inputs!$B$27+Inputs!$B$29,MAX(0,(Inputs!$B$3-100)*3)+Inputs!$B$28+Inputs!$B$29)))</f>
        <v/>
      </c>
      <c r="E2014">
        <f>INDEX(FactorTable!$B$2:$Y$301, MATCH(ROUND(MIN(300,MAX(1,D2014)),0), FactorTable!$A$2:$A$301,0), Skills!M5+1)</f>
        <v/>
      </c>
      <c r="F2014">
        <f>IF(Skills!N5=TRUE,(Skills!L5/10)*(E2014/1000),Skills!L5/10)+Skills!O5</f>
        <v/>
      </c>
      <c r="G2014">
        <f>Skills!G5*IF(Skills!H5&gt;0,Skills!I5/Skills!H5,1)</f>
        <v/>
      </c>
      <c r="H2014">
        <f>1-(1-Skills!J5/100)^Skills!K5</f>
        <v/>
      </c>
      <c r="I2014" t="inlineStr">
        <is>
          <t>1</t>
        </is>
      </c>
      <c r="J2014" t="inlineStr"/>
      <c r="K2014" t="inlineStr"/>
      <c r="L2014" t="inlineStr"/>
      <c r="M2014" t="inlineStr"/>
      <c r="N2014" t="inlineStr"/>
      <c r="O2014">
        <f>(1-Summary!$B$11)*T2014+Summary!$B$11*V2014</f>
        <v/>
      </c>
      <c r="P2014">
        <f>IF(B2044=0,0,O2014/B2044)</f>
        <v/>
      </c>
      <c r="Q2014" t="n">
        <v>0</v>
      </c>
      <c r="R2014" t="n">
        <v>0</v>
      </c>
      <c r="S2014">
        <f>IFERROR(O2014/N2014,0)</f>
        <v/>
      </c>
      <c r="T2014" t="n">
        <v>0</v>
      </c>
      <c r="V2014" t="n">
        <v>0</v>
      </c>
    </row>
    <row r="2015">
      <c r="A2015">
        <f>Skills!A6</f>
        <v/>
      </c>
      <c r="B2015">
        <f>Skills!B6</f>
        <v/>
      </c>
      <c r="C2015">
        <f>Inputs!$B$3&gt;=63</f>
        <v/>
      </c>
      <c r="D2015">
        <f>IF(Skills!C6=1,60+Inputs!$B$25+Inputs!$B$29,IF(Skills!C6=2,90+Inputs!$B$26+Inputs!$B$29,IF(Skills!C6=3,120+Inputs!$B$27+Inputs!$B$29,MAX(0,(Inputs!$B$3-100)*3)+Inputs!$B$28+Inputs!$B$29)))</f>
        <v/>
      </c>
      <c r="E2015">
        <f>INDEX(FactorTable!$B$2:$Y$301, MATCH(ROUND(MIN(300,MAX(1,D2015)),0), FactorTable!$A$2:$A$301,0), Skills!M6+1)</f>
        <v/>
      </c>
      <c r="F2015">
        <f>IF(Skills!N6=TRUE,(Skills!L6/10)*(E2015/1000),Skills!L6/10)+Skills!O6</f>
        <v/>
      </c>
      <c r="G2015">
        <f>Skills!G6*IF(Skills!H6&gt;0,Skills!I6/Skills!H6,1)</f>
        <v/>
      </c>
      <c r="H2015">
        <f>1-(1-Skills!J6/100)^Skills!K6</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2029=TRUE)*(F2029-Calc!F20)),(Inputs!$B$23+0+(IF(ArtifactsInput!$M$15,CHOOSE(ArtifactsInput!$N$15+1,25,30,35,40,45,50)/100*(Inputs!$B$11-Inputs!$B$11),0))))/100+(Inputs!$B$23+0+(IF(ArtifactsInput!$M$15,CHOOSE(ArtifactsInput!$N$15+1,25,30,35,40,45,50)/100*(Inputs!$B$11-Inputs!$B$11),0)))/100)/2</f>
        <v/>
      </c>
      <c r="M2015">
        <f>L2015*(1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IF(B2044=0,0,O2015/B2044)</f>
        <v/>
      </c>
      <c r="Q2015">
        <f>IFERROR(1/(IF(Inputs!$B$38="pvp",15,MAX(0.1,Skills!D6-IF(Skills!E6=TRUE,Inputs!$B$32,0)))*(1-IF(AND(ArtifactsInput!$M$27,Inputs!$B$4="Chapter Hunt"),CHOOSE(ArtifactsInput!$N$27+1,20,24,28,32,36,40),0)/100)),0)</f>
        <v/>
      </c>
      <c r="R2015">
        <f>IF(AND(Inputs!$B$38&lt;&gt;"pvp",Inputs!$B$43&gt;0),IF(MAX(0,Inputs!$B$43-B2041)&lt;=0,0,(INT(MAX(0,Inputs!$B$43-B2041)/(IF(Inputs!$B$38="pvp",15,MAX(0.1,Skills!D6-IF(Skills!E6=TRUE,Inputs!$B$32,0)))*(1-IF(AND(ArtifactsInput!$M$27,Inputs!$B$4="Chapter Hunt"),CHOOSE(ArtifactsInput!$N$27+1,20,24,28,32,36,40),0)/100)))+1)),0)</f>
        <v/>
      </c>
      <c r="S2015">
        <f>IFERROR(O2015/N2015,0)</f>
        <v/>
      </c>
      <c r="T2015">
        <f>IF(C2015,(H2015*N2015*IF(AND(Inputs!$B$38&lt;&gt;"pvp",Inputs!$B$43&gt;0),((Skills!G6*((R2015-1)*IF(Skills!H6&gt;0,Skills!I6/Skills!H6,1)+IF(Skills!H6&gt;0,MIN(Skills!I6,MAX(0,MAX(0,Inputs!$B$43-B2041)-((R2015-1)*(IF(Inputs!$B$38="pvp",15,MAX(0.1,Skills!D6-IF(Skills!E6=TRUE,Inputs!$B$32,0)))*(1-IF(AND(ArtifactsInput!$M$27,Inputs!$B$4="Chapter Hunt"),CHOOSE(ArtifactsInput!$N$27+1,20,24,28,32,36,40),0)/100)))))/Skills!H6,1)))/Inputs!$B$43),G2015*Q2015)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6*((R2015-1)*IF(Skills!H6&gt;0,Skills!I6/Skills!H6,1)+IF(Skills!H6&gt;0,MIN(Skills!I6,MAX(0,MAX(0,Inputs!$B$43-B2041)-((R2015-1)*(IF(Inputs!$B$38="pvp",15,MAX(0.1,Skills!D6-IF(Skills!E6=TRUE,Inputs!$B$32,0)))*(1-IF(AND(ArtifactsInput!$M$27,Inputs!$B$4="Chapter Hunt"),CHOOSE(ArtifactsInput!$N$27+1,20,24,28,32,36,40),0)/100)))))/Skills!H6,1)))/Inputs!$B$43),G2015*Q2015))*IF(Inputs!$B$38="pvp",1,(1+(Inputs!$B$21+Skills!Q6+(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Skills!A7</f>
        <v/>
      </c>
      <c r="B2016">
        <f>Skills!B7</f>
        <v/>
      </c>
      <c r="C2016">
        <f>Inputs!$B$3&gt;=100</f>
        <v/>
      </c>
      <c r="D2016">
        <f>IF(Skills!C7=1,60+Inputs!$B$25+Inputs!$B$29,IF(Skills!C7=2,90+Inputs!$B$26+Inputs!$B$29,IF(Skills!C7=3,120+Inputs!$B$27+Inputs!$B$29,MAX(0,(Inputs!$B$3-100)*3)+Inputs!$B$28+Inputs!$B$29)))</f>
        <v/>
      </c>
      <c r="E2016">
        <f>INDEX(FactorTable!$B$2:$Y$301, MATCH(ROUND(MIN(300,MAX(1,D2016)),0), FactorTable!$A$2:$A$301,0), Skills!M7+1)</f>
        <v/>
      </c>
      <c r="F2016">
        <f>IF(Skills!N7=TRUE,(Skills!L7/10)*(E2016/1000),Skills!L7/10)+Skills!O7</f>
        <v/>
      </c>
      <c r="G2016">
        <f>Skills!G7*IF(Skills!H7&gt;0,Skills!I7/Skills!H7,1)</f>
        <v/>
      </c>
      <c r="H2016">
        <f>1-(1-Skills!J7/100)^Skills!K7</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2029=TRUE)*(F2029-Calc!F20)),(Inputs!$B$23+0+(IF(ArtifactsInput!$M$15,CHOOSE(ArtifactsInput!$N$15+1,25,30,35,40,45,50)/100*(Inputs!$B$11-Inputs!$B$11),0))))/100+(Inputs!$B$23+0+(IF(ArtifactsInput!$M$15,CHOOSE(ArtifactsInput!$N$15+1,25,30,35,40,45,50)/100*(Inputs!$B$11-Inputs!$B$11),0)))/100)/2</f>
        <v/>
      </c>
      <c r="M2016">
        <f>L2016*(1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IF(B2044=0,0,O2016/B2044)</f>
        <v/>
      </c>
      <c r="Q2016">
        <f>IFERROR(1/(IF(Inputs!$B$38="pvp",15,MAX(0.1,Skills!D7-IF(Skills!E7=TRUE,Inputs!$B$32,0)))*(1-IF(AND(ArtifactsInput!$M$27,Inputs!$B$4="Chapter Hunt"),CHOOSE(ArtifactsInput!$N$27+1,20,24,28,32,36,40),0)/100)),0)</f>
        <v/>
      </c>
      <c r="R2016">
        <f>IF(AND(Inputs!$B$38&lt;&gt;"pvp",Inputs!$B$43&gt;0),IF(MAX(0,Inputs!$B$43-B2041)&lt;=0,0,(INT(MAX(0,Inputs!$B$43-B2041)/(IF(Inputs!$B$38="pvp",15,MAX(0.1,Skills!D7-IF(Skills!E7=TRUE,Inputs!$B$32,0)))*(1-IF(AND(ArtifactsInput!$M$27,Inputs!$B$4="Chapter Hunt"),CHOOSE(ArtifactsInput!$N$27+1,20,24,28,32,36,40),0)/100)))+1)),0)</f>
        <v/>
      </c>
      <c r="S2016">
        <f>IFERROR(O2016/N2016,0)</f>
        <v/>
      </c>
      <c r="T2016">
        <f>IF(C2016,(H2016*N2016*IF(AND(Inputs!$B$38&lt;&gt;"pvp",Inputs!$B$43&gt;0),((Skills!G7*((R2016-1)*IF(Skills!H7&gt;0,Skills!I7/Skills!H7,1)+IF(Skills!H7&gt;0,MIN(Skills!I7,MAX(0,MAX(0,Inputs!$B$43-B2041)-((R2016-1)*(IF(Inputs!$B$38="pvp",15,MAX(0.1,Skills!D7-IF(Skills!E7=TRUE,Inputs!$B$32,0)))*(1-IF(AND(ArtifactsInput!$M$27,Inputs!$B$4="Chapter Hunt"),CHOOSE(ArtifactsInput!$N$27+1,20,24,28,32,36,40),0)/100)))))/Skills!H7,1)))/Inputs!$B$43),G2016*Q2016)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H2016*N2016*IF(AND(Inputs!$B$38&lt;&gt;"pvp",Inputs!$B$43&gt;0),((Skills!G7*((R2016-1)*IF(Skills!H7&gt;0,Skills!I7/Skills!H7,1)+IF(Skills!H7&gt;0,MIN(Skills!I7,MAX(0,MAX(0,Inputs!$B$43-B2041)-((R2016-1)*(IF(Inputs!$B$38="pvp",15,MAX(0.1,Skills!D7-IF(Skills!E7=TRUE,Inputs!$B$32,0)))*(1-IF(AND(ArtifactsInput!$M$27,Inputs!$B$4="Chapter Hunt"),CHOOSE(ArtifactsInput!$N$27+1,20,24,28,32,36,40),0)/100)))))/Skills!H7,1)))/Inputs!$B$43),G2016*Q2016))*IF(Inputs!$B$38="pvp",1,(1+(Inputs!$B$21+Skills!Q7+(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Skills!A8</f>
        <v/>
      </c>
      <c r="B2017">
        <f>Skills!B8</f>
        <v/>
      </c>
      <c r="C2017">
        <f>Inputs!$B$3&gt;=110</f>
        <v/>
      </c>
      <c r="D2017">
        <f>IF(Skills!C8=1,60+Inputs!$B$25+Inputs!$B$29,IF(Skills!C8=2,90+Inputs!$B$26+Inputs!$B$29,IF(Skills!C8=3,120+Inputs!$B$27+Inputs!$B$29,MAX(0,(Inputs!$B$3-100)*3)+Inputs!$B$28+Inputs!$B$29)))</f>
        <v/>
      </c>
      <c r="E2017">
        <f>INDEX(FactorTable!$B$2:$Y$301, MATCH(ROUND(MIN(300,MAX(1,D2017)),0), FactorTable!$A$2:$A$301,0), Skills!M8+1)</f>
        <v/>
      </c>
      <c r="F2017">
        <f>IF(Skills!N8=TRUE,(Skills!L8/10)*(E2017/1000),Skills!L8/10)+Skills!O8</f>
        <v/>
      </c>
      <c r="G2017">
        <f>Skills!G8*IF(Skills!H8&gt;0,Skills!I8/Skills!H8,1)</f>
        <v/>
      </c>
      <c r="H2017">
        <f>1-(1-Skills!J8/100)^Skills!K8</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2029=TRUE)*(F2029-Calc!F20)),(Inputs!$B$23+0+(IF(ArtifactsInput!$M$15,CHOOSE(ArtifactsInput!$N$15+1,25,30,35,40,45,50)/100*(Inputs!$B$11-Inputs!$B$11),0))))/100+(Inputs!$B$23+0+(IF(ArtifactsInput!$M$15,CHOOSE(ArtifactsInput!$N$15+1,25,30,35,40,45,50)/100*(Inputs!$B$11-Inputs!$B$11),0)))/100)/2</f>
        <v/>
      </c>
      <c r="M2017">
        <f>L2017*(1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7">
        <f>L2017*(1-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IF(B2044=0,0,O2017/B2044)</f>
        <v/>
      </c>
      <c r="Q2017">
        <f>IFERROR(1/(IF(Inputs!$B$38="pvp",15,MAX(0.1,Skills!D8-IF(Skills!E8=TRUE,Inputs!$B$32,0)))*(1-IF(AND(ArtifactsInput!$M$27,Inputs!$B$4="Chapter Hunt"),CHOOSE(ArtifactsInput!$N$27+1,20,24,28,32,36,40),0)/100)),0)</f>
        <v/>
      </c>
      <c r="R2017">
        <f>IF(AND(Inputs!$B$38&lt;&gt;"pvp",Inputs!$B$43&gt;0),IF(MAX(0,Inputs!$B$43-B2041)&lt;=0,0,(INT(MAX(0,Inputs!$B$43-B2041)/(IF(Inputs!$B$38="pvp",15,MAX(0.1,Skills!D8-IF(Skills!E8=TRUE,Inputs!$B$32,0)))*(1-IF(AND(ArtifactsInput!$M$27,Inputs!$B$4="Chapter Hunt"),CHOOSE(ArtifactsInput!$N$27+1,20,24,28,32,36,40),0)/100)))+1)),0)</f>
        <v/>
      </c>
      <c r="S2017">
        <f>IFERROR(O2017/N2017,0)</f>
        <v/>
      </c>
      <c r="T2017">
        <f>IF(C2017,(H2017*N2017*IF(AND(Inputs!$B$38&lt;&gt;"pvp",Inputs!$B$43&gt;0),((Skills!G8*((R2017-1)*IF(Skills!H8&gt;0,Skills!I8/Skills!H8,1)+IF(Skills!H8&gt;0,MIN(Skills!I8,MAX(0,MAX(0,Inputs!$B$43-B2041)-((R2017-1)*(IF(Inputs!$B$38="pvp",15,MAX(0.1,Skills!D8-IF(Skills!E8=TRUE,Inputs!$B$32,0)))*(1-IF(AND(ArtifactsInput!$M$27,Inputs!$B$4="Chapter Hunt"),CHOOSE(ArtifactsInput!$N$27+1,20,24,28,32,36,40),0)/100)))))/Skills!H8,1)))/Inputs!$B$43),G2017*Q2017)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8*((R2017-1)*IF(Skills!H8&gt;0,Skills!I8/Skills!H8,1)+IF(Skills!H8&gt;0,MIN(Skills!I8,MAX(0,MAX(0,Inputs!$B$43-B2041)-((R2017-1)*(IF(Inputs!$B$38="pvp",15,MAX(0.1,Skills!D8-IF(Skills!E8=TRUE,Inputs!$B$32,0)))*(1-IF(AND(ArtifactsInput!$M$27,Inputs!$B$4="Chapter Hunt"),CHOOSE(ArtifactsInput!$N$27+1,20,24,28,32,36,40),0)/100)))))/Skills!H8,1)))/Inputs!$B$43),G2017*Q2017))*IF(Inputs!$B$38="pvp",1,(1+(Inputs!$B$21+Skills!Q8+(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Skills!A9</f>
        <v/>
      </c>
      <c r="B2018">
        <f>Skills!B9</f>
        <v/>
      </c>
      <c r="C2018">
        <f>Inputs!$B$3&gt;=110</f>
        <v/>
      </c>
      <c r="D2018">
        <f>IF(Skills!C9=1,60+Inputs!$B$25+Inputs!$B$29,IF(Skills!C9=2,90+Inputs!$B$26+Inputs!$B$29,IF(Skills!C9=3,120+Inputs!$B$27+Inputs!$B$29,MAX(0,(Inputs!$B$3-100)*3)+Inputs!$B$28+Inputs!$B$29)))</f>
        <v/>
      </c>
      <c r="E2018">
        <f>INDEX(FactorTable!$B$2:$Y$301, MATCH(ROUND(MIN(300,MAX(1,D2018)),0), FactorTable!$A$2:$A$301,0), Skills!M9+1)</f>
        <v/>
      </c>
      <c r="F2018">
        <f>IF(Skills!N9=TRUE,(Skills!L9/10)*(E2018/1000),Skills!L9/10)+Skills!O9</f>
        <v/>
      </c>
      <c r="G2018">
        <f>Skills!G9*IF(Skills!H9&gt;0,Skills!I9/Skills!H9,1)</f>
        <v/>
      </c>
      <c r="H2018">
        <f>1-(1-Skills!J9/100)^Skills!K9</f>
        <v/>
      </c>
      <c r="I2018" t="inlineStr">
        <is>
          <t>1</t>
        </is>
      </c>
      <c r="J2018">
        <f>((Inputs!$B$6*(1+Inputs!$B$7/100))+(((Inputs!$B$12*(1+Inputs!$B$13/100))-(Inputs!$B$12*(1+Inputs!$B$13/100)))+0.25*(Inputs!$B$14-Inputs!$B$14))*(1+Inputs!$B$7/100))*(F2018/100)</f>
        <v/>
      </c>
      <c r="K2018">
        <f>J2018*(1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2018)</f>
        <v/>
      </c>
      <c r="L2018">
        <f>K2018*(MIN(Inputs!$B$22+((C2029=TRUE)*(F2029-Calc!F20)),(Inputs!$B$23+0+(IF(ArtifactsInput!$M$15,CHOOSE(ArtifactsInput!$N$15+1,25,30,35,40,45,50)/100*(Inputs!$B$11-Inputs!$B$11),0))))/100+(Inputs!$B$23+0+(IF(ArtifactsInput!$M$15,CHOOSE(ArtifactsInput!$N$15+1,25,30,35,40,45,50)/100*(Inputs!$B$11-Inputs!$B$11),0)))/100)/2</f>
        <v/>
      </c>
      <c r="M2018">
        <f>L2018*(1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8">
        <f>L2018*(1-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2018*(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8">
        <f>(1-Summary!$B$11)*T2018+Summary!$B$11*V2018</f>
        <v/>
      </c>
      <c r="P2018">
        <f>IF(B2044=0,0,O2018/B2044)</f>
        <v/>
      </c>
      <c r="Q2018">
        <f>IFERROR(1/(IF(Inputs!$B$38="pvp",15,MAX(0.1,Skills!D9-IF(Skills!E9=TRUE,Inputs!$B$32,0)))*(1-IF(AND(ArtifactsInput!$M$27,Inputs!$B$4="Chapter Hunt"),CHOOSE(ArtifactsInput!$N$27+1,20,24,28,32,36,40),0)/100)),0)</f>
        <v/>
      </c>
      <c r="R2018">
        <f>IF(AND(Inputs!$B$38&lt;&gt;"pvp",Inputs!$B$43&gt;0),IF(MAX(0,Inputs!$B$43-B2041)&lt;=0,0,(INT(MAX(0,Inputs!$B$43-B2041)/(IF(Inputs!$B$38="pvp",15,MAX(0.1,Skills!D9-IF(Skills!E9=TRUE,Inputs!$B$32,0)))*(1-IF(AND(ArtifactsInput!$M$27,Inputs!$B$4="Chapter Hunt"),CHOOSE(ArtifactsInput!$N$27+1,20,24,28,32,36,40),0)/100)))+1)),0)</f>
        <v/>
      </c>
      <c r="S2018">
        <f>IFERROR(O2018/N2018,0)</f>
        <v/>
      </c>
      <c r="T2018">
        <f>IF(C2018,(H2018*N2018*IF(AND(Inputs!$B$38&lt;&gt;"pvp",Inputs!$B$43&gt;0),((Skills!G9*((R2018-1)*IF(Skills!H9&gt;0,Skills!I9/Skills!H9,1)+IF(Skills!H9&gt;0,MIN(Skills!I9,MAX(0,MAX(0,Inputs!$B$43-B2041)-((R2018-1)*(IF(Inputs!$B$38="pvp",15,MAX(0.1,Skills!D9-IF(Skills!E9=TRUE,Inputs!$B$32,0)))*(1-IF(AND(ArtifactsInput!$M$27,Inputs!$B$4="Chapter Hunt"),CHOOSE(ArtifactsInput!$N$27+1,20,24,28,32,36,40),0)/100)))))/Skills!H9,1)))/Inputs!$B$43),G2018*Q2018)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2018*(1-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2018*(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2018*(1-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2018*(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8">
        <f>IF(C2018,(H2018*N2018*IF(AND(Inputs!$B$38&lt;&gt;"pvp",Inputs!$B$43&gt;0),((Skills!G9*((R2018-1)*IF(Skills!H9&gt;0,Skills!I9/Skills!H9,1)+IF(Skills!H9&gt;0,MIN(Skills!I9,MAX(0,MAX(0,Inputs!$B$43-B2041)-((R2018-1)*(IF(Inputs!$B$38="pvp",15,MAX(0.1,Skills!D9-IF(Skills!E9=TRUE,Inputs!$B$32,0)))*(1-IF(AND(ArtifactsInput!$M$27,Inputs!$B$4="Chapter Hunt"),CHOOSE(ArtifactsInput!$N$27+1,20,24,28,32,36,40),0)/100)))))/Skills!H9,1)))/Inputs!$B$43),G2018*Q2018))*IF(Inputs!$B$38="pvp",1,(1+(Inputs!$B$21+Skills!Q9+(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9">
      <c r="A2019">
        <f>Skills!A10</f>
        <v/>
      </c>
      <c r="B2019">
        <f>Skills!B10</f>
        <v/>
      </c>
      <c r="C2019">
        <f>Inputs!$B$3&gt;=103</f>
        <v/>
      </c>
      <c r="D2019">
        <f>IF(Skills!C10=1,60+Inputs!$B$25+Inputs!$B$29,IF(Skills!C10=2,90+Inputs!$B$26+Inputs!$B$29,IF(Skills!C10=3,120+Inputs!$B$27+Inputs!$B$29,MAX(0,(Inputs!$B$3-100)*3)+Inputs!$B$28+Inputs!$B$29)))</f>
        <v/>
      </c>
      <c r="E2019">
        <f>INDEX(FactorTable!$B$2:$Y$301, MATCH(ROUND(MIN(300,MAX(1,D2019)),0), FactorTable!$A$2:$A$301,0), Skills!M10+1)</f>
        <v/>
      </c>
      <c r="F2019">
        <f>IF(Skills!N10=TRUE,(Skills!L10/10)*(E2019/1000),Skills!L10/10)+Skills!O10</f>
        <v/>
      </c>
      <c r="G2019">
        <f>Skills!G10*IF(Skills!H10&gt;0,Skills!I10/Skills!H10,1)</f>
        <v/>
      </c>
      <c r="H2019">
        <f>1-(1-Skills!J10/100)^Skills!K10</f>
        <v/>
      </c>
      <c r="I2019" t="inlineStr">
        <is>
          <t>1</t>
        </is>
      </c>
      <c r="J2019">
        <f>((Inputs!$B$6*(1+Inputs!$B$7/100))+(((Inputs!$B$12*(1+Inputs!$B$13/100))-(Inputs!$B$12*(1+Inputs!$B$13/100)))+0.25*(Inputs!$B$14-Inputs!$B$14))*(1+Inputs!$B$7/100))*(F2019/100)</f>
        <v/>
      </c>
      <c r="K2019">
        <f>J2019*(1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
      </c>
      <c r="L2019">
        <f>K2019*(MIN(Inputs!$B$22+((C2029=TRUE)*(F2029-Calc!F20)),(Inputs!$B$23+0+(IF(ArtifactsInput!$M$15,CHOOSE(ArtifactsInput!$N$15+1,25,30,35,40,45,50)/100*(Inputs!$B$11-Inputs!$B$11),0))))/100+(Inputs!$B$23+0+(IF(ArtifactsInput!$M$15,CHOOSE(ArtifactsInput!$N$15+1,25,30,35,40,45,50)/100*(Inputs!$B$11-Inputs!$B$11),0)))/100)/2</f>
        <v/>
      </c>
      <c r="M2019">
        <f>L2019*(1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9">
        <f>L2019*(1-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9">
        <f>(1-Summary!$B$11)*T2019+Summary!$B$11*V2019</f>
        <v/>
      </c>
      <c r="P2019">
        <f>IF(B2044=0,0,O2019/B2044)</f>
        <v/>
      </c>
      <c r="Q2019">
        <f>IFERROR(1/(IF(Inputs!$B$38="pvp",15,MAX(0.1,Skills!D10-IF(Skills!E10=TRUE,Inputs!$B$32,0)))*(1-IF(AND(ArtifactsInput!$M$27,Inputs!$B$4="Chapter Hunt"),CHOOSE(ArtifactsInput!$N$27+1,20,24,28,32,36,40),0)/100)),0)</f>
        <v/>
      </c>
      <c r="R2019">
        <f>IF(AND(Inputs!$B$38&lt;&gt;"pvp",Inputs!$B$43&gt;0),IF(MAX(0,Inputs!$B$43-B2041)&lt;=0,0,(INT(MAX(0,Inputs!$B$43-B2041)/(IF(Inputs!$B$38="pvp",15,MAX(0.1,Skills!D10-IF(Skills!E10=TRUE,Inputs!$B$32,0)))*(1-IF(AND(ArtifactsInput!$M$27,Inputs!$B$4="Chapter Hunt"),CHOOSE(ArtifactsInput!$N$27+1,20,24,28,32,36,40),0)/100)))+1)),0)</f>
        <v/>
      </c>
      <c r="S2019">
        <f>IFERROR(O2019/N2019,0)</f>
        <v/>
      </c>
      <c r="T2019">
        <f>IF(C2019,(H2019*N2019*IF(AND(Inputs!$B$38&lt;&gt;"pvp",Inputs!$B$43&gt;0),((Skills!G10*((R2019-1)*IF(Skills!H10&gt;0,Skills!I10/Skills!H10,1)+IF(Skills!H10&gt;0,MIN(Skills!I10,MAX(0,MAX(0,Inputs!$B$43-B2041)-((R2019-1)*(IF(Inputs!$B$38="pvp",15,MAX(0.1,Skills!D10-IF(Skills!E10=TRUE,Inputs!$B$32,0)))*(1-IF(AND(ArtifactsInput!$M$27,Inputs!$B$4="Chapter Hunt"),CHOOSE(ArtifactsInput!$N$27+1,20,24,28,32,36,40),0)/100)))))/Skills!H10,1)))/Inputs!$B$43),G2019*Q2019)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2019*(1-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9">
        <f>IF(C2019,(H2019*N2019*IF(AND(Inputs!$B$38&lt;&gt;"pvp",Inputs!$B$43&gt;0),((Skills!G10*((R2019-1)*IF(Skills!H10&gt;0,Skills!I10/Skills!H10,1)+IF(Skills!H10&gt;0,MIN(Skills!I10,MAX(0,MAX(0,Inputs!$B$43-B2041)-((R2019-1)*(IF(Inputs!$B$38="pvp",15,MAX(0.1,Skills!D10-IF(Skills!E10=TRUE,Inputs!$B$32,0)))*(1-IF(AND(ArtifactsInput!$M$27,Inputs!$B$4="Chapter Hunt"),CHOOSE(ArtifactsInput!$N$27+1,20,24,28,32,36,40),0)/100)))))/Skills!H10,1)))/Inputs!$B$43),G2019*Q2019))*IF(Inputs!$B$38="pvp",1,(1+(Inputs!$B$21+Skills!Q10+(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0">
      <c r="A2020">
        <f>Skills!A11</f>
        <v/>
      </c>
      <c r="B2020">
        <f>Skills!B11</f>
        <v/>
      </c>
      <c r="C2020">
        <f>Inputs!$B$3&gt;=113</f>
        <v/>
      </c>
      <c r="D2020">
        <f>IF(Skills!C11=1,60+Inputs!$B$25+Inputs!$B$29,IF(Skills!C11=2,90+Inputs!$B$26+Inputs!$B$29,IF(Skills!C11=3,120+Inputs!$B$27+Inputs!$B$29,MAX(0,(Inputs!$B$3-100)*3)+Inputs!$B$28+Inputs!$B$29)))</f>
        <v/>
      </c>
      <c r="E2020">
        <f>INDEX(FactorTable!$B$2:$Y$301, MATCH(ROUND(MIN(300,MAX(1,D2020)),0), FactorTable!$A$2:$A$301,0), Skills!M11+1)</f>
        <v/>
      </c>
      <c r="F2020">
        <f>IF(Skills!N11=TRUE,(Skills!L11/10)*(E2020/1000),Skills!L11/10)+Skills!O11</f>
        <v/>
      </c>
      <c r="G2020">
        <f>Skills!G11*IF(Skills!H11&gt;0,Skills!I11/Skills!H11,1)</f>
        <v/>
      </c>
      <c r="H2020">
        <f>1-(1-Skills!J11/100)^Skills!K11</f>
        <v/>
      </c>
      <c r="I2020" t="inlineStr">
        <is>
          <t>1</t>
        </is>
      </c>
      <c r="J2020">
        <f>((Inputs!$B$6*(1+Inputs!$B$7/100))+(((Inputs!$B$12*(1+Inputs!$B$13/100))-(Inputs!$B$12*(1+Inputs!$B$13/100)))+0.25*(Inputs!$B$14-Inputs!$B$14))*(1+Inputs!$B$7/100))*(F2020/100)</f>
        <v/>
      </c>
      <c r="K2020">
        <f>J2020*(1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
      </c>
      <c r="L2020">
        <f>K2020*(MIN(Inputs!$B$22+((C2029=TRUE)*(F2029-Calc!F20)),(Inputs!$B$23+0+(IF(ArtifactsInput!$M$15,CHOOSE(ArtifactsInput!$N$15+1,25,30,35,40,45,50)/100*(Inputs!$B$11-Inputs!$B$11),0))))/100+(Inputs!$B$23+0+(IF(ArtifactsInput!$M$15,CHOOSE(ArtifactsInput!$N$15+1,25,30,35,40,45,50)/100*(Inputs!$B$11-Inputs!$B$11),0)))/100)/2</f>
        <v/>
      </c>
      <c r="M2020">
        <f>L2020*(1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0">
        <f>L2020*(1-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0">
        <f>(1-Summary!$B$11)*T2020+Summary!$B$11*V2020</f>
        <v/>
      </c>
      <c r="P2020">
        <f>IF(B2044=0,0,O2020/B2044)</f>
        <v/>
      </c>
      <c r="Q2020">
        <f>IFERROR(1/(IF(Inputs!$B$38="pvp",15,MAX(0.1,Skills!D11-IF(Skills!E11=TRUE,Inputs!$B$32,0)))*(1-IF(AND(ArtifactsInput!$M$27,Inputs!$B$4="Chapter Hunt"),CHOOSE(ArtifactsInput!$N$27+1,20,24,28,32,36,40),0)/100)),0)</f>
        <v/>
      </c>
      <c r="R2020">
        <f>IF(AND(Inputs!$B$38&lt;&gt;"pvp",Inputs!$B$43&gt;0),IF(MAX(0,Inputs!$B$43-B2041)&lt;=0,0,(INT(MAX(0,Inputs!$B$43-B2041)/(IF(Inputs!$B$38="pvp",15,MAX(0.1,Skills!D11-IF(Skills!E11=TRUE,Inputs!$B$32,0)))*(1-IF(AND(ArtifactsInput!$M$27,Inputs!$B$4="Chapter Hunt"),CHOOSE(ArtifactsInput!$N$27+1,20,24,28,32,36,40),0)/100)))+1)),0)</f>
        <v/>
      </c>
      <c r="S2020">
        <f>IFERROR(O2020/N2020,0)</f>
        <v/>
      </c>
      <c r="T2020">
        <f>IF(C2020,(H2020*N2020*IF(AND(Inputs!$B$38&lt;&gt;"pvp",Inputs!$B$43&gt;0),((Skills!G11*((R2020-1)*IF(Skills!H11&gt;0,Skills!I11/Skills!H11,1)+IF(Skills!H11&gt;0,MIN(Skills!I11,MAX(0,MAX(0,Inputs!$B$43-B2041)-((R2020-1)*(IF(Inputs!$B$38="pvp",15,MAX(0.1,Skills!D11-IF(Skills!E11=TRUE,Inputs!$B$32,0)))*(1-IF(AND(ArtifactsInput!$M$27,Inputs!$B$4="Chapter Hunt"),CHOOSE(ArtifactsInput!$N$27+1,20,24,28,32,36,40),0)/100)))))/Skills!H11,1)))/Inputs!$B$43),G2020*Q2020)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2020*(1-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0">
        <f>IF(C2020,(H2020*N2020*IF(AND(Inputs!$B$38&lt;&gt;"pvp",Inputs!$B$43&gt;0),((Skills!G11*((R2020-1)*IF(Skills!H11&gt;0,Skills!I11/Skills!H11,1)+IF(Skills!H11&gt;0,MIN(Skills!I11,MAX(0,MAX(0,Inputs!$B$43-B2041)-((R2020-1)*(IF(Inputs!$B$38="pvp",15,MAX(0.1,Skills!D11-IF(Skills!E11=TRUE,Inputs!$B$32,0)))*(1-IF(AND(ArtifactsInput!$M$27,Inputs!$B$4="Chapter Hunt"),CHOOSE(ArtifactsInput!$N$27+1,20,24,28,32,36,40),0)/100)))))/Skills!H11,1)))/Inputs!$B$43),G2020*Q2020))*IF(Inputs!$B$38="pvp",1,(1+(Inputs!$B$21+Skills!Q11+(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1">
      <c r="A2021">
        <f>Skills!A12</f>
        <v/>
      </c>
      <c r="B2021">
        <f>Skills!B12</f>
        <v/>
      </c>
      <c r="C2021">
        <f>Inputs!$B$3&gt;=100</f>
        <v/>
      </c>
      <c r="D2021">
        <f>IF(Skills!C12=1,60+Inputs!$B$25+Inputs!$B$29,IF(Skills!C12=2,90+Inputs!$B$26+Inputs!$B$29,IF(Skills!C12=3,120+Inputs!$B$27+Inputs!$B$29,MAX(0,(Inputs!$B$3-100)*3)+Inputs!$B$28+Inputs!$B$29)))</f>
        <v/>
      </c>
      <c r="E2021">
        <f>INDEX(FactorTable!$B$2:$Y$301, MATCH(ROUND(MIN(300,MAX(1,D2021)),0), FactorTable!$A$2:$A$301,0), Skills!M12+1)</f>
        <v/>
      </c>
      <c r="F2021">
        <f>IF(Skills!N12=TRUE,(Skills!L12/10)*(E2021/1000),Skills!L12/10)+Skills!O12</f>
        <v/>
      </c>
      <c r="G2021" t="inlineStr"/>
      <c r="H2021" t="inlineStr"/>
      <c r="I2021" t="inlineStr">
        <is>
          <t>1</t>
        </is>
      </c>
      <c r="J2021" t="inlineStr"/>
      <c r="K2021" t="inlineStr"/>
      <c r="L2021" t="inlineStr"/>
      <c r="M2021" t="inlineStr"/>
      <c r="N2021" t="inlineStr"/>
      <c r="O2021" t="inlineStr"/>
      <c r="P2021" t="inlineStr"/>
      <c r="Q2021" t="inlineStr"/>
      <c r="R2021" t="inlineStr"/>
      <c r="S2021" t="inlineStr"/>
      <c r="T2021" t="inlineStr"/>
      <c r="V2021" t="inlineStr"/>
    </row>
    <row r="2022">
      <c r="A2022">
        <f>Skills!A13</f>
        <v/>
      </c>
      <c r="B2022">
        <f>Skills!B13</f>
        <v/>
      </c>
      <c r="C2022">
        <f>Inputs!$B$3&gt;=66</f>
        <v/>
      </c>
      <c r="D2022">
        <f>IF(Skills!C13=1,60+Inputs!$B$25+Inputs!$B$29,IF(Skills!C13=2,90+Inputs!$B$26+Inputs!$B$29,IF(Skills!C13=3,120+Inputs!$B$27+Inputs!$B$29,MAX(0,(Inputs!$B$3-100)*3)+Inputs!$B$28+Inputs!$B$29)))</f>
        <v/>
      </c>
      <c r="E2022">
        <f>INDEX(FactorTable!$B$2:$Y$301, MATCH(ROUND(MIN(300,MAX(1,D2022)),0), FactorTable!$A$2:$A$301,0), Skills!M13+1)</f>
        <v/>
      </c>
      <c r="F2022">
        <f>IF(Skills!N13=TRUE,(Skills!L13/10)*(E2022/1000),Skills!L13/10)+Skills!O13</f>
        <v/>
      </c>
      <c r="G2022">
        <f>Skills!G13*IF(Skills!H13&gt;0,Skills!I13/Skills!H13,1)</f>
        <v/>
      </c>
      <c r="H2022">
        <f>1-(1-Skills!J13/100)^Skills!K13</f>
        <v/>
      </c>
      <c r="I2022" t="inlineStr">
        <is>
          <t>1</t>
        </is>
      </c>
      <c r="J2022" t="inlineStr"/>
      <c r="K2022" t="inlineStr"/>
      <c r="L2022" t="inlineStr"/>
      <c r="M2022" t="inlineStr"/>
      <c r="N2022" t="inlineStr"/>
      <c r="O2022">
        <f>(1-Summary!$B$11)*T2022+Summary!$B$11*V2022</f>
        <v/>
      </c>
      <c r="P2022">
        <f>IF(B2044=0,0,O2022/B2044)</f>
        <v/>
      </c>
      <c r="Q2022" t="n">
        <v>0</v>
      </c>
      <c r="R2022" t="n">
        <v>0</v>
      </c>
      <c r="S2022">
        <f>IFERROR(O2022/N2022,0)</f>
        <v/>
      </c>
      <c r="T2022" t="n">
        <v>0</v>
      </c>
      <c r="V2022" t="n">
        <v>0</v>
      </c>
    </row>
    <row r="2023">
      <c r="A2023">
        <f>Skills!A14</f>
        <v/>
      </c>
      <c r="B2023">
        <f>Skills!B14</f>
        <v/>
      </c>
      <c r="C2023">
        <f>Inputs!$B$3&gt;=107</f>
        <v/>
      </c>
      <c r="D2023">
        <f>IF(Skills!C14=1,60+Inputs!$B$25+Inputs!$B$29,IF(Skills!C14=2,90+Inputs!$B$26+Inputs!$B$29,IF(Skills!C14=3,120+Inputs!$B$27+Inputs!$B$29,MAX(0,(Inputs!$B$3-100)*3)+Inputs!$B$28+Inputs!$B$29)))</f>
        <v/>
      </c>
      <c r="E2023">
        <f>INDEX(FactorTable!$B$2:$Y$301, MATCH(ROUND(MIN(300,MAX(1,D2023)),0), FactorTable!$A$2:$A$301,0), Skills!M14+1)</f>
        <v/>
      </c>
      <c r="F2023">
        <f>IF(Skills!N14=TRUE,(Skills!L14/10)*(E2023/1000),Skills!L14/10)+Skills!O14</f>
        <v/>
      </c>
      <c r="G2023">
        <f>Skills!G14*IF(Skills!H14&gt;0,Skills!I14/Skills!H14,1)</f>
        <v/>
      </c>
      <c r="H2023">
        <f>1-(1-Skills!J14/100)^Skills!K14</f>
        <v/>
      </c>
      <c r="I2023" t="inlineStr">
        <is>
          <t>1</t>
        </is>
      </c>
      <c r="J2023" t="inlineStr"/>
      <c r="K2023" t="inlineStr"/>
      <c r="L2023" t="inlineStr"/>
      <c r="M2023" t="inlineStr"/>
      <c r="N2023" t="inlineStr"/>
      <c r="O2023">
        <f>(1-Summary!$B$11)*T2023+Summary!$B$11*V2023</f>
        <v/>
      </c>
      <c r="P2023">
        <f>IF(B2044=0,0,O2023/B2044)</f>
        <v/>
      </c>
      <c r="Q2023" t="n">
        <v>0</v>
      </c>
      <c r="R2023" t="n">
        <v>0</v>
      </c>
      <c r="S2023">
        <f>IFERROR(O2023/N2023,0)</f>
        <v/>
      </c>
      <c r="T2023" t="n">
        <v>0</v>
      </c>
      <c r="V2023" t="n">
        <v>0</v>
      </c>
    </row>
    <row r="2024">
      <c r="A2024">
        <f>Skills!A15</f>
        <v/>
      </c>
      <c r="B2024">
        <f>Skills!B15</f>
        <v/>
      </c>
      <c r="C2024">
        <f>Inputs!$B$3&gt;=115</f>
        <v/>
      </c>
      <c r="D2024">
        <f>IF(Skills!C15=1,60+Inputs!$B$25+Inputs!$B$29,IF(Skills!C15=2,90+Inputs!$B$26+Inputs!$B$29,IF(Skills!C15=3,120+Inputs!$B$27+Inputs!$B$29,MAX(0,(Inputs!$B$3-100)*3)+Inputs!$B$28+Inputs!$B$29)))</f>
        <v/>
      </c>
      <c r="E2024">
        <f>INDEX(FactorTable!$B$2:$Y$301, MATCH(ROUND(MIN(300,MAX(1,D2024)),0), FactorTable!$A$2:$A$301,0), Skills!M15+1)</f>
        <v/>
      </c>
      <c r="F2024">
        <f>IF(Skills!N15=TRUE,(Skills!L15/10)*(E2024/1000),Skills!L15/10)+Skills!O15</f>
        <v/>
      </c>
      <c r="G2024">
        <f>Skills!G15*IF(Skills!H15&gt;0,Skills!I15/Skills!H15,1)</f>
        <v/>
      </c>
      <c r="H2024">
        <f>1-(1-Skills!J15/100)^Skills!K15</f>
        <v/>
      </c>
      <c r="I2024" t="inlineStr">
        <is>
          <t>1</t>
        </is>
      </c>
      <c r="J2024" t="inlineStr"/>
      <c r="K2024" t="inlineStr"/>
      <c r="L2024" t="inlineStr"/>
      <c r="M2024" t="inlineStr"/>
      <c r="N2024" t="inlineStr"/>
      <c r="O2024">
        <f>(1-Summary!$B$11)*T2024+Summary!$B$11*V2024</f>
        <v/>
      </c>
      <c r="P2024">
        <f>IF(B2044=0,0,O2024/B2044)</f>
        <v/>
      </c>
      <c r="Q2024" t="n">
        <v>0</v>
      </c>
      <c r="R2024" t="n">
        <v>0</v>
      </c>
      <c r="S2024">
        <f>IFERROR(O2024/N2024,0)</f>
        <v/>
      </c>
      <c r="T2024" t="n">
        <v>0</v>
      </c>
      <c r="V2024" t="n">
        <v>0</v>
      </c>
    </row>
    <row r="2025">
      <c r="A2025">
        <f>Skills!A16</f>
        <v/>
      </c>
      <c r="B2025">
        <f>Skills!B16</f>
        <v/>
      </c>
      <c r="C2025">
        <f>Inputs!$B$3&gt;=15</f>
        <v/>
      </c>
      <c r="D2025">
        <f>IF(Skills!C16=1,60+Inputs!$B$25+Inputs!$B$29,IF(Skills!C16=2,90+Inputs!$B$26+Inputs!$B$29,IF(Skills!C16=3,120+Inputs!$B$27+Inputs!$B$29,MAX(0,(Inputs!$B$3-100)*3)+Inputs!$B$28+Inputs!$B$29)))</f>
        <v/>
      </c>
      <c r="E2025">
        <f>INDEX(FactorTable!$B$2:$Y$301, MATCH(ROUND(MIN(300,MAX(1,D2025)),0), FactorTable!$A$2:$A$301,0), Skills!M16+1)</f>
        <v/>
      </c>
      <c r="F2025">
        <f>IF(Skills!N16=TRUE,(Skills!L16/10)*(E2025/1000),Skills!L16/10)+Skills!O16</f>
        <v/>
      </c>
      <c r="G2025">
        <f>Skills!G16*IF(Skills!H16&gt;0,Skills!I16/Skills!H16,1)</f>
        <v/>
      </c>
      <c r="H2025">
        <f>1-(1-Skills!J16/100)^Skills!K16</f>
        <v/>
      </c>
      <c r="I2025" t="inlineStr">
        <is>
          <t>1</t>
        </is>
      </c>
      <c r="J2025" t="inlineStr"/>
      <c r="K2025" t="inlineStr"/>
      <c r="L2025" t="inlineStr"/>
      <c r="M2025" t="inlineStr"/>
      <c r="N2025" t="inlineStr"/>
      <c r="O2025">
        <f>(1-Summary!$B$11)*T2025+Summary!$B$11*V2025</f>
        <v/>
      </c>
      <c r="P2025">
        <f>IF(B2044=0,0,O2025/B2044)</f>
        <v/>
      </c>
      <c r="Q2025" t="n">
        <v>0</v>
      </c>
      <c r="R2025" t="n">
        <v>0</v>
      </c>
      <c r="S2025">
        <f>IFERROR(O2025/N2025,0)</f>
        <v/>
      </c>
      <c r="T2025" t="n">
        <v>0</v>
      </c>
      <c r="V2025" t="n">
        <v>0</v>
      </c>
    </row>
    <row r="2026">
      <c r="A2026">
        <f>Skills!A17</f>
        <v/>
      </c>
      <c r="B2026">
        <f>Skills!B17</f>
        <v/>
      </c>
      <c r="C2026">
        <f>Inputs!$B$3&gt;=10</f>
        <v/>
      </c>
      <c r="D2026">
        <f>IF(Skills!C17=1,60+Inputs!$B$25+Inputs!$B$29,IF(Skills!C17=2,90+Inputs!$B$26+Inputs!$B$29,IF(Skills!C17=3,120+Inputs!$B$27+Inputs!$B$29,MAX(0,(Inputs!$B$3-100)*3)+Inputs!$B$28+Inputs!$B$29)))</f>
        <v/>
      </c>
      <c r="E2026">
        <f>INDEX(FactorTable!$B$2:$Y$301, MATCH(ROUND(MIN(300,MAX(1,D2026)),0), FactorTable!$A$2:$A$301,0), Skills!M17+1)</f>
        <v/>
      </c>
      <c r="F2026">
        <f>IF(Skills!N17=TRUE,(Skills!L17/10)*(E2026/1000),Skills!L17/10)+Skills!O17</f>
        <v/>
      </c>
      <c r="G2026">
        <f>Skills!G17*IF(Skills!H17&gt;0,Skills!I17/Skills!H17,1)</f>
        <v/>
      </c>
      <c r="H2026">
        <f>1-(1-Skills!J17/100)^Skills!K17</f>
        <v/>
      </c>
      <c r="I2026" t="inlineStr">
        <is>
          <t>1</t>
        </is>
      </c>
      <c r="J2026" t="inlineStr"/>
      <c r="K2026" t="inlineStr"/>
      <c r="L2026" t="inlineStr"/>
      <c r="M2026" t="inlineStr"/>
      <c r="N2026" t="inlineStr"/>
      <c r="O2026">
        <f>(1-Summary!$B$11)*T2026+Summary!$B$11*V2026</f>
        <v/>
      </c>
      <c r="P2026">
        <f>IF(B2044=0,0,O2026/B2044)</f>
        <v/>
      </c>
      <c r="Q2026" t="n">
        <v>0</v>
      </c>
      <c r="R2026" t="n">
        <v>0</v>
      </c>
      <c r="S2026">
        <f>IFERROR(O2026/N2026,0)</f>
        <v/>
      </c>
      <c r="T2026" t="n">
        <v>0</v>
      </c>
      <c r="V2026" t="n">
        <v>0</v>
      </c>
    </row>
    <row r="2027">
      <c r="A2027">
        <f>Skills!A18</f>
        <v/>
      </c>
      <c r="B2027">
        <f>Skills!B18</f>
        <v/>
      </c>
      <c r="C2027">
        <f>Inputs!$B$3&gt;=33</f>
        <v/>
      </c>
      <c r="D2027">
        <f>IF(Skills!C18=1,60+Inputs!$B$25+Inputs!$B$29,IF(Skills!C18=2,90+Inputs!$B$26+Inputs!$B$29,IF(Skills!C18=3,120+Inputs!$B$27+Inputs!$B$29,MAX(0,(Inputs!$B$3-100)*3)+Inputs!$B$28+Inputs!$B$29)))</f>
        <v/>
      </c>
      <c r="E2027">
        <f>INDEX(FactorTable!$B$2:$Y$301, MATCH(ROUND(MIN(300,MAX(1,D2027)),0), FactorTable!$A$2:$A$301,0), Skills!M18+1)</f>
        <v/>
      </c>
      <c r="F2027">
        <f>IF(Skills!N18=TRUE,(Skills!L18/10)*(E2027/1000),Skills!L18/10)+Skills!O18</f>
        <v/>
      </c>
      <c r="G2027">
        <f>Skills!G18*IF(Skills!H18&gt;0,Skills!I18/Skills!H18,1)</f>
        <v/>
      </c>
      <c r="H2027">
        <f>1-(1-Skills!J18/100)^Skills!K18</f>
        <v/>
      </c>
      <c r="I2027" t="inlineStr">
        <is>
          <t>1</t>
        </is>
      </c>
      <c r="J2027" t="inlineStr"/>
      <c r="K2027" t="inlineStr"/>
      <c r="L2027" t="inlineStr"/>
      <c r="M2027" t="inlineStr"/>
      <c r="N2027" t="inlineStr"/>
      <c r="O2027">
        <f>(1-Summary!$B$11)*T2027+Summary!$B$11*V2027</f>
        <v/>
      </c>
      <c r="P2027">
        <f>IF(B2044=0,0,O2027/B2044)</f>
        <v/>
      </c>
      <c r="Q2027" t="n">
        <v>0</v>
      </c>
      <c r="R2027" t="n">
        <v>0</v>
      </c>
      <c r="S2027">
        <f>IFERROR(O2027/N2027,0)</f>
        <v/>
      </c>
      <c r="T2027" t="n">
        <v>0</v>
      </c>
      <c r="V2027" t="n">
        <v>0</v>
      </c>
    </row>
    <row r="2028">
      <c r="A2028">
        <f>Skills!A19</f>
        <v/>
      </c>
      <c r="B2028">
        <f>Skills!B19</f>
        <v/>
      </c>
      <c r="C2028">
        <f>Inputs!$B$3&gt;=40</f>
        <v/>
      </c>
      <c r="D2028">
        <f>IF(Skills!C19=1,60+Inputs!$B$25+Inputs!$B$29,IF(Skills!C19=2,90+Inputs!$B$26+Inputs!$B$29,IF(Skills!C19=3,120+Inputs!$B$27+Inputs!$B$29,MAX(0,(Inputs!$B$3-100)*3)+Inputs!$B$28+Inputs!$B$29)))</f>
        <v/>
      </c>
      <c r="E2028">
        <f>INDEX(FactorTable!$B$2:$Y$301, MATCH(ROUND(MIN(300,MAX(1,D2028)),0), FactorTable!$A$2:$A$301,0), Skills!M19+1)</f>
        <v/>
      </c>
      <c r="F2028">
        <f>IF(Skills!N19=TRUE,(Skills!L19/10)*(E2028/1000),Skills!L19/10)+Skills!O19</f>
        <v/>
      </c>
      <c r="G2028">
        <f>Skills!G19*IF(Skills!H19&gt;0,Skills!I19/Skills!H19,1)</f>
        <v/>
      </c>
      <c r="H2028">
        <f>1-(1-Skills!J19/100)^Skills!K19</f>
        <v/>
      </c>
      <c r="I2028" t="inlineStr">
        <is>
          <t>1</t>
        </is>
      </c>
      <c r="J2028" t="inlineStr"/>
      <c r="K2028" t="inlineStr"/>
      <c r="L2028" t="inlineStr"/>
      <c r="M2028" t="inlineStr"/>
      <c r="N2028" t="inlineStr"/>
      <c r="O2028">
        <f>(1-Summary!$B$11)*T2028+Summary!$B$11*V2028</f>
        <v/>
      </c>
      <c r="P2028">
        <f>IF(B2044=0,0,O2028/B2044)</f>
        <v/>
      </c>
      <c r="Q2028" t="n">
        <v>0</v>
      </c>
      <c r="R2028" t="n">
        <v>0</v>
      </c>
      <c r="S2028">
        <f>IFERROR(O2028/N2028,0)</f>
        <v/>
      </c>
      <c r="T2028" t="n">
        <v>0</v>
      </c>
      <c r="V2028" t="n">
        <v>0</v>
      </c>
    </row>
    <row r="2029">
      <c r="A2029">
        <f>Skills!A20</f>
        <v/>
      </c>
      <c r="B2029">
        <f>Skills!B20</f>
        <v/>
      </c>
      <c r="C2029">
        <f>Inputs!$B$3&gt;=43</f>
        <v/>
      </c>
      <c r="D2029">
        <f>IF(Skills!C20=1,60+Inputs!$B$25+Inputs!$B$29,IF(Skills!C20=2,90+Inputs!$B$26+Inputs!$B$29,IF(Skills!C20=3,120+Inputs!$B$27+Inputs!$B$29,MAX(0,(Inputs!$B$3-100)*3)+Inputs!$B$28+Inputs!$B$29)))</f>
        <v/>
      </c>
      <c r="E2029">
        <f>INDEX(FactorTable!$B$2:$Y$301, MATCH(ROUND(MIN(300,MAX(1,D2029)),0), FactorTable!$A$2:$A$301,0), Skills!M20+1)</f>
        <v/>
      </c>
      <c r="F2029">
        <f>IF(Skills!N20=TRUE,(Skills!L20/10)*(E2029/1000),Skills!L20/10)+Skills!O20</f>
        <v/>
      </c>
      <c r="G2029">
        <f>Skills!G20*IF(Skills!H20&gt;0,Skills!I20/Skills!H20,1)</f>
        <v/>
      </c>
      <c r="H2029">
        <f>1-(1-Skills!J20/100)^Skills!K20</f>
        <v/>
      </c>
      <c r="I2029" t="inlineStr">
        <is>
          <t>1</t>
        </is>
      </c>
      <c r="J2029" t="inlineStr"/>
      <c r="K2029" t="inlineStr"/>
      <c r="L2029" t="inlineStr"/>
      <c r="M2029" t="inlineStr"/>
      <c r="N2029" t="inlineStr"/>
      <c r="O2029">
        <f>(1-Summary!$B$11)*T2029+Summary!$B$11*V2029</f>
        <v/>
      </c>
      <c r="P2029">
        <f>IF(B2044=0,0,O2029/B2044)</f>
        <v/>
      </c>
      <c r="Q2029" t="n">
        <v>0</v>
      </c>
      <c r="R2029" t="n">
        <v>0</v>
      </c>
      <c r="S2029">
        <f>IFERROR(O2029/N2029,0)</f>
        <v/>
      </c>
      <c r="T2029" t="n">
        <v>0</v>
      </c>
      <c r="V2029" t="n">
        <v>0</v>
      </c>
    </row>
    <row r="2030">
      <c r="A2030">
        <f>Skills!A21</f>
        <v/>
      </c>
      <c r="B2030">
        <f>Skills!B21</f>
        <v/>
      </c>
      <c r="C2030">
        <f>Inputs!$B$3&gt;=38</f>
        <v/>
      </c>
      <c r="D2030">
        <f>IF(Skills!C21=1,60+Inputs!$B$25+Inputs!$B$29,IF(Skills!C21=2,90+Inputs!$B$26+Inputs!$B$29,IF(Skills!C21=3,120+Inputs!$B$27+Inputs!$B$29,MAX(0,(Inputs!$B$3-100)*3)+Inputs!$B$28+Inputs!$B$29)))</f>
        <v/>
      </c>
      <c r="E2030">
        <f>INDEX(FactorTable!$B$2:$Y$301, MATCH(ROUND(MIN(300,MAX(1,D2030)),0), FactorTable!$A$2:$A$301,0), Skills!M21+1)</f>
        <v/>
      </c>
      <c r="F2030">
        <f>IF(Skills!N21=TRUE,(Skills!L21/10)*(E2030/1000),Skills!L21/10)+Skills!O21</f>
        <v/>
      </c>
      <c r="G2030">
        <f>Skills!G21*IF(Skills!H21&gt;0,Skills!I21/Skills!H21,1)</f>
        <v/>
      </c>
      <c r="H2030">
        <f>1-(1-Skills!J21/100)^Skills!K21</f>
        <v/>
      </c>
      <c r="I2030" t="inlineStr">
        <is>
          <t>1</t>
        </is>
      </c>
      <c r="J2030" t="inlineStr"/>
      <c r="K2030" t="inlineStr"/>
      <c r="L2030" t="inlineStr"/>
      <c r="M2030" t="inlineStr"/>
      <c r="N2030" t="inlineStr"/>
      <c r="O2030">
        <f>(1-Summary!$B$11)*T2030+Summary!$B$11*V2030</f>
        <v/>
      </c>
      <c r="P2030">
        <f>IF(B2044=0,0,O2030/B2044)</f>
        <v/>
      </c>
      <c r="Q2030" t="n">
        <v>0</v>
      </c>
      <c r="R2030" t="n">
        <v>0</v>
      </c>
      <c r="S2030">
        <f>IFERROR(O2030/N2030,0)</f>
        <v/>
      </c>
      <c r="T2030" t="n">
        <v>0</v>
      </c>
      <c r="V2030" t="n">
        <v>0</v>
      </c>
    </row>
    <row r="2031">
      <c r="A2031">
        <f>Skills!A22</f>
        <v/>
      </c>
      <c r="B2031">
        <f>Skills!B22</f>
        <v/>
      </c>
      <c r="C2031">
        <f>Inputs!$B$3&gt;=75</f>
        <v/>
      </c>
      <c r="D2031">
        <f>IF(Skills!C22=1,60+Inputs!$B$25+Inputs!$B$29,IF(Skills!C22=2,90+Inputs!$B$26+Inputs!$B$29,IF(Skills!C22=3,120+Inputs!$B$27+Inputs!$B$29,MAX(0,(Inputs!$B$3-100)*3)+Inputs!$B$28+Inputs!$B$29)))</f>
        <v/>
      </c>
      <c r="E2031">
        <f>INDEX(FactorTable!$B$2:$Y$301, MATCH(ROUND(MIN(300,MAX(1,D2031)),0), FactorTable!$A$2:$A$301,0), Skills!M22+1)</f>
        <v/>
      </c>
      <c r="F2031">
        <f>IF(Skills!N22=TRUE,(Skills!L22/10)*(E2031/1000),Skills!L22/10)+Skills!O22</f>
        <v/>
      </c>
      <c r="G2031">
        <f>Skills!G22*IF(Skills!H22&gt;0,Skills!I22/Skills!H22,1)</f>
        <v/>
      </c>
      <c r="H2031">
        <f>1-(1-Skills!J22/100)^Skills!K22</f>
        <v/>
      </c>
      <c r="I2031" t="inlineStr">
        <is>
          <t>1</t>
        </is>
      </c>
      <c r="J2031" t="inlineStr"/>
      <c r="K2031" t="inlineStr"/>
      <c r="L2031" t="inlineStr"/>
      <c r="M2031" t="inlineStr"/>
      <c r="N2031" t="inlineStr"/>
      <c r="O2031">
        <f>(1-Summary!$B$11)*T2031+Summary!$B$11*V2031</f>
        <v/>
      </c>
      <c r="P2031">
        <f>IF(B2044=0,0,O2031/B2044)</f>
        <v/>
      </c>
      <c r="Q2031" t="n">
        <v>0</v>
      </c>
      <c r="R2031" t="n">
        <v>0</v>
      </c>
      <c r="S2031">
        <f>IFERROR(O2031/N2031,0)</f>
        <v/>
      </c>
      <c r="T2031" t="n">
        <v>0</v>
      </c>
      <c r="V2031" t="n">
        <v>0</v>
      </c>
    </row>
    <row r="2033">
      <c r="A2033" t="inlineStr">
        <is>
          <t>Attack% Bucket Multiplier</t>
        </is>
      </c>
      <c r="B2033">
        <f>(1+(((C2022=TRUE)*F2022)+((C2028=TRUE)*(F2028-Calc!F19))+(IF(ArtifactsInput!$M$21,CHOOSE(ArtifactsInput!$N$21+1,25,30,35,40,45,50)*(IF(OR(Inputs!$B$4="Chapter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4">
      <c r="A2034" t="inlineStr">
        <is>
          <t>Global Crit Rate Bonus %</t>
        </is>
      </c>
      <c r="B2034" t="n">
        <v>0</v>
      </c>
    </row>
    <row r="2035">
      <c r="A2035" t="inlineStr">
        <is>
          <t>Attack Speed Buff Bonus % (unused)</t>
        </is>
      </c>
      <c r="B2035" t="n">
        <v>0</v>
      </c>
    </row>
    <row r="2036">
      <c r="A2036" t="inlineStr">
        <is>
          <t>Actions Per Second</t>
        </is>
      </c>
      <c r="B2036">
        <f>1+MIN(150,150*(1-(1-(Inputs!$B$11+((C2026=TRUE)*(F2026-Calc!F17))+((C2027=TRUE)*(F2027-Calc!F18)))/150)*(1-B2035/150)))/100</f>
        <v/>
      </c>
    </row>
    <row r="2037">
      <c r="A2037" t="inlineStr">
        <is>
          <t>Skill + Buff Cast Rate</t>
        </is>
      </c>
      <c r="B2037">
        <f>IF(AND(Inputs!$B$38&lt;&gt;"pvp",Inputs!$B$43&gt;0),SUMPRODUCT((Skills!E2:E22=TRUE)*(C2011:C2031=TRUE)*R2011:R2031*Skills!F2:F22)/Inputs!$B$43,SUMPRODUCT((Skills!E2:E22=TRUE)*(C2011:C2031=TRUE)*Q2011:Q2031*Skills!F2:F22))</f>
        <v/>
      </c>
    </row>
    <row r="2038">
      <c r="A2038" t="inlineStr">
        <is>
          <t>Hook Bomber Casts Per Second</t>
        </is>
      </c>
      <c r="B2038">
        <f>MAX(0,B2036-B2037)</f>
        <v/>
      </c>
    </row>
    <row r="2039">
      <c r="A2039" t="inlineStr">
        <is>
          <t>Global Critical Damage Bonus % (unused)</t>
        </is>
      </c>
      <c r="B2039" t="n">
        <v>0</v>
      </c>
    </row>
    <row r="2040">
      <c r="A2040" t="inlineStr">
        <is>
          <t>Global Final Damage Bonus % (Serpent Scale + Crossbones + Time Leap + Speed Infusion)</t>
        </is>
      </c>
      <c r="B2040">
        <f>((C2014=TRUE)*F2014*((10+IF(Inputs!$B$3&gt;=94,5,0))/((10+IF(Inputs!$B$3&gt;=94,5,0))+5/(B2038*(1+IF(Inputs!$B$3&gt;=104,1,0))))))+((C2023=TRUE)*F2023)+((C2024=TRUE)*F2024)+((Inputs!$B$3&gt;=110)*20*(B2036-1))</f>
        <v/>
      </c>
    </row>
    <row r="2041">
      <c r="A2041" t="inlineStr">
        <is>
          <t>Buff-Casting Startup Delay (s, fixed-duration only)</t>
        </is>
      </c>
      <c r="B2041">
        <f>IF(AND(Inputs!$B$38&lt;&gt;"pvp",Inputs!$B$43&gt;0),SUMPRODUCT((Skills!T2:T22&gt;0)*(Skills!E2:E22=TRUE)*(C2011:C2031=TRUE))/B2036,0)</f>
        <v/>
      </c>
    </row>
    <row r="2042">
      <c r="A2042" t="inlineStr">
        <is>
          <t>Boss-Only Total DPS (this block's swept value)</t>
        </is>
      </c>
      <c r="B2042">
        <f>SUM(T2011:T2031)</f>
        <v/>
      </c>
    </row>
    <row r="2043">
      <c r="A2043" t="inlineStr">
        <is>
          <t>Normal-Only Total DPS (this block's swept value)</t>
        </is>
      </c>
      <c r="B2043">
        <f>SUM(V2011:V2031)</f>
        <v/>
      </c>
    </row>
    <row r="2044">
      <c r="A2044" s="6" t="inlineStr">
        <is>
          <t>TOTAL DPS</t>
        </is>
      </c>
      <c r="B2044" s="6">
        <f>SUM(O2011:O2031)</f>
        <v/>
      </c>
    </row>
    <row r="2047">
      <c r="A2047" s="6" t="inlineStr">
        <is>
          <t>Stat: Sayram's Necklace (Equip)</t>
        </is>
      </c>
    </row>
    <row r="2048">
      <c r="A2048" s="5" t="inlineStr">
        <is>
          <t>Key</t>
        </is>
      </c>
      <c r="B2048" s="5" t="inlineStr">
        <is>
          <t>Name</t>
        </is>
      </c>
      <c r="C2048" s="5" t="inlineStr">
        <is>
          <t>Unlocked</t>
        </is>
      </c>
      <c r="D2048" s="5" t="inlineStr">
        <is>
          <t>InputLevel</t>
        </is>
      </c>
      <c r="E2048" s="5" t="inlineStr">
        <is>
          <t>Factor</t>
        </is>
      </c>
      <c r="F2048" s="5" t="inlineStr">
        <is>
          <t>CoefficientPercent</t>
        </is>
      </c>
      <c r="G2048" s="5" t="inlineStr">
        <is>
          <t>EffectiveHits</t>
        </is>
      </c>
      <c r="H2048" s="5" t="inlineStr">
        <is>
          <t>ProcProbability</t>
        </is>
      </c>
      <c r="I2048" s="5" t="inlineStr">
        <is>
          <t>MapleHeroMultiplier</t>
        </is>
      </c>
      <c r="J2048" s="5" t="inlineStr">
        <is>
          <t>BaseDamage</t>
        </is>
      </c>
      <c r="K2048" s="5" t="inlineStr">
        <is>
          <t>BaseHitDamage</t>
        </is>
      </c>
      <c r="L2048" s="5" t="inlineStr">
        <is>
          <t>NonCritAvg</t>
        </is>
      </c>
      <c r="M2048" s="5" t="inlineStr">
        <is>
          <t>CritAvg</t>
        </is>
      </c>
      <c r="N2048" s="5" t="inlineStr">
        <is>
          <t>ExpectedDamage(perHit)</t>
        </is>
      </c>
      <c r="O2048" s="5" t="inlineStr">
        <is>
          <t>DPS</t>
        </is>
      </c>
      <c r="P2048" s="5" t="inlineStr">
        <is>
          <t>% of Total</t>
        </is>
      </c>
      <c r="Q2048" s="5" t="inlineStr">
        <is>
          <t>InvCooldown</t>
        </is>
      </c>
      <c r="R2048" s="5" t="inlineStr">
        <is>
          <t>CastsInFight</t>
        </is>
      </c>
      <c r="S2048" s="5" t="inlineStr">
        <is>
          <t>HitRate(perSec)</t>
        </is>
      </c>
      <c r="U2048" t="inlineStr">
        <is>
          <t>helpers</t>
        </is>
      </c>
    </row>
    <row r="2049">
      <c r="A2049">
        <f>Skills!A2</f>
        <v/>
      </c>
      <c r="B2049">
        <f>Skills!B2</f>
        <v/>
      </c>
      <c r="C2049">
        <f>Inputs!$B$3&gt;=100</f>
        <v/>
      </c>
      <c r="D2049" t="inlineStr"/>
      <c r="E2049" t="inlineStr"/>
      <c r="F2049">
        <f>U2051+Skills!O2</f>
        <v/>
      </c>
      <c r="G2049">
        <f>Skills!G2*IF(Skills!H2&gt;0,Skills!I2/Skills!H2,1)</f>
        <v/>
      </c>
      <c r="H2049">
        <f>1-(1-Skills!J2/100)^Skills!K2</f>
        <v/>
      </c>
      <c r="I2049" t="inlineStr">
        <is>
          <t>1</t>
        </is>
      </c>
      <c r="J2049">
        <f>((Inputs!$B$6*(1+Inputs!$B$7/100))+(((Inputs!$B$12*(1+Inputs!$B$13/100))-(Inputs!$B$12*(1+Inputs!$B$13/100)))+0.25*(Inputs!$B$14-Inputs!$B$14))*(1+Inputs!$B$7/100))*(F2049/100)</f>
        <v/>
      </c>
      <c r="K2049">
        <f>J2049*(1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2049)</f>
        <v/>
      </c>
      <c r="L2049">
        <f>K2049*(MIN(Inputs!$B$22+((C2067=TRUE)*(F2067-Calc!F20)),(Inputs!$B$23+0+(IF(ArtifactsInput!$M$15,CHOOSE(ArtifactsInput!$N$15+1,25,30,35,40,45,50)/100*(Inputs!$B$11-Inputs!$B$11),0))))/100+(Inputs!$B$23+0+(IF(ArtifactsInput!$M$15,CHOOSE(ArtifactsInput!$N$15+1,25,30,35,40,45,50)/100*(Inputs!$B$11-Inputs!$B$11),0)))/100)/2</f>
        <v/>
      </c>
      <c r="M2049">
        <f>L2049*(1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9">
        <f>L2049*(1-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2049*(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9">
        <f>(1-Summary!$B$11)*T2049+Summary!$B$11*V2049</f>
        <v/>
      </c>
      <c r="P2049">
        <f>IF(B2082=0,0,O2049/B2082)</f>
        <v/>
      </c>
      <c r="Q2049" t="n">
        <v>0</v>
      </c>
      <c r="R2049" t="n">
        <v>0</v>
      </c>
      <c r="S2049">
        <f>IFERROR(O2049/N2049,0)</f>
        <v/>
      </c>
      <c r="T2049">
        <f>IF(C2049,(Skills!G2*N2049*B2076)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2049*(1-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2049*(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2049*(1-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2049*(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9">
        <f>MAX(0,(Inputs!$B$3-100)*3)+Inputs!$B$28+Inputs!$B$29</f>
        <v/>
      </c>
      <c r="V2049">
        <f>IF(C2049,(Skills!G2*N2049*B2076)*IF(Inputs!$B$38="pvp",1,(1+(Inputs!$B$21+Skills!Q2+(IF(IF(ArtifactsInput!$M$33,FALSE,TRUE),CHOOSE(ArtifactsInput!$N$33+1,30,36,42,48,54,60),0))+(IF(AND(ArtifactsInput!$M$35,Inputs!$B$4&lt;&gt;"Chapter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0">
      <c r="A2050">
        <f>Skills!A3</f>
        <v/>
      </c>
      <c r="B2050">
        <f>Skills!B3</f>
        <v/>
      </c>
      <c r="C2050">
        <f>Inputs!$B$3&gt;=35</f>
        <v/>
      </c>
      <c r="D2050">
        <f>IF(Skills!C3=1,60+Inputs!$B$25+Inputs!$B$29,IF(Skills!C3=2,90+Inputs!$B$26+Inputs!$B$29,IF(Skills!C3=3,120+Inputs!$B$27+Inputs!$B$29,MAX(0,(Inputs!$B$3-100)*3)+Inputs!$B$28+Inputs!$B$29)))</f>
        <v/>
      </c>
      <c r="E2050">
        <f>INDEX(FactorTable!$B$2:$Y$301, MATCH(ROUND(MIN(300,MAX(1,D2050)),0), FactorTable!$A$2:$A$301,0), Skills!M3+1)</f>
        <v/>
      </c>
      <c r="F2050">
        <f>IF(Skills!N3=TRUE,(Skills!L3/10)*(E2050/1000),Skills!L3/10)+Skills!O3</f>
        <v/>
      </c>
      <c r="G2050">
        <f>Skills!G3*IF(Skills!H3&gt;0,Skills!I3/Skills!H3,1)</f>
        <v/>
      </c>
      <c r="H2050">
        <f>1-(1-Skills!J3/100)^Skills!K3</f>
        <v/>
      </c>
      <c r="I2050" t="inlineStr">
        <is>
          <t>1</t>
        </is>
      </c>
      <c r="J2050">
        <f>((Inputs!$B$6*(1+Inputs!$B$7/100))+(((Inputs!$B$12*(1+Inputs!$B$13/100))-(Inputs!$B$12*(1+Inputs!$B$13/100)))+0.25*(Inputs!$B$14-Inputs!$B$14))*(1+Inputs!$B$7/100))*(F2050/100)</f>
        <v/>
      </c>
      <c r="K2050">
        <f>J2050*(1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2050)</f>
        <v/>
      </c>
      <c r="L2050">
        <f>K2050*(MIN(Inputs!$B$22+((C2067=TRUE)*(F2067-Calc!F20)),(Inputs!$B$23+0+(IF(ArtifactsInput!$M$15,CHOOSE(ArtifactsInput!$N$15+1,25,30,35,40,45,50)/100*(Inputs!$B$11-Inputs!$B$11),0))))/100+(Inputs!$B$23+0+(IF(ArtifactsInput!$M$15,CHOOSE(ArtifactsInput!$N$15+1,25,30,35,40,45,50)/100*(Inputs!$B$11-Inputs!$B$11),0)))/100)/2</f>
        <v/>
      </c>
      <c r="M2050">
        <f>L2050*(1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IF(B2082=0,0,O2050/B2082)</f>
        <v/>
      </c>
      <c r="Q2050" t="n">
        <v>0</v>
      </c>
      <c r="R2050" t="n">
        <v>0</v>
      </c>
      <c r="S2050">
        <f>IFERROR(O2050/N2050,0)</f>
        <v/>
      </c>
      <c r="T2050">
        <f>IF(C2050,(Skills!G3*H2050*N2050*B2076)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2050*(1-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0">
        <f>INDEX(FactorTable!$B$2:$Y$301, MATCH(ROUND(MIN(300,MAX(1,U2049)),0), FactorTable!$A$2:$A$301,0), 22)</f>
        <v/>
      </c>
      <c r="V2050">
        <f>IF(C2050,(Skills!G3*H2050*N2050*B2076)*IF(Inputs!$B$38="pvp",1,(1+(Inputs!$B$21+Skills!Q3+(IF(IF(ArtifactsInput!$M$33,FALSE,TRUE),CHOOSE(ArtifactsInput!$N$33+1,30,36,42,48,54,60),0))+(IF(AND(ArtifactsInput!$M$35,Inputs!$B$4&lt;&gt;"Chapter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Skills!A4</f>
        <v/>
      </c>
      <c r="B2051">
        <f>Skills!B4</f>
        <v/>
      </c>
      <c r="C2051">
        <f>Inputs!$B$3&gt;=60</f>
        <v/>
      </c>
      <c r="D2051">
        <f>IF(Skills!C4=1,60+Inputs!$B$25+Inputs!$B$29,IF(Skills!C4=2,90+Inputs!$B$26+Inputs!$B$29,IF(Skills!C4=3,120+Inputs!$B$27+Inputs!$B$29,MAX(0,(Inputs!$B$3-100)*3)+Inputs!$B$28+Inputs!$B$29)))</f>
        <v/>
      </c>
      <c r="E2051">
        <f>INDEX(FactorTable!$B$2:$Y$301, MATCH(ROUND(MIN(300,MAX(1,D2051)),0), FactorTable!$A$2:$A$301,0), Skills!M4+1)</f>
        <v/>
      </c>
      <c r="F2051">
        <f>IF(Skills!N4=TRUE,(Skills!L4/10)*(E2051/1000),Skills!L4/10)+Skills!O4</f>
        <v/>
      </c>
      <c r="G2051">
        <f>Skills!G4*IF(Skills!H4&gt;0,Skills!I4/Skills!H4,1)</f>
        <v/>
      </c>
      <c r="H2051">
        <f>1-(1-Skills!J4/100)^Skills!K4</f>
        <v/>
      </c>
      <c r="I2051" t="inlineStr">
        <is>
          <t>1</t>
        </is>
      </c>
      <c r="J2051">
        <f>((Inputs!$B$6*(1+Inputs!$B$7/100))+(((Inputs!$B$12*(1+Inputs!$B$13/100))-(Inputs!$B$12*(1+Inputs!$B$13/100)))+0.25*(Inputs!$B$14-Inputs!$B$14))*(1+Inputs!$B$7/100))*(F2051/100)</f>
        <v/>
      </c>
      <c r="K2051">
        <f>J2051*(1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2059=TRUE,F2059,0)/100)*(1+(IF(Skills!A4="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2051)</f>
        <v/>
      </c>
      <c r="L2051">
        <f>K2051*(MIN(Inputs!$B$22+((C2067=TRUE)*(F2067-Calc!F20)),(Inputs!$B$23+0+(IF(ArtifactsInput!$M$15,CHOOSE(ArtifactsInput!$N$15+1,25,30,35,40,45,50)/100*(Inputs!$B$11-Inputs!$B$11),0))))/100+(Inputs!$B$23+0+(IF(ArtifactsInput!$M$15,CHOOSE(ArtifactsInput!$N$15+1,25,30,35,40,45,50)/100*(Inputs!$B$11-Inputs!$B$11),0)))/100)/2</f>
        <v/>
      </c>
      <c r="M2051">
        <f>L2051*(1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IF(B2082=0,0,O2051/B2082)</f>
        <v/>
      </c>
      <c r="Q2051" t="n">
        <v>0</v>
      </c>
      <c r="R2051" t="n">
        <v>0</v>
      </c>
      <c r="S2051">
        <f>IFERROR(O2051/N2051,0)</f>
        <v/>
      </c>
      <c r="T2051">
        <f>IF(C2051,(Skills!G4*H2051*N2051*B2076)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1">
        <f>290*U2050/1000</f>
        <v/>
      </c>
      <c r="V2051">
        <f>IF(C2051,(Skills!G4*H2051*N2051*B2076)*IF(Inputs!$B$38="pvp",1,(1+(Inputs!$B$21+Skills!Q4+(IF(IF(ArtifactsInput!$M$33,FALSE,TRUE),CHOOSE(ArtifactsInput!$N$33+1,30,36,42,48,54,60),0))+(IF(AND(ArtifactsInput!$M$35,Inputs!$B$4&lt;&gt;"Chapter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Skills!A5</f>
        <v/>
      </c>
      <c r="B2052">
        <f>Skills!B5</f>
        <v/>
      </c>
      <c r="C2052">
        <f>Inputs!$B$3&gt;=60</f>
        <v/>
      </c>
      <c r="D2052">
        <f>IF(Skills!C5=1,60+Inputs!$B$25+Inputs!$B$29,IF(Skills!C5=2,90+Inputs!$B$26+Inputs!$B$29,IF(Skills!C5=3,120+Inputs!$B$27+Inputs!$B$29,MAX(0,(Inputs!$B$3-100)*3)+Inputs!$B$28+Inputs!$B$29)))</f>
        <v/>
      </c>
      <c r="E2052">
        <f>INDEX(FactorTable!$B$2:$Y$301, MATCH(ROUND(MIN(300,MAX(1,D2052)),0), FactorTable!$A$2:$A$301,0), Skills!M5+1)</f>
        <v/>
      </c>
      <c r="F2052">
        <f>IF(Skills!N5=TRUE,(Skills!L5/10)*(E2052/1000),Skills!L5/10)+Skills!O5</f>
        <v/>
      </c>
      <c r="G2052">
        <f>Skills!G5*IF(Skills!H5&gt;0,Skills!I5/Skills!H5,1)</f>
        <v/>
      </c>
      <c r="H2052">
        <f>1-(1-Skills!J5/100)^Skills!K5</f>
        <v/>
      </c>
      <c r="I2052" t="inlineStr">
        <is>
          <t>1</t>
        </is>
      </c>
      <c r="J2052" t="inlineStr"/>
      <c r="K2052" t="inlineStr"/>
      <c r="L2052" t="inlineStr"/>
      <c r="M2052" t="inlineStr"/>
      <c r="N2052" t="inlineStr"/>
      <c r="O2052">
        <f>(1-Summary!$B$11)*T2052+Summary!$B$11*V2052</f>
        <v/>
      </c>
      <c r="P2052">
        <f>IF(B2082=0,0,O2052/B2082)</f>
        <v/>
      </c>
      <c r="Q2052" t="n">
        <v>0</v>
      </c>
      <c r="R2052" t="n">
        <v>0</v>
      </c>
      <c r="S2052">
        <f>IFERROR(O2052/N2052,0)</f>
        <v/>
      </c>
      <c r="T2052" t="n">
        <v>0</v>
      </c>
      <c r="V2052" t="n">
        <v>0</v>
      </c>
    </row>
    <row r="2053">
      <c r="A2053">
        <f>Skills!A6</f>
        <v/>
      </c>
      <c r="B2053">
        <f>Skills!B6</f>
        <v/>
      </c>
      <c r="C2053">
        <f>Inputs!$B$3&gt;=63</f>
        <v/>
      </c>
      <c r="D2053">
        <f>IF(Skills!C6=1,60+Inputs!$B$25+Inputs!$B$29,IF(Skills!C6=2,90+Inputs!$B$26+Inputs!$B$29,IF(Skills!C6=3,120+Inputs!$B$27+Inputs!$B$29,MAX(0,(Inputs!$B$3-100)*3)+Inputs!$B$28+Inputs!$B$29)))</f>
        <v/>
      </c>
      <c r="E2053">
        <f>INDEX(FactorTable!$B$2:$Y$301, MATCH(ROUND(MIN(300,MAX(1,D2053)),0), FactorTable!$A$2:$A$301,0), Skills!M6+1)</f>
        <v/>
      </c>
      <c r="F2053">
        <f>IF(Skills!N6=TRUE,(Skills!L6/10)*(E2053/1000),Skills!L6/10)+Skills!O6</f>
        <v/>
      </c>
      <c r="G2053">
        <f>Skills!G6*IF(Skills!H6&gt;0,Skills!I6/Skills!H6,1)</f>
        <v/>
      </c>
      <c r="H2053">
        <f>1-(1-Skills!J6/100)^Skills!K6</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2067=TRUE)*(F2067-Calc!F20)),(Inputs!$B$23+0+(IF(ArtifactsInput!$M$15,CHOOSE(ArtifactsInput!$N$15+1,25,30,35,40,45,50)/100*(Inputs!$B$11-Inputs!$B$11),0))))/100+(Inputs!$B$23+0+(IF(ArtifactsInput!$M$15,CHOOSE(ArtifactsInput!$N$15+1,25,30,35,40,45,50)/100*(Inputs!$B$11-Inputs!$B$11),0)))/100)/2</f>
        <v/>
      </c>
      <c r="M2053">
        <f>L2053*(1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IF(B2082=0,0,O2053/B2082)</f>
        <v/>
      </c>
      <c r="Q2053">
        <f>IFERROR(1/(IF(Inputs!$B$38="pvp",15,MAX(0.1,Skills!D6-IF(Skills!E6=TRUE,Inputs!$B$32,0)))*(1-IF(AND(ArtifactsInput!$M$27,Inputs!$B$4="Chapter Hunt"),CHOOSE(ArtifactsInput!$N$27+1,20,24,28,32,36,40),0)/100)),0)</f>
        <v/>
      </c>
      <c r="R2053">
        <f>IF(AND(Inputs!$B$38&lt;&gt;"pvp",Inputs!$B$43&gt;0),IF(MAX(0,Inputs!$B$43-B2079)&lt;=0,0,(INT(MAX(0,Inputs!$B$43-B2079)/(IF(Inputs!$B$38="pvp",15,MAX(0.1,Skills!D6-IF(Skills!E6=TRUE,Inputs!$B$32,0)))*(1-IF(AND(ArtifactsInput!$M$27,Inputs!$B$4="Chapter Hunt"),CHOOSE(ArtifactsInput!$N$27+1,20,24,28,32,36,40),0)/100)))+1)),0)</f>
        <v/>
      </c>
      <c r="S2053">
        <f>IFERROR(O2053/N2053,0)</f>
        <v/>
      </c>
      <c r="T2053">
        <f>IF(C2053,(H2053*N2053*IF(AND(Inputs!$B$38&lt;&gt;"pvp",Inputs!$B$43&gt;0),((Skills!G6*((R2053-1)*IF(Skills!H6&gt;0,Skills!I6/Skills!H6,1)+IF(Skills!H6&gt;0,MIN(Skills!I6,MAX(0,MAX(0,Inputs!$B$43-B2079)-((R2053-1)*(IF(Inputs!$B$38="pvp",15,MAX(0.1,Skills!D6-IF(Skills!E6=TRUE,Inputs!$B$32,0)))*(1-IF(AND(ArtifactsInput!$M$27,Inputs!$B$4="Chapter Hunt"),CHOOSE(ArtifactsInput!$N$27+1,20,24,28,32,36,40),0)/100)))))/Skills!H6,1)))/Inputs!$B$43),G2053*Q2053)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6*((R2053-1)*IF(Skills!H6&gt;0,Skills!I6/Skills!H6,1)+IF(Skills!H6&gt;0,MIN(Skills!I6,MAX(0,MAX(0,Inputs!$B$43-B2079)-((R2053-1)*(IF(Inputs!$B$38="pvp",15,MAX(0.1,Skills!D6-IF(Skills!E6=TRUE,Inputs!$B$32,0)))*(1-IF(AND(ArtifactsInput!$M$27,Inputs!$B$4="Chapter Hunt"),CHOOSE(ArtifactsInput!$N$27+1,20,24,28,32,36,40),0)/100)))))/Skills!H6,1)))/Inputs!$B$43),G2053*Q2053))*IF(Inputs!$B$38="pvp",1,(1+(Inputs!$B$21+Skills!Q6+(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Skills!A7</f>
        <v/>
      </c>
      <c r="B2054">
        <f>Skills!B7</f>
        <v/>
      </c>
      <c r="C2054">
        <f>Inputs!$B$3&gt;=100</f>
        <v/>
      </c>
      <c r="D2054">
        <f>IF(Skills!C7=1,60+Inputs!$B$25+Inputs!$B$29,IF(Skills!C7=2,90+Inputs!$B$26+Inputs!$B$29,IF(Skills!C7=3,120+Inputs!$B$27+Inputs!$B$29,MAX(0,(Inputs!$B$3-100)*3)+Inputs!$B$28+Inputs!$B$29)))</f>
        <v/>
      </c>
      <c r="E2054">
        <f>INDEX(FactorTable!$B$2:$Y$301, MATCH(ROUND(MIN(300,MAX(1,D2054)),0), FactorTable!$A$2:$A$301,0), Skills!M7+1)</f>
        <v/>
      </c>
      <c r="F2054">
        <f>IF(Skills!N7=TRUE,(Skills!L7/10)*(E2054/1000),Skills!L7/10)+Skills!O7</f>
        <v/>
      </c>
      <c r="G2054">
        <f>Skills!G7*IF(Skills!H7&gt;0,Skills!I7/Skills!H7,1)</f>
        <v/>
      </c>
      <c r="H2054">
        <f>1-(1-Skills!J7/100)^Skills!K7</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2067=TRUE)*(F2067-Calc!F20)),(Inputs!$B$23+0+(IF(ArtifactsInput!$M$15,CHOOSE(ArtifactsInput!$N$15+1,25,30,35,40,45,50)/100*(Inputs!$B$11-Inputs!$B$11),0))))/100+(Inputs!$B$23+0+(IF(ArtifactsInput!$M$15,CHOOSE(ArtifactsInput!$N$15+1,25,30,35,40,45,50)/100*(Inputs!$B$11-Inputs!$B$11),0)))/100)/2</f>
        <v/>
      </c>
      <c r="M2054">
        <f>L2054*(1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IF(B2082=0,0,O2054/B2082)</f>
        <v/>
      </c>
      <c r="Q2054">
        <f>IFERROR(1/(IF(Inputs!$B$38="pvp",15,MAX(0.1,Skills!D7-IF(Skills!E7=TRUE,Inputs!$B$32,0)))*(1-IF(AND(ArtifactsInput!$M$27,Inputs!$B$4="Chapter Hunt"),CHOOSE(ArtifactsInput!$N$27+1,20,24,28,32,36,40),0)/100)),0)</f>
        <v/>
      </c>
      <c r="R2054">
        <f>IF(AND(Inputs!$B$38&lt;&gt;"pvp",Inputs!$B$43&gt;0),IF(MAX(0,Inputs!$B$43-B2079)&lt;=0,0,(INT(MAX(0,Inputs!$B$43-B2079)/(IF(Inputs!$B$38="pvp",15,MAX(0.1,Skills!D7-IF(Skills!E7=TRUE,Inputs!$B$32,0)))*(1-IF(AND(ArtifactsInput!$M$27,Inputs!$B$4="Chapter Hunt"),CHOOSE(ArtifactsInput!$N$27+1,20,24,28,32,36,40),0)/100)))+1)),0)</f>
        <v/>
      </c>
      <c r="S2054">
        <f>IFERROR(O2054/N2054,0)</f>
        <v/>
      </c>
      <c r="T2054">
        <f>IF(C2054,(H2054*N2054*IF(AND(Inputs!$B$38&lt;&gt;"pvp",Inputs!$B$43&gt;0),((Skills!G7*((R2054-1)*IF(Skills!H7&gt;0,Skills!I7/Skills!H7,1)+IF(Skills!H7&gt;0,MIN(Skills!I7,MAX(0,MAX(0,Inputs!$B$43-B2079)-((R2054-1)*(IF(Inputs!$B$38="pvp",15,MAX(0.1,Skills!D7-IF(Skills!E7=TRUE,Inputs!$B$32,0)))*(1-IF(AND(ArtifactsInput!$M$27,Inputs!$B$4="Chapter Hunt"),CHOOSE(ArtifactsInput!$N$27+1,20,24,28,32,36,40),0)/100)))))/Skills!H7,1)))/Inputs!$B$43),G2054*Q2054)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7*((R2054-1)*IF(Skills!H7&gt;0,Skills!I7/Skills!H7,1)+IF(Skills!H7&gt;0,MIN(Skills!I7,MAX(0,MAX(0,Inputs!$B$43-B2079)-((R2054-1)*(IF(Inputs!$B$38="pvp",15,MAX(0.1,Skills!D7-IF(Skills!E7=TRUE,Inputs!$B$32,0)))*(1-IF(AND(ArtifactsInput!$M$27,Inputs!$B$4="Chapter Hunt"),CHOOSE(ArtifactsInput!$N$27+1,20,24,28,32,36,40),0)/100)))))/Skills!H7,1)))/Inputs!$B$43),G2054*Q2054))*IF(Inputs!$B$38="pvp",1,(1+(Inputs!$B$21+Skills!Q7+(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Skills!A8</f>
        <v/>
      </c>
      <c r="B2055">
        <f>Skills!B8</f>
        <v/>
      </c>
      <c r="C2055">
        <f>Inputs!$B$3&gt;=110</f>
        <v/>
      </c>
      <c r="D2055">
        <f>IF(Skills!C8=1,60+Inputs!$B$25+Inputs!$B$29,IF(Skills!C8=2,90+Inputs!$B$26+Inputs!$B$29,IF(Skills!C8=3,120+Inputs!$B$27+Inputs!$B$29,MAX(0,(Inputs!$B$3-100)*3)+Inputs!$B$28+Inputs!$B$29)))</f>
        <v/>
      </c>
      <c r="E2055">
        <f>INDEX(FactorTable!$B$2:$Y$301, MATCH(ROUND(MIN(300,MAX(1,D2055)),0), FactorTable!$A$2:$A$301,0), Skills!M8+1)</f>
        <v/>
      </c>
      <c r="F2055">
        <f>IF(Skills!N8=TRUE,(Skills!L8/10)*(E2055/1000),Skills!L8/10)+Skills!O8</f>
        <v/>
      </c>
      <c r="G2055">
        <f>Skills!G8*IF(Skills!H8&gt;0,Skills!I8/Skills!H8,1)</f>
        <v/>
      </c>
      <c r="H2055">
        <f>1-(1-Skills!J8/100)^Skills!K8</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2067=TRUE)*(F2067-Calc!F20)),(Inputs!$B$23+0+(IF(ArtifactsInput!$M$15,CHOOSE(ArtifactsInput!$N$15+1,25,30,35,40,45,50)/100*(Inputs!$B$11-Inputs!$B$11),0))))/100+(Inputs!$B$23+0+(IF(ArtifactsInput!$M$15,CHOOSE(ArtifactsInput!$N$15+1,25,30,35,40,45,50)/100*(Inputs!$B$11-Inputs!$B$11),0)))/100)/2</f>
        <v/>
      </c>
      <c r="M2055">
        <f>L2055*(1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IF(B2082=0,0,O2055/B2082)</f>
        <v/>
      </c>
      <c r="Q2055">
        <f>IFERROR(1/(IF(Inputs!$B$38="pvp",15,MAX(0.1,Skills!D8-IF(Skills!E8=TRUE,Inputs!$B$32,0)))*(1-IF(AND(ArtifactsInput!$M$27,Inputs!$B$4="Chapter Hunt"),CHOOSE(ArtifactsInput!$N$27+1,20,24,28,32,36,40),0)/100)),0)</f>
        <v/>
      </c>
      <c r="R2055">
        <f>IF(AND(Inputs!$B$38&lt;&gt;"pvp",Inputs!$B$43&gt;0),IF(MAX(0,Inputs!$B$43-B2079)&lt;=0,0,(INT(MAX(0,Inputs!$B$43-B2079)/(IF(Inputs!$B$38="pvp",15,MAX(0.1,Skills!D8-IF(Skills!E8=TRUE,Inputs!$B$32,0)))*(1-IF(AND(ArtifactsInput!$M$27,Inputs!$B$4="Chapter Hunt"),CHOOSE(ArtifactsInput!$N$27+1,20,24,28,32,36,40),0)/100)))+1)),0)</f>
        <v/>
      </c>
      <c r="S2055">
        <f>IFERROR(O2055/N2055,0)</f>
        <v/>
      </c>
      <c r="T2055">
        <f>IF(C2055,(H2055*N2055*IF(AND(Inputs!$B$38&lt;&gt;"pvp",Inputs!$B$43&gt;0),((Skills!G8*((R2055-1)*IF(Skills!H8&gt;0,Skills!I8/Skills!H8,1)+IF(Skills!H8&gt;0,MIN(Skills!I8,MAX(0,MAX(0,Inputs!$B$43-B2079)-((R2055-1)*(IF(Inputs!$B$38="pvp",15,MAX(0.1,Skills!D8-IF(Skills!E8=TRUE,Inputs!$B$32,0)))*(1-IF(AND(ArtifactsInput!$M$27,Inputs!$B$4="Chapter Hunt"),CHOOSE(ArtifactsInput!$N$27+1,20,24,28,32,36,40),0)/100)))))/Skills!H8,1)))/Inputs!$B$43),G2055*Q2055)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8*((R2055-1)*IF(Skills!H8&gt;0,Skills!I8/Skills!H8,1)+IF(Skills!H8&gt;0,MIN(Skills!I8,MAX(0,MAX(0,Inputs!$B$43-B2079)-((R2055-1)*(IF(Inputs!$B$38="pvp",15,MAX(0.1,Skills!D8-IF(Skills!E8=TRUE,Inputs!$B$32,0)))*(1-IF(AND(ArtifactsInput!$M$27,Inputs!$B$4="Chapter Hunt"),CHOOSE(ArtifactsInput!$N$27+1,20,24,28,32,36,40),0)/100)))))/Skills!H8,1)))/Inputs!$B$43),G2055*Q2055))*IF(Inputs!$B$38="pvp",1,(1+(Inputs!$B$21+Skills!Q8+(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Skills!A9</f>
        <v/>
      </c>
      <c r="B2056">
        <f>Skills!B9</f>
        <v/>
      </c>
      <c r="C2056">
        <f>Inputs!$B$3&gt;=110</f>
        <v/>
      </c>
      <c r="D2056">
        <f>IF(Skills!C9=1,60+Inputs!$B$25+Inputs!$B$29,IF(Skills!C9=2,90+Inputs!$B$26+Inputs!$B$29,IF(Skills!C9=3,120+Inputs!$B$27+Inputs!$B$29,MAX(0,(Inputs!$B$3-100)*3)+Inputs!$B$28+Inputs!$B$29)))</f>
        <v/>
      </c>
      <c r="E2056">
        <f>INDEX(FactorTable!$B$2:$Y$301, MATCH(ROUND(MIN(300,MAX(1,D2056)),0), FactorTable!$A$2:$A$301,0), Skills!M9+1)</f>
        <v/>
      </c>
      <c r="F2056">
        <f>IF(Skills!N9=TRUE,(Skills!L9/10)*(E2056/1000),Skills!L9/10)+Skills!O9</f>
        <v/>
      </c>
      <c r="G2056">
        <f>Skills!G9*IF(Skills!H9&gt;0,Skills!I9/Skills!H9,1)</f>
        <v/>
      </c>
      <c r="H2056">
        <f>1-(1-Skills!J9/100)^Skills!K9</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2067=TRUE)*(F2067-Calc!F20)),(Inputs!$B$23+0+(IF(ArtifactsInput!$M$15,CHOOSE(ArtifactsInput!$N$15+1,25,30,35,40,45,50)/100*(Inputs!$B$11-Inputs!$B$11),0))))/100+(Inputs!$B$23+0+(IF(ArtifactsInput!$M$15,CHOOSE(ArtifactsInput!$N$15+1,25,30,35,40,45,50)/100*(Inputs!$B$11-Inputs!$B$11),0)))/100)/2</f>
        <v/>
      </c>
      <c r="M2056">
        <f>L2056*(1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IF(B2082=0,0,O2056/B2082)</f>
        <v/>
      </c>
      <c r="Q2056">
        <f>IFERROR(1/(IF(Inputs!$B$38="pvp",15,MAX(0.1,Skills!D9-IF(Skills!E9=TRUE,Inputs!$B$32,0)))*(1-IF(AND(ArtifactsInput!$M$27,Inputs!$B$4="Chapter Hunt"),CHOOSE(ArtifactsInput!$N$27+1,20,24,28,32,36,40),0)/100)),0)</f>
        <v/>
      </c>
      <c r="R2056">
        <f>IF(AND(Inputs!$B$38&lt;&gt;"pvp",Inputs!$B$43&gt;0),IF(MAX(0,Inputs!$B$43-B2079)&lt;=0,0,(INT(MAX(0,Inputs!$B$43-B2079)/(IF(Inputs!$B$38="pvp",15,MAX(0.1,Skills!D9-IF(Skills!E9=TRUE,Inputs!$B$32,0)))*(1-IF(AND(ArtifactsInput!$M$27,Inputs!$B$4="Chapter Hunt"),CHOOSE(ArtifactsInput!$N$27+1,20,24,28,32,36,40),0)/100)))+1)),0)</f>
        <v/>
      </c>
      <c r="S2056">
        <f>IFERROR(O2056/N2056,0)</f>
        <v/>
      </c>
      <c r="T2056">
        <f>IF(C2056,(H2056*N2056*IF(AND(Inputs!$B$38&lt;&gt;"pvp",Inputs!$B$43&gt;0),((Skills!G9*((R2056-1)*IF(Skills!H9&gt;0,Skills!I9/Skills!H9,1)+IF(Skills!H9&gt;0,MIN(Skills!I9,MAX(0,MAX(0,Inputs!$B$43-B2079)-((R2056-1)*(IF(Inputs!$B$38="pvp",15,MAX(0.1,Skills!D9-IF(Skills!E9=TRUE,Inputs!$B$32,0)))*(1-IF(AND(ArtifactsInput!$M$27,Inputs!$B$4="Chapter Hunt"),CHOOSE(ArtifactsInput!$N$27+1,20,24,28,32,36,40),0)/100)))))/Skills!H9,1)))/Inputs!$B$43),G2056*Q2056)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9*((R2056-1)*IF(Skills!H9&gt;0,Skills!I9/Skills!H9,1)+IF(Skills!H9&gt;0,MIN(Skills!I9,MAX(0,MAX(0,Inputs!$B$43-B2079)-((R2056-1)*(IF(Inputs!$B$38="pvp",15,MAX(0.1,Skills!D9-IF(Skills!E9=TRUE,Inputs!$B$32,0)))*(1-IF(AND(ArtifactsInput!$M$27,Inputs!$B$4="Chapter Hunt"),CHOOSE(ArtifactsInput!$N$27+1,20,24,28,32,36,40),0)/100)))))/Skills!H9,1)))/Inputs!$B$43),G2056*Q2056))*IF(Inputs!$B$38="pvp",1,(1+(Inputs!$B$21+Skills!Q9+(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Skills!A10</f>
        <v/>
      </c>
      <c r="B2057">
        <f>Skills!B10</f>
        <v/>
      </c>
      <c r="C2057">
        <f>Inputs!$B$3&gt;=103</f>
        <v/>
      </c>
      <c r="D2057">
        <f>IF(Skills!C10=1,60+Inputs!$B$25+Inputs!$B$29,IF(Skills!C10=2,90+Inputs!$B$26+Inputs!$B$29,IF(Skills!C10=3,120+Inputs!$B$27+Inputs!$B$29,MAX(0,(Inputs!$B$3-100)*3)+Inputs!$B$28+Inputs!$B$29)))</f>
        <v/>
      </c>
      <c r="E2057">
        <f>INDEX(FactorTable!$B$2:$Y$301, MATCH(ROUND(MIN(300,MAX(1,D2057)),0), FactorTable!$A$2:$A$301,0), Skills!M10+1)</f>
        <v/>
      </c>
      <c r="F2057">
        <f>IF(Skills!N10=TRUE,(Skills!L10/10)*(E2057/1000),Skills!L10/10)+Skills!O10</f>
        <v/>
      </c>
      <c r="G2057">
        <f>Skills!G10*IF(Skills!H10&gt;0,Skills!I10/Skills!H10,1)</f>
        <v/>
      </c>
      <c r="H2057">
        <f>1-(1-Skills!J10/100)^Skills!K10</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2067=TRUE)*(F2067-Calc!F20)),(Inputs!$B$23+0+(IF(ArtifactsInput!$M$15,CHOOSE(ArtifactsInput!$N$15+1,25,30,35,40,45,50)/100*(Inputs!$B$11-Inputs!$B$11),0))))/100+(Inputs!$B$23+0+(IF(ArtifactsInput!$M$15,CHOOSE(ArtifactsInput!$N$15+1,25,30,35,40,45,50)/100*(Inputs!$B$11-Inputs!$B$11),0)))/100)/2</f>
        <v/>
      </c>
      <c r="M2057">
        <f>L2057*(1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IF(B2082=0,0,O2057/B2082)</f>
        <v/>
      </c>
      <c r="Q2057">
        <f>IFERROR(1/(IF(Inputs!$B$38="pvp",15,MAX(0.1,Skills!D10-IF(Skills!E10=TRUE,Inputs!$B$32,0)))*(1-IF(AND(ArtifactsInput!$M$27,Inputs!$B$4="Chapter Hunt"),CHOOSE(ArtifactsInput!$N$27+1,20,24,28,32,36,40),0)/100)),0)</f>
        <v/>
      </c>
      <c r="R2057">
        <f>IF(AND(Inputs!$B$38&lt;&gt;"pvp",Inputs!$B$43&gt;0),IF(MAX(0,Inputs!$B$43-B2079)&lt;=0,0,(INT(MAX(0,Inputs!$B$43-B2079)/(IF(Inputs!$B$38="pvp",15,MAX(0.1,Skills!D10-IF(Skills!E10=TRUE,Inputs!$B$32,0)))*(1-IF(AND(ArtifactsInput!$M$27,Inputs!$B$4="Chapter Hunt"),CHOOSE(ArtifactsInput!$N$27+1,20,24,28,32,36,40),0)/100)))+1)),0)</f>
        <v/>
      </c>
      <c r="S2057">
        <f>IFERROR(O2057/N2057,0)</f>
        <v/>
      </c>
      <c r="T2057">
        <f>IF(C2057,(H2057*N2057*IF(AND(Inputs!$B$38&lt;&gt;"pvp",Inputs!$B$43&gt;0),((Skills!G10*((R2057-1)*IF(Skills!H10&gt;0,Skills!I10/Skills!H10,1)+IF(Skills!H10&gt;0,MIN(Skills!I10,MAX(0,MAX(0,Inputs!$B$43-B2079)-((R2057-1)*(IF(Inputs!$B$38="pvp",15,MAX(0.1,Skills!D10-IF(Skills!E10=TRUE,Inputs!$B$32,0)))*(1-IF(AND(ArtifactsInput!$M$27,Inputs!$B$4="Chapter Hunt"),CHOOSE(ArtifactsInput!$N$27+1,20,24,28,32,36,40),0)/100)))))/Skills!H10,1)))/Inputs!$B$43),G2057*Q2057)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10*((R2057-1)*IF(Skills!H10&gt;0,Skills!I10/Skills!H10,1)+IF(Skills!H10&gt;0,MIN(Skills!I10,MAX(0,MAX(0,Inputs!$B$43-B2079)-((R2057-1)*(IF(Inputs!$B$38="pvp",15,MAX(0.1,Skills!D10-IF(Skills!E10=TRUE,Inputs!$B$32,0)))*(1-IF(AND(ArtifactsInput!$M$27,Inputs!$B$4="Chapter Hunt"),CHOOSE(ArtifactsInput!$N$27+1,20,24,28,32,36,40),0)/100)))))/Skills!H10,1)))/Inputs!$B$43),G2057*Q2057))*IF(Inputs!$B$38="pvp",1,(1+(Inputs!$B$21+Skills!Q10+(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Skills!A11</f>
        <v/>
      </c>
      <c r="B2058">
        <f>Skills!B11</f>
        <v/>
      </c>
      <c r="C2058">
        <f>Inputs!$B$3&gt;=113</f>
        <v/>
      </c>
      <c r="D2058">
        <f>IF(Skills!C11=1,60+Inputs!$B$25+Inputs!$B$29,IF(Skills!C11=2,90+Inputs!$B$26+Inputs!$B$29,IF(Skills!C11=3,120+Inputs!$B$27+Inputs!$B$29,MAX(0,(Inputs!$B$3-100)*3)+Inputs!$B$28+Inputs!$B$29)))</f>
        <v/>
      </c>
      <c r="E2058">
        <f>INDEX(FactorTable!$B$2:$Y$301, MATCH(ROUND(MIN(300,MAX(1,D2058)),0), FactorTable!$A$2:$A$301,0), Skills!M11+1)</f>
        <v/>
      </c>
      <c r="F2058">
        <f>IF(Skills!N11=TRUE,(Skills!L11/10)*(E2058/1000),Skills!L11/10)+Skills!O11</f>
        <v/>
      </c>
      <c r="G2058">
        <f>Skills!G11*IF(Skills!H11&gt;0,Skills!I11/Skills!H11,1)</f>
        <v/>
      </c>
      <c r="H2058">
        <f>1-(1-Skills!J11/100)^Skills!K11</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2067=TRUE)*(F2067-Calc!F20)),(Inputs!$B$23+0+(IF(ArtifactsInput!$M$15,CHOOSE(ArtifactsInput!$N$15+1,25,30,35,40,45,50)/100*(Inputs!$B$11-Inputs!$B$11),0))))/100+(Inputs!$B$23+0+(IF(ArtifactsInput!$M$15,CHOOSE(ArtifactsInput!$N$15+1,25,30,35,40,45,50)/100*(Inputs!$B$11-Inputs!$B$11),0)))/100)/2</f>
        <v/>
      </c>
      <c r="M2058">
        <f>L2058*(1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IF(B2082=0,0,O2058/B2082)</f>
        <v/>
      </c>
      <c r="Q2058">
        <f>IFERROR(1/(IF(Inputs!$B$38="pvp",15,MAX(0.1,Skills!D11-IF(Skills!E11=TRUE,Inputs!$B$32,0)))*(1-IF(AND(ArtifactsInput!$M$27,Inputs!$B$4="Chapter Hunt"),CHOOSE(ArtifactsInput!$N$27+1,20,24,28,32,36,40),0)/100)),0)</f>
        <v/>
      </c>
      <c r="R2058">
        <f>IF(AND(Inputs!$B$38&lt;&gt;"pvp",Inputs!$B$43&gt;0),IF(MAX(0,Inputs!$B$43-B2079)&lt;=0,0,(INT(MAX(0,Inputs!$B$43-B2079)/(IF(Inputs!$B$38="pvp",15,MAX(0.1,Skills!D11-IF(Skills!E11=TRUE,Inputs!$B$32,0)))*(1-IF(AND(ArtifactsInput!$M$27,Inputs!$B$4="Chapter Hunt"),CHOOSE(ArtifactsInput!$N$27+1,20,24,28,32,36,40),0)/100)))+1)),0)</f>
        <v/>
      </c>
      <c r="S2058">
        <f>IFERROR(O2058/N2058,0)</f>
        <v/>
      </c>
      <c r="T2058">
        <f>IF(C2058,(H2058*N2058*IF(AND(Inputs!$B$38&lt;&gt;"pvp",Inputs!$B$43&gt;0),((Skills!G11*((R2058-1)*IF(Skills!H11&gt;0,Skills!I11/Skills!H11,1)+IF(Skills!H11&gt;0,MIN(Skills!I11,MAX(0,MAX(0,Inputs!$B$43-B2079)-((R2058-1)*(IF(Inputs!$B$38="pvp",15,MAX(0.1,Skills!D11-IF(Skills!E11=TRUE,Inputs!$B$32,0)))*(1-IF(AND(ArtifactsInput!$M$27,Inputs!$B$4="Chapter Hunt"),CHOOSE(ArtifactsInput!$N$27+1,20,24,28,32,36,40),0)/100)))))/Skills!H11,1)))/Inputs!$B$43),G2058*Q2058)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11*((R2058-1)*IF(Skills!H11&gt;0,Skills!I11/Skills!H11,1)+IF(Skills!H11&gt;0,MIN(Skills!I11,MAX(0,MAX(0,Inputs!$B$43-B2079)-((R2058-1)*(IF(Inputs!$B$38="pvp",15,MAX(0.1,Skills!D11-IF(Skills!E11=TRUE,Inputs!$B$32,0)))*(1-IF(AND(ArtifactsInput!$M$27,Inputs!$B$4="Chapter Hunt"),CHOOSE(ArtifactsInput!$N$27+1,20,24,28,32,36,40),0)/100)))))/Skills!H11,1)))/Inputs!$B$43),G2058*Q2058))*IF(Inputs!$B$38="pvp",1,(1+(Inputs!$B$21+Skills!Q11+(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Skills!A12</f>
        <v/>
      </c>
      <c r="B2059">
        <f>Skills!B12</f>
        <v/>
      </c>
      <c r="C2059">
        <f>Inputs!$B$3&gt;=100</f>
        <v/>
      </c>
      <c r="D2059">
        <f>IF(Skills!C12=1,60+Inputs!$B$25+Inputs!$B$29,IF(Skills!C12=2,90+Inputs!$B$26+Inputs!$B$29,IF(Skills!C12=3,120+Inputs!$B$27+Inputs!$B$29,MAX(0,(Inputs!$B$3-100)*3)+Inputs!$B$28+Inputs!$B$29)))</f>
        <v/>
      </c>
      <c r="E2059">
        <f>INDEX(FactorTable!$B$2:$Y$301, MATCH(ROUND(MIN(300,MAX(1,D2059)),0), FactorTable!$A$2:$A$301,0), Skills!M12+1)</f>
        <v/>
      </c>
      <c r="F2059">
        <f>IF(Skills!N12=TRUE,(Skills!L12/10)*(E2059/1000),Skills!L12/10)+Skills!O12</f>
        <v/>
      </c>
      <c r="G2059" t="inlineStr"/>
      <c r="H2059" t="inlineStr"/>
      <c r="I2059" t="inlineStr">
        <is>
          <t>1</t>
        </is>
      </c>
      <c r="J2059" t="inlineStr"/>
      <c r="K2059" t="inlineStr"/>
      <c r="L2059" t="inlineStr"/>
      <c r="M2059" t="inlineStr"/>
      <c r="N2059" t="inlineStr"/>
      <c r="O2059" t="inlineStr"/>
      <c r="P2059" t="inlineStr"/>
      <c r="Q2059" t="inlineStr"/>
      <c r="R2059" t="inlineStr"/>
      <c r="S2059" t="inlineStr"/>
      <c r="T2059" t="inlineStr"/>
      <c r="V2059" t="inlineStr"/>
    </row>
    <row r="2060">
      <c r="A2060">
        <f>Skills!A13</f>
        <v/>
      </c>
      <c r="B2060">
        <f>Skills!B13</f>
        <v/>
      </c>
      <c r="C2060">
        <f>Inputs!$B$3&gt;=66</f>
        <v/>
      </c>
      <c r="D2060">
        <f>IF(Skills!C13=1,60+Inputs!$B$25+Inputs!$B$29,IF(Skills!C13=2,90+Inputs!$B$26+Inputs!$B$29,IF(Skills!C13=3,120+Inputs!$B$27+Inputs!$B$29,MAX(0,(Inputs!$B$3-100)*3)+Inputs!$B$28+Inputs!$B$29)))</f>
        <v/>
      </c>
      <c r="E2060">
        <f>INDEX(FactorTable!$B$2:$Y$301, MATCH(ROUND(MIN(300,MAX(1,D2060)),0), FactorTable!$A$2:$A$301,0), Skills!M13+1)</f>
        <v/>
      </c>
      <c r="F2060">
        <f>IF(Skills!N13=TRUE,(Skills!L13/10)*(E2060/1000),Skills!L13/10)+Skills!O13</f>
        <v/>
      </c>
      <c r="G2060">
        <f>Skills!G13*IF(Skills!H13&gt;0,Skills!I13/Skills!H13,1)</f>
        <v/>
      </c>
      <c r="H2060">
        <f>1-(1-Skills!J13/100)^Skills!K13</f>
        <v/>
      </c>
      <c r="I2060" t="inlineStr">
        <is>
          <t>1</t>
        </is>
      </c>
      <c r="J2060" t="inlineStr"/>
      <c r="K2060" t="inlineStr"/>
      <c r="L2060" t="inlineStr"/>
      <c r="M2060" t="inlineStr"/>
      <c r="N2060" t="inlineStr"/>
      <c r="O2060">
        <f>(1-Summary!$B$11)*T2060+Summary!$B$11*V2060</f>
        <v/>
      </c>
      <c r="P2060">
        <f>IF(B2082=0,0,O2060/B2082)</f>
        <v/>
      </c>
      <c r="Q2060" t="n">
        <v>0</v>
      </c>
      <c r="R2060" t="n">
        <v>0</v>
      </c>
      <c r="S2060">
        <f>IFERROR(O2060/N2060,0)</f>
        <v/>
      </c>
      <c r="T2060" t="n">
        <v>0</v>
      </c>
      <c r="V2060" t="n">
        <v>0</v>
      </c>
    </row>
    <row r="2061">
      <c r="A2061">
        <f>Skills!A14</f>
        <v/>
      </c>
      <c r="B2061">
        <f>Skills!B14</f>
        <v/>
      </c>
      <c r="C2061">
        <f>Inputs!$B$3&gt;=107</f>
        <v/>
      </c>
      <c r="D2061">
        <f>IF(Skills!C14=1,60+Inputs!$B$25+Inputs!$B$29,IF(Skills!C14=2,90+Inputs!$B$26+Inputs!$B$29,IF(Skills!C14=3,120+Inputs!$B$27+Inputs!$B$29,MAX(0,(Inputs!$B$3-100)*3)+Inputs!$B$28+Inputs!$B$29)))</f>
        <v/>
      </c>
      <c r="E2061">
        <f>INDEX(FactorTable!$B$2:$Y$301, MATCH(ROUND(MIN(300,MAX(1,D2061)),0), FactorTable!$A$2:$A$301,0), Skills!M14+1)</f>
        <v/>
      </c>
      <c r="F2061">
        <f>IF(Skills!N14=TRUE,(Skills!L14/10)*(E2061/1000),Skills!L14/10)+Skills!O14</f>
        <v/>
      </c>
      <c r="G2061">
        <f>Skills!G14*IF(Skills!H14&gt;0,Skills!I14/Skills!H14,1)</f>
        <v/>
      </c>
      <c r="H2061">
        <f>1-(1-Skills!J14/100)^Skills!K14</f>
        <v/>
      </c>
      <c r="I2061" t="inlineStr">
        <is>
          <t>1</t>
        </is>
      </c>
      <c r="J2061" t="inlineStr"/>
      <c r="K2061" t="inlineStr"/>
      <c r="L2061" t="inlineStr"/>
      <c r="M2061" t="inlineStr"/>
      <c r="N2061" t="inlineStr"/>
      <c r="O2061">
        <f>(1-Summary!$B$11)*T2061+Summary!$B$11*V2061</f>
        <v/>
      </c>
      <c r="P2061">
        <f>IF(B2082=0,0,O2061/B2082)</f>
        <v/>
      </c>
      <c r="Q2061" t="n">
        <v>0</v>
      </c>
      <c r="R2061" t="n">
        <v>0</v>
      </c>
      <c r="S2061">
        <f>IFERROR(O2061/N2061,0)</f>
        <v/>
      </c>
      <c r="T2061" t="n">
        <v>0</v>
      </c>
      <c r="V2061" t="n">
        <v>0</v>
      </c>
    </row>
    <row r="2062">
      <c r="A2062">
        <f>Skills!A15</f>
        <v/>
      </c>
      <c r="B2062">
        <f>Skills!B15</f>
        <v/>
      </c>
      <c r="C2062">
        <f>Inputs!$B$3&gt;=115</f>
        <v/>
      </c>
      <c r="D2062">
        <f>IF(Skills!C15=1,60+Inputs!$B$25+Inputs!$B$29,IF(Skills!C15=2,90+Inputs!$B$26+Inputs!$B$29,IF(Skills!C15=3,120+Inputs!$B$27+Inputs!$B$29,MAX(0,(Inputs!$B$3-100)*3)+Inputs!$B$28+Inputs!$B$29)))</f>
        <v/>
      </c>
      <c r="E2062">
        <f>INDEX(FactorTable!$B$2:$Y$301, MATCH(ROUND(MIN(300,MAX(1,D2062)),0), FactorTable!$A$2:$A$301,0), Skills!M15+1)</f>
        <v/>
      </c>
      <c r="F2062">
        <f>IF(Skills!N15=TRUE,(Skills!L15/10)*(E2062/1000),Skills!L15/10)+Skills!O15</f>
        <v/>
      </c>
      <c r="G2062">
        <f>Skills!G15*IF(Skills!H15&gt;0,Skills!I15/Skills!H15,1)</f>
        <v/>
      </c>
      <c r="H2062">
        <f>1-(1-Skills!J15/100)^Skills!K15</f>
        <v/>
      </c>
      <c r="I2062" t="inlineStr">
        <is>
          <t>1</t>
        </is>
      </c>
      <c r="J2062" t="inlineStr"/>
      <c r="K2062" t="inlineStr"/>
      <c r="L2062" t="inlineStr"/>
      <c r="M2062" t="inlineStr"/>
      <c r="N2062" t="inlineStr"/>
      <c r="O2062">
        <f>(1-Summary!$B$11)*T2062+Summary!$B$11*V2062</f>
        <v/>
      </c>
      <c r="P2062">
        <f>IF(B2082=0,0,O2062/B2082)</f>
        <v/>
      </c>
      <c r="Q2062" t="n">
        <v>0</v>
      </c>
      <c r="R2062" t="n">
        <v>0</v>
      </c>
      <c r="S2062">
        <f>IFERROR(O2062/N2062,0)</f>
        <v/>
      </c>
      <c r="T2062" t="n">
        <v>0</v>
      </c>
      <c r="V2062" t="n">
        <v>0</v>
      </c>
    </row>
    <row r="2063">
      <c r="A2063">
        <f>Skills!A16</f>
        <v/>
      </c>
      <c r="B2063">
        <f>Skills!B16</f>
        <v/>
      </c>
      <c r="C2063">
        <f>Inputs!$B$3&gt;=15</f>
        <v/>
      </c>
      <c r="D2063">
        <f>IF(Skills!C16=1,60+Inputs!$B$25+Inputs!$B$29,IF(Skills!C16=2,90+Inputs!$B$26+Inputs!$B$29,IF(Skills!C16=3,120+Inputs!$B$27+Inputs!$B$29,MAX(0,(Inputs!$B$3-100)*3)+Inputs!$B$28+Inputs!$B$29)))</f>
        <v/>
      </c>
      <c r="E2063">
        <f>INDEX(FactorTable!$B$2:$Y$301, MATCH(ROUND(MIN(300,MAX(1,D2063)),0), FactorTable!$A$2:$A$301,0), Skills!M16+1)</f>
        <v/>
      </c>
      <c r="F2063">
        <f>IF(Skills!N16=TRUE,(Skills!L16/10)*(E2063/1000),Skills!L16/10)+Skills!O16</f>
        <v/>
      </c>
      <c r="G2063">
        <f>Skills!G16*IF(Skills!H16&gt;0,Skills!I16/Skills!H16,1)</f>
        <v/>
      </c>
      <c r="H2063">
        <f>1-(1-Skills!J16/100)^Skills!K16</f>
        <v/>
      </c>
      <c r="I2063" t="inlineStr">
        <is>
          <t>1</t>
        </is>
      </c>
      <c r="J2063" t="inlineStr"/>
      <c r="K2063" t="inlineStr"/>
      <c r="L2063" t="inlineStr"/>
      <c r="M2063" t="inlineStr"/>
      <c r="N2063" t="inlineStr"/>
      <c r="O2063">
        <f>(1-Summary!$B$11)*T2063+Summary!$B$11*V2063</f>
        <v/>
      </c>
      <c r="P2063">
        <f>IF(B2082=0,0,O2063/B2082)</f>
        <v/>
      </c>
      <c r="Q2063" t="n">
        <v>0</v>
      </c>
      <c r="R2063" t="n">
        <v>0</v>
      </c>
      <c r="S2063">
        <f>IFERROR(O2063/N2063,0)</f>
        <v/>
      </c>
      <c r="T2063" t="n">
        <v>0</v>
      </c>
      <c r="V2063" t="n">
        <v>0</v>
      </c>
    </row>
    <row r="2064">
      <c r="A2064">
        <f>Skills!A17</f>
        <v/>
      </c>
      <c r="B2064">
        <f>Skills!B17</f>
        <v/>
      </c>
      <c r="C2064">
        <f>Inputs!$B$3&gt;=10</f>
        <v/>
      </c>
      <c r="D2064">
        <f>IF(Skills!C17=1,60+Inputs!$B$25+Inputs!$B$29,IF(Skills!C17=2,90+Inputs!$B$26+Inputs!$B$29,IF(Skills!C17=3,120+Inputs!$B$27+Inputs!$B$29,MAX(0,(Inputs!$B$3-100)*3)+Inputs!$B$28+Inputs!$B$29)))</f>
        <v/>
      </c>
      <c r="E2064">
        <f>INDEX(FactorTable!$B$2:$Y$301, MATCH(ROUND(MIN(300,MAX(1,D2064)),0), FactorTable!$A$2:$A$301,0), Skills!M17+1)</f>
        <v/>
      </c>
      <c r="F2064">
        <f>IF(Skills!N17=TRUE,(Skills!L17/10)*(E2064/1000),Skills!L17/10)+Skills!O17</f>
        <v/>
      </c>
      <c r="G2064">
        <f>Skills!G17*IF(Skills!H17&gt;0,Skills!I17/Skills!H17,1)</f>
        <v/>
      </c>
      <c r="H2064">
        <f>1-(1-Skills!J17/100)^Skills!K17</f>
        <v/>
      </c>
      <c r="I2064" t="inlineStr">
        <is>
          <t>1</t>
        </is>
      </c>
      <c r="J2064" t="inlineStr"/>
      <c r="K2064" t="inlineStr"/>
      <c r="L2064" t="inlineStr"/>
      <c r="M2064" t="inlineStr"/>
      <c r="N2064" t="inlineStr"/>
      <c r="O2064">
        <f>(1-Summary!$B$11)*T2064+Summary!$B$11*V2064</f>
        <v/>
      </c>
      <c r="P2064">
        <f>IF(B2082=0,0,O2064/B2082)</f>
        <v/>
      </c>
      <c r="Q2064" t="n">
        <v>0</v>
      </c>
      <c r="R2064" t="n">
        <v>0</v>
      </c>
      <c r="S2064">
        <f>IFERROR(O2064/N2064,0)</f>
        <v/>
      </c>
      <c r="T2064" t="n">
        <v>0</v>
      </c>
      <c r="V2064" t="n">
        <v>0</v>
      </c>
    </row>
    <row r="2065">
      <c r="A2065">
        <f>Skills!A18</f>
        <v/>
      </c>
      <c r="B2065">
        <f>Skills!B18</f>
        <v/>
      </c>
      <c r="C2065">
        <f>Inputs!$B$3&gt;=33</f>
        <v/>
      </c>
      <c r="D2065">
        <f>IF(Skills!C18=1,60+Inputs!$B$25+Inputs!$B$29,IF(Skills!C18=2,90+Inputs!$B$26+Inputs!$B$29,IF(Skills!C18=3,120+Inputs!$B$27+Inputs!$B$29,MAX(0,(Inputs!$B$3-100)*3)+Inputs!$B$28+Inputs!$B$29)))</f>
        <v/>
      </c>
      <c r="E2065">
        <f>INDEX(FactorTable!$B$2:$Y$301, MATCH(ROUND(MIN(300,MAX(1,D2065)),0), FactorTable!$A$2:$A$301,0), Skills!M18+1)</f>
        <v/>
      </c>
      <c r="F2065">
        <f>IF(Skills!N18=TRUE,(Skills!L18/10)*(E2065/1000),Skills!L18/10)+Skills!O18</f>
        <v/>
      </c>
      <c r="G2065">
        <f>Skills!G18*IF(Skills!H18&gt;0,Skills!I18/Skills!H18,1)</f>
        <v/>
      </c>
      <c r="H2065">
        <f>1-(1-Skills!J18/100)^Skills!K18</f>
        <v/>
      </c>
      <c r="I2065" t="inlineStr">
        <is>
          <t>1</t>
        </is>
      </c>
      <c r="J2065" t="inlineStr"/>
      <c r="K2065" t="inlineStr"/>
      <c r="L2065" t="inlineStr"/>
      <c r="M2065" t="inlineStr"/>
      <c r="N2065" t="inlineStr"/>
      <c r="O2065">
        <f>(1-Summary!$B$11)*T2065+Summary!$B$11*V2065</f>
        <v/>
      </c>
      <c r="P2065">
        <f>IF(B2082=0,0,O2065/B2082)</f>
        <v/>
      </c>
      <c r="Q2065" t="n">
        <v>0</v>
      </c>
      <c r="R2065" t="n">
        <v>0</v>
      </c>
      <c r="S2065">
        <f>IFERROR(O2065/N2065,0)</f>
        <v/>
      </c>
      <c r="T2065" t="n">
        <v>0</v>
      </c>
      <c r="V2065" t="n">
        <v>0</v>
      </c>
    </row>
    <row r="2066">
      <c r="A2066">
        <f>Skills!A19</f>
        <v/>
      </c>
      <c r="B2066">
        <f>Skills!B19</f>
        <v/>
      </c>
      <c r="C2066">
        <f>Inputs!$B$3&gt;=40</f>
        <v/>
      </c>
      <c r="D2066">
        <f>IF(Skills!C19=1,60+Inputs!$B$25+Inputs!$B$29,IF(Skills!C19=2,90+Inputs!$B$26+Inputs!$B$29,IF(Skills!C19=3,120+Inputs!$B$27+Inputs!$B$29,MAX(0,(Inputs!$B$3-100)*3)+Inputs!$B$28+Inputs!$B$29)))</f>
        <v/>
      </c>
      <c r="E2066">
        <f>INDEX(FactorTable!$B$2:$Y$301, MATCH(ROUND(MIN(300,MAX(1,D2066)),0), FactorTable!$A$2:$A$301,0), Skills!M19+1)</f>
        <v/>
      </c>
      <c r="F2066">
        <f>IF(Skills!N19=TRUE,(Skills!L19/10)*(E2066/1000),Skills!L19/10)+Skills!O19</f>
        <v/>
      </c>
      <c r="G2066">
        <f>Skills!G19*IF(Skills!H19&gt;0,Skills!I19/Skills!H19,1)</f>
        <v/>
      </c>
      <c r="H2066">
        <f>1-(1-Skills!J19/100)^Skills!K19</f>
        <v/>
      </c>
      <c r="I2066" t="inlineStr">
        <is>
          <t>1</t>
        </is>
      </c>
      <c r="J2066" t="inlineStr"/>
      <c r="K2066" t="inlineStr"/>
      <c r="L2066" t="inlineStr"/>
      <c r="M2066" t="inlineStr"/>
      <c r="N2066" t="inlineStr"/>
      <c r="O2066">
        <f>(1-Summary!$B$11)*T2066+Summary!$B$11*V2066</f>
        <v/>
      </c>
      <c r="P2066">
        <f>IF(B2082=0,0,O2066/B2082)</f>
        <v/>
      </c>
      <c r="Q2066" t="n">
        <v>0</v>
      </c>
      <c r="R2066" t="n">
        <v>0</v>
      </c>
      <c r="S2066">
        <f>IFERROR(O2066/N2066,0)</f>
        <v/>
      </c>
      <c r="T2066" t="n">
        <v>0</v>
      </c>
      <c r="V2066" t="n">
        <v>0</v>
      </c>
    </row>
    <row r="2067">
      <c r="A2067">
        <f>Skills!A20</f>
        <v/>
      </c>
      <c r="B2067">
        <f>Skills!B20</f>
        <v/>
      </c>
      <c r="C2067">
        <f>Inputs!$B$3&gt;=43</f>
        <v/>
      </c>
      <c r="D2067">
        <f>IF(Skills!C20=1,60+Inputs!$B$25+Inputs!$B$29,IF(Skills!C20=2,90+Inputs!$B$26+Inputs!$B$29,IF(Skills!C20=3,120+Inputs!$B$27+Inputs!$B$29,MAX(0,(Inputs!$B$3-100)*3)+Inputs!$B$28+Inputs!$B$29)))</f>
        <v/>
      </c>
      <c r="E2067">
        <f>INDEX(FactorTable!$B$2:$Y$301, MATCH(ROUND(MIN(300,MAX(1,D2067)),0), FactorTable!$A$2:$A$301,0), Skills!M20+1)</f>
        <v/>
      </c>
      <c r="F2067">
        <f>IF(Skills!N20=TRUE,(Skills!L20/10)*(E2067/1000),Skills!L20/10)+Skills!O20</f>
        <v/>
      </c>
      <c r="G2067">
        <f>Skills!G20*IF(Skills!H20&gt;0,Skills!I20/Skills!H20,1)</f>
        <v/>
      </c>
      <c r="H2067">
        <f>1-(1-Skills!J20/100)^Skills!K20</f>
        <v/>
      </c>
      <c r="I2067" t="inlineStr">
        <is>
          <t>1</t>
        </is>
      </c>
      <c r="J2067" t="inlineStr"/>
      <c r="K2067" t="inlineStr"/>
      <c r="L2067" t="inlineStr"/>
      <c r="M2067" t="inlineStr"/>
      <c r="N2067" t="inlineStr"/>
      <c r="O2067">
        <f>(1-Summary!$B$11)*T2067+Summary!$B$11*V2067</f>
        <v/>
      </c>
      <c r="P2067">
        <f>IF(B2082=0,0,O2067/B2082)</f>
        <v/>
      </c>
      <c r="Q2067" t="n">
        <v>0</v>
      </c>
      <c r="R2067" t="n">
        <v>0</v>
      </c>
      <c r="S2067">
        <f>IFERROR(O2067/N2067,0)</f>
        <v/>
      </c>
      <c r="T2067" t="n">
        <v>0</v>
      </c>
      <c r="V2067" t="n">
        <v>0</v>
      </c>
    </row>
    <row r="2068">
      <c r="A2068">
        <f>Skills!A21</f>
        <v/>
      </c>
      <c r="B2068">
        <f>Skills!B21</f>
        <v/>
      </c>
      <c r="C2068">
        <f>Inputs!$B$3&gt;=38</f>
        <v/>
      </c>
      <c r="D2068">
        <f>IF(Skills!C21=1,60+Inputs!$B$25+Inputs!$B$29,IF(Skills!C21=2,90+Inputs!$B$26+Inputs!$B$29,IF(Skills!C21=3,120+Inputs!$B$27+Inputs!$B$29,MAX(0,(Inputs!$B$3-100)*3)+Inputs!$B$28+Inputs!$B$29)))</f>
        <v/>
      </c>
      <c r="E2068">
        <f>INDEX(FactorTable!$B$2:$Y$301, MATCH(ROUND(MIN(300,MAX(1,D2068)),0), FactorTable!$A$2:$A$301,0), Skills!M21+1)</f>
        <v/>
      </c>
      <c r="F2068">
        <f>IF(Skills!N21=TRUE,(Skills!L21/10)*(E2068/1000),Skills!L21/10)+Skills!O21</f>
        <v/>
      </c>
      <c r="G2068">
        <f>Skills!G21*IF(Skills!H21&gt;0,Skills!I21/Skills!H21,1)</f>
        <v/>
      </c>
      <c r="H2068">
        <f>1-(1-Skills!J21/100)^Skills!K21</f>
        <v/>
      </c>
      <c r="I2068" t="inlineStr">
        <is>
          <t>1</t>
        </is>
      </c>
      <c r="J2068" t="inlineStr"/>
      <c r="K2068" t="inlineStr"/>
      <c r="L2068" t="inlineStr"/>
      <c r="M2068" t="inlineStr"/>
      <c r="N2068" t="inlineStr"/>
      <c r="O2068">
        <f>(1-Summary!$B$11)*T2068+Summary!$B$11*V2068</f>
        <v/>
      </c>
      <c r="P2068">
        <f>IF(B2082=0,0,O2068/B2082)</f>
        <v/>
      </c>
      <c r="Q2068" t="n">
        <v>0</v>
      </c>
      <c r="R2068" t="n">
        <v>0</v>
      </c>
      <c r="S2068">
        <f>IFERROR(O2068/N2068,0)</f>
        <v/>
      </c>
      <c r="T2068" t="n">
        <v>0</v>
      </c>
      <c r="V2068" t="n">
        <v>0</v>
      </c>
    </row>
    <row r="2069">
      <c r="A2069">
        <f>Skills!A22</f>
        <v/>
      </c>
      <c r="B2069">
        <f>Skills!B22</f>
        <v/>
      </c>
      <c r="C2069">
        <f>Inputs!$B$3&gt;=75</f>
        <v/>
      </c>
      <c r="D2069">
        <f>IF(Skills!C22=1,60+Inputs!$B$25+Inputs!$B$29,IF(Skills!C22=2,90+Inputs!$B$26+Inputs!$B$29,IF(Skills!C22=3,120+Inputs!$B$27+Inputs!$B$29,MAX(0,(Inputs!$B$3-100)*3)+Inputs!$B$28+Inputs!$B$29)))</f>
        <v/>
      </c>
      <c r="E2069">
        <f>INDEX(FactorTable!$B$2:$Y$301, MATCH(ROUND(MIN(300,MAX(1,D2069)),0), FactorTable!$A$2:$A$301,0), Skills!M22+1)</f>
        <v/>
      </c>
      <c r="F2069">
        <f>IF(Skills!N22=TRUE,(Skills!L22/10)*(E2069/1000),Skills!L22/10)+Skills!O22</f>
        <v/>
      </c>
      <c r="G2069">
        <f>Skills!G22*IF(Skills!H22&gt;0,Skills!I22/Skills!H22,1)</f>
        <v/>
      </c>
      <c r="H2069">
        <f>1-(1-Skills!J22/100)^Skills!K22</f>
        <v/>
      </c>
      <c r="I2069" t="inlineStr">
        <is>
          <t>1</t>
        </is>
      </c>
      <c r="J2069" t="inlineStr"/>
      <c r="K2069" t="inlineStr"/>
      <c r="L2069" t="inlineStr"/>
      <c r="M2069" t="inlineStr"/>
      <c r="N2069" t="inlineStr"/>
      <c r="O2069">
        <f>(1-Summary!$B$11)*T2069+Summary!$B$11*V2069</f>
        <v/>
      </c>
      <c r="P2069">
        <f>IF(B2082=0,0,O2069/B2082)</f>
        <v/>
      </c>
      <c r="Q2069" t="n">
        <v>0</v>
      </c>
      <c r="R2069" t="n">
        <v>0</v>
      </c>
      <c r="S2069">
        <f>IFERROR(O2069/N2069,0)</f>
        <v/>
      </c>
      <c r="T2069" t="n">
        <v>0</v>
      </c>
      <c r="V2069" t="n">
        <v>0</v>
      </c>
    </row>
    <row r="2071">
      <c r="A2071" t="inlineStr">
        <is>
          <t>Attack% Bucket Multiplier</t>
        </is>
      </c>
      <c r="B2071">
        <f>(1+(((C2060=TRUE)*F2060)+((C2066=TRUE)*(F2066-Calc!F19))+(IF(ArtifactsInput!$M$21,CHOOSE(ArtifactsInput!$N$21+1,25,30,35,40,45,50)*(IF(OR(Inputs!$B$4="Chapter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2">
      <c r="A2072" t="inlineStr">
        <is>
          <t>Global Crit Rate Bonus %</t>
        </is>
      </c>
      <c r="B2072" t="n">
        <v>0</v>
      </c>
    </row>
    <row r="2073">
      <c r="A2073" t="inlineStr">
        <is>
          <t>Attack Speed Buff Bonus % (unused)</t>
        </is>
      </c>
      <c r="B2073" t="n">
        <v>0</v>
      </c>
    </row>
    <row r="2074">
      <c r="A2074" t="inlineStr">
        <is>
          <t>Actions Per Second</t>
        </is>
      </c>
      <c r="B2074">
        <f>1+MIN(150,150*(1-(1-(Inputs!$B$11+((C2064=TRUE)*(F2064-Calc!F17))+((C2065=TRUE)*(F2065-Calc!F18)))/150)*(1-B2073/150)))/100</f>
        <v/>
      </c>
    </row>
    <row r="2075">
      <c r="A2075" t="inlineStr">
        <is>
          <t>Skill + Buff Cast Rate</t>
        </is>
      </c>
      <c r="B2075">
        <f>IF(AND(Inputs!$B$38&lt;&gt;"pvp",Inputs!$B$43&gt;0),SUMPRODUCT((Skills!E2:E22=TRUE)*(C2049:C2069=TRUE)*R2049:R2069*Skills!F2:F22)/Inputs!$B$43,SUMPRODUCT((Skills!E2:E22=TRUE)*(C2049:C2069=TRUE)*Q2049:Q2069*Skills!F2:F22))</f>
        <v/>
      </c>
    </row>
    <row r="2076">
      <c r="A2076" t="inlineStr">
        <is>
          <t>Hook Bomber Casts Per Second</t>
        </is>
      </c>
      <c r="B2076">
        <f>MAX(0,B2074-B2075)</f>
        <v/>
      </c>
    </row>
    <row r="2077">
      <c r="A2077" t="inlineStr">
        <is>
          <t>Global Critical Damage Bonus % (unused)</t>
        </is>
      </c>
      <c r="B2077" t="n">
        <v>0</v>
      </c>
    </row>
    <row r="2078">
      <c r="A2078" t="inlineStr">
        <is>
          <t>Global Final Damage Bonus % (Serpent Scale + Crossbones + Time Leap + Speed Infusion)</t>
        </is>
      </c>
      <c r="B2078">
        <f>((C2052=TRUE)*F2052*((10+IF(Inputs!$B$3&gt;=94,5,0))/((10+IF(Inputs!$B$3&gt;=94,5,0))+5/(B2076*(1+IF(Inputs!$B$3&gt;=104,1,0))))))+((C2061=TRUE)*F2061)+((C2062=TRUE)*F2062)+((Inputs!$B$3&gt;=110)*20*(B2074-1))</f>
        <v/>
      </c>
    </row>
    <row r="2079">
      <c r="A2079" t="inlineStr">
        <is>
          <t>Buff-Casting Startup Delay (s, fixed-duration only)</t>
        </is>
      </c>
      <c r="B2079">
        <f>IF(AND(Inputs!$B$38&lt;&gt;"pvp",Inputs!$B$43&gt;0),SUMPRODUCT((Skills!T2:T22&gt;0)*(Skills!E2:E22=TRUE)*(C2049:C2069=TRUE))/B2074,0)</f>
        <v/>
      </c>
    </row>
    <row r="2080">
      <c r="A2080" t="inlineStr">
        <is>
          <t>Boss-Only Total DPS (this block's swept value)</t>
        </is>
      </c>
      <c r="B2080">
        <f>SUM(T2049:T2069)</f>
        <v/>
      </c>
    </row>
    <row r="2081">
      <c r="A2081" t="inlineStr">
        <is>
          <t>Normal-Only Total DPS (this block's swept value)</t>
        </is>
      </c>
      <c r="B2081">
        <f>SUM(V2049:V2069)</f>
        <v/>
      </c>
    </row>
    <row r="2082">
      <c r="A2082" s="6" t="inlineStr">
        <is>
          <t>TOTAL DPS</t>
        </is>
      </c>
      <c r="B2082" s="6">
        <f>SUM(O2049:O2069)</f>
        <v/>
      </c>
    </row>
    <row r="2085">
      <c r="A2085" s="6" t="inlineStr">
        <is>
          <t>Stat: Bottle of Emotion (Equip)</t>
        </is>
      </c>
    </row>
    <row r="2086">
      <c r="A2086" s="5" t="inlineStr">
        <is>
          <t>Key</t>
        </is>
      </c>
      <c r="B2086" s="5" t="inlineStr">
        <is>
          <t>Name</t>
        </is>
      </c>
      <c r="C2086" s="5" t="inlineStr">
        <is>
          <t>Unlocked</t>
        </is>
      </c>
      <c r="D2086" s="5" t="inlineStr">
        <is>
          <t>InputLevel</t>
        </is>
      </c>
      <c r="E2086" s="5" t="inlineStr">
        <is>
          <t>Factor</t>
        </is>
      </c>
      <c r="F2086" s="5" t="inlineStr">
        <is>
          <t>CoefficientPercent</t>
        </is>
      </c>
      <c r="G2086" s="5" t="inlineStr">
        <is>
          <t>EffectiveHits</t>
        </is>
      </c>
      <c r="H2086" s="5" t="inlineStr">
        <is>
          <t>ProcProbability</t>
        </is>
      </c>
      <c r="I2086" s="5" t="inlineStr">
        <is>
          <t>MapleHeroMultiplier</t>
        </is>
      </c>
      <c r="J2086" s="5" t="inlineStr">
        <is>
          <t>BaseDamage</t>
        </is>
      </c>
      <c r="K2086" s="5" t="inlineStr">
        <is>
          <t>BaseHitDamage</t>
        </is>
      </c>
      <c r="L2086" s="5" t="inlineStr">
        <is>
          <t>NonCritAvg</t>
        </is>
      </c>
      <c r="M2086" s="5" t="inlineStr">
        <is>
          <t>CritAvg</t>
        </is>
      </c>
      <c r="N2086" s="5" t="inlineStr">
        <is>
          <t>ExpectedDamage(perHit)</t>
        </is>
      </c>
      <c r="O2086" s="5" t="inlineStr">
        <is>
          <t>DPS</t>
        </is>
      </c>
      <c r="P2086" s="5" t="inlineStr">
        <is>
          <t>% of Total</t>
        </is>
      </c>
      <c r="Q2086" s="5" t="inlineStr">
        <is>
          <t>InvCooldown</t>
        </is>
      </c>
      <c r="R2086" s="5" t="inlineStr">
        <is>
          <t>CastsInFight</t>
        </is>
      </c>
      <c r="S2086" s="5" t="inlineStr">
        <is>
          <t>HitRate(perSec)</t>
        </is>
      </c>
      <c r="U2086" t="inlineStr">
        <is>
          <t>helpers</t>
        </is>
      </c>
    </row>
    <row r="2087">
      <c r="A2087">
        <f>Skills!A2</f>
        <v/>
      </c>
      <c r="B2087">
        <f>Skills!B2</f>
        <v/>
      </c>
      <c r="C2087">
        <f>Inputs!$B$3&gt;=100</f>
        <v/>
      </c>
      <c r="D2087" t="inlineStr"/>
      <c r="E2087" t="inlineStr"/>
      <c r="F2087">
        <f>U2089+Skills!O2</f>
        <v/>
      </c>
      <c r="G2087">
        <f>Skills!G2*IF(Skills!H2&gt;0,Skills!I2/Skills!H2,1)</f>
        <v/>
      </c>
      <c r="H2087">
        <f>1-(1-Skills!J2/100)^Skills!K2</f>
        <v/>
      </c>
      <c r="I2087" t="inlineStr">
        <is>
          <t>1</t>
        </is>
      </c>
      <c r="J2087">
        <f>((Inputs!$B$6*(1+Inputs!$B$7/100))+(((Inputs!$B$12*(1+Inputs!$B$13/100))-(Inputs!$B$12*(1+Inputs!$B$13/100)))+0.25*(Inputs!$B$14-Inputs!$B$14))*(1+Inputs!$B$7/100))*(F2087/100)</f>
        <v/>
      </c>
      <c r="K2087">
        <f>J2087*(1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2087)</f>
        <v/>
      </c>
      <c r="L2087">
        <f>K2087*(MIN(Inputs!$B$22+((C2105=TRUE)*(F2105-Calc!F20)),(Inputs!$B$23+0+(IF(ArtifactsInput!$M$15,CHOOSE(ArtifactsInput!$N$15+1,25,30,35,40,45,50)/100*(Inputs!$B$11-Inputs!$B$11),0))))/100+(Inputs!$B$23+0+(IF(ArtifactsInput!$M$15,CHOOSE(ArtifactsInput!$N$15+1,25,30,35,40,45,50)/100*(Inputs!$B$11-Inputs!$B$11),0)))/100)/2</f>
        <v/>
      </c>
      <c r="M2087">
        <f>L2087*(1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7">
        <f>L2087*(1-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2087*(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7">
        <f>(1-Summary!$B$11)*T2087+Summary!$B$11*V2087</f>
        <v/>
      </c>
      <c r="P2087">
        <f>IF(B2120=0,0,O2087/B2120)</f>
        <v/>
      </c>
      <c r="Q2087" t="n">
        <v>0</v>
      </c>
      <c r="R2087" t="n">
        <v>0</v>
      </c>
      <c r="S2087">
        <f>IFERROR(O2087/N2087,0)</f>
        <v/>
      </c>
      <c r="T2087">
        <f>IF(C2087,(Skills!G2*N2087*B2114)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2087*(1-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2087*(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2087*(1-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2087*(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7">
        <f>MAX(0,(Inputs!$B$3-100)*3)+Inputs!$B$28+Inputs!$B$29</f>
        <v/>
      </c>
      <c r="V2087">
        <f>IF(C2087,(Skills!G2*N2087*B2114)*IF(Inputs!$B$38="pvp",1,(1+(Inputs!$B$21+Skills!Q2+(IF(ArtifactsInput!$M$33,CHOOSE(ArtifactsInput!$N$33+1,30,36,42,48,54,60),0))+(IF(AND(ArtifactsInput!$M$35,Inputs!$B$4&lt;&gt;"Chapter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8">
      <c r="A2088">
        <f>Skills!A3</f>
        <v/>
      </c>
      <c r="B2088">
        <f>Skills!B3</f>
        <v/>
      </c>
      <c r="C2088">
        <f>Inputs!$B$3&gt;=35</f>
        <v/>
      </c>
      <c r="D2088">
        <f>IF(Skills!C3=1,60+Inputs!$B$25+Inputs!$B$29,IF(Skills!C3=2,90+Inputs!$B$26+Inputs!$B$29,IF(Skills!C3=3,120+Inputs!$B$27+Inputs!$B$29,MAX(0,(Inputs!$B$3-100)*3)+Inputs!$B$28+Inputs!$B$29)))</f>
        <v/>
      </c>
      <c r="E2088">
        <f>INDEX(FactorTable!$B$2:$Y$301, MATCH(ROUND(MIN(300,MAX(1,D2088)),0), FactorTable!$A$2:$A$301,0), Skills!M3+1)</f>
        <v/>
      </c>
      <c r="F2088">
        <f>IF(Skills!N3=TRUE,(Skills!L3/10)*(E2088/1000),Skills!L3/10)+Skills!O3</f>
        <v/>
      </c>
      <c r="G2088">
        <f>Skills!G3*IF(Skills!H3&gt;0,Skills!I3/Skills!H3,1)</f>
        <v/>
      </c>
      <c r="H2088">
        <f>1-(1-Skills!J3/100)^Skills!K3</f>
        <v/>
      </c>
      <c r="I2088" t="inlineStr">
        <is>
          <t>1</t>
        </is>
      </c>
      <c r="J2088">
        <f>((Inputs!$B$6*(1+Inputs!$B$7/100))+(((Inputs!$B$12*(1+Inputs!$B$13/100))-(Inputs!$B$12*(1+Inputs!$B$13/100)))+0.25*(Inputs!$B$14-Inputs!$B$14))*(1+Inputs!$B$7/100))*(F2088/100)</f>
        <v/>
      </c>
      <c r="K2088">
        <f>J2088*(1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3="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2088)</f>
        <v/>
      </c>
      <c r="L2088">
        <f>K2088*(MIN(Inputs!$B$22+((C2105=TRUE)*(F2105-Calc!F20)),(Inputs!$B$23+0+(IF(ArtifactsInput!$M$15,CHOOSE(ArtifactsInput!$N$15+1,25,30,35,40,45,50)/100*(Inputs!$B$11-Inputs!$B$11),0))))/100+(Inputs!$B$23+0+(IF(ArtifactsInput!$M$15,CHOOSE(ArtifactsInput!$N$15+1,25,30,35,40,45,50)/100*(Inputs!$B$11-Inputs!$B$11),0)))/100)/2</f>
        <v/>
      </c>
      <c r="M2088">
        <f>L2088*(1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8">
        <f>L2088*(1-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2088*(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8">
        <f>(1-Summary!$B$11)*T2088+Summary!$B$11*V2088</f>
        <v/>
      </c>
      <c r="P2088">
        <f>IF(B2120=0,0,O2088/B2120)</f>
        <v/>
      </c>
      <c r="Q2088" t="n">
        <v>0</v>
      </c>
      <c r="R2088" t="n">
        <v>0</v>
      </c>
      <c r="S2088">
        <f>IFERROR(O2088/N2088,0)</f>
        <v/>
      </c>
      <c r="T2088">
        <f>IF(C2088,(Skills!G3*H2088*N2088*B2114)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2088*(1-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2088*(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2088*(1-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2088*(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8">
        <f>INDEX(FactorTable!$B$2:$Y$301, MATCH(ROUND(MIN(300,MAX(1,U2087)),0), FactorTable!$A$2:$A$301,0), 22)</f>
        <v/>
      </c>
      <c r="V2088">
        <f>IF(C2088,(Skills!G3*H2088*N2088*B2114)*IF(Inputs!$B$38="pvp",1,(1+(Inputs!$B$21+Skills!Q3+(IF(ArtifactsInput!$M$33,CHOOSE(ArtifactsInput!$N$33+1,30,36,42,48,54,60),0))+(IF(AND(ArtifactsInput!$M$35,Inputs!$B$4&lt;&gt;"Chapter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9">
      <c r="A2089">
        <f>Skills!A4</f>
        <v/>
      </c>
      <c r="B2089">
        <f>Skills!B4</f>
        <v/>
      </c>
      <c r="C2089">
        <f>Inputs!$B$3&gt;=60</f>
        <v/>
      </c>
      <c r="D2089">
        <f>IF(Skills!C4=1,60+Inputs!$B$25+Inputs!$B$29,IF(Skills!C4=2,90+Inputs!$B$26+Inputs!$B$29,IF(Skills!C4=3,120+Inputs!$B$27+Inputs!$B$29,MAX(0,(Inputs!$B$3-100)*3)+Inputs!$B$28+Inputs!$B$29)))</f>
        <v/>
      </c>
      <c r="E2089">
        <f>INDEX(FactorTable!$B$2:$Y$301, MATCH(ROUND(MIN(300,MAX(1,D2089)),0), FactorTable!$A$2:$A$301,0), Skills!M4+1)</f>
        <v/>
      </c>
      <c r="F2089">
        <f>IF(Skills!N4=TRUE,(Skills!L4/10)*(E2089/1000),Skills!L4/10)+Skills!O4</f>
        <v/>
      </c>
      <c r="G2089">
        <f>Skills!G4*IF(Skills!H4&gt;0,Skills!I4/Skills!H4,1)</f>
        <v/>
      </c>
      <c r="H2089">
        <f>1-(1-Skills!J4/100)^Skills!K4</f>
        <v/>
      </c>
      <c r="I2089" t="inlineStr">
        <is>
          <t>1</t>
        </is>
      </c>
      <c r="J2089">
        <f>((Inputs!$B$6*(1+Inputs!$B$7/100))+(((Inputs!$B$12*(1+Inputs!$B$13/100))-(Inputs!$B$12*(1+Inputs!$B$13/100)))+0.25*(Inputs!$B$14-Inputs!$B$14))*(1+Inputs!$B$7/100))*(F2089/100)</f>
        <v/>
      </c>
      <c r="K2089">
        <f>J2089*(1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2097=TRUE,F2097,0)/100)*(1+(IF(Skills!A4="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2089)</f>
        <v/>
      </c>
      <c r="L2089">
        <f>K2089*(MIN(Inputs!$B$22+((C2105=TRUE)*(F2105-Calc!F20)),(Inputs!$B$23+0+(IF(ArtifactsInput!$M$15,CHOOSE(ArtifactsInput!$N$15+1,25,30,35,40,45,50)/100*(Inputs!$B$11-Inputs!$B$11),0))))/100+(Inputs!$B$23+0+(IF(ArtifactsInput!$M$15,CHOOSE(ArtifactsInput!$N$15+1,25,30,35,40,45,50)/100*(Inputs!$B$11-Inputs!$B$11),0)))/100)/2</f>
        <v/>
      </c>
      <c r="M2089">
        <f>L2089*(1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9">
        <f>L2089*(1-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(1-Summary!$B$11)*T2089+Summary!$B$11*V2089</f>
        <v/>
      </c>
      <c r="P2089">
        <f>IF(B2120=0,0,O2089/B2120)</f>
        <v/>
      </c>
      <c r="Q2089" t="n">
        <v>0</v>
      </c>
      <c r="R2089" t="n">
        <v>0</v>
      </c>
      <c r="S2089">
        <f>IFERROR(O2089/N2089,0)</f>
        <v/>
      </c>
      <c r="T2089">
        <f>IF(C2089,(Skills!G4*H2089*N2089*B2114)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2089*(1-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290*U2088/1000</f>
        <v/>
      </c>
      <c r="V2089">
        <f>IF(C2089,(Skills!G4*H2089*N2089*B2114)*IF(Inputs!$B$38="pvp",1,(1+(Inputs!$B$21+Skills!Q4+(IF(ArtifactsInput!$M$33,CHOOSE(ArtifactsInput!$N$33+1,30,36,42,48,54,60),0))+(IF(AND(ArtifactsInput!$M$35,Inputs!$B$4&lt;&gt;"Chapter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Skills!A5</f>
        <v/>
      </c>
      <c r="B2090">
        <f>Skills!B5</f>
        <v/>
      </c>
      <c r="C2090">
        <f>Inputs!$B$3&gt;=60</f>
        <v/>
      </c>
      <c r="D2090">
        <f>IF(Skills!C5=1,60+Inputs!$B$25+Inputs!$B$29,IF(Skills!C5=2,90+Inputs!$B$26+Inputs!$B$29,IF(Skills!C5=3,120+Inputs!$B$27+Inputs!$B$29,MAX(0,(Inputs!$B$3-100)*3)+Inputs!$B$28+Inputs!$B$29)))</f>
        <v/>
      </c>
      <c r="E2090">
        <f>INDEX(FactorTable!$B$2:$Y$301, MATCH(ROUND(MIN(300,MAX(1,D2090)),0), FactorTable!$A$2:$A$301,0), Skills!M5+1)</f>
        <v/>
      </c>
      <c r="F2090">
        <f>IF(Skills!N5=TRUE,(Skills!L5/10)*(E2090/1000),Skills!L5/10)+Skills!O5</f>
        <v/>
      </c>
      <c r="G2090">
        <f>Skills!G5*IF(Skills!H5&gt;0,Skills!I5/Skills!H5,1)</f>
        <v/>
      </c>
      <c r="H2090">
        <f>1-(1-Skills!J5/100)^Skills!K5</f>
        <v/>
      </c>
      <c r="I2090" t="inlineStr">
        <is>
          <t>1</t>
        </is>
      </c>
      <c r="J2090" t="inlineStr"/>
      <c r="K2090" t="inlineStr"/>
      <c r="L2090" t="inlineStr"/>
      <c r="M2090" t="inlineStr"/>
      <c r="N2090" t="inlineStr"/>
      <c r="O2090">
        <f>(1-Summary!$B$11)*T2090+Summary!$B$11*V2090</f>
        <v/>
      </c>
      <c r="P2090">
        <f>IF(B2120=0,0,O2090/B2120)</f>
        <v/>
      </c>
      <c r="Q2090" t="n">
        <v>0</v>
      </c>
      <c r="R2090" t="n">
        <v>0</v>
      </c>
      <c r="S2090">
        <f>IFERROR(O2090/N2090,0)</f>
        <v/>
      </c>
      <c r="T2090" t="n">
        <v>0</v>
      </c>
      <c r="V2090" t="n">
        <v>0</v>
      </c>
    </row>
    <row r="2091">
      <c r="A2091">
        <f>Skills!A6</f>
        <v/>
      </c>
      <c r="B2091">
        <f>Skills!B6</f>
        <v/>
      </c>
      <c r="C2091">
        <f>Inputs!$B$3&gt;=63</f>
        <v/>
      </c>
      <c r="D2091">
        <f>IF(Skills!C6=1,60+Inputs!$B$25+Inputs!$B$29,IF(Skills!C6=2,90+Inputs!$B$26+Inputs!$B$29,IF(Skills!C6=3,120+Inputs!$B$27+Inputs!$B$29,MAX(0,(Inputs!$B$3-100)*3)+Inputs!$B$28+Inputs!$B$29)))</f>
        <v/>
      </c>
      <c r="E2091">
        <f>INDEX(FactorTable!$B$2:$Y$301, MATCH(ROUND(MIN(300,MAX(1,D2091)),0), FactorTable!$A$2:$A$301,0), Skills!M6+1)</f>
        <v/>
      </c>
      <c r="F2091">
        <f>IF(Skills!N6=TRUE,(Skills!L6/10)*(E2091/1000),Skills!L6/10)+Skills!O6</f>
        <v/>
      </c>
      <c r="G2091">
        <f>Skills!G6*IF(Skills!H6&gt;0,Skills!I6/Skills!H6,1)</f>
        <v/>
      </c>
      <c r="H2091">
        <f>1-(1-Skills!J6/100)^Skills!K6</f>
        <v/>
      </c>
      <c r="I2091" t="inlineStr">
        <is>
          <t>1</t>
        </is>
      </c>
      <c r="J2091">
        <f>((Inputs!$B$6*(1+Inputs!$B$7/100))+(((Inputs!$B$12*(1+Inputs!$B$13/100))-(Inputs!$B$12*(1+Inputs!$B$13/100)))+0.25*(Inputs!$B$14-Inputs!$B$14))*(1+Inputs!$B$7/100))*(F2091/100)</f>
        <v/>
      </c>
      <c r="K2091">
        <f>J2091*(1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2091)</f>
        <v/>
      </c>
      <c r="L2091">
        <f>K2091*(MIN(Inputs!$B$22+((C2105=TRUE)*(F2105-Calc!F20)),(Inputs!$B$23+0+(IF(ArtifactsInput!$M$15,CHOOSE(ArtifactsInput!$N$15+1,25,30,35,40,45,50)/100*(Inputs!$B$11-Inputs!$B$11),0))))/100+(Inputs!$B$23+0+(IF(ArtifactsInput!$M$15,CHOOSE(ArtifactsInput!$N$15+1,25,30,35,40,45,50)/100*(Inputs!$B$11-Inputs!$B$11),0)))/100)/2</f>
        <v/>
      </c>
      <c r="M2091">
        <f>L2091*(1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1">
        <f>L2091*(1-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1">
        <f>(1-Summary!$B$11)*T2091+Summary!$B$11*V2091</f>
        <v/>
      </c>
      <c r="P2091">
        <f>IF(B2120=0,0,O2091/B2120)</f>
        <v/>
      </c>
      <c r="Q2091">
        <f>IFERROR(1/(IF(Inputs!$B$38="pvp",15,MAX(0.1,Skills!D6-IF(Skills!E6=TRUE,Inputs!$B$32,0)))*(1-IF(AND(ArtifactsInput!$M$27,Inputs!$B$4="Chapter Hunt"),CHOOSE(ArtifactsInput!$N$27+1,20,24,28,32,36,40),0)/100)),0)</f>
        <v/>
      </c>
      <c r="R2091">
        <f>IF(AND(Inputs!$B$38&lt;&gt;"pvp",Inputs!$B$43&gt;0),IF(MAX(0,Inputs!$B$43-B2117)&lt;=0,0,(INT(MAX(0,Inputs!$B$43-B2117)/(IF(Inputs!$B$38="pvp",15,MAX(0.1,Skills!D6-IF(Skills!E6=TRUE,Inputs!$B$32,0)))*(1-IF(AND(ArtifactsInput!$M$27,Inputs!$B$4="Chapter Hunt"),CHOOSE(ArtifactsInput!$N$27+1,20,24,28,32,36,40),0)/100)))+1)),0)</f>
        <v/>
      </c>
      <c r="S2091">
        <f>IFERROR(O2091/N2091,0)</f>
        <v/>
      </c>
      <c r="T2091">
        <f>IF(C2091,(H2091*N2091*IF(AND(Inputs!$B$38&lt;&gt;"pvp",Inputs!$B$43&gt;0),((Skills!G6*((R2091-1)*IF(Skills!H6&gt;0,Skills!I6/Skills!H6,1)+IF(Skills!H6&gt;0,MIN(Skills!I6,MAX(0,MAX(0,Inputs!$B$43-B2117)-((R2091-1)*(IF(Inputs!$B$38="pvp",15,MAX(0.1,Skills!D6-IF(Skills!E6=TRUE,Inputs!$B$32,0)))*(1-IF(AND(ArtifactsInput!$M$27,Inputs!$B$4="Chapter Hunt"),CHOOSE(ArtifactsInput!$N$27+1,20,24,28,32,36,40),0)/100)))))/Skills!H6,1)))/Inputs!$B$43),G2091*Q2091)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2091*(1-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1">
        <f>IF(C2091,(H2091*N2091*IF(AND(Inputs!$B$38&lt;&gt;"pvp",Inputs!$B$43&gt;0),((Skills!G6*((R2091-1)*IF(Skills!H6&gt;0,Skills!I6/Skills!H6,1)+IF(Skills!H6&gt;0,MIN(Skills!I6,MAX(0,MAX(0,Inputs!$B$43-B2117)-((R2091-1)*(IF(Inputs!$B$38="pvp",15,MAX(0.1,Skills!D6-IF(Skills!E6=TRUE,Inputs!$B$32,0)))*(1-IF(AND(ArtifactsInput!$M$27,Inputs!$B$4="Chapter Hunt"),CHOOSE(ArtifactsInput!$N$27+1,20,24,28,32,36,40),0)/100)))))/Skills!H6,1)))/Inputs!$B$43),G2091*Q2091))*IF(Inputs!$B$38="pvp",1,(1+(Inputs!$B$21+Skills!Q6+(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2">
      <c r="A2092">
        <f>Skills!A7</f>
        <v/>
      </c>
      <c r="B2092">
        <f>Skills!B7</f>
        <v/>
      </c>
      <c r="C2092">
        <f>Inputs!$B$3&gt;=100</f>
        <v/>
      </c>
      <c r="D2092">
        <f>IF(Skills!C7=1,60+Inputs!$B$25+Inputs!$B$29,IF(Skills!C7=2,90+Inputs!$B$26+Inputs!$B$29,IF(Skills!C7=3,120+Inputs!$B$27+Inputs!$B$29,MAX(0,(Inputs!$B$3-100)*3)+Inputs!$B$28+Inputs!$B$29)))</f>
        <v/>
      </c>
      <c r="E2092">
        <f>INDEX(FactorTable!$B$2:$Y$301, MATCH(ROUND(MIN(300,MAX(1,D2092)),0), FactorTable!$A$2:$A$301,0), Skills!M7+1)</f>
        <v/>
      </c>
      <c r="F2092">
        <f>IF(Skills!N7=TRUE,(Skills!L7/10)*(E2092/1000),Skills!L7/10)+Skills!O7</f>
        <v/>
      </c>
      <c r="G2092">
        <f>Skills!G7*IF(Skills!H7&gt;0,Skills!I7/Skills!H7,1)</f>
        <v/>
      </c>
      <c r="H2092">
        <f>1-(1-Skills!J7/100)^Skills!K7</f>
        <v/>
      </c>
      <c r="I2092" t="inlineStr">
        <is>
          <t>1</t>
        </is>
      </c>
      <c r="J2092">
        <f>((Inputs!$B$6*(1+Inputs!$B$7/100))+(((Inputs!$B$12*(1+Inputs!$B$13/100))-(Inputs!$B$12*(1+Inputs!$B$13/100)))+0.25*(Inputs!$B$14-Inputs!$B$14))*(1+Inputs!$B$7/100))*(F2092/100)</f>
        <v/>
      </c>
      <c r="K2092">
        <f>J2092*(1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2092)</f>
        <v/>
      </c>
      <c r="L2092">
        <f>K2092*(MIN(Inputs!$B$22+((C2105=TRUE)*(F2105-Calc!F20)),(Inputs!$B$23+0+(IF(ArtifactsInput!$M$15,CHOOSE(ArtifactsInput!$N$15+1,25,30,35,40,45,50)/100*(Inputs!$B$11-Inputs!$B$11),0))))/100+(Inputs!$B$23+0+(IF(ArtifactsInput!$M$15,CHOOSE(ArtifactsInput!$N$15+1,25,30,35,40,45,50)/100*(Inputs!$B$11-Inputs!$B$11),0)))/100)/2</f>
        <v/>
      </c>
      <c r="M2092">
        <f>L2092*(1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2">
        <f>L2092*(1-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2092*(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2">
        <f>(1-Summary!$B$11)*T2092+Summary!$B$11*V2092</f>
        <v/>
      </c>
      <c r="P2092">
        <f>IF(B2120=0,0,O2092/B2120)</f>
        <v/>
      </c>
      <c r="Q2092">
        <f>IFERROR(1/(IF(Inputs!$B$38="pvp",15,MAX(0.1,Skills!D7-IF(Skills!E7=TRUE,Inputs!$B$32,0)))*(1-IF(AND(ArtifactsInput!$M$27,Inputs!$B$4="Chapter Hunt"),CHOOSE(ArtifactsInput!$N$27+1,20,24,28,32,36,40),0)/100)),0)</f>
        <v/>
      </c>
      <c r="R2092">
        <f>IF(AND(Inputs!$B$38&lt;&gt;"pvp",Inputs!$B$43&gt;0),IF(MAX(0,Inputs!$B$43-B2117)&lt;=0,0,(INT(MAX(0,Inputs!$B$43-B2117)/(IF(Inputs!$B$38="pvp",15,MAX(0.1,Skills!D7-IF(Skills!E7=TRUE,Inputs!$B$32,0)))*(1-IF(AND(ArtifactsInput!$M$27,Inputs!$B$4="Chapter Hunt"),CHOOSE(ArtifactsInput!$N$27+1,20,24,28,32,36,40),0)/100)))+1)),0)</f>
        <v/>
      </c>
      <c r="S2092">
        <f>IFERROR(O2092/N2092,0)</f>
        <v/>
      </c>
      <c r="T2092">
        <f>IF(C2092,(H2092*N2092*IF(AND(Inputs!$B$38&lt;&gt;"pvp",Inputs!$B$43&gt;0),((Skills!G7*((R2092-1)*IF(Skills!H7&gt;0,Skills!I7/Skills!H7,1)+IF(Skills!H7&gt;0,MIN(Skills!I7,MAX(0,MAX(0,Inputs!$B$43-B2117)-((R2092-1)*(IF(Inputs!$B$38="pvp",15,MAX(0.1,Skills!D7-IF(Skills!E7=TRUE,Inputs!$B$32,0)))*(1-IF(AND(ArtifactsInput!$M$27,Inputs!$B$4="Chapter Hunt"),CHOOSE(ArtifactsInput!$N$27+1,20,24,28,32,36,40),0)/100)))))/Skills!H7,1)))/Inputs!$B$43),G2092*Q2092)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2092*(1-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2092*(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2092*(1-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2092*(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2">
        <f>IF(C2092,(H2092*N2092*IF(AND(Inputs!$B$38&lt;&gt;"pvp",Inputs!$B$43&gt;0),((Skills!G7*((R2092-1)*IF(Skills!H7&gt;0,Skills!I7/Skills!H7,1)+IF(Skills!H7&gt;0,MIN(Skills!I7,MAX(0,MAX(0,Inputs!$B$43-B2117)-((R2092-1)*(IF(Inputs!$B$38="pvp",15,MAX(0.1,Skills!D7-IF(Skills!E7=TRUE,Inputs!$B$32,0)))*(1-IF(AND(ArtifactsInput!$M$27,Inputs!$B$4="Chapter Hunt"),CHOOSE(ArtifactsInput!$N$27+1,20,24,28,32,36,40),0)/100)))))/Skills!H7,1)))/Inputs!$B$43),G2092*Q2092))*IF(Inputs!$B$38="pvp",1,(1+(Inputs!$B$21+Skills!Q7+(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3">
      <c r="A2093">
        <f>Skills!A8</f>
        <v/>
      </c>
      <c r="B2093">
        <f>Skills!B8</f>
        <v/>
      </c>
      <c r="C2093">
        <f>Inputs!$B$3&gt;=110</f>
        <v/>
      </c>
      <c r="D2093">
        <f>IF(Skills!C8=1,60+Inputs!$B$25+Inputs!$B$29,IF(Skills!C8=2,90+Inputs!$B$26+Inputs!$B$29,IF(Skills!C8=3,120+Inputs!$B$27+Inputs!$B$29,MAX(0,(Inputs!$B$3-100)*3)+Inputs!$B$28+Inputs!$B$29)))</f>
        <v/>
      </c>
      <c r="E2093">
        <f>INDEX(FactorTable!$B$2:$Y$301, MATCH(ROUND(MIN(300,MAX(1,D2093)),0), FactorTable!$A$2:$A$301,0), Skills!M8+1)</f>
        <v/>
      </c>
      <c r="F2093">
        <f>IF(Skills!N8=TRUE,(Skills!L8/10)*(E2093/1000),Skills!L8/10)+Skills!O8</f>
        <v/>
      </c>
      <c r="G2093">
        <f>Skills!G8*IF(Skills!H8&gt;0,Skills!I8/Skills!H8,1)</f>
        <v/>
      </c>
      <c r="H2093">
        <f>1-(1-Skills!J8/100)^Skills!K8</f>
        <v/>
      </c>
      <c r="I2093" t="inlineStr">
        <is>
          <t>1</t>
        </is>
      </c>
      <c r="J2093">
        <f>((Inputs!$B$6*(1+Inputs!$B$7/100))+(((Inputs!$B$12*(1+Inputs!$B$13/100))-(Inputs!$B$12*(1+Inputs!$B$13/100)))+0.25*(Inputs!$B$14-Inputs!$B$14))*(1+Inputs!$B$7/100))*(F2093/100)</f>
        <v/>
      </c>
      <c r="K2093">
        <f>J2093*(1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2093)</f>
        <v/>
      </c>
      <c r="L2093">
        <f>K2093*(MIN(Inputs!$B$22+((C2105=TRUE)*(F2105-Calc!F20)),(Inputs!$B$23+0+(IF(ArtifactsInput!$M$15,CHOOSE(ArtifactsInput!$N$15+1,25,30,35,40,45,50)/100*(Inputs!$B$11-Inputs!$B$11),0))))/100+(Inputs!$B$23+0+(IF(ArtifactsInput!$M$15,CHOOSE(ArtifactsInput!$N$15+1,25,30,35,40,45,50)/100*(Inputs!$B$11-Inputs!$B$11),0)))/100)/2</f>
        <v/>
      </c>
      <c r="M2093">
        <f>L2093*(1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3">
        <f>L2093*(1-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2093*(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3">
        <f>(1-Summary!$B$11)*T2093+Summary!$B$11*V2093</f>
        <v/>
      </c>
      <c r="P2093">
        <f>IF(B2120=0,0,O2093/B2120)</f>
        <v/>
      </c>
      <c r="Q2093">
        <f>IFERROR(1/(IF(Inputs!$B$38="pvp",15,MAX(0.1,Skills!D8-IF(Skills!E8=TRUE,Inputs!$B$32,0)))*(1-IF(AND(ArtifactsInput!$M$27,Inputs!$B$4="Chapter Hunt"),CHOOSE(ArtifactsInput!$N$27+1,20,24,28,32,36,40),0)/100)),0)</f>
        <v/>
      </c>
      <c r="R2093">
        <f>IF(AND(Inputs!$B$38&lt;&gt;"pvp",Inputs!$B$43&gt;0),IF(MAX(0,Inputs!$B$43-B2117)&lt;=0,0,(INT(MAX(0,Inputs!$B$43-B2117)/(IF(Inputs!$B$38="pvp",15,MAX(0.1,Skills!D8-IF(Skills!E8=TRUE,Inputs!$B$32,0)))*(1-IF(AND(ArtifactsInput!$M$27,Inputs!$B$4="Chapter Hunt"),CHOOSE(ArtifactsInput!$N$27+1,20,24,28,32,36,40),0)/100)))+1)),0)</f>
        <v/>
      </c>
      <c r="S2093">
        <f>IFERROR(O2093/N2093,0)</f>
        <v/>
      </c>
      <c r="T2093">
        <f>IF(C2093,(H2093*N2093*IF(AND(Inputs!$B$38&lt;&gt;"pvp",Inputs!$B$43&gt;0),((Skills!G8*((R2093-1)*IF(Skills!H8&gt;0,Skills!I8/Skills!H8,1)+IF(Skills!H8&gt;0,MIN(Skills!I8,MAX(0,MAX(0,Inputs!$B$43-B2117)-((R2093-1)*(IF(Inputs!$B$38="pvp",15,MAX(0.1,Skills!D8-IF(Skills!E8=TRUE,Inputs!$B$32,0)))*(1-IF(AND(ArtifactsInput!$M$27,Inputs!$B$4="Chapter Hunt"),CHOOSE(ArtifactsInput!$N$27+1,20,24,28,32,36,40),0)/100)))))/Skills!H8,1)))/Inputs!$B$43),G2093*Q2093)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2093*(1-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2093*(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2093*(1-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2093*(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3">
        <f>IF(C2093,(H2093*N2093*IF(AND(Inputs!$B$38&lt;&gt;"pvp",Inputs!$B$43&gt;0),((Skills!G8*((R2093-1)*IF(Skills!H8&gt;0,Skills!I8/Skills!H8,1)+IF(Skills!H8&gt;0,MIN(Skills!I8,MAX(0,MAX(0,Inputs!$B$43-B2117)-((R2093-1)*(IF(Inputs!$B$38="pvp",15,MAX(0.1,Skills!D8-IF(Skills!E8=TRUE,Inputs!$B$32,0)))*(1-IF(AND(ArtifactsInput!$M$27,Inputs!$B$4="Chapter Hunt"),CHOOSE(ArtifactsInput!$N$27+1,20,24,28,32,36,40),0)/100)))))/Skills!H8,1)))/Inputs!$B$43),G2093*Q2093))*IF(Inputs!$B$38="pvp",1,(1+(Inputs!$B$21+Skills!Q8+(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4">
      <c r="A2094">
        <f>Skills!A9</f>
        <v/>
      </c>
      <c r="B2094">
        <f>Skills!B9</f>
        <v/>
      </c>
      <c r="C2094">
        <f>Inputs!$B$3&gt;=110</f>
        <v/>
      </c>
      <c r="D2094">
        <f>IF(Skills!C9=1,60+Inputs!$B$25+Inputs!$B$29,IF(Skills!C9=2,90+Inputs!$B$26+Inputs!$B$29,IF(Skills!C9=3,120+Inputs!$B$27+Inputs!$B$29,MAX(0,(Inputs!$B$3-100)*3)+Inputs!$B$28+Inputs!$B$29)))</f>
        <v/>
      </c>
      <c r="E2094">
        <f>INDEX(FactorTable!$B$2:$Y$301, MATCH(ROUND(MIN(300,MAX(1,D2094)),0), FactorTable!$A$2:$A$301,0), Skills!M9+1)</f>
        <v/>
      </c>
      <c r="F2094">
        <f>IF(Skills!N9=TRUE,(Skills!L9/10)*(E2094/1000),Skills!L9/10)+Skills!O9</f>
        <v/>
      </c>
      <c r="G2094">
        <f>Skills!G9*IF(Skills!H9&gt;0,Skills!I9/Skills!H9,1)</f>
        <v/>
      </c>
      <c r="H2094">
        <f>1-(1-Skills!J9/100)^Skills!K9</f>
        <v/>
      </c>
      <c r="I2094" t="inlineStr">
        <is>
          <t>1</t>
        </is>
      </c>
      <c r="J2094">
        <f>((Inputs!$B$6*(1+Inputs!$B$7/100))+(((Inputs!$B$12*(1+Inputs!$B$13/100))-(Inputs!$B$12*(1+Inputs!$B$13/100)))+0.25*(Inputs!$B$14-Inputs!$B$14))*(1+Inputs!$B$7/100))*(F2094/100)</f>
        <v/>
      </c>
      <c r="K2094">
        <f>J2094*(1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2094)</f>
        <v/>
      </c>
      <c r="L2094">
        <f>K2094*(MIN(Inputs!$B$22+((C2105=TRUE)*(F2105-Calc!F20)),(Inputs!$B$23+0+(IF(ArtifactsInput!$M$15,CHOOSE(ArtifactsInput!$N$15+1,25,30,35,40,45,50)/100*(Inputs!$B$11-Inputs!$B$11),0))))/100+(Inputs!$B$23+0+(IF(ArtifactsInput!$M$15,CHOOSE(ArtifactsInput!$N$15+1,25,30,35,40,45,50)/100*(Inputs!$B$11-Inputs!$B$11),0)))/100)/2</f>
        <v/>
      </c>
      <c r="M2094">
        <f>L2094*(1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4">
        <f>L2094*(1-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IF(B2120=0,0,O2094/B2120)</f>
        <v/>
      </c>
      <c r="Q2094">
        <f>IFERROR(1/(IF(Inputs!$B$38="pvp",15,MAX(0.1,Skills!D9-IF(Skills!E9=TRUE,Inputs!$B$32,0)))*(1-IF(AND(ArtifactsInput!$M$27,Inputs!$B$4="Chapter Hunt"),CHOOSE(ArtifactsInput!$N$27+1,20,24,28,32,36,40),0)/100)),0)</f>
        <v/>
      </c>
      <c r="R2094">
        <f>IF(AND(Inputs!$B$38&lt;&gt;"pvp",Inputs!$B$43&gt;0),IF(MAX(0,Inputs!$B$43-B2117)&lt;=0,0,(INT(MAX(0,Inputs!$B$43-B2117)/(IF(Inputs!$B$38="pvp",15,MAX(0.1,Skills!D9-IF(Skills!E9=TRUE,Inputs!$B$32,0)))*(1-IF(AND(ArtifactsInput!$M$27,Inputs!$B$4="Chapter Hunt"),CHOOSE(ArtifactsInput!$N$27+1,20,24,28,32,36,40),0)/100)))+1)),0)</f>
        <v/>
      </c>
      <c r="S2094">
        <f>IFERROR(O2094/N2094,0)</f>
        <v/>
      </c>
      <c r="T2094">
        <f>IF(C2094,(H2094*N2094*IF(AND(Inputs!$B$38&lt;&gt;"pvp",Inputs!$B$43&gt;0),((Skills!G9*((R2094-1)*IF(Skills!H9&gt;0,Skills!I9/Skills!H9,1)+IF(Skills!H9&gt;0,MIN(Skills!I9,MAX(0,MAX(0,Inputs!$B$43-B2117)-((R2094-1)*(IF(Inputs!$B$38="pvp",15,MAX(0.1,Skills!D9-IF(Skills!E9=TRUE,Inputs!$B$32,0)))*(1-IF(AND(ArtifactsInput!$M$27,Inputs!$B$4="Chapter Hunt"),CHOOSE(ArtifactsInput!$N$27+1,20,24,28,32,36,40),0)/100)))))/Skills!H9,1)))/Inputs!$B$43),G2094*Q2094)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2094*(1-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4">
        <f>IF(C2094,(H2094*N2094*IF(AND(Inputs!$B$38&lt;&gt;"pvp",Inputs!$B$43&gt;0),((Skills!G9*((R2094-1)*IF(Skills!H9&gt;0,Skills!I9/Skills!H9,1)+IF(Skills!H9&gt;0,MIN(Skills!I9,MAX(0,MAX(0,Inputs!$B$43-B2117)-((R2094-1)*(IF(Inputs!$B$38="pvp",15,MAX(0.1,Skills!D9-IF(Skills!E9=TRUE,Inputs!$B$32,0)))*(1-IF(AND(ArtifactsInput!$M$27,Inputs!$B$4="Chapter Hunt"),CHOOSE(ArtifactsInput!$N$27+1,20,24,28,32,36,40),0)/100)))))/Skills!H9,1)))/Inputs!$B$43),G2094*Q2094))*IF(Inputs!$B$38="pvp",1,(1+(Inputs!$B$21+Skills!Q9+(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Skills!A10</f>
        <v/>
      </c>
      <c r="B2095">
        <f>Skills!B10</f>
        <v/>
      </c>
      <c r="C2095">
        <f>Inputs!$B$3&gt;=103</f>
        <v/>
      </c>
      <c r="D2095">
        <f>IF(Skills!C10=1,60+Inputs!$B$25+Inputs!$B$29,IF(Skills!C10=2,90+Inputs!$B$26+Inputs!$B$29,IF(Skills!C10=3,120+Inputs!$B$27+Inputs!$B$29,MAX(0,(Inputs!$B$3-100)*3)+Inputs!$B$28+Inputs!$B$29)))</f>
        <v/>
      </c>
      <c r="E2095">
        <f>INDEX(FactorTable!$B$2:$Y$301, MATCH(ROUND(MIN(300,MAX(1,D2095)),0), FactorTable!$A$2:$A$301,0), Skills!M10+1)</f>
        <v/>
      </c>
      <c r="F2095">
        <f>IF(Skills!N10=TRUE,(Skills!L10/10)*(E2095/1000),Skills!L10/10)+Skills!O10</f>
        <v/>
      </c>
      <c r="G2095">
        <f>Skills!G10*IF(Skills!H10&gt;0,Skills!I10/Skills!H10,1)</f>
        <v/>
      </c>
      <c r="H2095">
        <f>1-(1-Skills!J10/100)^Skills!K10</f>
        <v/>
      </c>
      <c r="I2095" t="inlineStr">
        <is>
          <t>1</t>
        </is>
      </c>
      <c r="J2095">
        <f>((Inputs!$B$6*(1+Inputs!$B$7/100))+(((Inputs!$B$12*(1+Inputs!$B$13/100))-(Inputs!$B$12*(1+Inputs!$B$13/100)))+0.25*(Inputs!$B$14-Inputs!$B$14))*(1+Inputs!$B$7/100))*(F2095/100)</f>
        <v/>
      </c>
      <c r="K2095">
        <f>J2095*(1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2095)</f>
        <v/>
      </c>
      <c r="L2095">
        <f>K2095*(MIN(Inputs!$B$22+((C2105=TRUE)*(F2105-Calc!F20)),(Inputs!$B$23+0+(IF(ArtifactsInput!$M$15,CHOOSE(ArtifactsInput!$N$15+1,25,30,35,40,45,50)/100*(Inputs!$B$11-Inputs!$B$11),0))))/100+(Inputs!$B$23+0+(IF(ArtifactsInput!$M$15,CHOOSE(ArtifactsInput!$N$15+1,25,30,35,40,45,50)/100*(Inputs!$B$11-Inputs!$B$11),0)))/100)/2</f>
        <v/>
      </c>
      <c r="M2095">
        <f>L2095*(1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IF(B2120=0,0,O2095/B2120)</f>
        <v/>
      </c>
      <c r="Q2095">
        <f>IFERROR(1/(IF(Inputs!$B$38="pvp",15,MAX(0.1,Skills!D10-IF(Skills!E10=TRUE,Inputs!$B$32,0)))*(1-IF(AND(ArtifactsInput!$M$27,Inputs!$B$4="Chapter Hunt"),CHOOSE(ArtifactsInput!$N$27+1,20,24,28,32,36,40),0)/100)),0)</f>
        <v/>
      </c>
      <c r="R2095">
        <f>IF(AND(Inputs!$B$38&lt;&gt;"pvp",Inputs!$B$43&gt;0),IF(MAX(0,Inputs!$B$43-B2117)&lt;=0,0,(INT(MAX(0,Inputs!$B$43-B2117)/(IF(Inputs!$B$38="pvp",15,MAX(0.1,Skills!D10-IF(Skills!E10=TRUE,Inputs!$B$32,0)))*(1-IF(AND(ArtifactsInput!$M$27,Inputs!$B$4="Chapter Hunt"),CHOOSE(ArtifactsInput!$N$27+1,20,24,28,32,36,40),0)/100)))+1)),0)</f>
        <v/>
      </c>
      <c r="S2095">
        <f>IFERROR(O2095/N2095,0)</f>
        <v/>
      </c>
      <c r="T2095">
        <f>IF(C2095,(H2095*N2095*IF(AND(Inputs!$B$38&lt;&gt;"pvp",Inputs!$B$43&gt;0),((Skills!G10*((R2095-1)*IF(Skills!H10&gt;0,Skills!I10/Skills!H10,1)+IF(Skills!H10&gt;0,MIN(Skills!I10,MAX(0,MAX(0,Inputs!$B$43-B2117)-((R2095-1)*(IF(Inputs!$B$38="pvp",15,MAX(0.1,Skills!D10-IF(Skills!E10=TRUE,Inputs!$B$32,0)))*(1-IF(AND(ArtifactsInput!$M$27,Inputs!$B$4="Chapter Hunt"),CHOOSE(ArtifactsInput!$N$27+1,20,24,28,32,36,40),0)/100)))))/Skills!H10,1)))/Inputs!$B$43),G2095*Q2095)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2095*(1-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5">
        <f>IF(C2095,(H2095*N2095*IF(AND(Inputs!$B$38&lt;&gt;"pvp",Inputs!$B$43&gt;0),((Skills!G10*((R2095-1)*IF(Skills!H10&gt;0,Skills!I10/Skills!H10,1)+IF(Skills!H10&gt;0,MIN(Skills!I10,MAX(0,MAX(0,Inputs!$B$43-B2117)-((R2095-1)*(IF(Inputs!$B$38="pvp",15,MAX(0.1,Skills!D10-IF(Skills!E10=TRUE,Inputs!$B$32,0)))*(1-IF(AND(ArtifactsInput!$M$27,Inputs!$B$4="Chapter Hunt"),CHOOSE(ArtifactsInput!$N$27+1,20,24,28,32,36,40),0)/100)))))/Skills!H10,1)))/Inputs!$B$43),G2095*Q2095))*IF(Inputs!$B$38="pvp",1,(1+(Inputs!$B$21+Skills!Q10+(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Skills!A11</f>
        <v/>
      </c>
      <c r="B2096">
        <f>Skills!B11</f>
        <v/>
      </c>
      <c r="C2096">
        <f>Inputs!$B$3&gt;=113</f>
        <v/>
      </c>
      <c r="D2096">
        <f>IF(Skills!C11=1,60+Inputs!$B$25+Inputs!$B$29,IF(Skills!C11=2,90+Inputs!$B$26+Inputs!$B$29,IF(Skills!C11=3,120+Inputs!$B$27+Inputs!$B$29,MAX(0,(Inputs!$B$3-100)*3)+Inputs!$B$28+Inputs!$B$29)))</f>
        <v/>
      </c>
      <c r="E2096">
        <f>INDEX(FactorTable!$B$2:$Y$301, MATCH(ROUND(MIN(300,MAX(1,D2096)),0), FactorTable!$A$2:$A$301,0), Skills!M11+1)</f>
        <v/>
      </c>
      <c r="F2096">
        <f>IF(Skills!N11=TRUE,(Skills!L11/10)*(E2096/1000),Skills!L11/10)+Skills!O11</f>
        <v/>
      </c>
      <c r="G2096">
        <f>Skills!G11*IF(Skills!H11&gt;0,Skills!I11/Skills!H11,1)</f>
        <v/>
      </c>
      <c r="H2096">
        <f>1-(1-Skills!J11/100)^Skills!K11</f>
        <v/>
      </c>
      <c r="I2096" t="inlineStr">
        <is>
          <t>1</t>
        </is>
      </c>
      <c r="J2096">
        <f>((Inputs!$B$6*(1+Inputs!$B$7/100))+(((Inputs!$B$12*(1+Inputs!$B$13/100))-(Inputs!$B$12*(1+Inputs!$B$13/100)))+0.25*(Inputs!$B$14-Inputs!$B$14))*(1+Inputs!$B$7/100))*(F2096/100)</f>
        <v/>
      </c>
      <c r="K2096">
        <f>J2096*(1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
      </c>
      <c r="L2096">
        <f>K2096*(MIN(Inputs!$B$22+((C2105=TRUE)*(F2105-Calc!F20)),(Inputs!$B$23+0+(IF(ArtifactsInput!$M$15,CHOOSE(ArtifactsInput!$N$15+1,25,30,35,40,45,50)/100*(Inputs!$B$11-Inputs!$B$11),0))))/100+(Inputs!$B$23+0+(IF(ArtifactsInput!$M$15,CHOOSE(ArtifactsInput!$N$15+1,25,30,35,40,45,50)/100*(Inputs!$B$11-Inputs!$B$11),0)))/100)/2</f>
        <v/>
      </c>
      <c r="M2096">
        <f>L2096*(1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IF(B2120=0,0,O2096/B2120)</f>
        <v/>
      </c>
      <c r="Q2096">
        <f>IFERROR(1/(IF(Inputs!$B$38="pvp",15,MAX(0.1,Skills!D11-IF(Skills!E11=TRUE,Inputs!$B$32,0)))*(1-IF(AND(ArtifactsInput!$M$27,Inputs!$B$4="Chapter Hunt"),CHOOSE(ArtifactsInput!$N$27+1,20,24,28,32,36,40),0)/100)),0)</f>
        <v/>
      </c>
      <c r="R2096">
        <f>IF(AND(Inputs!$B$38&lt;&gt;"pvp",Inputs!$B$43&gt;0),IF(MAX(0,Inputs!$B$43-B2117)&lt;=0,0,(INT(MAX(0,Inputs!$B$43-B2117)/(IF(Inputs!$B$38="pvp",15,MAX(0.1,Skills!D11-IF(Skills!E11=TRUE,Inputs!$B$32,0)))*(1-IF(AND(ArtifactsInput!$M$27,Inputs!$B$4="Chapter Hunt"),CHOOSE(ArtifactsInput!$N$27+1,20,24,28,32,36,40),0)/100)))+1)),0)</f>
        <v/>
      </c>
      <c r="S2096">
        <f>IFERROR(O2096/N2096,0)</f>
        <v/>
      </c>
      <c r="T2096">
        <f>IF(C2096,(H2096*N2096*IF(AND(Inputs!$B$38&lt;&gt;"pvp",Inputs!$B$43&gt;0),((Skills!G11*((R2096-1)*IF(Skills!H11&gt;0,Skills!I11/Skills!H11,1)+IF(Skills!H11&gt;0,MIN(Skills!I11,MAX(0,MAX(0,Inputs!$B$43-B2117)-((R2096-1)*(IF(Inputs!$B$38="pvp",15,MAX(0.1,Skills!D11-IF(Skills!E11=TRUE,Inputs!$B$32,0)))*(1-IF(AND(ArtifactsInput!$M$27,Inputs!$B$4="Chapter Hunt"),CHOOSE(ArtifactsInput!$N$27+1,20,24,28,32,36,40),0)/100)))))/Skills!H11,1)))/Inputs!$B$43),G2096*Q2096)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2096*(1-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6">
        <f>IF(C2096,(H2096*N2096*IF(AND(Inputs!$B$38&lt;&gt;"pvp",Inputs!$B$43&gt;0),((Skills!G11*((R2096-1)*IF(Skills!H11&gt;0,Skills!I11/Skills!H11,1)+IF(Skills!H11&gt;0,MIN(Skills!I11,MAX(0,MAX(0,Inputs!$B$43-B2117)-((R2096-1)*(IF(Inputs!$B$38="pvp",15,MAX(0.1,Skills!D11-IF(Skills!E11=TRUE,Inputs!$B$32,0)))*(1-IF(AND(ArtifactsInput!$M$27,Inputs!$B$4="Chapter Hunt"),CHOOSE(ArtifactsInput!$N$27+1,20,24,28,32,36,40),0)/100)))))/Skills!H11,1)))/Inputs!$B$43),G2096*Q2096))*IF(Inputs!$B$38="pvp",1,(1+(Inputs!$B$21+Skills!Q11+(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Skills!A12</f>
        <v/>
      </c>
      <c r="B2097">
        <f>Skills!B12</f>
        <v/>
      </c>
      <c r="C2097">
        <f>Inputs!$B$3&gt;=100</f>
        <v/>
      </c>
      <c r="D2097">
        <f>IF(Skills!C12=1,60+Inputs!$B$25+Inputs!$B$29,IF(Skills!C12=2,90+Inputs!$B$26+Inputs!$B$29,IF(Skills!C12=3,120+Inputs!$B$27+Inputs!$B$29,MAX(0,(Inputs!$B$3-100)*3)+Inputs!$B$28+Inputs!$B$29)))</f>
        <v/>
      </c>
      <c r="E2097">
        <f>INDEX(FactorTable!$B$2:$Y$301, MATCH(ROUND(MIN(300,MAX(1,D2097)),0), FactorTable!$A$2:$A$301,0), Skills!M12+1)</f>
        <v/>
      </c>
      <c r="F2097">
        <f>IF(Skills!N12=TRUE,(Skills!L12/10)*(E2097/1000),Skills!L12/10)+Skills!O12</f>
        <v/>
      </c>
      <c r="G2097" t="inlineStr"/>
      <c r="H2097" t="inlineStr"/>
      <c r="I2097" t="inlineStr">
        <is>
          <t>1</t>
        </is>
      </c>
      <c r="J2097" t="inlineStr"/>
      <c r="K2097" t="inlineStr"/>
      <c r="L2097" t="inlineStr"/>
      <c r="M2097" t="inlineStr"/>
      <c r="N2097" t="inlineStr"/>
      <c r="O2097" t="inlineStr"/>
      <c r="P2097" t="inlineStr"/>
      <c r="Q2097" t="inlineStr"/>
      <c r="R2097" t="inlineStr"/>
      <c r="S2097" t="inlineStr"/>
      <c r="T2097" t="inlineStr"/>
      <c r="V2097" t="inlineStr"/>
    </row>
    <row r="2098">
      <c r="A2098">
        <f>Skills!A13</f>
        <v/>
      </c>
      <c r="B2098">
        <f>Skills!B13</f>
        <v/>
      </c>
      <c r="C2098">
        <f>Inputs!$B$3&gt;=66</f>
        <v/>
      </c>
      <c r="D2098">
        <f>IF(Skills!C13=1,60+Inputs!$B$25+Inputs!$B$29,IF(Skills!C13=2,90+Inputs!$B$26+Inputs!$B$29,IF(Skills!C13=3,120+Inputs!$B$27+Inputs!$B$29,MAX(0,(Inputs!$B$3-100)*3)+Inputs!$B$28+Inputs!$B$29)))</f>
        <v/>
      </c>
      <c r="E2098">
        <f>INDEX(FactorTable!$B$2:$Y$301, MATCH(ROUND(MIN(300,MAX(1,D2098)),0), FactorTable!$A$2:$A$301,0), Skills!M13+1)</f>
        <v/>
      </c>
      <c r="F2098">
        <f>IF(Skills!N13=TRUE,(Skills!L13/10)*(E2098/1000),Skills!L13/10)+Skills!O13</f>
        <v/>
      </c>
      <c r="G2098">
        <f>Skills!G13*IF(Skills!H13&gt;0,Skills!I13/Skills!H13,1)</f>
        <v/>
      </c>
      <c r="H2098">
        <f>1-(1-Skills!J13/100)^Skills!K13</f>
        <v/>
      </c>
      <c r="I2098" t="inlineStr">
        <is>
          <t>1</t>
        </is>
      </c>
      <c r="J2098" t="inlineStr"/>
      <c r="K2098" t="inlineStr"/>
      <c r="L2098" t="inlineStr"/>
      <c r="M2098" t="inlineStr"/>
      <c r="N2098" t="inlineStr"/>
      <c r="O2098">
        <f>(1-Summary!$B$11)*T2098+Summary!$B$11*V2098</f>
        <v/>
      </c>
      <c r="P2098">
        <f>IF(B2120=0,0,O2098/B2120)</f>
        <v/>
      </c>
      <c r="Q2098" t="n">
        <v>0</v>
      </c>
      <c r="R2098" t="n">
        <v>0</v>
      </c>
      <c r="S2098">
        <f>IFERROR(O2098/N2098,0)</f>
        <v/>
      </c>
      <c r="T2098" t="n">
        <v>0</v>
      </c>
      <c r="V2098" t="n">
        <v>0</v>
      </c>
    </row>
    <row r="2099">
      <c r="A2099">
        <f>Skills!A14</f>
        <v/>
      </c>
      <c r="B2099">
        <f>Skills!B14</f>
        <v/>
      </c>
      <c r="C2099">
        <f>Inputs!$B$3&gt;=107</f>
        <v/>
      </c>
      <c r="D2099">
        <f>IF(Skills!C14=1,60+Inputs!$B$25+Inputs!$B$29,IF(Skills!C14=2,90+Inputs!$B$26+Inputs!$B$29,IF(Skills!C14=3,120+Inputs!$B$27+Inputs!$B$29,MAX(0,(Inputs!$B$3-100)*3)+Inputs!$B$28+Inputs!$B$29)))</f>
        <v/>
      </c>
      <c r="E2099">
        <f>INDEX(FactorTable!$B$2:$Y$301, MATCH(ROUND(MIN(300,MAX(1,D2099)),0), FactorTable!$A$2:$A$301,0), Skills!M14+1)</f>
        <v/>
      </c>
      <c r="F2099">
        <f>IF(Skills!N14=TRUE,(Skills!L14/10)*(E2099/1000),Skills!L14/10)+Skills!O14</f>
        <v/>
      </c>
      <c r="G2099">
        <f>Skills!G14*IF(Skills!H14&gt;0,Skills!I14/Skills!H14,1)</f>
        <v/>
      </c>
      <c r="H2099">
        <f>1-(1-Skills!J14/100)^Skills!K14</f>
        <v/>
      </c>
      <c r="I2099" t="inlineStr">
        <is>
          <t>1</t>
        </is>
      </c>
      <c r="J2099" t="inlineStr"/>
      <c r="K2099" t="inlineStr"/>
      <c r="L2099" t="inlineStr"/>
      <c r="M2099" t="inlineStr"/>
      <c r="N2099" t="inlineStr"/>
      <c r="O2099">
        <f>(1-Summary!$B$11)*T2099+Summary!$B$11*V2099</f>
        <v/>
      </c>
      <c r="P2099">
        <f>IF(B2120=0,0,O2099/B2120)</f>
        <v/>
      </c>
      <c r="Q2099" t="n">
        <v>0</v>
      </c>
      <c r="R2099" t="n">
        <v>0</v>
      </c>
      <c r="S2099">
        <f>IFERROR(O2099/N2099,0)</f>
        <v/>
      </c>
      <c r="T2099" t="n">
        <v>0</v>
      </c>
      <c r="V2099" t="n">
        <v>0</v>
      </c>
    </row>
    <row r="2100">
      <c r="A2100">
        <f>Skills!A15</f>
        <v/>
      </c>
      <c r="B2100">
        <f>Skills!B15</f>
        <v/>
      </c>
      <c r="C2100">
        <f>Inputs!$B$3&gt;=115</f>
        <v/>
      </c>
      <c r="D2100">
        <f>IF(Skills!C15=1,60+Inputs!$B$25+Inputs!$B$29,IF(Skills!C15=2,90+Inputs!$B$26+Inputs!$B$29,IF(Skills!C15=3,120+Inputs!$B$27+Inputs!$B$29,MAX(0,(Inputs!$B$3-100)*3)+Inputs!$B$28+Inputs!$B$29)))</f>
        <v/>
      </c>
      <c r="E2100">
        <f>INDEX(FactorTable!$B$2:$Y$301, MATCH(ROUND(MIN(300,MAX(1,D2100)),0), FactorTable!$A$2:$A$301,0), Skills!M15+1)</f>
        <v/>
      </c>
      <c r="F2100">
        <f>IF(Skills!N15=TRUE,(Skills!L15/10)*(E2100/1000),Skills!L15/10)+Skills!O15</f>
        <v/>
      </c>
      <c r="G2100">
        <f>Skills!G15*IF(Skills!H15&gt;0,Skills!I15/Skills!H15,1)</f>
        <v/>
      </c>
      <c r="H2100">
        <f>1-(1-Skills!J15/100)^Skills!K15</f>
        <v/>
      </c>
      <c r="I2100" t="inlineStr">
        <is>
          <t>1</t>
        </is>
      </c>
      <c r="J2100" t="inlineStr"/>
      <c r="K2100" t="inlineStr"/>
      <c r="L2100" t="inlineStr"/>
      <c r="M2100" t="inlineStr"/>
      <c r="N2100" t="inlineStr"/>
      <c r="O2100">
        <f>(1-Summary!$B$11)*T2100+Summary!$B$11*V2100</f>
        <v/>
      </c>
      <c r="P2100">
        <f>IF(B2120=0,0,O2100/B2120)</f>
        <v/>
      </c>
      <c r="Q2100" t="n">
        <v>0</v>
      </c>
      <c r="R2100" t="n">
        <v>0</v>
      </c>
      <c r="S2100">
        <f>IFERROR(O2100/N2100,0)</f>
        <v/>
      </c>
      <c r="T2100" t="n">
        <v>0</v>
      </c>
      <c r="V2100" t="n">
        <v>0</v>
      </c>
    </row>
    <row r="2101">
      <c r="A2101">
        <f>Skills!A16</f>
        <v/>
      </c>
      <c r="B2101">
        <f>Skills!B16</f>
        <v/>
      </c>
      <c r="C2101">
        <f>Inputs!$B$3&gt;=15</f>
        <v/>
      </c>
      <c r="D2101">
        <f>IF(Skills!C16=1,60+Inputs!$B$25+Inputs!$B$29,IF(Skills!C16=2,90+Inputs!$B$26+Inputs!$B$29,IF(Skills!C16=3,120+Inputs!$B$27+Inputs!$B$29,MAX(0,(Inputs!$B$3-100)*3)+Inputs!$B$28+Inputs!$B$29)))</f>
        <v/>
      </c>
      <c r="E2101">
        <f>INDEX(FactorTable!$B$2:$Y$301, MATCH(ROUND(MIN(300,MAX(1,D2101)),0), FactorTable!$A$2:$A$301,0), Skills!M16+1)</f>
        <v/>
      </c>
      <c r="F2101">
        <f>IF(Skills!N16=TRUE,(Skills!L16/10)*(E2101/1000),Skills!L16/10)+Skills!O16</f>
        <v/>
      </c>
      <c r="G2101">
        <f>Skills!G16*IF(Skills!H16&gt;0,Skills!I16/Skills!H16,1)</f>
        <v/>
      </c>
      <c r="H2101">
        <f>1-(1-Skills!J16/100)^Skills!K16</f>
        <v/>
      </c>
      <c r="I2101" t="inlineStr">
        <is>
          <t>1</t>
        </is>
      </c>
      <c r="J2101" t="inlineStr"/>
      <c r="K2101" t="inlineStr"/>
      <c r="L2101" t="inlineStr"/>
      <c r="M2101" t="inlineStr"/>
      <c r="N2101" t="inlineStr"/>
      <c r="O2101">
        <f>(1-Summary!$B$11)*T2101+Summary!$B$11*V2101</f>
        <v/>
      </c>
      <c r="P2101">
        <f>IF(B2120=0,0,O2101/B2120)</f>
        <v/>
      </c>
      <c r="Q2101" t="n">
        <v>0</v>
      </c>
      <c r="R2101" t="n">
        <v>0</v>
      </c>
      <c r="S2101">
        <f>IFERROR(O2101/N2101,0)</f>
        <v/>
      </c>
      <c r="T2101" t="n">
        <v>0</v>
      </c>
      <c r="V2101" t="n">
        <v>0</v>
      </c>
    </row>
    <row r="2102">
      <c r="A2102">
        <f>Skills!A17</f>
        <v/>
      </c>
      <c r="B2102">
        <f>Skills!B17</f>
        <v/>
      </c>
      <c r="C2102">
        <f>Inputs!$B$3&gt;=10</f>
        <v/>
      </c>
      <c r="D2102">
        <f>IF(Skills!C17=1,60+Inputs!$B$25+Inputs!$B$29,IF(Skills!C17=2,90+Inputs!$B$26+Inputs!$B$29,IF(Skills!C17=3,120+Inputs!$B$27+Inputs!$B$29,MAX(0,(Inputs!$B$3-100)*3)+Inputs!$B$28+Inputs!$B$29)))</f>
        <v/>
      </c>
      <c r="E2102">
        <f>INDEX(FactorTable!$B$2:$Y$301, MATCH(ROUND(MIN(300,MAX(1,D2102)),0), FactorTable!$A$2:$A$301,0), Skills!M17+1)</f>
        <v/>
      </c>
      <c r="F2102">
        <f>IF(Skills!N17=TRUE,(Skills!L17/10)*(E2102/1000),Skills!L17/10)+Skills!O17</f>
        <v/>
      </c>
      <c r="G2102">
        <f>Skills!G17*IF(Skills!H17&gt;0,Skills!I17/Skills!H17,1)</f>
        <v/>
      </c>
      <c r="H2102">
        <f>1-(1-Skills!J17/100)^Skills!K17</f>
        <v/>
      </c>
      <c r="I2102" t="inlineStr">
        <is>
          <t>1</t>
        </is>
      </c>
      <c r="J2102" t="inlineStr"/>
      <c r="K2102" t="inlineStr"/>
      <c r="L2102" t="inlineStr"/>
      <c r="M2102" t="inlineStr"/>
      <c r="N2102" t="inlineStr"/>
      <c r="O2102">
        <f>(1-Summary!$B$11)*T2102+Summary!$B$11*V2102</f>
        <v/>
      </c>
      <c r="P2102">
        <f>IF(B2120=0,0,O2102/B2120)</f>
        <v/>
      </c>
      <c r="Q2102" t="n">
        <v>0</v>
      </c>
      <c r="R2102" t="n">
        <v>0</v>
      </c>
      <c r="S2102">
        <f>IFERROR(O2102/N2102,0)</f>
        <v/>
      </c>
      <c r="T2102" t="n">
        <v>0</v>
      </c>
      <c r="V2102" t="n">
        <v>0</v>
      </c>
    </row>
    <row r="2103">
      <c r="A2103">
        <f>Skills!A18</f>
        <v/>
      </c>
      <c r="B2103">
        <f>Skills!B18</f>
        <v/>
      </c>
      <c r="C2103">
        <f>Inputs!$B$3&gt;=33</f>
        <v/>
      </c>
      <c r="D2103">
        <f>IF(Skills!C18=1,60+Inputs!$B$25+Inputs!$B$29,IF(Skills!C18=2,90+Inputs!$B$26+Inputs!$B$29,IF(Skills!C18=3,120+Inputs!$B$27+Inputs!$B$29,MAX(0,(Inputs!$B$3-100)*3)+Inputs!$B$28+Inputs!$B$29)))</f>
        <v/>
      </c>
      <c r="E2103">
        <f>INDEX(FactorTable!$B$2:$Y$301, MATCH(ROUND(MIN(300,MAX(1,D2103)),0), FactorTable!$A$2:$A$301,0), Skills!M18+1)</f>
        <v/>
      </c>
      <c r="F2103">
        <f>IF(Skills!N18=TRUE,(Skills!L18/10)*(E2103/1000),Skills!L18/10)+Skills!O18</f>
        <v/>
      </c>
      <c r="G2103">
        <f>Skills!G18*IF(Skills!H18&gt;0,Skills!I18/Skills!H18,1)</f>
        <v/>
      </c>
      <c r="H2103">
        <f>1-(1-Skills!J18/100)^Skills!K18</f>
        <v/>
      </c>
      <c r="I2103" t="inlineStr">
        <is>
          <t>1</t>
        </is>
      </c>
      <c r="J2103" t="inlineStr"/>
      <c r="K2103" t="inlineStr"/>
      <c r="L2103" t="inlineStr"/>
      <c r="M2103" t="inlineStr"/>
      <c r="N2103" t="inlineStr"/>
      <c r="O2103">
        <f>(1-Summary!$B$11)*T2103+Summary!$B$11*V2103</f>
        <v/>
      </c>
      <c r="P2103">
        <f>IF(B2120=0,0,O2103/B2120)</f>
        <v/>
      </c>
      <c r="Q2103" t="n">
        <v>0</v>
      </c>
      <c r="R2103" t="n">
        <v>0</v>
      </c>
      <c r="S2103">
        <f>IFERROR(O2103/N2103,0)</f>
        <v/>
      </c>
      <c r="T2103" t="n">
        <v>0</v>
      </c>
      <c r="V2103" t="n">
        <v>0</v>
      </c>
    </row>
    <row r="2104">
      <c r="A2104">
        <f>Skills!A19</f>
        <v/>
      </c>
      <c r="B2104">
        <f>Skills!B19</f>
        <v/>
      </c>
      <c r="C2104">
        <f>Inputs!$B$3&gt;=40</f>
        <v/>
      </c>
      <c r="D2104">
        <f>IF(Skills!C19=1,60+Inputs!$B$25+Inputs!$B$29,IF(Skills!C19=2,90+Inputs!$B$26+Inputs!$B$29,IF(Skills!C19=3,120+Inputs!$B$27+Inputs!$B$29,MAX(0,(Inputs!$B$3-100)*3)+Inputs!$B$28+Inputs!$B$29)))</f>
        <v/>
      </c>
      <c r="E2104">
        <f>INDEX(FactorTable!$B$2:$Y$301, MATCH(ROUND(MIN(300,MAX(1,D2104)),0), FactorTable!$A$2:$A$301,0), Skills!M19+1)</f>
        <v/>
      </c>
      <c r="F2104">
        <f>IF(Skills!N19=TRUE,(Skills!L19/10)*(E2104/1000),Skills!L19/10)+Skills!O19</f>
        <v/>
      </c>
      <c r="G2104">
        <f>Skills!G19*IF(Skills!H19&gt;0,Skills!I19/Skills!H19,1)</f>
        <v/>
      </c>
      <c r="H2104">
        <f>1-(1-Skills!J19/100)^Skills!K19</f>
        <v/>
      </c>
      <c r="I2104" t="inlineStr">
        <is>
          <t>1</t>
        </is>
      </c>
      <c r="J2104" t="inlineStr"/>
      <c r="K2104" t="inlineStr"/>
      <c r="L2104" t="inlineStr"/>
      <c r="M2104" t="inlineStr"/>
      <c r="N2104" t="inlineStr"/>
      <c r="O2104">
        <f>(1-Summary!$B$11)*T2104+Summary!$B$11*V2104</f>
        <v/>
      </c>
      <c r="P2104">
        <f>IF(B2120=0,0,O2104/B2120)</f>
        <v/>
      </c>
      <c r="Q2104" t="n">
        <v>0</v>
      </c>
      <c r="R2104" t="n">
        <v>0</v>
      </c>
      <c r="S2104">
        <f>IFERROR(O2104/N2104,0)</f>
        <v/>
      </c>
      <c r="T2104" t="n">
        <v>0</v>
      </c>
      <c r="V2104" t="n">
        <v>0</v>
      </c>
    </row>
    <row r="2105">
      <c r="A2105">
        <f>Skills!A20</f>
        <v/>
      </c>
      <c r="B2105">
        <f>Skills!B20</f>
        <v/>
      </c>
      <c r="C2105">
        <f>Inputs!$B$3&gt;=43</f>
        <v/>
      </c>
      <c r="D2105">
        <f>IF(Skills!C20=1,60+Inputs!$B$25+Inputs!$B$29,IF(Skills!C20=2,90+Inputs!$B$26+Inputs!$B$29,IF(Skills!C20=3,120+Inputs!$B$27+Inputs!$B$29,MAX(0,(Inputs!$B$3-100)*3)+Inputs!$B$28+Inputs!$B$29)))</f>
        <v/>
      </c>
      <c r="E2105">
        <f>INDEX(FactorTable!$B$2:$Y$301, MATCH(ROUND(MIN(300,MAX(1,D2105)),0), FactorTable!$A$2:$A$301,0), Skills!M20+1)</f>
        <v/>
      </c>
      <c r="F2105">
        <f>IF(Skills!N20=TRUE,(Skills!L20/10)*(E2105/1000),Skills!L20/10)+Skills!O20</f>
        <v/>
      </c>
      <c r="G2105">
        <f>Skills!G20*IF(Skills!H20&gt;0,Skills!I20/Skills!H20,1)</f>
        <v/>
      </c>
      <c r="H2105">
        <f>1-(1-Skills!J20/100)^Skills!K20</f>
        <v/>
      </c>
      <c r="I2105" t="inlineStr">
        <is>
          <t>1</t>
        </is>
      </c>
      <c r="J2105" t="inlineStr"/>
      <c r="K2105" t="inlineStr"/>
      <c r="L2105" t="inlineStr"/>
      <c r="M2105" t="inlineStr"/>
      <c r="N2105" t="inlineStr"/>
      <c r="O2105">
        <f>(1-Summary!$B$11)*T2105+Summary!$B$11*V2105</f>
        <v/>
      </c>
      <c r="P2105">
        <f>IF(B2120=0,0,O2105/B2120)</f>
        <v/>
      </c>
      <c r="Q2105" t="n">
        <v>0</v>
      </c>
      <c r="R2105" t="n">
        <v>0</v>
      </c>
      <c r="S2105">
        <f>IFERROR(O2105/N2105,0)</f>
        <v/>
      </c>
      <c r="T2105" t="n">
        <v>0</v>
      </c>
      <c r="V2105" t="n">
        <v>0</v>
      </c>
    </row>
    <row r="2106">
      <c r="A2106">
        <f>Skills!A21</f>
        <v/>
      </c>
      <c r="B2106">
        <f>Skills!B21</f>
        <v/>
      </c>
      <c r="C2106">
        <f>Inputs!$B$3&gt;=38</f>
        <v/>
      </c>
      <c r="D2106">
        <f>IF(Skills!C21=1,60+Inputs!$B$25+Inputs!$B$29,IF(Skills!C21=2,90+Inputs!$B$26+Inputs!$B$29,IF(Skills!C21=3,120+Inputs!$B$27+Inputs!$B$29,MAX(0,(Inputs!$B$3-100)*3)+Inputs!$B$28+Inputs!$B$29)))</f>
        <v/>
      </c>
      <c r="E2106">
        <f>INDEX(FactorTable!$B$2:$Y$301, MATCH(ROUND(MIN(300,MAX(1,D2106)),0), FactorTable!$A$2:$A$301,0), Skills!M21+1)</f>
        <v/>
      </c>
      <c r="F2106">
        <f>IF(Skills!N21=TRUE,(Skills!L21/10)*(E2106/1000),Skills!L21/10)+Skills!O21</f>
        <v/>
      </c>
      <c r="G2106">
        <f>Skills!G21*IF(Skills!H21&gt;0,Skills!I21/Skills!H21,1)</f>
        <v/>
      </c>
      <c r="H2106">
        <f>1-(1-Skills!J21/100)^Skills!K21</f>
        <v/>
      </c>
      <c r="I2106" t="inlineStr">
        <is>
          <t>1</t>
        </is>
      </c>
      <c r="J2106" t="inlineStr"/>
      <c r="K2106" t="inlineStr"/>
      <c r="L2106" t="inlineStr"/>
      <c r="M2106" t="inlineStr"/>
      <c r="N2106" t="inlineStr"/>
      <c r="O2106">
        <f>(1-Summary!$B$11)*T2106+Summary!$B$11*V2106</f>
        <v/>
      </c>
      <c r="P2106">
        <f>IF(B2120=0,0,O2106/B2120)</f>
        <v/>
      </c>
      <c r="Q2106" t="n">
        <v>0</v>
      </c>
      <c r="R2106" t="n">
        <v>0</v>
      </c>
      <c r="S2106">
        <f>IFERROR(O2106/N2106,0)</f>
        <v/>
      </c>
      <c r="T2106" t="n">
        <v>0</v>
      </c>
      <c r="V2106" t="n">
        <v>0</v>
      </c>
    </row>
    <row r="2107">
      <c r="A2107">
        <f>Skills!A22</f>
        <v/>
      </c>
      <c r="B2107">
        <f>Skills!B22</f>
        <v/>
      </c>
      <c r="C2107">
        <f>Inputs!$B$3&gt;=75</f>
        <v/>
      </c>
      <c r="D2107">
        <f>IF(Skills!C22=1,60+Inputs!$B$25+Inputs!$B$29,IF(Skills!C22=2,90+Inputs!$B$26+Inputs!$B$29,IF(Skills!C22=3,120+Inputs!$B$27+Inputs!$B$29,MAX(0,(Inputs!$B$3-100)*3)+Inputs!$B$28+Inputs!$B$29)))</f>
        <v/>
      </c>
      <c r="E2107">
        <f>INDEX(FactorTable!$B$2:$Y$301, MATCH(ROUND(MIN(300,MAX(1,D2107)),0), FactorTable!$A$2:$A$301,0), Skills!M22+1)</f>
        <v/>
      </c>
      <c r="F2107">
        <f>IF(Skills!N22=TRUE,(Skills!L22/10)*(E2107/1000),Skills!L22/10)+Skills!O22</f>
        <v/>
      </c>
      <c r="G2107">
        <f>Skills!G22*IF(Skills!H22&gt;0,Skills!I22/Skills!H22,1)</f>
        <v/>
      </c>
      <c r="H2107">
        <f>1-(1-Skills!J22/100)^Skills!K22</f>
        <v/>
      </c>
      <c r="I2107" t="inlineStr">
        <is>
          <t>1</t>
        </is>
      </c>
      <c r="J2107" t="inlineStr"/>
      <c r="K2107" t="inlineStr"/>
      <c r="L2107" t="inlineStr"/>
      <c r="M2107" t="inlineStr"/>
      <c r="N2107" t="inlineStr"/>
      <c r="O2107">
        <f>(1-Summary!$B$11)*T2107+Summary!$B$11*V2107</f>
        <v/>
      </c>
      <c r="P2107">
        <f>IF(B2120=0,0,O2107/B2120)</f>
        <v/>
      </c>
      <c r="Q2107" t="n">
        <v>0</v>
      </c>
      <c r="R2107" t="n">
        <v>0</v>
      </c>
      <c r="S2107">
        <f>IFERROR(O2107/N2107,0)</f>
        <v/>
      </c>
      <c r="T2107" t="n">
        <v>0</v>
      </c>
      <c r="V2107" t="n">
        <v>0</v>
      </c>
    </row>
    <row r="2109">
      <c r="A2109" t="inlineStr">
        <is>
          <t>Attack% Bucket Multiplier</t>
        </is>
      </c>
      <c r="B2109">
        <f>(1+(((C2098=TRUE)*F2098)+((C2104=TRUE)*(F2104-Calc!F19))+(IF(ArtifactsInput!$M$21,CHOOSE(ArtifactsInput!$N$21+1,25,30,35,40,45,50)*(IF(OR(Inputs!$B$4="Chapter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110">
      <c r="A2110" t="inlineStr">
        <is>
          <t>Global Crit Rate Bonus %</t>
        </is>
      </c>
      <c r="B2110" t="n">
        <v>0</v>
      </c>
    </row>
    <row r="2111">
      <c r="A2111" t="inlineStr">
        <is>
          <t>Attack Speed Buff Bonus % (unused)</t>
        </is>
      </c>
      <c r="B2111" t="n">
        <v>0</v>
      </c>
    </row>
    <row r="2112">
      <c r="A2112" t="inlineStr">
        <is>
          <t>Actions Per Second</t>
        </is>
      </c>
      <c r="B2112">
        <f>1+MIN(150,150*(1-(1-(Inputs!$B$11+((C2102=TRUE)*(F2102-Calc!F17))+((C2103=TRUE)*(F2103-Calc!F18)))/150)*(1-B2111/150)))/100</f>
        <v/>
      </c>
    </row>
    <row r="2113">
      <c r="A2113" t="inlineStr">
        <is>
          <t>Skill + Buff Cast Rate</t>
        </is>
      </c>
      <c r="B2113">
        <f>IF(AND(Inputs!$B$38&lt;&gt;"pvp",Inputs!$B$43&gt;0),SUMPRODUCT((Skills!E2:E22=TRUE)*(C2087:C2107=TRUE)*R2087:R2107*Skills!F2:F22)/Inputs!$B$43,SUMPRODUCT((Skills!E2:E22=TRUE)*(C2087:C2107=TRUE)*Q2087:Q2107*Skills!F2:F22))</f>
        <v/>
      </c>
    </row>
    <row r="2114">
      <c r="A2114" t="inlineStr">
        <is>
          <t>Hook Bomber Casts Per Second</t>
        </is>
      </c>
      <c r="B2114">
        <f>MAX(0,B2112-B2113)</f>
        <v/>
      </c>
    </row>
    <row r="2115">
      <c r="A2115" t="inlineStr">
        <is>
          <t>Global Critical Damage Bonus % (unused)</t>
        </is>
      </c>
      <c r="B2115" t="n">
        <v>0</v>
      </c>
    </row>
    <row r="2116">
      <c r="A2116" t="inlineStr">
        <is>
          <t>Global Final Damage Bonus % (Serpent Scale + Crossbones + Time Leap + Speed Infusion)</t>
        </is>
      </c>
      <c r="B2116">
        <f>((C2090=TRUE)*F2090*((10+IF(Inputs!$B$3&gt;=94,5,0))/((10+IF(Inputs!$B$3&gt;=94,5,0))+5/(B2114*(1+IF(Inputs!$B$3&gt;=104,1,0))))))+((C2099=TRUE)*F2099)+((C2100=TRUE)*F2100)+((Inputs!$B$3&gt;=110)*20*(B2112-1))</f>
        <v/>
      </c>
    </row>
    <row r="2117">
      <c r="A2117" t="inlineStr">
        <is>
          <t>Buff-Casting Startup Delay (s, fixed-duration only)</t>
        </is>
      </c>
      <c r="B2117">
        <f>IF(AND(Inputs!$B$38&lt;&gt;"pvp",Inputs!$B$43&gt;0),SUMPRODUCT((Skills!T2:T22&gt;0)*(Skills!E2:E22=TRUE)*(C2087:C2107=TRUE))/B2112,0)</f>
        <v/>
      </c>
    </row>
    <row r="2118">
      <c r="A2118" t="inlineStr">
        <is>
          <t>Boss-Only Total DPS (this block's swept value)</t>
        </is>
      </c>
      <c r="B2118">
        <f>SUM(T2087:T2107)</f>
        <v/>
      </c>
    </row>
    <row r="2119">
      <c r="A2119" t="inlineStr">
        <is>
          <t>Normal-Only Total DPS (this block's swept value)</t>
        </is>
      </c>
      <c r="B2119">
        <f>SUM(V2087:V2107)</f>
        <v/>
      </c>
    </row>
    <row r="2120">
      <c r="A2120" s="6" t="inlineStr">
        <is>
          <t>TOTAL DPS</t>
        </is>
      </c>
      <c r="B2120" s="6">
        <f>SUM(O2087:O2107)</f>
        <v/>
      </c>
    </row>
    <row r="2123">
      <c r="A2123" s="6" t="inlineStr">
        <is>
          <t>Stat: Peach Tree Herb Pouch (Equip)</t>
        </is>
      </c>
    </row>
    <row r="2124">
      <c r="A2124" s="5" t="inlineStr">
        <is>
          <t>Key</t>
        </is>
      </c>
      <c r="B2124" s="5" t="inlineStr">
        <is>
          <t>Name</t>
        </is>
      </c>
      <c r="C2124" s="5" t="inlineStr">
        <is>
          <t>Unlocked</t>
        </is>
      </c>
      <c r="D2124" s="5" t="inlineStr">
        <is>
          <t>InputLevel</t>
        </is>
      </c>
      <c r="E2124" s="5" t="inlineStr">
        <is>
          <t>Factor</t>
        </is>
      </c>
      <c r="F2124" s="5" t="inlineStr">
        <is>
          <t>CoefficientPercent</t>
        </is>
      </c>
      <c r="G2124" s="5" t="inlineStr">
        <is>
          <t>EffectiveHits</t>
        </is>
      </c>
      <c r="H2124" s="5" t="inlineStr">
        <is>
          <t>ProcProbability</t>
        </is>
      </c>
      <c r="I2124" s="5" t="inlineStr">
        <is>
          <t>MapleHeroMultiplier</t>
        </is>
      </c>
      <c r="J2124" s="5" t="inlineStr">
        <is>
          <t>BaseDamage</t>
        </is>
      </c>
      <c r="K2124" s="5" t="inlineStr">
        <is>
          <t>BaseHitDamage</t>
        </is>
      </c>
      <c r="L2124" s="5" t="inlineStr">
        <is>
          <t>NonCritAvg</t>
        </is>
      </c>
      <c r="M2124" s="5" t="inlineStr">
        <is>
          <t>CritAvg</t>
        </is>
      </c>
      <c r="N2124" s="5" t="inlineStr">
        <is>
          <t>ExpectedDamage(perHit)</t>
        </is>
      </c>
      <c r="O2124" s="5" t="inlineStr">
        <is>
          <t>DPS</t>
        </is>
      </c>
      <c r="P2124" s="5" t="inlineStr">
        <is>
          <t>% of Total</t>
        </is>
      </c>
      <c r="Q2124" s="5" t="inlineStr">
        <is>
          <t>InvCooldown</t>
        </is>
      </c>
      <c r="R2124" s="5" t="inlineStr">
        <is>
          <t>CastsInFight</t>
        </is>
      </c>
      <c r="S2124" s="5" t="inlineStr">
        <is>
          <t>HitRate(perSec)</t>
        </is>
      </c>
      <c r="U2124" t="inlineStr">
        <is>
          <t>helpers</t>
        </is>
      </c>
    </row>
    <row r="2125">
      <c r="A2125">
        <f>Skills!A2</f>
        <v/>
      </c>
      <c r="B2125">
        <f>Skills!B2</f>
        <v/>
      </c>
      <c r="C2125">
        <f>Inputs!$B$3&gt;=100</f>
        <v/>
      </c>
      <c r="D2125" t="inlineStr"/>
      <c r="E2125" t="inlineStr"/>
      <c r="F2125">
        <f>U2127+Skills!O2</f>
        <v/>
      </c>
      <c r="G2125">
        <f>Skills!G2*IF(Skills!H2&gt;0,Skills!I2/Skills!H2,1)</f>
        <v/>
      </c>
      <c r="H2125">
        <f>1-(1-Skills!J2/100)^Skills!K2</f>
        <v/>
      </c>
      <c r="I2125" t="inlineStr">
        <is>
          <t>1</t>
        </is>
      </c>
      <c r="J2125">
        <f>((Inputs!$B$6*(1+Inputs!$B$7/100))+(((Inputs!$B$12*(1+Inputs!$B$13/100))-(Inputs!$B$12*(1+Inputs!$B$13/100)))+0.25*(Inputs!$B$14-Inputs!$B$14))*(1+Inputs!$B$7/100))*(F2125/100)</f>
        <v/>
      </c>
      <c r="K2125">
        <f>J2125*(1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2125)</f>
        <v/>
      </c>
      <c r="L2125">
        <f>K2125*(MIN(Inputs!$B$22+((C2143=TRUE)*(F2143-Calc!F20)),(Inputs!$B$23+0+(IF(ArtifactsInput!$M$15,CHOOSE(ArtifactsInput!$N$15+1,25,30,35,40,45,50)/100*(Inputs!$B$11-Inputs!$B$11),0))))/100+(Inputs!$B$23+0+(IF(ArtifactsInput!$M$15,CHOOSE(ArtifactsInput!$N$15+1,25,30,35,40,45,50)/100*(Inputs!$B$11-Inputs!$B$11),0)))/100)/2</f>
        <v/>
      </c>
      <c r="M2125">
        <f>L2125*(1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5">
        <f>L2125*(1-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2125*(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5">
        <f>(1-Summary!$B$11)*T2125+Summary!$B$11*V2125</f>
        <v/>
      </c>
      <c r="P2125">
        <f>IF(B2158=0,0,O2125/B2158)</f>
        <v/>
      </c>
      <c r="Q2125" t="n">
        <v>0</v>
      </c>
      <c r="R2125" t="n">
        <v>0</v>
      </c>
      <c r="S2125">
        <f>IFERROR(O2125/N2125,0)</f>
        <v/>
      </c>
      <c r="T2125">
        <f>IF(C2125,(Skills!G2*N2125*B2152)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2125*(1-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2125*(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2125*(1-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2125*(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5">
        <f>MAX(0,(Inputs!$B$3-100)*3)+Inputs!$B$28+Inputs!$B$29</f>
        <v/>
      </c>
      <c r="V2125">
        <f>IF(C2125,(Skills!G2*N2125*B2152)*IF(Inputs!$B$38="pvp",1,(1+(Inputs!$B$21+Skills!Q2+(IF(ArtifactsInput!$M$33,CHOOSE(ArtifactsInput!$N$33+1,30,36,42,48,54,60),0))+(IF(AND(IF(ArtifactsInput!$M$35,FALSE,TRUE),Inputs!$B$4&lt;&gt;"Chapter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6">
      <c r="A2126">
        <f>Skills!A3</f>
        <v/>
      </c>
      <c r="B2126">
        <f>Skills!B3</f>
        <v/>
      </c>
      <c r="C2126">
        <f>Inputs!$B$3&gt;=35</f>
        <v/>
      </c>
      <c r="D2126">
        <f>IF(Skills!C3=1,60+Inputs!$B$25+Inputs!$B$29,IF(Skills!C3=2,90+Inputs!$B$26+Inputs!$B$29,IF(Skills!C3=3,120+Inputs!$B$27+Inputs!$B$29,MAX(0,(Inputs!$B$3-100)*3)+Inputs!$B$28+Inputs!$B$29)))</f>
        <v/>
      </c>
      <c r="E2126">
        <f>INDEX(FactorTable!$B$2:$Y$301, MATCH(ROUND(MIN(300,MAX(1,D2126)),0), FactorTable!$A$2:$A$301,0), Skills!M3+1)</f>
        <v/>
      </c>
      <c r="F2126">
        <f>IF(Skills!N3=TRUE,(Skills!L3/10)*(E2126/1000),Skills!L3/10)+Skills!O3</f>
        <v/>
      </c>
      <c r="G2126">
        <f>Skills!G3*IF(Skills!H3&gt;0,Skills!I3/Skills!H3,1)</f>
        <v/>
      </c>
      <c r="H2126">
        <f>1-(1-Skills!J3/100)^Skills!K3</f>
        <v/>
      </c>
      <c r="I2126" t="inlineStr">
        <is>
          <t>1</t>
        </is>
      </c>
      <c r="J2126">
        <f>((Inputs!$B$6*(1+Inputs!$B$7/100))+(((Inputs!$B$12*(1+Inputs!$B$13/100))-(Inputs!$B$12*(1+Inputs!$B$13/100)))+0.25*(Inputs!$B$14-Inputs!$B$14))*(1+Inputs!$B$7/100))*(F2126/100)</f>
        <v/>
      </c>
      <c r="K2126">
        <f>J2126*(1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2126)</f>
        <v/>
      </c>
      <c r="L2126">
        <f>K2126*(MIN(Inputs!$B$22+((C2143=TRUE)*(F2143-Calc!F20)),(Inputs!$B$23+0+(IF(ArtifactsInput!$M$15,CHOOSE(ArtifactsInput!$N$15+1,25,30,35,40,45,50)/100*(Inputs!$B$11-Inputs!$B$11),0))))/100+(Inputs!$B$23+0+(IF(ArtifactsInput!$M$15,CHOOSE(ArtifactsInput!$N$15+1,25,30,35,40,45,50)/100*(Inputs!$B$11-Inputs!$B$11),0)))/100)/2</f>
        <v/>
      </c>
      <c r="M2126">
        <f>L2126*(1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6">
        <f>L2126*(1-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2126*(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6">
        <f>(1-Summary!$B$11)*T2126+Summary!$B$11*V2126</f>
        <v/>
      </c>
      <c r="P2126">
        <f>IF(B2158=0,0,O2126/B2158)</f>
        <v/>
      </c>
      <c r="Q2126" t="n">
        <v>0</v>
      </c>
      <c r="R2126" t="n">
        <v>0</v>
      </c>
      <c r="S2126">
        <f>IFERROR(O2126/N2126,0)</f>
        <v/>
      </c>
      <c r="T2126">
        <f>IF(C2126,(Skills!G3*H2126*N2126*B2152)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2126*(1-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2126*(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2126*(1-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2126*(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6">
        <f>INDEX(FactorTable!$B$2:$Y$301, MATCH(ROUND(MIN(300,MAX(1,U2125)),0), FactorTable!$A$2:$A$301,0), 22)</f>
        <v/>
      </c>
      <c r="V2126">
        <f>IF(C2126,(Skills!G3*H2126*N2126*B2152)*IF(Inputs!$B$38="pvp",1,(1+(Inputs!$B$21+Skills!Q3+(IF(ArtifactsInput!$M$33,CHOOSE(ArtifactsInput!$N$33+1,30,36,42,48,54,60),0))+(IF(AND(IF(ArtifactsInput!$M$35,FALSE,TRUE),Inputs!$B$4&lt;&gt;"Chapter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7">
      <c r="A2127">
        <f>Skills!A4</f>
        <v/>
      </c>
      <c r="B2127">
        <f>Skills!B4</f>
        <v/>
      </c>
      <c r="C2127">
        <f>Inputs!$B$3&gt;=60</f>
        <v/>
      </c>
      <c r="D2127">
        <f>IF(Skills!C4=1,60+Inputs!$B$25+Inputs!$B$29,IF(Skills!C4=2,90+Inputs!$B$26+Inputs!$B$29,IF(Skills!C4=3,120+Inputs!$B$27+Inputs!$B$29,MAX(0,(Inputs!$B$3-100)*3)+Inputs!$B$28+Inputs!$B$29)))</f>
        <v/>
      </c>
      <c r="E2127">
        <f>INDEX(FactorTable!$B$2:$Y$301, MATCH(ROUND(MIN(300,MAX(1,D2127)),0), FactorTable!$A$2:$A$301,0), Skills!M4+1)</f>
        <v/>
      </c>
      <c r="F2127">
        <f>IF(Skills!N4=TRUE,(Skills!L4/10)*(E2127/1000),Skills!L4/10)+Skills!O4</f>
        <v/>
      </c>
      <c r="G2127">
        <f>Skills!G4*IF(Skills!H4&gt;0,Skills!I4/Skills!H4,1)</f>
        <v/>
      </c>
      <c r="H2127">
        <f>1-(1-Skills!J4/100)^Skills!K4</f>
        <v/>
      </c>
      <c r="I2127" t="inlineStr">
        <is>
          <t>1</t>
        </is>
      </c>
      <c r="J2127">
        <f>((Inputs!$B$6*(1+Inputs!$B$7/100))+(((Inputs!$B$12*(1+Inputs!$B$13/100))-(Inputs!$B$12*(1+Inputs!$B$13/100)))+0.25*(Inputs!$B$14-Inputs!$B$14))*(1+Inputs!$B$7/100))*(F2127/100)</f>
        <v/>
      </c>
      <c r="K2127">
        <f>J2127*(1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2135=TRUE,F2135,0)/100)*(1+(IF(Skills!A4="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2127)</f>
        <v/>
      </c>
      <c r="L2127">
        <f>K2127*(MIN(Inputs!$B$22+((C2143=TRUE)*(F2143-Calc!F20)),(Inputs!$B$23+0+(IF(ArtifactsInput!$M$15,CHOOSE(ArtifactsInput!$N$15+1,25,30,35,40,45,50)/100*(Inputs!$B$11-Inputs!$B$11),0))))/100+(Inputs!$B$23+0+(IF(ArtifactsInput!$M$15,CHOOSE(ArtifactsInput!$N$15+1,25,30,35,40,45,50)/100*(Inputs!$B$11-Inputs!$B$11),0)))/100)/2</f>
        <v/>
      </c>
      <c r="M2127">
        <f>L2127*(1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7">
        <f>L2127*(1-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2127*(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7">
        <f>(1-Summary!$B$11)*T2127+Summary!$B$11*V2127</f>
        <v/>
      </c>
      <c r="P2127">
        <f>IF(B2158=0,0,O2127/B2158)</f>
        <v/>
      </c>
      <c r="Q2127" t="n">
        <v>0</v>
      </c>
      <c r="R2127" t="n">
        <v>0</v>
      </c>
      <c r="S2127">
        <f>IFERROR(O2127/N2127,0)</f>
        <v/>
      </c>
      <c r="T2127">
        <f>IF(C2127,(Skills!G4*H2127*N2127*B2152)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2127*(1-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2127*(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2127*(1-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2127*(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7">
        <f>290*U2126/1000</f>
        <v/>
      </c>
      <c r="V2127">
        <f>IF(C2127,(Skills!G4*H2127*N2127*B2152)*IF(Inputs!$B$38="pvp",1,(1+(Inputs!$B$21+Skills!Q4+(IF(ArtifactsInput!$M$33,CHOOSE(ArtifactsInput!$N$33+1,30,36,42,48,54,60),0))+(IF(AND(IF(ArtifactsInput!$M$35,FALSE,TRUE),Inputs!$B$4&lt;&gt;"Chapter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8">
      <c r="A2128">
        <f>Skills!A5</f>
        <v/>
      </c>
      <c r="B2128">
        <f>Skills!B5</f>
        <v/>
      </c>
      <c r="C2128">
        <f>Inputs!$B$3&gt;=60</f>
        <v/>
      </c>
      <c r="D2128">
        <f>IF(Skills!C5=1,60+Inputs!$B$25+Inputs!$B$29,IF(Skills!C5=2,90+Inputs!$B$26+Inputs!$B$29,IF(Skills!C5=3,120+Inputs!$B$27+Inputs!$B$29,MAX(0,(Inputs!$B$3-100)*3)+Inputs!$B$28+Inputs!$B$29)))</f>
        <v/>
      </c>
      <c r="E2128">
        <f>INDEX(FactorTable!$B$2:$Y$301, MATCH(ROUND(MIN(300,MAX(1,D2128)),0), FactorTable!$A$2:$A$301,0), Skills!M5+1)</f>
        <v/>
      </c>
      <c r="F2128">
        <f>IF(Skills!N5=TRUE,(Skills!L5/10)*(E2128/1000),Skills!L5/10)+Skills!O5</f>
        <v/>
      </c>
      <c r="G2128">
        <f>Skills!G5*IF(Skills!H5&gt;0,Skills!I5/Skills!H5,1)</f>
        <v/>
      </c>
      <c r="H2128">
        <f>1-(1-Skills!J5/100)^Skills!K5</f>
        <v/>
      </c>
      <c r="I2128" t="inlineStr">
        <is>
          <t>1</t>
        </is>
      </c>
      <c r="J2128" t="inlineStr"/>
      <c r="K2128" t="inlineStr"/>
      <c r="L2128" t="inlineStr"/>
      <c r="M2128" t="inlineStr"/>
      <c r="N2128" t="inlineStr"/>
      <c r="O2128">
        <f>(1-Summary!$B$11)*T2128+Summary!$B$11*V2128</f>
        <v/>
      </c>
      <c r="P2128">
        <f>IF(B2158=0,0,O2128/B2158)</f>
        <v/>
      </c>
      <c r="Q2128" t="n">
        <v>0</v>
      </c>
      <c r="R2128" t="n">
        <v>0</v>
      </c>
      <c r="S2128">
        <f>IFERROR(O2128/N2128,0)</f>
        <v/>
      </c>
      <c r="T2128" t="n">
        <v>0</v>
      </c>
      <c r="V2128" t="n">
        <v>0</v>
      </c>
    </row>
    <row r="2129">
      <c r="A2129">
        <f>Skills!A6</f>
        <v/>
      </c>
      <c r="B2129">
        <f>Skills!B6</f>
        <v/>
      </c>
      <c r="C2129">
        <f>Inputs!$B$3&gt;=63</f>
        <v/>
      </c>
      <c r="D2129">
        <f>IF(Skills!C6=1,60+Inputs!$B$25+Inputs!$B$29,IF(Skills!C6=2,90+Inputs!$B$26+Inputs!$B$29,IF(Skills!C6=3,120+Inputs!$B$27+Inputs!$B$29,MAX(0,(Inputs!$B$3-100)*3)+Inputs!$B$28+Inputs!$B$29)))</f>
        <v/>
      </c>
      <c r="E2129">
        <f>INDEX(FactorTable!$B$2:$Y$301, MATCH(ROUND(MIN(300,MAX(1,D2129)),0), FactorTable!$A$2:$A$301,0), Skills!M6+1)</f>
        <v/>
      </c>
      <c r="F2129">
        <f>IF(Skills!N6=TRUE,(Skills!L6/10)*(E2129/1000),Skills!L6/10)+Skills!O6</f>
        <v/>
      </c>
      <c r="G2129">
        <f>Skills!G6*IF(Skills!H6&gt;0,Skills!I6/Skills!H6,1)</f>
        <v/>
      </c>
      <c r="H2129">
        <f>1-(1-Skills!J6/100)^Skills!K6</f>
        <v/>
      </c>
      <c r="I2129" t="inlineStr">
        <is>
          <t>1</t>
        </is>
      </c>
      <c r="J2129">
        <f>((Inputs!$B$6*(1+Inputs!$B$7/100))+(((Inputs!$B$12*(1+Inputs!$B$13/100))-(Inputs!$B$12*(1+Inputs!$B$13/100)))+0.25*(Inputs!$B$14-Inputs!$B$14))*(1+Inputs!$B$7/100))*(F2129/100)</f>
        <v/>
      </c>
      <c r="K2129">
        <f>J2129*(1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2129)</f>
        <v/>
      </c>
      <c r="L2129">
        <f>K2129*(MIN(Inputs!$B$22+((C2143=TRUE)*(F2143-Calc!F20)),(Inputs!$B$23+0+(IF(ArtifactsInput!$M$15,CHOOSE(ArtifactsInput!$N$15+1,25,30,35,40,45,50)/100*(Inputs!$B$11-Inputs!$B$11),0))))/100+(Inputs!$B$23+0+(IF(ArtifactsInput!$M$15,CHOOSE(ArtifactsInput!$N$15+1,25,30,35,40,45,50)/100*(Inputs!$B$11-Inputs!$B$11),0)))/100)/2</f>
        <v/>
      </c>
      <c r="M2129">
        <f>L2129*(1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9">
        <f>L2129*(1-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2129*(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9">
        <f>(1-Summary!$B$11)*T2129+Summary!$B$11*V2129</f>
        <v/>
      </c>
      <c r="P2129">
        <f>IF(B2158=0,0,O2129/B2158)</f>
        <v/>
      </c>
      <c r="Q2129">
        <f>IFERROR(1/(IF(Inputs!$B$38="pvp",15,MAX(0.1,Skills!D6-IF(Skills!E6=TRUE,Inputs!$B$32,0)))*(1-IF(AND(ArtifactsInput!$M$27,Inputs!$B$4="Chapter Hunt"),CHOOSE(ArtifactsInput!$N$27+1,20,24,28,32,36,40),0)/100)),0)</f>
        <v/>
      </c>
      <c r="R2129">
        <f>IF(AND(Inputs!$B$38&lt;&gt;"pvp",Inputs!$B$43&gt;0),IF(MAX(0,Inputs!$B$43-B2155)&lt;=0,0,(INT(MAX(0,Inputs!$B$43-B2155)/(IF(Inputs!$B$38="pvp",15,MAX(0.1,Skills!D6-IF(Skills!E6=TRUE,Inputs!$B$32,0)))*(1-IF(AND(ArtifactsInput!$M$27,Inputs!$B$4="Chapter Hunt"),CHOOSE(ArtifactsInput!$N$27+1,20,24,28,32,36,40),0)/100)))+1)),0)</f>
        <v/>
      </c>
      <c r="S2129">
        <f>IFERROR(O2129/N2129,0)</f>
        <v/>
      </c>
      <c r="T2129">
        <f>IF(C2129,(H2129*N2129*IF(AND(Inputs!$B$38&lt;&gt;"pvp",Inputs!$B$43&gt;0),((Skills!G6*((R2129-1)*IF(Skills!H6&gt;0,Skills!I6/Skills!H6,1)+IF(Skills!H6&gt;0,MIN(Skills!I6,MAX(0,MAX(0,Inputs!$B$43-B2155)-((R2129-1)*(IF(Inputs!$B$38="pvp",15,MAX(0.1,Skills!D6-IF(Skills!E6=TRUE,Inputs!$B$32,0)))*(1-IF(AND(ArtifactsInput!$M$27,Inputs!$B$4="Chapter Hunt"),CHOOSE(ArtifactsInput!$N$27+1,20,24,28,32,36,40),0)/100)))))/Skills!H6,1)))/Inputs!$B$43),G2129*Q2129)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2129*(1-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2129*(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2129*(1-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2129*(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9">
        <f>IF(C2129,(H2129*N2129*IF(AND(Inputs!$B$38&lt;&gt;"pvp",Inputs!$B$43&gt;0),((Skills!G6*((R2129-1)*IF(Skills!H6&gt;0,Skills!I6/Skills!H6,1)+IF(Skills!H6&gt;0,MIN(Skills!I6,MAX(0,MAX(0,Inputs!$B$43-B2155)-((R2129-1)*(IF(Inputs!$B$38="pvp",15,MAX(0.1,Skills!D6-IF(Skills!E6=TRUE,Inputs!$B$32,0)))*(1-IF(AND(ArtifactsInput!$M$27,Inputs!$B$4="Chapter Hunt"),CHOOSE(ArtifactsInput!$N$27+1,20,24,28,32,36,40),0)/100)))))/Skills!H6,1)))/Inputs!$B$43),G2129*Q2129))*IF(Inputs!$B$38="pvp",1,(1+(Inputs!$B$21+Skills!Q6+(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0">
      <c r="A2130">
        <f>Skills!A7</f>
        <v/>
      </c>
      <c r="B2130">
        <f>Skills!B7</f>
        <v/>
      </c>
      <c r="C2130">
        <f>Inputs!$B$3&gt;=100</f>
        <v/>
      </c>
      <c r="D2130">
        <f>IF(Skills!C7=1,60+Inputs!$B$25+Inputs!$B$29,IF(Skills!C7=2,90+Inputs!$B$26+Inputs!$B$29,IF(Skills!C7=3,120+Inputs!$B$27+Inputs!$B$29,MAX(0,(Inputs!$B$3-100)*3)+Inputs!$B$28+Inputs!$B$29)))</f>
        <v/>
      </c>
      <c r="E2130">
        <f>INDEX(FactorTable!$B$2:$Y$301, MATCH(ROUND(MIN(300,MAX(1,D2130)),0), FactorTable!$A$2:$A$301,0), Skills!M7+1)</f>
        <v/>
      </c>
      <c r="F2130">
        <f>IF(Skills!N7=TRUE,(Skills!L7/10)*(E2130/1000),Skills!L7/10)+Skills!O7</f>
        <v/>
      </c>
      <c r="G2130">
        <f>Skills!G7*IF(Skills!H7&gt;0,Skills!I7/Skills!H7,1)</f>
        <v/>
      </c>
      <c r="H2130">
        <f>1-(1-Skills!J7/100)^Skills!K7</f>
        <v/>
      </c>
      <c r="I2130" t="inlineStr">
        <is>
          <t>1</t>
        </is>
      </c>
      <c r="J2130">
        <f>((Inputs!$B$6*(1+Inputs!$B$7/100))+(((Inputs!$B$12*(1+Inputs!$B$13/100))-(Inputs!$B$12*(1+Inputs!$B$13/100)))+0.25*(Inputs!$B$14-Inputs!$B$14))*(1+Inputs!$B$7/100))*(F2130/100)</f>
        <v/>
      </c>
      <c r="K2130">
        <f>J2130*(1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2130)</f>
        <v/>
      </c>
      <c r="L2130">
        <f>K2130*(MIN(Inputs!$B$22+((C2143=TRUE)*(F2143-Calc!F20)),(Inputs!$B$23+0+(IF(ArtifactsInput!$M$15,CHOOSE(ArtifactsInput!$N$15+1,25,30,35,40,45,50)/100*(Inputs!$B$11-Inputs!$B$11),0))))/100+(Inputs!$B$23+0+(IF(ArtifactsInput!$M$15,CHOOSE(ArtifactsInput!$N$15+1,25,30,35,40,45,50)/100*(Inputs!$B$11-Inputs!$B$11),0)))/100)/2</f>
        <v/>
      </c>
      <c r="M2130">
        <f>L2130*(1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0">
        <f>L2130*(1-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2130*(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0">
        <f>(1-Summary!$B$11)*T2130+Summary!$B$11*V2130</f>
        <v/>
      </c>
      <c r="P2130">
        <f>IF(B2158=0,0,O2130/B2158)</f>
        <v/>
      </c>
      <c r="Q2130">
        <f>IFERROR(1/(IF(Inputs!$B$38="pvp",15,MAX(0.1,Skills!D7-IF(Skills!E7=TRUE,Inputs!$B$32,0)))*(1-IF(AND(ArtifactsInput!$M$27,Inputs!$B$4="Chapter Hunt"),CHOOSE(ArtifactsInput!$N$27+1,20,24,28,32,36,40),0)/100)),0)</f>
        <v/>
      </c>
      <c r="R2130">
        <f>IF(AND(Inputs!$B$38&lt;&gt;"pvp",Inputs!$B$43&gt;0),IF(MAX(0,Inputs!$B$43-B2155)&lt;=0,0,(INT(MAX(0,Inputs!$B$43-B2155)/(IF(Inputs!$B$38="pvp",15,MAX(0.1,Skills!D7-IF(Skills!E7=TRUE,Inputs!$B$32,0)))*(1-IF(AND(ArtifactsInput!$M$27,Inputs!$B$4="Chapter Hunt"),CHOOSE(ArtifactsInput!$N$27+1,20,24,28,32,36,40),0)/100)))+1)),0)</f>
        <v/>
      </c>
      <c r="S2130">
        <f>IFERROR(O2130/N2130,0)</f>
        <v/>
      </c>
      <c r="T2130">
        <f>IF(C2130,(H2130*N2130*IF(AND(Inputs!$B$38&lt;&gt;"pvp",Inputs!$B$43&gt;0),((Skills!G7*((R2130-1)*IF(Skills!H7&gt;0,Skills!I7/Skills!H7,1)+IF(Skills!H7&gt;0,MIN(Skills!I7,MAX(0,MAX(0,Inputs!$B$43-B2155)-((R2130-1)*(IF(Inputs!$B$38="pvp",15,MAX(0.1,Skills!D7-IF(Skills!E7=TRUE,Inputs!$B$32,0)))*(1-IF(AND(ArtifactsInput!$M$27,Inputs!$B$4="Chapter Hunt"),CHOOSE(ArtifactsInput!$N$27+1,20,24,28,32,36,40),0)/100)))))/Skills!H7,1)))/Inputs!$B$43),G2130*Q2130)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2130*(1-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2130*(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2130*(1-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2130*(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0">
        <f>IF(C2130,(H2130*N2130*IF(AND(Inputs!$B$38&lt;&gt;"pvp",Inputs!$B$43&gt;0),((Skills!G7*((R2130-1)*IF(Skills!H7&gt;0,Skills!I7/Skills!H7,1)+IF(Skills!H7&gt;0,MIN(Skills!I7,MAX(0,MAX(0,Inputs!$B$43-B2155)-((R2130-1)*(IF(Inputs!$B$38="pvp",15,MAX(0.1,Skills!D7-IF(Skills!E7=TRUE,Inputs!$B$32,0)))*(1-IF(AND(ArtifactsInput!$M$27,Inputs!$B$4="Chapter Hunt"),CHOOSE(ArtifactsInput!$N$27+1,20,24,28,32,36,40),0)/100)))))/Skills!H7,1)))/Inputs!$B$43),G2130*Q2130))*IF(Inputs!$B$38="pvp",1,(1+(Inputs!$B$21+Skills!Q7+(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1">
      <c r="A2131">
        <f>Skills!A8</f>
        <v/>
      </c>
      <c r="B2131">
        <f>Skills!B8</f>
        <v/>
      </c>
      <c r="C2131">
        <f>Inputs!$B$3&gt;=110</f>
        <v/>
      </c>
      <c r="D2131">
        <f>IF(Skills!C8=1,60+Inputs!$B$25+Inputs!$B$29,IF(Skills!C8=2,90+Inputs!$B$26+Inputs!$B$29,IF(Skills!C8=3,120+Inputs!$B$27+Inputs!$B$29,MAX(0,(Inputs!$B$3-100)*3)+Inputs!$B$28+Inputs!$B$29)))</f>
        <v/>
      </c>
      <c r="E2131">
        <f>INDEX(FactorTable!$B$2:$Y$301, MATCH(ROUND(MIN(300,MAX(1,D2131)),0), FactorTable!$A$2:$A$301,0), Skills!M8+1)</f>
        <v/>
      </c>
      <c r="F2131">
        <f>IF(Skills!N8=TRUE,(Skills!L8/10)*(E2131/1000),Skills!L8/10)+Skills!O8</f>
        <v/>
      </c>
      <c r="G2131">
        <f>Skills!G8*IF(Skills!H8&gt;0,Skills!I8/Skills!H8,1)</f>
        <v/>
      </c>
      <c r="H2131">
        <f>1-(1-Skills!J8/100)^Skills!K8</f>
        <v/>
      </c>
      <c r="I2131" t="inlineStr">
        <is>
          <t>1</t>
        </is>
      </c>
      <c r="J2131">
        <f>((Inputs!$B$6*(1+Inputs!$B$7/100))+(((Inputs!$B$12*(1+Inputs!$B$13/100))-(Inputs!$B$12*(1+Inputs!$B$13/100)))+0.25*(Inputs!$B$14-Inputs!$B$14))*(1+Inputs!$B$7/100))*(F2131/100)</f>
        <v/>
      </c>
      <c r="K2131">
        <f>J2131*(1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2131)</f>
        <v/>
      </c>
      <c r="L2131">
        <f>K2131*(MIN(Inputs!$B$22+((C2143=TRUE)*(F2143-Calc!F20)),(Inputs!$B$23+0+(IF(ArtifactsInput!$M$15,CHOOSE(ArtifactsInput!$N$15+1,25,30,35,40,45,50)/100*(Inputs!$B$11-Inputs!$B$11),0))))/100+(Inputs!$B$23+0+(IF(ArtifactsInput!$M$15,CHOOSE(ArtifactsInput!$N$15+1,25,30,35,40,45,50)/100*(Inputs!$B$11-Inputs!$B$11),0)))/100)/2</f>
        <v/>
      </c>
      <c r="M2131">
        <f>L2131*(1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1">
        <f>L2131*(1-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1">
        <f>(1-Summary!$B$11)*T2131+Summary!$B$11*V2131</f>
        <v/>
      </c>
      <c r="P2131">
        <f>IF(B2158=0,0,O2131/B2158)</f>
        <v/>
      </c>
      <c r="Q2131">
        <f>IFERROR(1/(IF(Inputs!$B$38="pvp",15,MAX(0.1,Skills!D8-IF(Skills!E8=TRUE,Inputs!$B$32,0)))*(1-IF(AND(ArtifactsInput!$M$27,Inputs!$B$4="Chapter Hunt"),CHOOSE(ArtifactsInput!$N$27+1,20,24,28,32,36,40),0)/100)),0)</f>
        <v/>
      </c>
      <c r="R2131">
        <f>IF(AND(Inputs!$B$38&lt;&gt;"pvp",Inputs!$B$43&gt;0),IF(MAX(0,Inputs!$B$43-B2155)&lt;=0,0,(INT(MAX(0,Inputs!$B$43-B2155)/(IF(Inputs!$B$38="pvp",15,MAX(0.1,Skills!D8-IF(Skills!E8=TRUE,Inputs!$B$32,0)))*(1-IF(AND(ArtifactsInput!$M$27,Inputs!$B$4="Chapter Hunt"),CHOOSE(ArtifactsInput!$N$27+1,20,24,28,32,36,40),0)/100)))+1)),0)</f>
        <v/>
      </c>
      <c r="S2131">
        <f>IFERROR(O2131/N2131,0)</f>
        <v/>
      </c>
      <c r="T2131">
        <f>IF(C2131,(H2131*N2131*IF(AND(Inputs!$B$38&lt;&gt;"pvp",Inputs!$B$43&gt;0),((Skills!G8*((R2131-1)*IF(Skills!H8&gt;0,Skills!I8/Skills!H8,1)+IF(Skills!H8&gt;0,MIN(Skills!I8,MAX(0,MAX(0,Inputs!$B$43-B2155)-((R2131-1)*(IF(Inputs!$B$38="pvp",15,MAX(0.1,Skills!D8-IF(Skills!E8=TRUE,Inputs!$B$32,0)))*(1-IF(AND(ArtifactsInput!$M$27,Inputs!$B$4="Chapter Hunt"),CHOOSE(ArtifactsInput!$N$27+1,20,24,28,32,36,40),0)/100)))))/Skills!H8,1)))/Inputs!$B$43),G2131*Q2131)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1">
        <f>IF(C2131,(H2131*N2131*IF(AND(Inputs!$B$38&lt;&gt;"pvp",Inputs!$B$43&gt;0),((Skills!G8*((R2131-1)*IF(Skills!H8&gt;0,Skills!I8/Skills!H8,1)+IF(Skills!H8&gt;0,MIN(Skills!I8,MAX(0,MAX(0,Inputs!$B$43-B2155)-((R2131-1)*(IF(Inputs!$B$38="pvp",15,MAX(0.1,Skills!D8-IF(Skills!E8=TRUE,Inputs!$B$32,0)))*(1-IF(AND(ArtifactsInput!$M$27,Inputs!$B$4="Chapter Hunt"),CHOOSE(ArtifactsInput!$N$27+1,20,24,28,32,36,40),0)/100)))))/Skills!H8,1)))/Inputs!$B$43),G2131*Q2131))*IF(Inputs!$B$38="pvp",1,(1+(Inputs!$B$21+Skills!Q8+(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2">
      <c r="A2132">
        <f>Skills!A9</f>
        <v/>
      </c>
      <c r="B2132">
        <f>Skills!B9</f>
        <v/>
      </c>
      <c r="C2132">
        <f>Inputs!$B$3&gt;=110</f>
        <v/>
      </c>
      <c r="D2132">
        <f>IF(Skills!C9=1,60+Inputs!$B$25+Inputs!$B$29,IF(Skills!C9=2,90+Inputs!$B$26+Inputs!$B$29,IF(Skills!C9=3,120+Inputs!$B$27+Inputs!$B$29,MAX(0,(Inputs!$B$3-100)*3)+Inputs!$B$28+Inputs!$B$29)))</f>
        <v/>
      </c>
      <c r="E2132">
        <f>INDEX(FactorTable!$B$2:$Y$301, MATCH(ROUND(MIN(300,MAX(1,D2132)),0), FactorTable!$A$2:$A$301,0), Skills!M9+1)</f>
        <v/>
      </c>
      <c r="F2132">
        <f>IF(Skills!N9=TRUE,(Skills!L9/10)*(E2132/1000),Skills!L9/10)+Skills!O9</f>
        <v/>
      </c>
      <c r="G2132">
        <f>Skills!G9*IF(Skills!H9&gt;0,Skills!I9/Skills!H9,1)</f>
        <v/>
      </c>
      <c r="H2132">
        <f>1-(1-Skills!J9/100)^Skills!K9</f>
        <v/>
      </c>
      <c r="I2132" t="inlineStr">
        <is>
          <t>1</t>
        </is>
      </c>
      <c r="J2132">
        <f>((Inputs!$B$6*(1+Inputs!$B$7/100))+(((Inputs!$B$12*(1+Inputs!$B$13/100))-(Inputs!$B$12*(1+Inputs!$B$13/100)))+0.25*(Inputs!$B$14-Inputs!$B$14))*(1+Inputs!$B$7/100))*(F2132/100)</f>
        <v/>
      </c>
      <c r="K2132">
        <f>J2132*(1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2132)</f>
        <v/>
      </c>
      <c r="L2132">
        <f>K2132*(MIN(Inputs!$B$22+((C2143=TRUE)*(F2143-Calc!F20)),(Inputs!$B$23+0+(IF(ArtifactsInput!$M$15,CHOOSE(ArtifactsInput!$N$15+1,25,30,35,40,45,50)/100*(Inputs!$B$11-Inputs!$B$11),0))))/100+(Inputs!$B$23+0+(IF(ArtifactsInput!$M$15,CHOOSE(ArtifactsInput!$N$15+1,25,30,35,40,45,50)/100*(Inputs!$B$11-Inputs!$B$11),0)))/100)/2</f>
        <v/>
      </c>
      <c r="M2132">
        <f>L2132*(1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2">
        <f>L2132*(1-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2132*(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2">
        <f>(1-Summary!$B$11)*T2132+Summary!$B$11*V2132</f>
        <v/>
      </c>
      <c r="P2132">
        <f>IF(B2158=0,0,O2132/B2158)</f>
        <v/>
      </c>
      <c r="Q2132">
        <f>IFERROR(1/(IF(Inputs!$B$38="pvp",15,MAX(0.1,Skills!D9-IF(Skills!E9=TRUE,Inputs!$B$32,0)))*(1-IF(AND(ArtifactsInput!$M$27,Inputs!$B$4="Chapter Hunt"),CHOOSE(ArtifactsInput!$N$27+1,20,24,28,32,36,40),0)/100)),0)</f>
        <v/>
      </c>
      <c r="R2132">
        <f>IF(AND(Inputs!$B$38&lt;&gt;"pvp",Inputs!$B$43&gt;0),IF(MAX(0,Inputs!$B$43-B2155)&lt;=0,0,(INT(MAX(0,Inputs!$B$43-B2155)/(IF(Inputs!$B$38="pvp",15,MAX(0.1,Skills!D9-IF(Skills!E9=TRUE,Inputs!$B$32,0)))*(1-IF(AND(ArtifactsInput!$M$27,Inputs!$B$4="Chapter Hunt"),CHOOSE(ArtifactsInput!$N$27+1,20,24,28,32,36,40),0)/100)))+1)),0)</f>
        <v/>
      </c>
      <c r="S2132">
        <f>IFERROR(O2132/N2132,0)</f>
        <v/>
      </c>
      <c r="T2132">
        <f>IF(C2132,(H2132*N2132*IF(AND(Inputs!$B$38&lt;&gt;"pvp",Inputs!$B$43&gt;0),((Skills!G9*((R2132-1)*IF(Skills!H9&gt;0,Skills!I9/Skills!H9,1)+IF(Skills!H9&gt;0,MIN(Skills!I9,MAX(0,MAX(0,Inputs!$B$43-B2155)-((R2132-1)*(IF(Inputs!$B$38="pvp",15,MAX(0.1,Skills!D9-IF(Skills!E9=TRUE,Inputs!$B$32,0)))*(1-IF(AND(ArtifactsInput!$M$27,Inputs!$B$4="Chapter Hunt"),CHOOSE(ArtifactsInput!$N$27+1,20,24,28,32,36,40),0)/100)))))/Skills!H9,1)))/Inputs!$B$43),G2132*Q2132)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2132*(1-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2132*(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2132*(1-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2132*(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2">
        <f>IF(C2132,(H2132*N2132*IF(AND(Inputs!$B$38&lt;&gt;"pvp",Inputs!$B$43&gt;0),((Skills!G9*((R2132-1)*IF(Skills!H9&gt;0,Skills!I9/Skills!H9,1)+IF(Skills!H9&gt;0,MIN(Skills!I9,MAX(0,MAX(0,Inputs!$B$43-B2155)-((R2132-1)*(IF(Inputs!$B$38="pvp",15,MAX(0.1,Skills!D9-IF(Skills!E9=TRUE,Inputs!$B$32,0)))*(1-IF(AND(ArtifactsInput!$M$27,Inputs!$B$4="Chapter Hunt"),CHOOSE(ArtifactsInput!$N$27+1,20,24,28,32,36,40),0)/100)))))/Skills!H9,1)))/Inputs!$B$43),G2132*Q2132))*IF(Inputs!$B$38="pvp",1,(1+(Inputs!$B$21+Skills!Q9+(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3">
      <c r="A2133">
        <f>Skills!A10</f>
        <v/>
      </c>
      <c r="B2133">
        <f>Skills!B10</f>
        <v/>
      </c>
      <c r="C2133">
        <f>Inputs!$B$3&gt;=103</f>
        <v/>
      </c>
      <c r="D2133">
        <f>IF(Skills!C10=1,60+Inputs!$B$25+Inputs!$B$29,IF(Skills!C10=2,90+Inputs!$B$26+Inputs!$B$29,IF(Skills!C10=3,120+Inputs!$B$27+Inputs!$B$29,MAX(0,(Inputs!$B$3-100)*3)+Inputs!$B$28+Inputs!$B$29)))</f>
        <v/>
      </c>
      <c r="E2133">
        <f>INDEX(FactorTable!$B$2:$Y$301, MATCH(ROUND(MIN(300,MAX(1,D2133)),0), FactorTable!$A$2:$A$301,0), Skills!M10+1)</f>
        <v/>
      </c>
      <c r="F2133">
        <f>IF(Skills!N10=TRUE,(Skills!L10/10)*(E2133/1000),Skills!L10/10)+Skills!O10</f>
        <v/>
      </c>
      <c r="G2133">
        <f>Skills!G10*IF(Skills!H10&gt;0,Skills!I10/Skills!H10,1)</f>
        <v/>
      </c>
      <c r="H2133">
        <f>1-(1-Skills!J10/100)^Skills!K10</f>
        <v/>
      </c>
      <c r="I2133" t="inlineStr">
        <is>
          <t>1</t>
        </is>
      </c>
      <c r="J2133">
        <f>((Inputs!$B$6*(1+Inputs!$B$7/100))+(((Inputs!$B$12*(1+Inputs!$B$13/100))-(Inputs!$B$12*(1+Inputs!$B$13/100)))+0.25*(Inputs!$B$14-Inputs!$B$14))*(1+Inputs!$B$7/100))*(F2133/100)</f>
        <v/>
      </c>
      <c r="K2133">
        <f>J2133*(1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2133)</f>
        <v/>
      </c>
      <c r="L2133">
        <f>K2133*(MIN(Inputs!$B$22+((C2143=TRUE)*(F2143-Calc!F20)),(Inputs!$B$23+0+(IF(ArtifactsInput!$M$15,CHOOSE(ArtifactsInput!$N$15+1,25,30,35,40,45,50)/100*(Inputs!$B$11-Inputs!$B$11),0))))/100+(Inputs!$B$23+0+(IF(ArtifactsInput!$M$15,CHOOSE(ArtifactsInput!$N$15+1,25,30,35,40,45,50)/100*(Inputs!$B$11-Inputs!$B$11),0)))/100)/2</f>
        <v/>
      </c>
      <c r="M2133">
        <f>L2133*(1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3">
        <f>L2133*(1-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2133*(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3">
        <f>(1-Summary!$B$11)*T2133+Summary!$B$11*V2133</f>
        <v/>
      </c>
      <c r="P2133">
        <f>IF(B2158=0,0,O2133/B2158)</f>
        <v/>
      </c>
      <c r="Q2133">
        <f>IFERROR(1/(IF(Inputs!$B$38="pvp",15,MAX(0.1,Skills!D10-IF(Skills!E10=TRUE,Inputs!$B$32,0)))*(1-IF(AND(ArtifactsInput!$M$27,Inputs!$B$4="Chapter Hunt"),CHOOSE(ArtifactsInput!$N$27+1,20,24,28,32,36,40),0)/100)),0)</f>
        <v/>
      </c>
      <c r="R2133">
        <f>IF(AND(Inputs!$B$38&lt;&gt;"pvp",Inputs!$B$43&gt;0),IF(MAX(0,Inputs!$B$43-B2155)&lt;=0,0,(INT(MAX(0,Inputs!$B$43-B2155)/(IF(Inputs!$B$38="pvp",15,MAX(0.1,Skills!D10-IF(Skills!E10=TRUE,Inputs!$B$32,0)))*(1-IF(AND(ArtifactsInput!$M$27,Inputs!$B$4="Chapter Hunt"),CHOOSE(ArtifactsInput!$N$27+1,20,24,28,32,36,40),0)/100)))+1)),0)</f>
        <v/>
      </c>
      <c r="S2133">
        <f>IFERROR(O2133/N2133,0)</f>
        <v/>
      </c>
      <c r="T2133">
        <f>IF(C2133,(H2133*N2133*IF(AND(Inputs!$B$38&lt;&gt;"pvp",Inputs!$B$43&gt;0),((Skills!G10*((R2133-1)*IF(Skills!H10&gt;0,Skills!I10/Skills!H10,1)+IF(Skills!H10&gt;0,MIN(Skills!I10,MAX(0,MAX(0,Inputs!$B$43-B2155)-((R2133-1)*(IF(Inputs!$B$38="pvp",15,MAX(0.1,Skills!D10-IF(Skills!E10=TRUE,Inputs!$B$32,0)))*(1-IF(AND(ArtifactsInput!$M$27,Inputs!$B$4="Chapter Hunt"),CHOOSE(ArtifactsInput!$N$27+1,20,24,28,32,36,40),0)/100)))))/Skills!H10,1)))/Inputs!$B$43),G2133*Q2133)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2133*(1-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2133*(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2133*(1-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2133*(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3">
        <f>IF(C2133,(H2133*N2133*IF(AND(Inputs!$B$38&lt;&gt;"pvp",Inputs!$B$43&gt;0),((Skills!G10*((R2133-1)*IF(Skills!H10&gt;0,Skills!I10/Skills!H10,1)+IF(Skills!H10&gt;0,MIN(Skills!I10,MAX(0,MAX(0,Inputs!$B$43-B2155)-((R2133-1)*(IF(Inputs!$B$38="pvp",15,MAX(0.1,Skills!D10-IF(Skills!E10=TRUE,Inputs!$B$32,0)))*(1-IF(AND(ArtifactsInput!$M$27,Inputs!$B$4="Chapter Hunt"),CHOOSE(ArtifactsInput!$N$27+1,20,24,28,32,36,40),0)/100)))))/Skills!H10,1)))/Inputs!$B$43),G2133*Q2133))*IF(Inputs!$B$38="pvp",1,(1+(Inputs!$B$21+Skills!Q10+(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4">
      <c r="A2134">
        <f>Skills!A11</f>
        <v/>
      </c>
      <c r="B2134">
        <f>Skills!B11</f>
        <v/>
      </c>
      <c r="C2134">
        <f>Inputs!$B$3&gt;=113</f>
        <v/>
      </c>
      <c r="D2134">
        <f>IF(Skills!C11=1,60+Inputs!$B$25+Inputs!$B$29,IF(Skills!C11=2,90+Inputs!$B$26+Inputs!$B$29,IF(Skills!C11=3,120+Inputs!$B$27+Inputs!$B$29,MAX(0,(Inputs!$B$3-100)*3)+Inputs!$B$28+Inputs!$B$29)))</f>
        <v/>
      </c>
      <c r="E2134">
        <f>INDEX(FactorTable!$B$2:$Y$301, MATCH(ROUND(MIN(300,MAX(1,D2134)),0), FactorTable!$A$2:$A$301,0), Skills!M11+1)</f>
        <v/>
      </c>
      <c r="F2134">
        <f>IF(Skills!N11=TRUE,(Skills!L11/10)*(E2134/1000),Skills!L11/10)+Skills!O11</f>
        <v/>
      </c>
      <c r="G2134">
        <f>Skills!G11*IF(Skills!H11&gt;0,Skills!I11/Skills!H11,1)</f>
        <v/>
      </c>
      <c r="H2134">
        <f>1-(1-Skills!J11/100)^Skills!K11</f>
        <v/>
      </c>
      <c r="I2134" t="inlineStr">
        <is>
          <t>1</t>
        </is>
      </c>
      <c r="J2134">
        <f>((Inputs!$B$6*(1+Inputs!$B$7/100))+(((Inputs!$B$12*(1+Inputs!$B$13/100))-(Inputs!$B$12*(1+Inputs!$B$13/100)))+0.25*(Inputs!$B$14-Inputs!$B$14))*(1+Inputs!$B$7/100))*(F2134/100)</f>
        <v/>
      </c>
      <c r="K2134">
        <f>J2134*(1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2134)</f>
        <v/>
      </c>
      <c r="L2134">
        <f>K2134*(MIN(Inputs!$B$22+((C2143=TRUE)*(F2143-Calc!F20)),(Inputs!$B$23+0+(IF(ArtifactsInput!$M$15,CHOOSE(ArtifactsInput!$N$15+1,25,30,35,40,45,50)/100*(Inputs!$B$11-Inputs!$B$11),0))))/100+(Inputs!$B$23+0+(IF(ArtifactsInput!$M$15,CHOOSE(ArtifactsInput!$N$15+1,25,30,35,40,45,50)/100*(Inputs!$B$11-Inputs!$B$11),0)))/100)/2</f>
        <v/>
      </c>
      <c r="M2134">
        <f>L2134*(1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4">
        <f>L2134*(1-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2134*(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4">
        <f>(1-Summary!$B$11)*T2134+Summary!$B$11*V2134</f>
        <v/>
      </c>
      <c r="P2134">
        <f>IF(B2158=0,0,O2134/B2158)</f>
        <v/>
      </c>
      <c r="Q2134">
        <f>IFERROR(1/(IF(Inputs!$B$38="pvp",15,MAX(0.1,Skills!D11-IF(Skills!E11=TRUE,Inputs!$B$32,0)))*(1-IF(AND(ArtifactsInput!$M$27,Inputs!$B$4="Chapter Hunt"),CHOOSE(ArtifactsInput!$N$27+1,20,24,28,32,36,40),0)/100)),0)</f>
        <v/>
      </c>
      <c r="R2134">
        <f>IF(AND(Inputs!$B$38&lt;&gt;"pvp",Inputs!$B$43&gt;0),IF(MAX(0,Inputs!$B$43-B2155)&lt;=0,0,(INT(MAX(0,Inputs!$B$43-B2155)/(IF(Inputs!$B$38="pvp",15,MAX(0.1,Skills!D11-IF(Skills!E11=TRUE,Inputs!$B$32,0)))*(1-IF(AND(ArtifactsInput!$M$27,Inputs!$B$4="Chapter Hunt"),CHOOSE(ArtifactsInput!$N$27+1,20,24,28,32,36,40),0)/100)))+1)),0)</f>
        <v/>
      </c>
      <c r="S2134">
        <f>IFERROR(O2134/N2134,0)</f>
        <v/>
      </c>
      <c r="T2134">
        <f>IF(C2134,(H2134*N2134*IF(AND(Inputs!$B$38&lt;&gt;"pvp",Inputs!$B$43&gt;0),((Skills!G11*((R2134-1)*IF(Skills!H11&gt;0,Skills!I11/Skills!H11,1)+IF(Skills!H11&gt;0,MIN(Skills!I11,MAX(0,MAX(0,Inputs!$B$43-B2155)-((R2134-1)*(IF(Inputs!$B$38="pvp",15,MAX(0.1,Skills!D11-IF(Skills!E11=TRUE,Inputs!$B$32,0)))*(1-IF(AND(ArtifactsInput!$M$27,Inputs!$B$4="Chapter Hunt"),CHOOSE(ArtifactsInput!$N$27+1,20,24,28,32,36,40),0)/100)))))/Skills!H11,1)))/Inputs!$B$43),G2134*Q2134)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2134*(1-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2134*(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2134*(1-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2134*(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4">
        <f>IF(C2134,(H2134*N2134*IF(AND(Inputs!$B$38&lt;&gt;"pvp",Inputs!$B$43&gt;0),((Skills!G11*((R2134-1)*IF(Skills!H11&gt;0,Skills!I11/Skills!H11,1)+IF(Skills!H11&gt;0,MIN(Skills!I11,MAX(0,MAX(0,Inputs!$B$43-B2155)-((R2134-1)*(IF(Inputs!$B$38="pvp",15,MAX(0.1,Skills!D11-IF(Skills!E11=TRUE,Inputs!$B$32,0)))*(1-IF(AND(ArtifactsInput!$M$27,Inputs!$B$4="Chapter Hunt"),CHOOSE(ArtifactsInput!$N$27+1,20,24,28,32,36,40),0)/100)))))/Skills!H11,1)))/Inputs!$B$43),G2134*Q2134))*IF(Inputs!$B$38="pvp",1,(1+(Inputs!$B$21+Skills!Q11+(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5">
      <c r="A2135">
        <f>Skills!A12</f>
        <v/>
      </c>
      <c r="B2135">
        <f>Skills!B12</f>
        <v/>
      </c>
      <c r="C2135">
        <f>Inputs!$B$3&gt;=100</f>
        <v/>
      </c>
      <c r="D2135">
        <f>IF(Skills!C12=1,60+Inputs!$B$25+Inputs!$B$29,IF(Skills!C12=2,90+Inputs!$B$26+Inputs!$B$29,IF(Skills!C12=3,120+Inputs!$B$27+Inputs!$B$29,MAX(0,(Inputs!$B$3-100)*3)+Inputs!$B$28+Inputs!$B$29)))</f>
        <v/>
      </c>
      <c r="E2135">
        <f>INDEX(FactorTable!$B$2:$Y$301, MATCH(ROUND(MIN(300,MAX(1,D2135)),0), FactorTable!$A$2:$A$301,0), Skills!M12+1)</f>
        <v/>
      </c>
      <c r="F2135">
        <f>IF(Skills!N12=TRUE,(Skills!L12/10)*(E2135/1000),Skills!L12/10)+Skills!O12</f>
        <v/>
      </c>
      <c r="G2135" t="inlineStr"/>
      <c r="H2135" t="inlineStr"/>
      <c r="I2135" t="inlineStr">
        <is>
          <t>1</t>
        </is>
      </c>
      <c r="J2135" t="inlineStr"/>
      <c r="K2135" t="inlineStr"/>
      <c r="L2135" t="inlineStr"/>
      <c r="M2135" t="inlineStr"/>
      <c r="N2135" t="inlineStr"/>
      <c r="O2135" t="inlineStr"/>
      <c r="P2135" t="inlineStr"/>
      <c r="Q2135" t="inlineStr"/>
      <c r="R2135" t="inlineStr"/>
      <c r="S2135" t="inlineStr"/>
      <c r="T2135" t="inlineStr"/>
      <c r="V2135" t="inlineStr"/>
    </row>
    <row r="2136">
      <c r="A2136">
        <f>Skills!A13</f>
        <v/>
      </c>
      <c r="B2136">
        <f>Skills!B13</f>
        <v/>
      </c>
      <c r="C2136">
        <f>Inputs!$B$3&gt;=66</f>
        <v/>
      </c>
      <c r="D2136">
        <f>IF(Skills!C13=1,60+Inputs!$B$25+Inputs!$B$29,IF(Skills!C13=2,90+Inputs!$B$26+Inputs!$B$29,IF(Skills!C13=3,120+Inputs!$B$27+Inputs!$B$29,MAX(0,(Inputs!$B$3-100)*3)+Inputs!$B$28+Inputs!$B$29)))</f>
        <v/>
      </c>
      <c r="E2136">
        <f>INDEX(FactorTable!$B$2:$Y$301, MATCH(ROUND(MIN(300,MAX(1,D2136)),0), FactorTable!$A$2:$A$301,0), Skills!M13+1)</f>
        <v/>
      </c>
      <c r="F2136">
        <f>IF(Skills!N13=TRUE,(Skills!L13/10)*(E2136/1000),Skills!L13/10)+Skills!O13</f>
        <v/>
      </c>
      <c r="G2136">
        <f>Skills!G13*IF(Skills!H13&gt;0,Skills!I13/Skills!H13,1)</f>
        <v/>
      </c>
      <c r="H2136">
        <f>1-(1-Skills!J13/100)^Skills!K13</f>
        <v/>
      </c>
      <c r="I2136" t="inlineStr">
        <is>
          <t>1</t>
        </is>
      </c>
      <c r="J2136" t="inlineStr"/>
      <c r="K2136" t="inlineStr"/>
      <c r="L2136" t="inlineStr"/>
      <c r="M2136" t="inlineStr"/>
      <c r="N2136" t="inlineStr"/>
      <c r="O2136">
        <f>(1-Summary!$B$11)*T2136+Summary!$B$11*V2136</f>
        <v/>
      </c>
      <c r="P2136">
        <f>IF(B2158=0,0,O2136/B2158)</f>
        <v/>
      </c>
      <c r="Q2136" t="n">
        <v>0</v>
      </c>
      <c r="R2136" t="n">
        <v>0</v>
      </c>
      <c r="S2136">
        <f>IFERROR(O2136/N2136,0)</f>
        <v/>
      </c>
      <c r="T2136" t="n">
        <v>0</v>
      </c>
      <c r="V2136" t="n">
        <v>0</v>
      </c>
    </row>
    <row r="2137">
      <c r="A2137">
        <f>Skills!A14</f>
        <v/>
      </c>
      <c r="B2137">
        <f>Skills!B14</f>
        <v/>
      </c>
      <c r="C2137">
        <f>Inputs!$B$3&gt;=107</f>
        <v/>
      </c>
      <c r="D2137">
        <f>IF(Skills!C14=1,60+Inputs!$B$25+Inputs!$B$29,IF(Skills!C14=2,90+Inputs!$B$26+Inputs!$B$29,IF(Skills!C14=3,120+Inputs!$B$27+Inputs!$B$29,MAX(0,(Inputs!$B$3-100)*3)+Inputs!$B$28+Inputs!$B$29)))</f>
        <v/>
      </c>
      <c r="E2137">
        <f>INDEX(FactorTable!$B$2:$Y$301, MATCH(ROUND(MIN(300,MAX(1,D2137)),0), FactorTable!$A$2:$A$301,0), Skills!M14+1)</f>
        <v/>
      </c>
      <c r="F2137">
        <f>IF(Skills!N14=TRUE,(Skills!L14/10)*(E2137/1000),Skills!L14/10)+Skills!O14</f>
        <v/>
      </c>
      <c r="G2137">
        <f>Skills!G14*IF(Skills!H14&gt;0,Skills!I14/Skills!H14,1)</f>
        <v/>
      </c>
      <c r="H2137">
        <f>1-(1-Skills!J14/100)^Skills!K14</f>
        <v/>
      </c>
      <c r="I2137" t="inlineStr">
        <is>
          <t>1</t>
        </is>
      </c>
      <c r="J2137" t="inlineStr"/>
      <c r="K2137" t="inlineStr"/>
      <c r="L2137" t="inlineStr"/>
      <c r="M2137" t="inlineStr"/>
      <c r="N2137" t="inlineStr"/>
      <c r="O2137">
        <f>(1-Summary!$B$11)*T2137+Summary!$B$11*V2137</f>
        <v/>
      </c>
      <c r="P2137">
        <f>IF(B2158=0,0,O2137/B2158)</f>
        <v/>
      </c>
      <c r="Q2137" t="n">
        <v>0</v>
      </c>
      <c r="R2137" t="n">
        <v>0</v>
      </c>
      <c r="S2137">
        <f>IFERROR(O2137/N2137,0)</f>
        <v/>
      </c>
      <c r="T2137" t="n">
        <v>0</v>
      </c>
      <c r="V2137" t="n">
        <v>0</v>
      </c>
    </row>
    <row r="2138">
      <c r="A2138">
        <f>Skills!A15</f>
        <v/>
      </c>
      <c r="B2138">
        <f>Skills!B15</f>
        <v/>
      </c>
      <c r="C2138">
        <f>Inputs!$B$3&gt;=115</f>
        <v/>
      </c>
      <c r="D2138">
        <f>IF(Skills!C15=1,60+Inputs!$B$25+Inputs!$B$29,IF(Skills!C15=2,90+Inputs!$B$26+Inputs!$B$29,IF(Skills!C15=3,120+Inputs!$B$27+Inputs!$B$29,MAX(0,(Inputs!$B$3-100)*3)+Inputs!$B$28+Inputs!$B$29)))</f>
        <v/>
      </c>
      <c r="E2138">
        <f>INDEX(FactorTable!$B$2:$Y$301, MATCH(ROUND(MIN(300,MAX(1,D2138)),0), FactorTable!$A$2:$A$301,0), Skills!M15+1)</f>
        <v/>
      </c>
      <c r="F2138">
        <f>IF(Skills!N15=TRUE,(Skills!L15/10)*(E2138/1000),Skills!L15/10)+Skills!O15</f>
        <v/>
      </c>
      <c r="G2138">
        <f>Skills!G15*IF(Skills!H15&gt;0,Skills!I15/Skills!H15,1)</f>
        <v/>
      </c>
      <c r="H2138">
        <f>1-(1-Skills!J15/100)^Skills!K15</f>
        <v/>
      </c>
      <c r="I2138" t="inlineStr">
        <is>
          <t>1</t>
        </is>
      </c>
      <c r="J2138" t="inlineStr"/>
      <c r="K2138" t="inlineStr"/>
      <c r="L2138" t="inlineStr"/>
      <c r="M2138" t="inlineStr"/>
      <c r="N2138" t="inlineStr"/>
      <c r="O2138">
        <f>(1-Summary!$B$11)*T2138+Summary!$B$11*V2138</f>
        <v/>
      </c>
      <c r="P2138">
        <f>IF(B2158=0,0,O2138/B2158)</f>
        <v/>
      </c>
      <c r="Q2138" t="n">
        <v>0</v>
      </c>
      <c r="R2138" t="n">
        <v>0</v>
      </c>
      <c r="S2138">
        <f>IFERROR(O2138/N2138,0)</f>
        <v/>
      </c>
      <c r="T2138" t="n">
        <v>0</v>
      </c>
      <c r="V2138" t="n">
        <v>0</v>
      </c>
    </row>
    <row r="2139">
      <c r="A2139">
        <f>Skills!A16</f>
        <v/>
      </c>
      <c r="B2139">
        <f>Skills!B16</f>
        <v/>
      </c>
      <c r="C2139">
        <f>Inputs!$B$3&gt;=15</f>
        <v/>
      </c>
      <c r="D2139">
        <f>IF(Skills!C16=1,60+Inputs!$B$25+Inputs!$B$29,IF(Skills!C16=2,90+Inputs!$B$26+Inputs!$B$29,IF(Skills!C16=3,120+Inputs!$B$27+Inputs!$B$29,MAX(0,(Inputs!$B$3-100)*3)+Inputs!$B$28+Inputs!$B$29)))</f>
        <v/>
      </c>
      <c r="E2139">
        <f>INDEX(FactorTable!$B$2:$Y$301, MATCH(ROUND(MIN(300,MAX(1,D2139)),0), FactorTable!$A$2:$A$301,0), Skills!M16+1)</f>
        <v/>
      </c>
      <c r="F2139">
        <f>IF(Skills!N16=TRUE,(Skills!L16/10)*(E2139/1000),Skills!L16/10)+Skills!O16</f>
        <v/>
      </c>
      <c r="G2139">
        <f>Skills!G16*IF(Skills!H16&gt;0,Skills!I16/Skills!H16,1)</f>
        <v/>
      </c>
      <c r="H2139">
        <f>1-(1-Skills!J16/100)^Skills!K16</f>
        <v/>
      </c>
      <c r="I2139" t="inlineStr">
        <is>
          <t>1</t>
        </is>
      </c>
      <c r="J2139" t="inlineStr"/>
      <c r="K2139" t="inlineStr"/>
      <c r="L2139" t="inlineStr"/>
      <c r="M2139" t="inlineStr"/>
      <c r="N2139" t="inlineStr"/>
      <c r="O2139">
        <f>(1-Summary!$B$11)*T2139+Summary!$B$11*V2139</f>
        <v/>
      </c>
      <c r="P2139">
        <f>IF(B2158=0,0,O2139/B2158)</f>
        <v/>
      </c>
      <c r="Q2139" t="n">
        <v>0</v>
      </c>
      <c r="R2139" t="n">
        <v>0</v>
      </c>
      <c r="S2139">
        <f>IFERROR(O2139/N2139,0)</f>
        <v/>
      </c>
      <c r="T2139" t="n">
        <v>0</v>
      </c>
      <c r="V2139" t="n">
        <v>0</v>
      </c>
    </row>
    <row r="2140">
      <c r="A2140">
        <f>Skills!A17</f>
        <v/>
      </c>
      <c r="B2140">
        <f>Skills!B17</f>
        <v/>
      </c>
      <c r="C2140">
        <f>Inputs!$B$3&gt;=10</f>
        <v/>
      </c>
      <c r="D2140">
        <f>IF(Skills!C17=1,60+Inputs!$B$25+Inputs!$B$29,IF(Skills!C17=2,90+Inputs!$B$26+Inputs!$B$29,IF(Skills!C17=3,120+Inputs!$B$27+Inputs!$B$29,MAX(0,(Inputs!$B$3-100)*3)+Inputs!$B$28+Inputs!$B$29)))</f>
        <v/>
      </c>
      <c r="E2140">
        <f>INDEX(FactorTable!$B$2:$Y$301, MATCH(ROUND(MIN(300,MAX(1,D2140)),0), FactorTable!$A$2:$A$301,0), Skills!M17+1)</f>
        <v/>
      </c>
      <c r="F2140">
        <f>IF(Skills!N17=TRUE,(Skills!L17/10)*(E2140/1000),Skills!L17/10)+Skills!O17</f>
        <v/>
      </c>
      <c r="G2140">
        <f>Skills!G17*IF(Skills!H17&gt;0,Skills!I17/Skills!H17,1)</f>
        <v/>
      </c>
      <c r="H2140">
        <f>1-(1-Skills!J17/100)^Skills!K17</f>
        <v/>
      </c>
      <c r="I2140" t="inlineStr">
        <is>
          <t>1</t>
        </is>
      </c>
      <c r="J2140" t="inlineStr"/>
      <c r="K2140" t="inlineStr"/>
      <c r="L2140" t="inlineStr"/>
      <c r="M2140" t="inlineStr"/>
      <c r="N2140" t="inlineStr"/>
      <c r="O2140">
        <f>(1-Summary!$B$11)*T2140+Summary!$B$11*V2140</f>
        <v/>
      </c>
      <c r="P2140">
        <f>IF(B2158=0,0,O2140/B2158)</f>
        <v/>
      </c>
      <c r="Q2140" t="n">
        <v>0</v>
      </c>
      <c r="R2140" t="n">
        <v>0</v>
      </c>
      <c r="S2140">
        <f>IFERROR(O2140/N2140,0)</f>
        <v/>
      </c>
      <c r="T2140" t="n">
        <v>0</v>
      </c>
      <c r="V2140" t="n">
        <v>0</v>
      </c>
    </row>
    <row r="2141">
      <c r="A2141">
        <f>Skills!A18</f>
        <v/>
      </c>
      <c r="B2141">
        <f>Skills!B18</f>
        <v/>
      </c>
      <c r="C2141">
        <f>Inputs!$B$3&gt;=33</f>
        <v/>
      </c>
      <c r="D2141">
        <f>IF(Skills!C18=1,60+Inputs!$B$25+Inputs!$B$29,IF(Skills!C18=2,90+Inputs!$B$26+Inputs!$B$29,IF(Skills!C18=3,120+Inputs!$B$27+Inputs!$B$29,MAX(0,(Inputs!$B$3-100)*3)+Inputs!$B$28+Inputs!$B$29)))</f>
        <v/>
      </c>
      <c r="E2141">
        <f>INDEX(FactorTable!$B$2:$Y$301, MATCH(ROUND(MIN(300,MAX(1,D2141)),0), FactorTable!$A$2:$A$301,0), Skills!M18+1)</f>
        <v/>
      </c>
      <c r="F2141">
        <f>IF(Skills!N18=TRUE,(Skills!L18/10)*(E2141/1000),Skills!L18/10)+Skills!O18</f>
        <v/>
      </c>
      <c r="G2141">
        <f>Skills!G18*IF(Skills!H18&gt;0,Skills!I18/Skills!H18,1)</f>
        <v/>
      </c>
      <c r="H2141">
        <f>1-(1-Skills!J18/100)^Skills!K18</f>
        <v/>
      </c>
      <c r="I2141" t="inlineStr">
        <is>
          <t>1</t>
        </is>
      </c>
      <c r="J2141" t="inlineStr"/>
      <c r="K2141" t="inlineStr"/>
      <c r="L2141" t="inlineStr"/>
      <c r="M2141" t="inlineStr"/>
      <c r="N2141" t="inlineStr"/>
      <c r="O2141">
        <f>(1-Summary!$B$11)*T2141+Summary!$B$11*V2141</f>
        <v/>
      </c>
      <c r="P2141">
        <f>IF(B2158=0,0,O2141/B2158)</f>
        <v/>
      </c>
      <c r="Q2141" t="n">
        <v>0</v>
      </c>
      <c r="R2141" t="n">
        <v>0</v>
      </c>
      <c r="S2141">
        <f>IFERROR(O2141/N2141,0)</f>
        <v/>
      </c>
      <c r="T2141" t="n">
        <v>0</v>
      </c>
      <c r="V2141" t="n">
        <v>0</v>
      </c>
    </row>
    <row r="2142">
      <c r="A2142">
        <f>Skills!A19</f>
        <v/>
      </c>
      <c r="B2142">
        <f>Skills!B19</f>
        <v/>
      </c>
      <c r="C2142">
        <f>Inputs!$B$3&gt;=40</f>
        <v/>
      </c>
      <c r="D2142">
        <f>IF(Skills!C19=1,60+Inputs!$B$25+Inputs!$B$29,IF(Skills!C19=2,90+Inputs!$B$26+Inputs!$B$29,IF(Skills!C19=3,120+Inputs!$B$27+Inputs!$B$29,MAX(0,(Inputs!$B$3-100)*3)+Inputs!$B$28+Inputs!$B$29)))</f>
        <v/>
      </c>
      <c r="E2142">
        <f>INDEX(FactorTable!$B$2:$Y$301, MATCH(ROUND(MIN(300,MAX(1,D2142)),0), FactorTable!$A$2:$A$301,0), Skills!M19+1)</f>
        <v/>
      </c>
      <c r="F2142">
        <f>IF(Skills!N19=TRUE,(Skills!L19/10)*(E2142/1000),Skills!L19/10)+Skills!O19</f>
        <v/>
      </c>
      <c r="G2142">
        <f>Skills!G19*IF(Skills!H19&gt;0,Skills!I19/Skills!H19,1)</f>
        <v/>
      </c>
      <c r="H2142">
        <f>1-(1-Skills!J19/100)^Skills!K19</f>
        <v/>
      </c>
      <c r="I2142" t="inlineStr">
        <is>
          <t>1</t>
        </is>
      </c>
      <c r="J2142" t="inlineStr"/>
      <c r="K2142" t="inlineStr"/>
      <c r="L2142" t="inlineStr"/>
      <c r="M2142" t="inlineStr"/>
      <c r="N2142" t="inlineStr"/>
      <c r="O2142">
        <f>(1-Summary!$B$11)*T2142+Summary!$B$11*V2142</f>
        <v/>
      </c>
      <c r="P2142">
        <f>IF(B2158=0,0,O2142/B2158)</f>
        <v/>
      </c>
      <c r="Q2142" t="n">
        <v>0</v>
      </c>
      <c r="R2142" t="n">
        <v>0</v>
      </c>
      <c r="S2142">
        <f>IFERROR(O2142/N2142,0)</f>
        <v/>
      </c>
      <c r="T2142" t="n">
        <v>0</v>
      </c>
      <c r="V2142" t="n">
        <v>0</v>
      </c>
    </row>
    <row r="2143">
      <c r="A2143">
        <f>Skills!A20</f>
        <v/>
      </c>
      <c r="B2143">
        <f>Skills!B20</f>
        <v/>
      </c>
      <c r="C2143">
        <f>Inputs!$B$3&gt;=43</f>
        <v/>
      </c>
      <c r="D2143">
        <f>IF(Skills!C20=1,60+Inputs!$B$25+Inputs!$B$29,IF(Skills!C20=2,90+Inputs!$B$26+Inputs!$B$29,IF(Skills!C20=3,120+Inputs!$B$27+Inputs!$B$29,MAX(0,(Inputs!$B$3-100)*3)+Inputs!$B$28+Inputs!$B$29)))</f>
        <v/>
      </c>
      <c r="E2143">
        <f>INDEX(FactorTable!$B$2:$Y$301, MATCH(ROUND(MIN(300,MAX(1,D2143)),0), FactorTable!$A$2:$A$301,0), Skills!M20+1)</f>
        <v/>
      </c>
      <c r="F2143">
        <f>IF(Skills!N20=TRUE,(Skills!L20/10)*(E2143/1000),Skills!L20/10)+Skills!O20</f>
        <v/>
      </c>
      <c r="G2143">
        <f>Skills!G20*IF(Skills!H20&gt;0,Skills!I20/Skills!H20,1)</f>
        <v/>
      </c>
      <c r="H2143">
        <f>1-(1-Skills!J20/100)^Skills!K20</f>
        <v/>
      </c>
      <c r="I2143" t="inlineStr">
        <is>
          <t>1</t>
        </is>
      </c>
      <c r="J2143" t="inlineStr"/>
      <c r="K2143" t="inlineStr"/>
      <c r="L2143" t="inlineStr"/>
      <c r="M2143" t="inlineStr"/>
      <c r="N2143" t="inlineStr"/>
      <c r="O2143">
        <f>(1-Summary!$B$11)*T2143+Summary!$B$11*V2143</f>
        <v/>
      </c>
      <c r="P2143">
        <f>IF(B2158=0,0,O2143/B2158)</f>
        <v/>
      </c>
      <c r="Q2143" t="n">
        <v>0</v>
      </c>
      <c r="R2143" t="n">
        <v>0</v>
      </c>
      <c r="S2143">
        <f>IFERROR(O2143/N2143,0)</f>
        <v/>
      </c>
      <c r="T2143" t="n">
        <v>0</v>
      </c>
      <c r="V2143" t="n">
        <v>0</v>
      </c>
    </row>
    <row r="2144">
      <c r="A2144">
        <f>Skills!A21</f>
        <v/>
      </c>
      <c r="B2144">
        <f>Skills!B21</f>
        <v/>
      </c>
      <c r="C2144">
        <f>Inputs!$B$3&gt;=38</f>
        <v/>
      </c>
      <c r="D2144">
        <f>IF(Skills!C21=1,60+Inputs!$B$25+Inputs!$B$29,IF(Skills!C21=2,90+Inputs!$B$26+Inputs!$B$29,IF(Skills!C21=3,120+Inputs!$B$27+Inputs!$B$29,MAX(0,(Inputs!$B$3-100)*3)+Inputs!$B$28+Inputs!$B$29)))</f>
        <v/>
      </c>
      <c r="E2144">
        <f>INDEX(FactorTable!$B$2:$Y$301, MATCH(ROUND(MIN(300,MAX(1,D2144)),0), FactorTable!$A$2:$A$301,0), Skills!M21+1)</f>
        <v/>
      </c>
      <c r="F2144">
        <f>IF(Skills!N21=TRUE,(Skills!L21/10)*(E2144/1000),Skills!L21/10)+Skills!O21</f>
        <v/>
      </c>
      <c r="G2144">
        <f>Skills!G21*IF(Skills!H21&gt;0,Skills!I21/Skills!H21,1)</f>
        <v/>
      </c>
      <c r="H2144">
        <f>1-(1-Skills!J21/100)^Skills!K21</f>
        <v/>
      </c>
      <c r="I2144" t="inlineStr">
        <is>
          <t>1</t>
        </is>
      </c>
      <c r="J2144" t="inlineStr"/>
      <c r="K2144" t="inlineStr"/>
      <c r="L2144" t="inlineStr"/>
      <c r="M2144" t="inlineStr"/>
      <c r="N2144" t="inlineStr"/>
      <c r="O2144">
        <f>(1-Summary!$B$11)*T2144+Summary!$B$11*V2144</f>
        <v/>
      </c>
      <c r="P2144">
        <f>IF(B2158=0,0,O2144/B2158)</f>
        <v/>
      </c>
      <c r="Q2144" t="n">
        <v>0</v>
      </c>
      <c r="R2144" t="n">
        <v>0</v>
      </c>
      <c r="S2144">
        <f>IFERROR(O2144/N2144,0)</f>
        <v/>
      </c>
      <c r="T2144" t="n">
        <v>0</v>
      </c>
      <c r="V2144" t="n">
        <v>0</v>
      </c>
    </row>
    <row r="2145">
      <c r="A2145">
        <f>Skills!A22</f>
        <v/>
      </c>
      <c r="B2145">
        <f>Skills!B22</f>
        <v/>
      </c>
      <c r="C2145">
        <f>Inputs!$B$3&gt;=75</f>
        <v/>
      </c>
      <c r="D2145">
        <f>IF(Skills!C22=1,60+Inputs!$B$25+Inputs!$B$29,IF(Skills!C22=2,90+Inputs!$B$26+Inputs!$B$29,IF(Skills!C22=3,120+Inputs!$B$27+Inputs!$B$29,MAX(0,(Inputs!$B$3-100)*3)+Inputs!$B$28+Inputs!$B$29)))</f>
        <v/>
      </c>
      <c r="E2145">
        <f>INDEX(FactorTable!$B$2:$Y$301, MATCH(ROUND(MIN(300,MAX(1,D2145)),0), FactorTable!$A$2:$A$301,0), Skills!M22+1)</f>
        <v/>
      </c>
      <c r="F2145">
        <f>IF(Skills!N22=TRUE,(Skills!L22/10)*(E2145/1000),Skills!L22/10)+Skills!O22</f>
        <v/>
      </c>
      <c r="G2145">
        <f>Skills!G22*IF(Skills!H22&gt;0,Skills!I22/Skills!H22,1)</f>
        <v/>
      </c>
      <c r="H2145">
        <f>1-(1-Skills!J22/100)^Skills!K22</f>
        <v/>
      </c>
      <c r="I2145" t="inlineStr">
        <is>
          <t>1</t>
        </is>
      </c>
      <c r="J2145" t="inlineStr"/>
      <c r="K2145" t="inlineStr"/>
      <c r="L2145" t="inlineStr"/>
      <c r="M2145" t="inlineStr"/>
      <c r="N2145" t="inlineStr"/>
      <c r="O2145">
        <f>(1-Summary!$B$11)*T2145+Summary!$B$11*V2145</f>
        <v/>
      </c>
      <c r="P2145">
        <f>IF(B2158=0,0,O2145/B2158)</f>
        <v/>
      </c>
      <c r="Q2145" t="n">
        <v>0</v>
      </c>
      <c r="R2145" t="n">
        <v>0</v>
      </c>
      <c r="S2145">
        <f>IFERROR(O2145/N2145,0)</f>
        <v/>
      </c>
      <c r="T2145" t="n">
        <v>0</v>
      </c>
      <c r="V2145" t="n">
        <v>0</v>
      </c>
    </row>
    <row r="2147">
      <c r="A2147" t="inlineStr">
        <is>
          <t>Attack% Bucket Multiplier</t>
        </is>
      </c>
      <c r="B2147">
        <f>(1+(((C2136=TRUE)*F2136)+((C2142=TRUE)*(F2142-Calc!F19))+(IF(ArtifactsInput!$M$21,CHOOSE(ArtifactsInput!$N$21+1,25,30,35,40,45,50)*(IF(OR(Inputs!$B$4="Chapter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48">
      <c r="A2148" t="inlineStr">
        <is>
          <t>Global Crit Rate Bonus %</t>
        </is>
      </c>
      <c r="B2148" t="n">
        <v>0</v>
      </c>
    </row>
    <row r="2149">
      <c r="A2149" t="inlineStr">
        <is>
          <t>Attack Speed Buff Bonus % (unused)</t>
        </is>
      </c>
      <c r="B2149" t="n">
        <v>0</v>
      </c>
    </row>
    <row r="2150">
      <c r="A2150" t="inlineStr">
        <is>
          <t>Actions Per Second</t>
        </is>
      </c>
      <c r="B2150">
        <f>1+MIN(150,150*(1-(1-(Inputs!$B$11+((C2140=TRUE)*(F2140-Calc!F17))+((C2141=TRUE)*(F2141-Calc!F18)))/150)*(1-B2149/150)))/100</f>
        <v/>
      </c>
    </row>
    <row r="2151">
      <c r="A2151" t="inlineStr">
        <is>
          <t>Skill + Buff Cast Rate</t>
        </is>
      </c>
      <c r="B2151">
        <f>IF(AND(Inputs!$B$38&lt;&gt;"pvp",Inputs!$B$43&gt;0),SUMPRODUCT((Skills!E2:E22=TRUE)*(C2125:C2145=TRUE)*R2125:R2145*Skills!F2:F22)/Inputs!$B$43,SUMPRODUCT((Skills!E2:E22=TRUE)*(C2125:C2145=TRUE)*Q2125:Q2145*Skills!F2:F22))</f>
        <v/>
      </c>
    </row>
    <row r="2152">
      <c r="A2152" t="inlineStr">
        <is>
          <t>Hook Bomber Casts Per Second</t>
        </is>
      </c>
      <c r="B2152">
        <f>MAX(0,B2150-B2151)</f>
        <v/>
      </c>
    </row>
    <row r="2153">
      <c r="A2153" t="inlineStr">
        <is>
          <t>Global Critical Damage Bonus % (unused)</t>
        </is>
      </c>
      <c r="B2153" t="n">
        <v>0</v>
      </c>
    </row>
    <row r="2154">
      <c r="A2154" t="inlineStr">
        <is>
          <t>Global Final Damage Bonus % (Serpent Scale + Crossbones + Time Leap + Speed Infusion)</t>
        </is>
      </c>
      <c r="B2154">
        <f>((C2128=TRUE)*F2128*((10+IF(Inputs!$B$3&gt;=94,5,0))/((10+IF(Inputs!$B$3&gt;=94,5,0))+5/(B2152*(1+IF(Inputs!$B$3&gt;=104,1,0))))))+((C2137=TRUE)*F2137)+((C2138=TRUE)*F2138)+((Inputs!$B$3&gt;=110)*20*(B2150-1))</f>
        <v/>
      </c>
    </row>
    <row r="2155">
      <c r="A2155" t="inlineStr">
        <is>
          <t>Buff-Casting Startup Delay (s, fixed-duration only)</t>
        </is>
      </c>
      <c r="B2155">
        <f>IF(AND(Inputs!$B$38&lt;&gt;"pvp",Inputs!$B$43&gt;0),SUMPRODUCT((Skills!T2:T22&gt;0)*(Skills!E2:E22=TRUE)*(C2125:C2145=TRUE))/B2150,0)</f>
        <v/>
      </c>
    </row>
    <row r="2156">
      <c r="A2156" t="inlineStr">
        <is>
          <t>Boss-Only Total DPS (this block's swept value)</t>
        </is>
      </c>
      <c r="B2156">
        <f>SUM(T2125:T2145)</f>
        <v/>
      </c>
    </row>
    <row r="2157">
      <c r="A2157" t="inlineStr">
        <is>
          <t>Normal-Only Total DPS (this block's swept value)</t>
        </is>
      </c>
      <c r="B2157">
        <f>SUM(V2125:V2145)</f>
        <v/>
      </c>
    </row>
    <row r="2158">
      <c r="A2158" s="6" t="inlineStr">
        <is>
          <t>TOTAL DPS</t>
        </is>
      </c>
      <c r="B2158" s="6">
        <f>SUM(O2125:O2145)</f>
        <v/>
      </c>
    </row>
    <row r="2161">
      <c r="A2161" s="6" t="inlineStr">
        <is>
          <t>Stat: Candle (Equip)</t>
        </is>
      </c>
    </row>
    <row r="2162">
      <c r="A2162" s="5" t="inlineStr">
        <is>
          <t>Key</t>
        </is>
      </c>
      <c r="B2162" s="5" t="inlineStr">
        <is>
          <t>Name</t>
        </is>
      </c>
      <c r="C2162" s="5" t="inlineStr">
        <is>
          <t>Unlocked</t>
        </is>
      </c>
      <c r="D2162" s="5" t="inlineStr">
        <is>
          <t>InputLevel</t>
        </is>
      </c>
      <c r="E2162" s="5" t="inlineStr">
        <is>
          <t>Factor</t>
        </is>
      </c>
      <c r="F2162" s="5" t="inlineStr">
        <is>
          <t>CoefficientPercent</t>
        </is>
      </c>
      <c r="G2162" s="5" t="inlineStr">
        <is>
          <t>EffectiveHits</t>
        </is>
      </c>
      <c r="H2162" s="5" t="inlineStr">
        <is>
          <t>ProcProbability</t>
        </is>
      </c>
      <c r="I2162" s="5" t="inlineStr">
        <is>
          <t>MapleHeroMultiplier</t>
        </is>
      </c>
      <c r="J2162" s="5" t="inlineStr">
        <is>
          <t>BaseDamage</t>
        </is>
      </c>
      <c r="K2162" s="5" t="inlineStr">
        <is>
          <t>BaseHitDamage</t>
        </is>
      </c>
      <c r="L2162" s="5" t="inlineStr">
        <is>
          <t>NonCritAvg</t>
        </is>
      </c>
      <c r="M2162" s="5" t="inlineStr">
        <is>
          <t>CritAvg</t>
        </is>
      </c>
      <c r="N2162" s="5" t="inlineStr">
        <is>
          <t>ExpectedDamage(perHit)</t>
        </is>
      </c>
      <c r="O2162" s="5" t="inlineStr">
        <is>
          <t>DPS</t>
        </is>
      </c>
      <c r="P2162" s="5" t="inlineStr">
        <is>
          <t>% of Total</t>
        </is>
      </c>
      <c r="Q2162" s="5" t="inlineStr">
        <is>
          <t>InvCooldown</t>
        </is>
      </c>
      <c r="R2162" s="5" t="inlineStr">
        <is>
          <t>CastsInFight</t>
        </is>
      </c>
      <c r="S2162" s="5" t="inlineStr">
        <is>
          <t>HitRate(perSec)</t>
        </is>
      </c>
      <c r="U2162" t="inlineStr">
        <is>
          <t>helpers</t>
        </is>
      </c>
    </row>
    <row r="2163">
      <c r="A2163">
        <f>Skills!A2</f>
        <v/>
      </c>
      <c r="B2163">
        <f>Skills!B2</f>
        <v/>
      </c>
      <c r="C2163">
        <f>Inputs!$B$3&gt;=100</f>
        <v/>
      </c>
      <c r="D2163" t="inlineStr"/>
      <c r="E2163" t="inlineStr"/>
      <c r="F2163">
        <f>U2165+Skills!O2</f>
        <v/>
      </c>
      <c r="G2163">
        <f>Skills!G2*IF(Skills!H2&gt;0,Skills!I2/Skills!H2,1)</f>
        <v/>
      </c>
      <c r="H2163">
        <f>1-(1-Skills!J2/100)^Skills!K2</f>
        <v/>
      </c>
      <c r="I2163" t="inlineStr">
        <is>
          <t>1</t>
        </is>
      </c>
      <c r="J2163">
        <f>((Inputs!$B$6*(1+Inputs!$B$7/100))+(((Inputs!$B$12*(1+Inputs!$B$13/100))-(Inputs!$B$12*(1+Inputs!$B$13/100)))+0.25*(Inputs!$B$14-Inputs!$B$14))*(1+Inputs!$B$7/100))*(F2163/100)</f>
        <v/>
      </c>
      <c r="K2163">
        <f>J2163*(1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2163)</f>
        <v/>
      </c>
      <c r="L2163">
        <f>K2163*(MIN(Inputs!$B$22+((C2181=TRUE)*(F2181-Calc!F20)),(Inputs!$B$23+0+(IF(ArtifactsInput!$M$15,CHOOSE(ArtifactsInput!$N$15+1,25,30,35,40,45,50)/100*(Inputs!$B$11-Inputs!$B$11),0))))/100+(Inputs!$B$23+0+(IF(ArtifactsInput!$M$15,CHOOSE(ArtifactsInput!$N$15+1,25,30,35,40,45,50)/100*(Inputs!$B$11-Inputs!$B$11),0)))/100)/2</f>
        <v/>
      </c>
      <c r="M2163">
        <f>L2163*(1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3">
        <f>L2163*(1-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2163*(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3">
        <f>(1-Summary!$B$11)*T2163+Summary!$B$11*V2163</f>
        <v/>
      </c>
      <c r="P2163">
        <f>IF(B2196=0,0,O2163/B2196)</f>
        <v/>
      </c>
      <c r="Q2163" t="n">
        <v>0</v>
      </c>
      <c r="R2163" t="n">
        <v>0</v>
      </c>
      <c r="S2163">
        <f>IFERROR(O2163/N2163,0)</f>
        <v/>
      </c>
      <c r="T2163">
        <f>IF(C2163,(Skills!G2*N2163*B2190)*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2163*(1-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2163*(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2163*(1-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2163*(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3">
        <f>MAX(0,(Inputs!$B$3-100)*3)+Inputs!$B$28+Inputs!$B$29</f>
        <v/>
      </c>
      <c r="V2163">
        <f>IF(C2163,(Skills!G2*N2163*B2190)*IF(Inputs!$B$38="pvp",1,(1+(Inputs!$B$21+Skills!Q2+(IF(ArtifactsInput!$M$33,CHOOSE(ArtifactsInput!$N$33+1,30,36,42,48,54,60),0))+(IF(AND(ArtifactsInput!$M$35,Inputs!$B$4&lt;&gt;"Chapter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4">
      <c r="A2164">
        <f>Skills!A3</f>
        <v/>
      </c>
      <c r="B2164">
        <f>Skills!B3</f>
        <v/>
      </c>
      <c r="C2164">
        <f>Inputs!$B$3&gt;=35</f>
        <v/>
      </c>
      <c r="D2164">
        <f>IF(Skills!C3=1,60+Inputs!$B$25+Inputs!$B$29,IF(Skills!C3=2,90+Inputs!$B$26+Inputs!$B$29,IF(Skills!C3=3,120+Inputs!$B$27+Inputs!$B$29,MAX(0,(Inputs!$B$3-100)*3)+Inputs!$B$28+Inputs!$B$29)))</f>
        <v/>
      </c>
      <c r="E2164">
        <f>INDEX(FactorTable!$B$2:$Y$301, MATCH(ROUND(MIN(300,MAX(1,D2164)),0), FactorTable!$A$2:$A$301,0), Skills!M3+1)</f>
        <v/>
      </c>
      <c r="F2164">
        <f>IF(Skills!N3=TRUE,(Skills!L3/10)*(E2164/1000),Skills!L3/10)+Skills!O3</f>
        <v/>
      </c>
      <c r="G2164">
        <f>Skills!G3*IF(Skills!H3&gt;0,Skills!I3/Skills!H3,1)</f>
        <v/>
      </c>
      <c r="H2164">
        <f>1-(1-Skills!J3/100)^Skills!K3</f>
        <v/>
      </c>
      <c r="I2164" t="inlineStr">
        <is>
          <t>1</t>
        </is>
      </c>
      <c r="J2164">
        <f>((Inputs!$B$6*(1+Inputs!$B$7/100))+(((Inputs!$B$12*(1+Inputs!$B$13/100))-(Inputs!$B$12*(1+Inputs!$B$13/100)))+0.25*(Inputs!$B$14-Inputs!$B$14))*(1+Inputs!$B$7/100))*(F2164/100)</f>
        <v/>
      </c>
      <c r="K2164">
        <f>J2164*(1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2164)</f>
        <v/>
      </c>
      <c r="L2164">
        <f>K2164*(MIN(Inputs!$B$22+((C2181=TRUE)*(F2181-Calc!F20)),(Inputs!$B$23+0+(IF(ArtifactsInput!$M$15,CHOOSE(ArtifactsInput!$N$15+1,25,30,35,40,45,50)/100*(Inputs!$B$11-Inputs!$B$11),0))))/100+(Inputs!$B$23+0+(IF(ArtifactsInput!$M$15,CHOOSE(ArtifactsInput!$N$15+1,25,30,35,40,45,50)/100*(Inputs!$B$11-Inputs!$B$11),0)))/100)/2</f>
        <v/>
      </c>
      <c r="M2164">
        <f>L2164*(1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4">
        <f>L2164*(1-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2164*(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4">
        <f>(1-Summary!$B$11)*T2164+Summary!$B$11*V2164</f>
        <v/>
      </c>
      <c r="P2164">
        <f>IF(B2196=0,0,O2164/B2196)</f>
        <v/>
      </c>
      <c r="Q2164" t="n">
        <v>0</v>
      </c>
      <c r="R2164" t="n">
        <v>0</v>
      </c>
      <c r="S2164">
        <f>IFERROR(O2164/N2164,0)</f>
        <v/>
      </c>
      <c r="T2164">
        <f>IF(C2164,(Skills!G3*H2164*N2164*B2190)*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2164*(1-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2164*(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2164*(1-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2164*(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4">
        <f>INDEX(FactorTable!$B$2:$Y$301, MATCH(ROUND(MIN(300,MAX(1,U2163)),0), FactorTable!$A$2:$A$301,0), 22)</f>
        <v/>
      </c>
      <c r="V2164">
        <f>IF(C2164,(Skills!G3*H2164*N2164*B2190)*IF(Inputs!$B$38="pvp",1,(1+(Inputs!$B$21+Skills!Q3+(IF(ArtifactsInput!$M$33,CHOOSE(ArtifactsInput!$N$33+1,30,36,42,48,54,60),0))+(IF(AND(ArtifactsInput!$M$35,Inputs!$B$4&lt;&gt;"Chapter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5">
      <c r="A2165">
        <f>Skills!A4</f>
        <v/>
      </c>
      <c r="B2165">
        <f>Skills!B4</f>
        <v/>
      </c>
      <c r="C2165">
        <f>Inputs!$B$3&gt;=60</f>
        <v/>
      </c>
      <c r="D2165">
        <f>IF(Skills!C4=1,60+Inputs!$B$25+Inputs!$B$29,IF(Skills!C4=2,90+Inputs!$B$26+Inputs!$B$29,IF(Skills!C4=3,120+Inputs!$B$27+Inputs!$B$29,MAX(0,(Inputs!$B$3-100)*3)+Inputs!$B$28+Inputs!$B$29)))</f>
        <v/>
      </c>
      <c r="E2165">
        <f>INDEX(FactorTable!$B$2:$Y$301, MATCH(ROUND(MIN(300,MAX(1,D2165)),0), FactorTable!$A$2:$A$301,0), Skills!M4+1)</f>
        <v/>
      </c>
      <c r="F2165">
        <f>IF(Skills!N4=TRUE,(Skills!L4/10)*(E2165/1000),Skills!L4/10)+Skills!O4</f>
        <v/>
      </c>
      <c r="G2165">
        <f>Skills!G4*IF(Skills!H4&gt;0,Skills!I4/Skills!H4,1)</f>
        <v/>
      </c>
      <c r="H2165">
        <f>1-(1-Skills!J4/100)^Skills!K4</f>
        <v/>
      </c>
      <c r="I2165" t="inlineStr">
        <is>
          <t>1</t>
        </is>
      </c>
      <c r="J2165">
        <f>((Inputs!$B$6*(1+Inputs!$B$7/100))+(((Inputs!$B$12*(1+Inputs!$B$13/100))-(Inputs!$B$12*(1+Inputs!$B$13/100)))+0.25*(Inputs!$B$14-Inputs!$B$14))*(1+Inputs!$B$7/100))*(F2165/100)</f>
        <v/>
      </c>
      <c r="K2165">
        <f>J2165*(1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2173=TRUE,F2173,0)/100)*(1+(IF(Skills!A4="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2165)</f>
        <v/>
      </c>
      <c r="L2165">
        <f>K2165*(MIN(Inputs!$B$22+((C2181=TRUE)*(F2181-Calc!F20)),(Inputs!$B$23+0+(IF(ArtifactsInput!$M$15,CHOOSE(ArtifactsInput!$N$15+1,25,30,35,40,45,50)/100*(Inputs!$B$11-Inputs!$B$11),0))))/100+(Inputs!$B$23+0+(IF(ArtifactsInput!$M$15,CHOOSE(ArtifactsInput!$N$15+1,25,30,35,40,45,50)/100*(Inputs!$B$11-Inputs!$B$11),0)))/100)/2</f>
        <v/>
      </c>
      <c r="M2165">
        <f>L2165*(1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5">
        <f>L2165*(1-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2165*(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5">
        <f>(1-Summary!$B$11)*T2165+Summary!$B$11*V2165</f>
        <v/>
      </c>
      <c r="P2165">
        <f>IF(B2196=0,0,O2165/B2196)</f>
        <v/>
      </c>
      <c r="Q2165" t="n">
        <v>0</v>
      </c>
      <c r="R2165" t="n">
        <v>0</v>
      </c>
      <c r="S2165">
        <f>IFERROR(O2165/N2165,0)</f>
        <v/>
      </c>
      <c r="T2165">
        <f>IF(C2165,(Skills!G4*H2165*N2165*B2190)*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2165*(1-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2165*(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2165*(1-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2165*(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5">
        <f>290*U2164/1000</f>
        <v/>
      </c>
      <c r="V2165">
        <f>IF(C2165,(Skills!G4*H2165*N2165*B2190)*IF(Inputs!$B$38="pvp",1,(1+(Inputs!$B$21+Skills!Q4+(IF(ArtifactsInput!$M$33,CHOOSE(ArtifactsInput!$N$33+1,30,36,42,48,54,60),0))+(IF(AND(ArtifactsInput!$M$35,Inputs!$B$4&lt;&gt;"Chapter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6">
      <c r="A2166">
        <f>Skills!A5</f>
        <v/>
      </c>
      <c r="B2166">
        <f>Skills!B5</f>
        <v/>
      </c>
      <c r="C2166">
        <f>Inputs!$B$3&gt;=60</f>
        <v/>
      </c>
      <c r="D2166">
        <f>IF(Skills!C5=1,60+Inputs!$B$25+Inputs!$B$29,IF(Skills!C5=2,90+Inputs!$B$26+Inputs!$B$29,IF(Skills!C5=3,120+Inputs!$B$27+Inputs!$B$29,MAX(0,(Inputs!$B$3-100)*3)+Inputs!$B$28+Inputs!$B$29)))</f>
        <v/>
      </c>
      <c r="E2166">
        <f>INDEX(FactorTable!$B$2:$Y$301, MATCH(ROUND(MIN(300,MAX(1,D2166)),0), FactorTable!$A$2:$A$301,0), Skills!M5+1)</f>
        <v/>
      </c>
      <c r="F2166">
        <f>IF(Skills!N5=TRUE,(Skills!L5/10)*(E2166/1000),Skills!L5/10)+Skills!O5</f>
        <v/>
      </c>
      <c r="G2166">
        <f>Skills!G5*IF(Skills!H5&gt;0,Skills!I5/Skills!H5,1)</f>
        <v/>
      </c>
      <c r="H2166">
        <f>1-(1-Skills!J5/100)^Skills!K5</f>
        <v/>
      </c>
      <c r="I2166" t="inlineStr">
        <is>
          <t>1</t>
        </is>
      </c>
      <c r="J2166" t="inlineStr"/>
      <c r="K2166" t="inlineStr"/>
      <c r="L2166" t="inlineStr"/>
      <c r="M2166" t="inlineStr"/>
      <c r="N2166" t="inlineStr"/>
      <c r="O2166">
        <f>(1-Summary!$B$11)*T2166+Summary!$B$11*V2166</f>
        <v/>
      </c>
      <c r="P2166">
        <f>IF(B2196=0,0,O2166/B2196)</f>
        <v/>
      </c>
      <c r="Q2166" t="n">
        <v>0</v>
      </c>
      <c r="R2166" t="n">
        <v>0</v>
      </c>
      <c r="S2166">
        <f>IFERROR(O2166/N2166,0)</f>
        <v/>
      </c>
      <c r="T2166" t="n">
        <v>0</v>
      </c>
      <c r="V2166" t="n">
        <v>0</v>
      </c>
    </row>
    <row r="2167">
      <c r="A2167">
        <f>Skills!A6</f>
        <v/>
      </c>
      <c r="B2167">
        <f>Skills!B6</f>
        <v/>
      </c>
      <c r="C2167">
        <f>Inputs!$B$3&gt;=63</f>
        <v/>
      </c>
      <c r="D2167">
        <f>IF(Skills!C6=1,60+Inputs!$B$25+Inputs!$B$29,IF(Skills!C6=2,90+Inputs!$B$26+Inputs!$B$29,IF(Skills!C6=3,120+Inputs!$B$27+Inputs!$B$29,MAX(0,(Inputs!$B$3-100)*3)+Inputs!$B$28+Inputs!$B$29)))</f>
        <v/>
      </c>
      <c r="E2167">
        <f>INDEX(FactorTable!$B$2:$Y$301, MATCH(ROUND(MIN(300,MAX(1,D2167)),0), FactorTable!$A$2:$A$301,0), Skills!M6+1)</f>
        <v/>
      </c>
      <c r="F2167">
        <f>IF(Skills!N6=TRUE,(Skills!L6/10)*(E2167/1000),Skills!L6/10)+Skills!O6</f>
        <v/>
      </c>
      <c r="G2167">
        <f>Skills!G6*IF(Skills!H6&gt;0,Skills!I6/Skills!H6,1)</f>
        <v/>
      </c>
      <c r="H2167">
        <f>1-(1-Skills!J6/100)^Skills!K6</f>
        <v/>
      </c>
      <c r="I2167" t="inlineStr">
        <is>
          <t>1</t>
        </is>
      </c>
      <c r="J2167">
        <f>((Inputs!$B$6*(1+Inputs!$B$7/100))+(((Inputs!$B$12*(1+Inputs!$B$13/100))-(Inputs!$B$12*(1+Inputs!$B$13/100)))+0.25*(Inputs!$B$14-Inputs!$B$14))*(1+Inputs!$B$7/100))*(F2167/100)</f>
        <v/>
      </c>
      <c r="K2167">
        <f>J2167*(1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2167)</f>
        <v/>
      </c>
      <c r="L2167">
        <f>K2167*(MIN(Inputs!$B$22+((C2181=TRUE)*(F2181-Calc!F20)),(Inputs!$B$23+0+(IF(ArtifactsInput!$M$15,CHOOSE(ArtifactsInput!$N$15+1,25,30,35,40,45,50)/100*(Inputs!$B$11-Inputs!$B$11),0))))/100+(Inputs!$B$23+0+(IF(ArtifactsInput!$M$15,CHOOSE(ArtifactsInput!$N$15+1,25,30,35,40,45,50)/100*(Inputs!$B$11-Inputs!$B$11),0)))/100)/2</f>
        <v/>
      </c>
      <c r="M2167">
        <f>L2167*(1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7">
        <f>L2167*(1-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2167*(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7">
        <f>(1-Summary!$B$11)*T2167+Summary!$B$11*V2167</f>
        <v/>
      </c>
      <c r="P2167">
        <f>IF(B2196=0,0,O2167/B2196)</f>
        <v/>
      </c>
      <c r="Q2167">
        <f>IFERROR(1/(IF(Inputs!$B$38="pvp",15,MAX(0.1,Skills!D6-IF(Skills!E6=TRUE,Inputs!$B$32,0)))*(1-IF(AND(ArtifactsInput!$M$27,Inputs!$B$4="Chapter Hunt"),CHOOSE(ArtifactsInput!$N$27+1,20,24,28,32,36,40),0)/100)),0)</f>
        <v/>
      </c>
      <c r="R2167">
        <f>IF(AND(Inputs!$B$38&lt;&gt;"pvp",Inputs!$B$43&gt;0),IF(MAX(0,Inputs!$B$43-B2193)&lt;=0,0,(INT(MAX(0,Inputs!$B$43-B2193)/(IF(Inputs!$B$38="pvp",15,MAX(0.1,Skills!D6-IF(Skills!E6=TRUE,Inputs!$B$32,0)))*(1-IF(AND(ArtifactsInput!$M$27,Inputs!$B$4="Chapter Hunt"),CHOOSE(ArtifactsInput!$N$27+1,20,24,28,32,36,40),0)/100)))+1)),0)</f>
        <v/>
      </c>
      <c r="S2167">
        <f>IFERROR(O2167/N2167,0)</f>
        <v/>
      </c>
      <c r="T2167">
        <f>IF(C2167,(H2167*N2167*IF(AND(Inputs!$B$38&lt;&gt;"pvp",Inputs!$B$43&gt;0),((Skills!G6*((R2167-1)*IF(Skills!H6&gt;0,Skills!I6/Skills!H6,1)+IF(Skills!H6&gt;0,MIN(Skills!I6,MAX(0,MAX(0,Inputs!$B$43-B2193)-((R2167-1)*(IF(Inputs!$B$38="pvp",15,MAX(0.1,Skills!D6-IF(Skills!E6=TRUE,Inputs!$B$32,0)))*(1-IF(AND(ArtifactsInput!$M$27,Inputs!$B$4="Chapter Hunt"),CHOOSE(ArtifactsInput!$N$27+1,20,24,28,32,36,40),0)/100)))))/Skills!H6,1)))/Inputs!$B$43),G2167*Q2167)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2167*(1-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2167*(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2167*(1-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2167*(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7">
        <f>IF(C2167,(H2167*N2167*IF(AND(Inputs!$B$38&lt;&gt;"pvp",Inputs!$B$43&gt;0),((Skills!G6*((R2167-1)*IF(Skills!H6&gt;0,Skills!I6/Skills!H6,1)+IF(Skills!H6&gt;0,MIN(Skills!I6,MAX(0,MAX(0,Inputs!$B$43-B2193)-((R2167-1)*(IF(Inputs!$B$38="pvp",15,MAX(0.1,Skills!D6-IF(Skills!E6=TRUE,Inputs!$B$32,0)))*(1-IF(AND(ArtifactsInput!$M$27,Inputs!$B$4="Chapter Hunt"),CHOOSE(ArtifactsInput!$N$27+1,20,24,28,32,36,40),0)/100)))))/Skills!H6,1)))/Inputs!$B$43),G2167*Q2167))*IF(Inputs!$B$38="pvp",1,(1+(Inputs!$B$21+Skills!Q6+(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8">
      <c r="A2168">
        <f>Skills!A7</f>
        <v/>
      </c>
      <c r="B2168">
        <f>Skills!B7</f>
        <v/>
      </c>
      <c r="C2168">
        <f>Inputs!$B$3&gt;=100</f>
        <v/>
      </c>
      <c r="D2168">
        <f>IF(Skills!C7=1,60+Inputs!$B$25+Inputs!$B$29,IF(Skills!C7=2,90+Inputs!$B$26+Inputs!$B$29,IF(Skills!C7=3,120+Inputs!$B$27+Inputs!$B$29,MAX(0,(Inputs!$B$3-100)*3)+Inputs!$B$28+Inputs!$B$29)))</f>
        <v/>
      </c>
      <c r="E2168">
        <f>INDEX(FactorTable!$B$2:$Y$301, MATCH(ROUND(MIN(300,MAX(1,D2168)),0), FactorTable!$A$2:$A$301,0), Skills!M7+1)</f>
        <v/>
      </c>
      <c r="F2168">
        <f>IF(Skills!N7=TRUE,(Skills!L7/10)*(E2168/1000),Skills!L7/10)+Skills!O7</f>
        <v/>
      </c>
      <c r="G2168">
        <f>Skills!G7*IF(Skills!H7&gt;0,Skills!I7/Skills!H7,1)</f>
        <v/>
      </c>
      <c r="H2168">
        <f>1-(1-Skills!J7/100)^Skills!K7</f>
        <v/>
      </c>
      <c r="I2168" t="inlineStr">
        <is>
          <t>1</t>
        </is>
      </c>
      <c r="J2168">
        <f>((Inputs!$B$6*(1+Inputs!$B$7/100))+(((Inputs!$B$12*(1+Inputs!$B$13/100))-(Inputs!$B$12*(1+Inputs!$B$13/100)))+0.25*(Inputs!$B$14-Inputs!$B$14))*(1+Inputs!$B$7/100))*(F2168/100)</f>
        <v/>
      </c>
      <c r="K2168">
        <f>J2168*(1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2168)</f>
        <v/>
      </c>
      <c r="L2168">
        <f>K2168*(MIN(Inputs!$B$22+((C2181=TRUE)*(F2181-Calc!F20)),(Inputs!$B$23+0+(IF(ArtifactsInput!$M$15,CHOOSE(ArtifactsInput!$N$15+1,25,30,35,40,45,50)/100*(Inputs!$B$11-Inputs!$B$11),0))))/100+(Inputs!$B$23+0+(IF(ArtifactsInput!$M$15,CHOOSE(ArtifactsInput!$N$15+1,25,30,35,40,45,50)/100*(Inputs!$B$11-Inputs!$B$11),0)))/100)/2</f>
        <v/>
      </c>
      <c r="M2168">
        <f>L2168*(1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8">
        <f>L2168*(1-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2168*(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8">
        <f>(1-Summary!$B$11)*T2168+Summary!$B$11*V2168</f>
        <v/>
      </c>
      <c r="P2168">
        <f>IF(B2196=0,0,O2168/B2196)</f>
        <v/>
      </c>
      <c r="Q2168">
        <f>IFERROR(1/(IF(Inputs!$B$38="pvp",15,MAX(0.1,Skills!D7-IF(Skills!E7=TRUE,Inputs!$B$32,0)))*(1-IF(AND(ArtifactsInput!$M$27,Inputs!$B$4="Chapter Hunt"),CHOOSE(ArtifactsInput!$N$27+1,20,24,28,32,36,40),0)/100)),0)</f>
        <v/>
      </c>
      <c r="R2168">
        <f>IF(AND(Inputs!$B$38&lt;&gt;"pvp",Inputs!$B$43&gt;0),IF(MAX(0,Inputs!$B$43-B2193)&lt;=0,0,(INT(MAX(0,Inputs!$B$43-B2193)/(IF(Inputs!$B$38="pvp",15,MAX(0.1,Skills!D7-IF(Skills!E7=TRUE,Inputs!$B$32,0)))*(1-IF(AND(ArtifactsInput!$M$27,Inputs!$B$4="Chapter Hunt"),CHOOSE(ArtifactsInput!$N$27+1,20,24,28,32,36,40),0)/100)))+1)),0)</f>
        <v/>
      </c>
      <c r="S2168">
        <f>IFERROR(O2168/N2168,0)</f>
        <v/>
      </c>
      <c r="T2168">
        <f>IF(C2168,(H2168*N2168*IF(AND(Inputs!$B$38&lt;&gt;"pvp",Inputs!$B$43&gt;0),((Skills!G7*((R2168-1)*IF(Skills!H7&gt;0,Skills!I7/Skills!H7,1)+IF(Skills!H7&gt;0,MIN(Skills!I7,MAX(0,MAX(0,Inputs!$B$43-B2193)-((R2168-1)*(IF(Inputs!$B$38="pvp",15,MAX(0.1,Skills!D7-IF(Skills!E7=TRUE,Inputs!$B$32,0)))*(1-IF(AND(ArtifactsInput!$M$27,Inputs!$B$4="Chapter Hunt"),CHOOSE(ArtifactsInput!$N$27+1,20,24,28,32,36,40),0)/100)))))/Skills!H7,1)))/Inputs!$B$43),G2168*Q2168)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2168*(1-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2168*(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2168*(1-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2168*(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8">
        <f>IF(C2168,(H2168*N2168*IF(AND(Inputs!$B$38&lt;&gt;"pvp",Inputs!$B$43&gt;0),((Skills!G7*((R2168-1)*IF(Skills!H7&gt;0,Skills!I7/Skills!H7,1)+IF(Skills!H7&gt;0,MIN(Skills!I7,MAX(0,MAX(0,Inputs!$B$43-B2193)-((R2168-1)*(IF(Inputs!$B$38="pvp",15,MAX(0.1,Skills!D7-IF(Skills!E7=TRUE,Inputs!$B$32,0)))*(1-IF(AND(ArtifactsInput!$M$27,Inputs!$B$4="Chapter Hunt"),CHOOSE(ArtifactsInput!$N$27+1,20,24,28,32,36,40),0)/100)))))/Skills!H7,1)))/Inputs!$B$43),G2168*Q2168))*IF(Inputs!$B$38="pvp",1,(1+(Inputs!$B$21+Skills!Q7+(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9">
      <c r="A2169">
        <f>Skills!A8</f>
        <v/>
      </c>
      <c r="B2169">
        <f>Skills!B8</f>
        <v/>
      </c>
      <c r="C2169">
        <f>Inputs!$B$3&gt;=110</f>
        <v/>
      </c>
      <c r="D2169">
        <f>IF(Skills!C8=1,60+Inputs!$B$25+Inputs!$B$29,IF(Skills!C8=2,90+Inputs!$B$26+Inputs!$B$29,IF(Skills!C8=3,120+Inputs!$B$27+Inputs!$B$29,MAX(0,(Inputs!$B$3-100)*3)+Inputs!$B$28+Inputs!$B$29)))</f>
        <v/>
      </c>
      <c r="E2169">
        <f>INDEX(FactorTable!$B$2:$Y$301, MATCH(ROUND(MIN(300,MAX(1,D2169)),0), FactorTable!$A$2:$A$301,0), Skills!M8+1)</f>
        <v/>
      </c>
      <c r="F2169">
        <f>IF(Skills!N8=TRUE,(Skills!L8/10)*(E2169/1000),Skills!L8/10)+Skills!O8</f>
        <v/>
      </c>
      <c r="G2169">
        <f>Skills!G8*IF(Skills!H8&gt;0,Skills!I8/Skills!H8,1)</f>
        <v/>
      </c>
      <c r="H2169">
        <f>1-(1-Skills!J8/100)^Skills!K8</f>
        <v/>
      </c>
      <c r="I2169" t="inlineStr">
        <is>
          <t>1</t>
        </is>
      </c>
      <c r="J2169">
        <f>((Inputs!$B$6*(1+Inputs!$B$7/100))+(((Inputs!$B$12*(1+Inputs!$B$13/100))-(Inputs!$B$12*(1+Inputs!$B$13/100)))+0.25*(Inputs!$B$14-Inputs!$B$14))*(1+Inputs!$B$7/100))*(F2169/100)</f>
        <v/>
      </c>
      <c r="K2169">
        <f>J2169*(1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2169)</f>
        <v/>
      </c>
      <c r="L2169">
        <f>K2169*(MIN(Inputs!$B$22+((C2181=TRUE)*(F2181-Calc!F20)),(Inputs!$B$23+0+(IF(ArtifactsInput!$M$15,CHOOSE(ArtifactsInput!$N$15+1,25,30,35,40,45,50)/100*(Inputs!$B$11-Inputs!$B$11),0))))/100+(Inputs!$B$23+0+(IF(ArtifactsInput!$M$15,CHOOSE(ArtifactsInput!$N$15+1,25,30,35,40,45,50)/100*(Inputs!$B$11-Inputs!$B$11),0)))/100)/2</f>
        <v/>
      </c>
      <c r="M2169">
        <f>L2169*(1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9">
        <f>L2169*(1-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2169*(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9">
        <f>(1-Summary!$B$11)*T2169+Summary!$B$11*V2169</f>
        <v/>
      </c>
      <c r="P2169">
        <f>IF(B2196=0,0,O2169/B2196)</f>
        <v/>
      </c>
      <c r="Q2169">
        <f>IFERROR(1/(IF(Inputs!$B$38="pvp",15,MAX(0.1,Skills!D8-IF(Skills!E8=TRUE,Inputs!$B$32,0)))*(1-IF(AND(ArtifactsInput!$M$27,Inputs!$B$4="Chapter Hunt"),CHOOSE(ArtifactsInput!$N$27+1,20,24,28,32,36,40),0)/100)),0)</f>
        <v/>
      </c>
      <c r="R2169">
        <f>IF(AND(Inputs!$B$38&lt;&gt;"pvp",Inputs!$B$43&gt;0),IF(MAX(0,Inputs!$B$43-B2193)&lt;=0,0,(INT(MAX(0,Inputs!$B$43-B2193)/(IF(Inputs!$B$38="pvp",15,MAX(0.1,Skills!D8-IF(Skills!E8=TRUE,Inputs!$B$32,0)))*(1-IF(AND(ArtifactsInput!$M$27,Inputs!$B$4="Chapter Hunt"),CHOOSE(ArtifactsInput!$N$27+1,20,24,28,32,36,40),0)/100)))+1)),0)</f>
        <v/>
      </c>
      <c r="S2169">
        <f>IFERROR(O2169/N2169,0)</f>
        <v/>
      </c>
      <c r="T2169">
        <f>IF(C2169,(H2169*N2169*IF(AND(Inputs!$B$38&lt;&gt;"pvp",Inputs!$B$43&gt;0),((Skills!G8*((R2169-1)*IF(Skills!H8&gt;0,Skills!I8/Skills!H8,1)+IF(Skills!H8&gt;0,MIN(Skills!I8,MAX(0,MAX(0,Inputs!$B$43-B2193)-((R2169-1)*(IF(Inputs!$B$38="pvp",15,MAX(0.1,Skills!D8-IF(Skills!E8=TRUE,Inputs!$B$32,0)))*(1-IF(AND(ArtifactsInput!$M$27,Inputs!$B$4="Chapter Hunt"),CHOOSE(ArtifactsInput!$N$27+1,20,24,28,32,36,40),0)/100)))))/Skills!H8,1)))/Inputs!$B$43),G2169*Q2169)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2169*(1-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2169*(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2169*(1-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2169*(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9">
        <f>IF(C2169,(H2169*N2169*IF(AND(Inputs!$B$38&lt;&gt;"pvp",Inputs!$B$43&gt;0),((Skills!G8*((R2169-1)*IF(Skills!H8&gt;0,Skills!I8/Skills!H8,1)+IF(Skills!H8&gt;0,MIN(Skills!I8,MAX(0,MAX(0,Inputs!$B$43-B2193)-((R2169-1)*(IF(Inputs!$B$38="pvp",15,MAX(0.1,Skills!D8-IF(Skills!E8=TRUE,Inputs!$B$32,0)))*(1-IF(AND(ArtifactsInput!$M$27,Inputs!$B$4="Chapter Hunt"),CHOOSE(ArtifactsInput!$N$27+1,20,24,28,32,36,40),0)/100)))))/Skills!H8,1)))/Inputs!$B$43),G2169*Q2169))*IF(Inputs!$B$38="pvp",1,(1+(Inputs!$B$21+Skills!Q8+(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0">
      <c r="A2170">
        <f>Skills!A9</f>
        <v/>
      </c>
      <c r="B2170">
        <f>Skills!B9</f>
        <v/>
      </c>
      <c r="C2170">
        <f>Inputs!$B$3&gt;=110</f>
        <v/>
      </c>
      <c r="D2170">
        <f>IF(Skills!C9=1,60+Inputs!$B$25+Inputs!$B$29,IF(Skills!C9=2,90+Inputs!$B$26+Inputs!$B$29,IF(Skills!C9=3,120+Inputs!$B$27+Inputs!$B$29,MAX(0,(Inputs!$B$3-100)*3)+Inputs!$B$28+Inputs!$B$29)))</f>
        <v/>
      </c>
      <c r="E2170">
        <f>INDEX(FactorTable!$B$2:$Y$301, MATCH(ROUND(MIN(300,MAX(1,D2170)),0), FactorTable!$A$2:$A$301,0), Skills!M9+1)</f>
        <v/>
      </c>
      <c r="F2170">
        <f>IF(Skills!N9=TRUE,(Skills!L9/10)*(E2170/1000),Skills!L9/10)+Skills!O9</f>
        <v/>
      </c>
      <c r="G2170">
        <f>Skills!G9*IF(Skills!H9&gt;0,Skills!I9/Skills!H9,1)</f>
        <v/>
      </c>
      <c r="H2170">
        <f>1-(1-Skills!J9/100)^Skills!K9</f>
        <v/>
      </c>
      <c r="I2170" t="inlineStr">
        <is>
          <t>1</t>
        </is>
      </c>
      <c r="J2170">
        <f>((Inputs!$B$6*(1+Inputs!$B$7/100))+(((Inputs!$B$12*(1+Inputs!$B$13/100))-(Inputs!$B$12*(1+Inputs!$B$13/100)))+0.25*(Inputs!$B$14-Inputs!$B$14))*(1+Inputs!$B$7/100))*(F2170/100)</f>
        <v/>
      </c>
      <c r="K2170">
        <f>J2170*(1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2170)</f>
        <v/>
      </c>
      <c r="L2170">
        <f>K2170*(MIN(Inputs!$B$22+((C2181=TRUE)*(F2181-Calc!F20)),(Inputs!$B$23+0+(IF(ArtifactsInput!$M$15,CHOOSE(ArtifactsInput!$N$15+1,25,30,35,40,45,50)/100*(Inputs!$B$11-Inputs!$B$11),0))))/100+(Inputs!$B$23+0+(IF(ArtifactsInput!$M$15,CHOOSE(ArtifactsInput!$N$15+1,25,30,35,40,45,50)/100*(Inputs!$B$11-Inputs!$B$11),0)))/100)/2</f>
        <v/>
      </c>
      <c r="M2170">
        <f>L2170*(1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0">
        <f>L2170*(1-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2170*(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0">
        <f>(1-Summary!$B$11)*T2170+Summary!$B$11*V2170</f>
        <v/>
      </c>
      <c r="P2170">
        <f>IF(B2196=0,0,O2170/B2196)</f>
        <v/>
      </c>
      <c r="Q2170">
        <f>IFERROR(1/(IF(Inputs!$B$38="pvp",15,MAX(0.1,Skills!D9-IF(Skills!E9=TRUE,Inputs!$B$32,0)))*(1-IF(AND(ArtifactsInput!$M$27,Inputs!$B$4="Chapter Hunt"),CHOOSE(ArtifactsInput!$N$27+1,20,24,28,32,36,40),0)/100)),0)</f>
        <v/>
      </c>
      <c r="R2170">
        <f>IF(AND(Inputs!$B$38&lt;&gt;"pvp",Inputs!$B$43&gt;0),IF(MAX(0,Inputs!$B$43-B2193)&lt;=0,0,(INT(MAX(0,Inputs!$B$43-B2193)/(IF(Inputs!$B$38="pvp",15,MAX(0.1,Skills!D9-IF(Skills!E9=TRUE,Inputs!$B$32,0)))*(1-IF(AND(ArtifactsInput!$M$27,Inputs!$B$4="Chapter Hunt"),CHOOSE(ArtifactsInput!$N$27+1,20,24,28,32,36,40),0)/100)))+1)),0)</f>
        <v/>
      </c>
      <c r="S2170">
        <f>IFERROR(O2170/N2170,0)</f>
        <v/>
      </c>
      <c r="T2170">
        <f>IF(C2170,(H2170*N2170*IF(AND(Inputs!$B$38&lt;&gt;"pvp",Inputs!$B$43&gt;0),((Skills!G9*((R2170-1)*IF(Skills!H9&gt;0,Skills!I9/Skills!H9,1)+IF(Skills!H9&gt;0,MIN(Skills!I9,MAX(0,MAX(0,Inputs!$B$43-B2193)-((R2170-1)*(IF(Inputs!$B$38="pvp",15,MAX(0.1,Skills!D9-IF(Skills!E9=TRUE,Inputs!$B$32,0)))*(1-IF(AND(ArtifactsInput!$M$27,Inputs!$B$4="Chapter Hunt"),CHOOSE(ArtifactsInput!$N$27+1,20,24,28,32,36,40),0)/100)))))/Skills!H9,1)))/Inputs!$B$43),G2170*Q2170)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2170*(1-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2170*(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2170*(1-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2170*(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0">
        <f>IF(C2170,(H2170*N2170*IF(AND(Inputs!$B$38&lt;&gt;"pvp",Inputs!$B$43&gt;0),((Skills!G9*((R2170-1)*IF(Skills!H9&gt;0,Skills!I9/Skills!H9,1)+IF(Skills!H9&gt;0,MIN(Skills!I9,MAX(0,MAX(0,Inputs!$B$43-B2193)-((R2170-1)*(IF(Inputs!$B$38="pvp",15,MAX(0.1,Skills!D9-IF(Skills!E9=TRUE,Inputs!$B$32,0)))*(1-IF(AND(ArtifactsInput!$M$27,Inputs!$B$4="Chapter Hunt"),CHOOSE(ArtifactsInput!$N$27+1,20,24,28,32,36,40),0)/100)))))/Skills!H9,1)))/Inputs!$B$43),G2170*Q2170))*IF(Inputs!$B$38="pvp",1,(1+(Inputs!$B$21+Skills!Q9+(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1">
      <c r="A2171">
        <f>Skills!A10</f>
        <v/>
      </c>
      <c r="B2171">
        <f>Skills!B10</f>
        <v/>
      </c>
      <c r="C2171">
        <f>Inputs!$B$3&gt;=103</f>
        <v/>
      </c>
      <c r="D2171">
        <f>IF(Skills!C10=1,60+Inputs!$B$25+Inputs!$B$29,IF(Skills!C10=2,90+Inputs!$B$26+Inputs!$B$29,IF(Skills!C10=3,120+Inputs!$B$27+Inputs!$B$29,MAX(0,(Inputs!$B$3-100)*3)+Inputs!$B$28+Inputs!$B$29)))</f>
        <v/>
      </c>
      <c r="E2171">
        <f>INDEX(FactorTable!$B$2:$Y$301, MATCH(ROUND(MIN(300,MAX(1,D2171)),0), FactorTable!$A$2:$A$301,0), Skills!M10+1)</f>
        <v/>
      </c>
      <c r="F2171">
        <f>IF(Skills!N10=TRUE,(Skills!L10/10)*(E2171/1000),Skills!L10/10)+Skills!O10</f>
        <v/>
      </c>
      <c r="G2171">
        <f>Skills!G10*IF(Skills!H10&gt;0,Skills!I10/Skills!H10,1)</f>
        <v/>
      </c>
      <c r="H2171">
        <f>1-(1-Skills!J10/100)^Skills!K10</f>
        <v/>
      </c>
      <c r="I2171" t="inlineStr">
        <is>
          <t>1</t>
        </is>
      </c>
      <c r="J2171">
        <f>((Inputs!$B$6*(1+Inputs!$B$7/100))+(((Inputs!$B$12*(1+Inputs!$B$13/100))-(Inputs!$B$12*(1+Inputs!$B$13/100)))+0.25*(Inputs!$B$14-Inputs!$B$14))*(1+Inputs!$B$7/100))*(F2171/100)</f>
        <v/>
      </c>
      <c r="K2171">
        <f>J2171*(1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2171)</f>
        <v/>
      </c>
      <c r="L2171">
        <f>K2171*(MIN(Inputs!$B$22+((C2181=TRUE)*(F2181-Calc!F20)),(Inputs!$B$23+0+(IF(ArtifactsInput!$M$15,CHOOSE(ArtifactsInput!$N$15+1,25,30,35,40,45,50)/100*(Inputs!$B$11-Inputs!$B$11),0))))/100+(Inputs!$B$23+0+(IF(ArtifactsInput!$M$15,CHOOSE(ArtifactsInput!$N$15+1,25,30,35,40,45,50)/100*(Inputs!$B$11-Inputs!$B$11),0)))/100)/2</f>
        <v/>
      </c>
      <c r="M2171">
        <f>L2171*(1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1">
        <f>L2171*(1-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1">
        <f>(1-Summary!$B$11)*T2171+Summary!$B$11*V2171</f>
        <v/>
      </c>
      <c r="P2171">
        <f>IF(B2196=0,0,O2171/B2196)</f>
        <v/>
      </c>
      <c r="Q2171">
        <f>IFERROR(1/(IF(Inputs!$B$38="pvp",15,MAX(0.1,Skills!D10-IF(Skills!E10=TRUE,Inputs!$B$32,0)))*(1-IF(AND(ArtifactsInput!$M$27,Inputs!$B$4="Chapter Hunt"),CHOOSE(ArtifactsInput!$N$27+1,20,24,28,32,36,40),0)/100)),0)</f>
        <v/>
      </c>
      <c r="R2171">
        <f>IF(AND(Inputs!$B$38&lt;&gt;"pvp",Inputs!$B$43&gt;0),IF(MAX(0,Inputs!$B$43-B2193)&lt;=0,0,(INT(MAX(0,Inputs!$B$43-B2193)/(IF(Inputs!$B$38="pvp",15,MAX(0.1,Skills!D10-IF(Skills!E10=TRUE,Inputs!$B$32,0)))*(1-IF(AND(ArtifactsInput!$M$27,Inputs!$B$4="Chapter Hunt"),CHOOSE(ArtifactsInput!$N$27+1,20,24,28,32,36,40),0)/100)))+1)),0)</f>
        <v/>
      </c>
      <c r="S2171">
        <f>IFERROR(O2171/N2171,0)</f>
        <v/>
      </c>
      <c r="T2171">
        <f>IF(C2171,(H2171*N2171*IF(AND(Inputs!$B$38&lt;&gt;"pvp",Inputs!$B$43&gt;0),((Skills!G10*((R2171-1)*IF(Skills!H10&gt;0,Skills!I10/Skills!H10,1)+IF(Skills!H10&gt;0,MIN(Skills!I10,MAX(0,MAX(0,Inputs!$B$43-B2193)-((R2171-1)*(IF(Inputs!$B$38="pvp",15,MAX(0.1,Skills!D10-IF(Skills!E10=TRUE,Inputs!$B$32,0)))*(1-IF(AND(ArtifactsInput!$M$27,Inputs!$B$4="Chapter Hunt"),CHOOSE(ArtifactsInput!$N$27+1,20,24,28,32,36,40),0)/100)))))/Skills!H10,1)))/Inputs!$B$43),G2171*Q2171)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1">
        <f>IF(C2171,(H2171*N2171*IF(AND(Inputs!$B$38&lt;&gt;"pvp",Inputs!$B$43&gt;0),((Skills!G10*((R2171-1)*IF(Skills!H10&gt;0,Skills!I10/Skills!H10,1)+IF(Skills!H10&gt;0,MIN(Skills!I10,MAX(0,MAX(0,Inputs!$B$43-B2193)-((R2171-1)*(IF(Inputs!$B$38="pvp",15,MAX(0.1,Skills!D10-IF(Skills!E10=TRUE,Inputs!$B$32,0)))*(1-IF(AND(ArtifactsInput!$M$27,Inputs!$B$4="Chapter Hunt"),CHOOSE(ArtifactsInput!$N$27+1,20,24,28,32,36,40),0)/100)))))/Skills!H10,1)))/Inputs!$B$43),G2171*Q2171))*IF(Inputs!$B$38="pvp",1,(1+(Inputs!$B$21+Skills!Q10+(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2">
      <c r="A2172">
        <f>Skills!A11</f>
        <v/>
      </c>
      <c r="B2172">
        <f>Skills!B11</f>
        <v/>
      </c>
      <c r="C2172">
        <f>Inputs!$B$3&gt;=113</f>
        <v/>
      </c>
      <c r="D2172">
        <f>IF(Skills!C11=1,60+Inputs!$B$25+Inputs!$B$29,IF(Skills!C11=2,90+Inputs!$B$26+Inputs!$B$29,IF(Skills!C11=3,120+Inputs!$B$27+Inputs!$B$29,MAX(0,(Inputs!$B$3-100)*3)+Inputs!$B$28+Inputs!$B$29)))</f>
        <v/>
      </c>
      <c r="E2172">
        <f>INDEX(FactorTable!$B$2:$Y$301, MATCH(ROUND(MIN(300,MAX(1,D2172)),0), FactorTable!$A$2:$A$301,0), Skills!M11+1)</f>
        <v/>
      </c>
      <c r="F2172">
        <f>IF(Skills!N11=TRUE,(Skills!L11/10)*(E2172/1000),Skills!L11/10)+Skills!O11</f>
        <v/>
      </c>
      <c r="G2172">
        <f>Skills!G11*IF(Skills!H11&gt;0,Skills!I11/Skills!H11,1)</f>
        <v/>
      </c>
      <c r="H2172">
        <f>1-(1-Skills!J11/100)^Skills!K11</f>
        <v/>
      </c>
      <c r="I2172" t="inlineStr">
        <is>
          <t>1</t>
        </is>
      </c>
      <c r="J2172">
        <f>((Inputs!$B$6*(1+Inputs!$B$7/100))+(((Inputs!$B$12*(1+Inputs!$B$13/100))-(Inputs!$B$12*(1+Inputs!$B$13/100)))+0.25*(Inputs!$B$14-Inputs!$B$14))*(1+Inputs!$B$7/100))*(F2172/100)</f>
        <v/>
      </c>
      <c r="K2172">
        <f>J2172*(1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2172)</f>
        <v/>
      </c>
      <c r="L2172">
        <f>K2172*(MIN(Inputs!$B$22+((C2181=TRUE)*(F2181-Calc!F20)),(Inputs!$B$23+0+(IF(ArtifactsInput!$M$15,CHOOSE(ArtifactsInput!$N$15+1,25,30,35,40,45,50)/100*(Inputs!$B$11-Inputs!$B$11),0))))/100+(Inputs!$B$23+0+(IF(ArtifactsInput!$M$15,CHOOSE(ArtifactsInput!$N$15+1,25,30,35,40,45,50)/100*(Inputs!$B$11-Inputs!$B$11),0)))/100)/2</f>
        <v/>
      </c>
      <c r="M2172">
        <f>L2172*(1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2">
        <f>L2172*(1-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2172*(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2">
        <f>(1-Summary!$B$11)*T2172+Summary!$B$11*V2172</f>
        <v/>
      </c>
      <c r="P2172">
        <f>IF(B2196=0,0,O2172/B2196)</f>
        <v/>
      </c>
      <c r="Q2172">
        <f>IFERROR(1/(IF(Inputs!$B$38="pvp",15,MAX(0.1,Skills!D11-IF(Skills!E11=TRUE,Inputs!$B$32,0)))*(1-IF(AND(ArtifactsInput!$M$27,Inputs!$B$4="Chapter Hunt"),CHOOSE(ArtifactsInput!$N$27+1,20,24,28,32,36,40),0)/100)),0)</f>
        <v/>
      </c>
      <c r="R2172">
        <f>IF(AND(Inputs!$B$38&lt;&gt;"pvp",Inputs!$B$43&gt;0),IF(MAX(0,Inputs!$B$43-B2193)&lt;=0,0,(INT(MAX(0,Inputs!$B$43-B2193)/(IF(Inputs!$B$38="pvp",15,MAX(0.1,Skills!D11-IF(Skills!E11=TRUE,Inputs!$B$32,0)))*(1-IF(AND(ArtifactsInput!$M$27,Inputs!$B$4="Chapter Hunt"),CHOOSE(ArtifactsInput!$N$27+1,20,24,28,32,36,40),0)/100)))+1)),0)</f>
        <v/>
      </c>
      <c r="S2172">
        <f>IFERROR(O2172/N2172,0)</f>
        <v/>
      </c>
      <c r="T2172">
        <f>IF(C2172,(H2172*N2172*IF(AND(Inputs!$B$38&lt;&gt;"pvp",Inputs!$B$43&gt;0),((Skills!G11*((R2172-1)*IF(Skills!H11&gt;0,Skills!I11/Skills!H11,1)+IF(Skills!H11&gt;0,MIN(Skills!I11,MAX(0,MAX(0,Inputs!$B$43-B2193)-((R2172-1)*(IF(Inputs!$B$38="pvp",15,MAX(0.1,Skills!D11-IF(Skills!E11=TRUE,Inputs!$B$32,0)))*(1-IF(AND(ArtifactsInput!$M$27,Inputs!$B$4="Chapter Hunt"),CHOOSE(ArtifactsInput!$N$27+1,20,24,28,32,36,40),0)/100)))))/Skills!H11,1)))/Inputs!$B$43),G2172*Q2172)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2172*(1-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2172*(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2172*(1-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2172*(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2">
        <f>IF(C2172,(H2172*N2172*IF(AND(Inputs!$B$38&lt;&gt;"pvp",Inputs!$B$43&gt;0),((Skills!G11*((R2172-1)*IF(Skills!H11&gt;0,Skills!I11/Skills!H11,1)+IF(Skills!H11&gt;0,MIN(Skills!I11,MAX(0,MAX(0,Inputs!$B$43-B2193)-((R2172-1)*(IF(Inputs!$B$38="pvp",15,MAX(0.1,Skills!D11-IF(Skills!E11=TRUE,Inputs!$B$32,0)))*(1-IF(AND(ArtifactsInput!$M$27,Inputs!$B$4="Chapter Hunt"),CHOOSE(ArtifactsInput!$N$27+1,20,24,28,32,36,40),0)/100)))))/Skills!H11,1)))/Inputs!$B$43),G2172*Q2172))*IF(Inputs!$B$38="pvp",1,(1+(Inputs!$B$21+Skills!Q11+(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3">
      <c r="A2173">
        <f>Skills!A12</f>
        <v/>
      </c>
      <c r="B2173">
        <f>Skills!B12</f>
        <v/>
      </c>
      <c r="C2173">
        <f>Inputs!$B$3&gt;=100</f>
        <v/>
      </c>
      <c r="D2173">
        <f>IF(Skills!C12=1,60+Inputs!$B$25+Inputs!$B$29,IF(Skills!C12=2,90+Inputs!$B$26+Inputs!$B$29,IF(Skills!C12=3,120+Inputs!$B$27+Inputs!$B$29,MAX(0,(Inputs!$B$3-100)*3)+Inputs!$B$28+Inputs!$B$29)))</f>
        <v/>
      </c>
      <c r="E2173">
        <f>INDEX(FactorTable!$B$2:$Y$301, MATCH(ROUND(MIN(300,MAX(1,D2173)),0), FactorTable!$A$2:$A$301,0), Skills!M12+1)</f>
        <v/>
      </c>
      <c r="F2173">
        <f>IF(Skills!N12=TRUE,(Skills!L12/10)*(E2173/1000),Skills!L12/10)+Skills!O12</f>
        <v/>
      </c>
      <c r="G2173" t="inlineStr"/>
      <c r="H2173" t="inlineStr"/>
      <c r="I2173" t="inlineStr">
        <is>
          <t>1</t>
        </is>
      </c>
      <c r="J2173" t="inlineStr"/>
      <c r="K2173" t="inlineStr"/>
      <c r="L2173" t="inlineStr"/>
      <c r="M2173" t="inlineStr"/>
      <c r="N2173" t="inlineStr"/>
      <c r="O2173" t="inlineStr"/>
      <c r="P2173" t="inlineStr"/>
      <c r="Q2173" t="inlineStr"/>
      <c r="R2173" t="inlineStr"/>
      <c r="S2173" t="inlineStr"/>
      <c r="T2173" t="inlineStr"/>
      <c r="V2173" t="inlineStr"/>
    </row>
    <row r="2174">
      <c r="A2174">
        <f>Skills!A13</f>
        <v/>
      </c>
      <c r="B2174">
        <f>Skills!B13</f>
        <v/>
      </c>
      <c r="C2174">
        <f>Inputs!$B$3&gt;=66</f>
        <v/>
      </c>
      <c r="D2174">
        <f>IF(Skills!C13=1,60+Inputs!$B$25+Inputs!$B$29,IF(Skills!C13=2,90+Inputs!$B$26+Inputs!$B$29,IF(Skills!C13=3,120+Inputs!$B$27+Inputs!$B$29,MAX(0,(Inputs!$B$3-100)*3)+Inputs!$B$28+Inputs!$B$29)))</f>
        <v/>
      </c>
      <c r="E2174">
        <f>INDEX(FactorTable!$B$2:$Y$301, MATCH(ROUND(MIN(300,MAX(1,D2174)),0), FactorTable!$A$2:$A$301,0), Skills!M13+1)</f>
        <v/>
      </c>
      <c r="F2174">
        <f>IF(Skills!N13=TRUE,(Skills!L13/10)*(E2174/1000),Skills!L13/10)+Skills!O13</f>
        <v/>
      </c>
      <c r="G2174">
        <f>Skills!G13*IF(Skills!H13&gt;0,Skills!I13/Skills!H13,1)</f>
        <v/>
      </c>
      <c r="H2174">
        <f>1-(1-Skills!J13/100)^Skills!K13</f>
        <v/>
      </c>
      <c r="I2174" t="inlineStr">
        <is>
          <t>1</t>
        </is>
      </c>
      <c r="J2174" t="inlineStr"/>
      <c r="K2174" t="inlineStr"/>
      <c r="L2174" t="inlineStr"/>
      <c r="M2174" t="inlineStr"/>
      <c r="N2174" t="inlineStr"/>
      <c r="O2174">
        <f>(1-Summary!$B$11)*T2174+Summary!$B$11*V2174</f>
        <v/>
      </c>
      <c r="P2174">
        <f>IF(B2196=0,0,O2174/B2196)</f>
        <v/>
      </c>
      <c r="Q2174" t="n">
        <v>0</v>
      </c>
      <c r="R2174" t="n">
        <v>0</v>
      </c>
      <c r="S2174">
        <f>IFERROR(O2174/N2174,0)</f>
        <v/>
      </c>
      <c r="T2174" t="n">
        <v>0</v>
      </c>
      <c r="V2174" t="n">
        <v>0</v>
      </c>
    </row>
    <row r="2175">
      <c r="A2175">
        <f>Skills!A14</f>
        <v/>
      </c>
      <c r="B2175">
        <f>Skills!B14</f>
        <v/>
      </c>
      <c r="C2175">
        <f>Inputs!$B$3&gt;=107</f>
        <v/>
      </c>
      <c r="D2175">
        <f>IF(Skills!C14=1,60+Inputs!$B$25+Inputs!$B$29,IF(Skills!C14=2,90+Inputs!$B$26+Inputs!$B$29,IF(Skills!C14=3,120+Inputs!$B$27+Inputs!$B$29,MAX(0,(Inputs!$B$3-100)*3)+Inputs!$B$28+Inputs!$B$29)))</f>
        <v/>
      </c>
      <c r="E2175">
        <f>INDEX(FactorTable!$B$2:$Y$301, MATCH(ROUND(MIN(300,MAX(1,D2175)),0), FactorTable!$A$2:$A$301,0), Skills!M14+1)</f>
        <v/>
      </c>
      <c r="F2175">
        <f>IF(Skills!N14=TRUE,(Skills!L14/10)*(E2175/1000),Skills!L14/10)+Skills!O14</f>
        <v/>
      </c>
      <c r="G2175">
        <f>Skills!G14*IF(Skills!H14&gt;0,Skills!I14/Skills!H14,1)</f>
        <v/>
      </c>
      <c r="H2175">
        <f>1-(1-Skills!J14/100)^Skills!K14</f>
        <v/>
      </c>
      <c r="I2175" t="inlineStr">
        <is>
          <t>1</t>
        </is>
      </c>
      <c r="J2175" t="inlineStr"/>
      <c r="K2175" t="inlineStr"/>
      <c r="L2175" t="inlineStr"/>
      <c r="M2175" t="inlineStr"/>
      <c r="N2175" t="inlineStr"/>
      <c r="O2175">
        <f>(1-Summary!$B$11)*T2175+Summary!$B$11*V2175</f>
        <v/>
      </c>
      <c r="P2175">
        <f>IF(B2196=0,0,O2175/B2196)</f>
        <v/>
      </c>
      <c r="Q2175" t="n">
        <v>0</v>
      </c>
      <c r="R2175" t="n">
        <v>0</v>
      </c>
      <c r="S2175">
        <f>IFERROR(O2175/N2175,0)</f>
        <v/>
      </c>
      <c r="T2175" t="n">
        <v>0</v>
      </c>
      <c r="V2175" t="n">
        <v>0</v>
      </c>
    </row>
    <row r="2176">
      <c r="A2176">
        <f>Skills!A15</f>
        <v/>
      </c>
      <c r="B2176">
        <f>Skills!B15</f>
        <v/>
      </c>
      <c r="C2176">
        <f>Inputs!$B$3&gt;=115</f>
        <v/>
      </c>
      <c r="D2176">
        <f>IF(Skills!C15=1,60+Inputs!$B$25+Inputs!$B$29,IF(Skills!C15=2,90+Inputs!$B$26+Inputs!$B$29,IF(Skills!C15=3,120+Inputs!$B$27+Inputs!$B$29,MAX(0,(Inputs!$B$3-100)*3)+Inputs!$B$28+Inputs!$B$29)))</f>
        <v/>
      </c>
      <c r="E2176">
        <f>INDEX(FactorTable!$B$2:$Y$301, MATCH(ROUND(MIN(300,MAX(1,D2176)),0), FactorTable!$A$2:$A$301,0), Skills!M15+1)</f>
        <v/>
      </c>
      <c r="F2176">
        <f>IF(Skills!N15=TRUE,(Skills!L15/10)*(E2176/1000),Skills!L15/10)+Skills!O15</f>
        <v/>
      </c>
      <c r="G2176">
        <f>Skills!G15*IF(Skills!H15&gt;0,Skills!I15/Skills!H15,1)</f>
        <v/>
      </c>
      <c r="H2176">
        <f>1-(1-Skills!J15/100)^Skills!K15</f>
        <v/>
      </c>
      <c r="I2176" t="inlineStr">
        <is>
          <t>1</t>
        </is>
      </c>
      <c r="J2176" t="inlineStr"/>
      <c r="K2176" t="inlineStr"/>
      <c r="L2176" t="inlineStr"/>
      <c r="M2176" t="inlineStr"/>
      <c r="N2176" t="inlineStr"/>
      <c r="O2176">
        <f>(1-Summary!$B$11)*T2176+Summary!$B$11*V2176</f>
        <v/>
      </c>
      <c r="P2176">
        <f>IF(B2196=0,0,O2176/B2196)</f>
        <v/>
      </c>
      <c r="Q2176" t="n">
        <v>0</v>
      </c>
      <c r="R2176" t="n">
        <v>0</v>
      </c>
      <c r="S2176">
        <f>IFERROR(O2176/N2176,0)</f>
        <v/>
      </c>
      <c r="T2176" t="n">
        <v>0</v>
      </c>
      <c r="V2176" t="n">
        <v>0</v>
      </c>
    </row>
    <row r="2177">
      <c r="A2177">
        <f>Skills!A16</f>
        <v/>
      </c>
      <c r="B2177">
        <f>Skills!B16</f>
        <v/>
      </c>
      <c r="C2177">
        <f>Inputs!$B$3&gt;=15</f>
        <v/>
      </c>
      <c r="D2177">
        <f>IF(Skills!C16=1,60+Inputs!$B$25+Inputs!$B$29,IF(Skills!C16=2,90+Inputs!$B$26+Inputs!$B$29,IF(Skills!C16=3,120+Inputs!$B$27+Inputs!$B$29,MAX(0,(Inputs!$B$3-100)*3)+Inputs!$B$28+Inputs!$B$29)))</f>
        <v/>
      </c>
      <c r="E2177">
        <f>INDEX(FactorTable!$B$2:$Y$301, MATCH(ROUND(MIN(300,MAX(1,D2177)),0), FactorTable!$A$2:$A$301,0), Skills!M16+1)</f>
        <v/>
      </c>
      <c r="F2177">
        <f>IF(Skills!N16=TRUE,(Skills!L16/10)*(E2177/1000),Skills!L16/10)+Skills!O16</f>
        <v/>
      </c>
      <c r="G2177">
        <f>Skills!G16*IF(Skills!H16&gt;0,Skills!I16/Skills!H16,1)</f>
        <v/>
      </c>
      <c r="H2177">
        <f>1-(1-Skills!J16/100)^Skills!K16</f>
        <v/>
      </c>
      <c r="I2177" t="inlineStr">
        <is>
          <t>1</t>
        </is>
      </c>
      <c r="J2177" t="inlineStr"/>
      <c r="K2177" t="inlineStr"/>
      <c r="L2177" t="inlineStr"/>
      <c r="M2177" t="inlineStr"/>
      <c r="N2177" t="inlineStr"/>
      <c r="O2177">
        <f>(1-Summary!$B$11)*T2177+Summary!$B$11*V2177</f>
        <v/>
      </c>
      <c r="P2177">
        <f>IF(B2196=0,0,O2177/B2196)</f>
        <v/>
      </c>
      <c r="Q2177" t="n">
        <v>0</v>
      </c>
      <c r="R2177" t="n">
        <v>0</v>
      </c>
      <c r="S2177">
        <f>IFERROR(O2177/N2177,0)</f>
        <v/>
      </c>
      <c r="T2177" t="n">
        <v>0</v>
      </c>
      <c r="V2177" t="n">
        <v>0</v>
      </c>
    </row>
    <row r="2178">
      <c r="A2178">
        <f>Skills!A17</f>
        <v/>
      </c>
      <c r="B2178">
        <f>Skills!B17</f>
        <v/>
      </c>
      <c r="C2178">
        <f>Inputs!$B$3&gt;=10</f>
        <v/>
      </c>
      <c r="D2178">
        <f>IF(Skills!C17=1,60+Inputs!$B$25+Inputs!$B$29,IF(Skills!C17=2,90+Inputs!$B$26+Inputs!$B$29,IF(Skills!C17=3,120+Inputs!$B$27+Inputs!$B$29,MAX(0,(Inputs!$B$3-100)*3)+Inputs!$B$28+Inputs!$B$29)))</f>
        <v/>
      </c>
      <c r="E2178">
        <f>INDEX(FactorTable!$B$2:$Y$301, MATCH(ROUND(MIN(300,MAX(1,D2178)),0), FactorTable!$A$2:$A$301,0), Skills!M17+1)</f>
        <v/>
      </c>
      <c r="F2178">
        <f>IF(Skills!N17=TRUE,(Skills!L17/10)*(E2178/1000),Skills!L17/10)+Skills!O17</f>
        <v/>
      </c>
      <c r="G2178">
        <f>Skills!G17*IF(Skills!H17&gt;0,Skills!I17/Skills!H17,1)</f>
        <v/>
      </c>
      <c r="H2178">
        <f>1-(1-Skills!J17/100)^Skills!K17</f>
        <v/>
      </c>
      <c r="I2178" t="inlineStr">
        <is>
          <t>1</t>
        </is>
      </c>
      <c r="J2178" t="inlineStr"/>
      <c r="K2178" t="inlineStr"/>
      <c r="L2178" t="inlineStr"/>
      <c r="M2178" t="inlineStr"/>
      <c r="N2178" t="inlineStr"/>
      <c r="O2178">
        <f>(1-Summary!$B$11)*T2178+Summary!$B$11*V2178</f>
        <v/>
      </c>
      <c r="P2178">
        <f>IF(B2196=0,0,O2178/B2196)</f>
        <v/>
      </c>
      <c r="Q2178" t="n">
        <v>0</v>
      </c>
      <c r="R2178" t="n">
        <v>0</v>
      </c>
      <c r="S2178">
        <f>IFERROR(O2178/N2178,0)</f>
        <v/>
      </c>
      <c r="T2178" t="n">
        <v>0</v>
      </c>
      <c r="V2178" t="n">
        <v>0</v>
      </c>
    </row>
    <row r="2179">
      <c r="A2179">
        <f>Skills!A18</f>
        <v/>
      </c>
      <c r="B2179">
        <f>Skills!B18</f>
        <v/>
      </c>
      <c r="C2179">
        <f>Inputs!$B$3&gt;=33</f>
        <v/>
      </c>
      <c r="D2179">
        <f>IF(Skills!C18=1,60+Inputs!$B$25+Inputs!$B$29,IF(Skills!C18=2,90+Inputs!$B$26+Inputs!$B$29,IF(Skills!C18=3,120+Inputs!$B$27+Inputs!$B$29,MAX(0,(Inputs!$B$3-100)*3)+Inputs!$B$28+Inputs!$B$29)))</f>
        <v/>
      </c>
      <c r="E2179">
        <f>INDEX(FactorTable!$B$2:$Y$301, MATCH(ROUND(MIN(300,MAX(1,D2179)),0), FactorTable!$A$2:$A$301,0), Skills!M18+1)</f>
        <v/>
      </c>
      <c r="F2179">
        <f>IF(Skills!N18=TRUE,(Skills!L18/10)*(E2179/1000),Skills!L18/10)+Skills!O18</f>
        <v/>
      </c>
      <c r="G2179">
        <f>Skills!G18*IF(Skills!H18&gt;0,Skills!I18/Skills!H18,1)</f>
        <v/>
      </c>
      <c r="H2179">
        <f>1-(1-Skills!J18/100)^Skills!K18</f>
        <v/>
      </c>
      <c r="I2179" t="inlineStr">
        <is>
          <t>1</t>
        </is>
      </c>
      <c r="J2179" t="inlineStr"/>
      <c r="K2179" t="inlineStr"/>
      <c r="L2179" t="inlineStr"/>
      <c r="M2179" t="inlineStr"/>
      <c r="N2179" t="inlineStr"/>
      <c r="O2179">
        <f>(1-Summary!$B$11)*T2179+Summary!$B$11*V2179</f>
        <v/>
      </c>
      <c r="P2179">
        <f>IF(B2196=0,0,O2179/B2196)</f>
        <v/>
      </c>
      <c r="Q2179" t="n">
        <v>0</v>
      </c>
      <c r="R2179" t="n">
        <v>0</v>
      </c>
      <c r="S2179">
        <f>IFERROR(O2179/N2179,0)</f>
        <v/>
      </c>
      <c r="T2179" t="n">
        <v>0</v>
      </c>
      <c r="V2179" t="n">
        <v>0</v>
      </c>
    </row>
    <row r="2180">
      <c r="A2180">
        <f>Skills!A19</f>
        <v/>
      </c>
      <c r="B2180">
        <f>Skills!B19</f>
        <v/>
      </c>
      <c r="C2180">
        <f>Inputs!$B$3&gt;=40</f>
        <v/>
      </c>
      <c r="D2180">
        <f>IF(Skills!C19=1,60+Inputs!$B$25+Inputs!$B$29,IF(Skills!C19=2,90+Inputs!$B$26+Inputs!$B$29,IF(Skills!C19=3,120+Inputs!$B$27+Inputs!$B$29,MAX(0,(Inputs!$B$3-100)*3)+Inputs!$B$28+Inputs!$B$29)))</f>
        <v/>
      </c>
      <c r="E2180">
        <f>INDEX(FactorTable!$B$2:$Y$301, MATCH(ROUND(MIN(300,MAX(1,D2180)),0), FactorTable!$A$2:$A$301,0), Skills!M19+1)</f>
        <v/>
      </c>
      <c r="F2180">
        <f>IF(Skills!N19=TRUE,(Skills!L19/10)*(E2180/1000),Skills!L19/10)+Skills!O19</f>
        <v/>
      </c>
      <c r="G2180">
        <f>Skills!G19*IF(Skills!H19&gt;0,Skills!I19/Skills!H19,1)</f>
        <v/>
      </c>
      <c r="H2180">
        <f>1-(1-Skills!J19/100)^Skills!K19</f>
        <v/>
      </c>
      <c r="I2180" t="inlineStr">
        <is>
          <t>1</t>
        </is>
      </c>
      <c r="J2180" t="inlineStr"/>
      <c r="K2180" t="inlineStr"/>
      <c r="L2180" t="inlineStr"/>
      <c r="M2180" t="inlineStr"/>
      <c r="N2180" t="inlineStr"/>
      <c r="O2180">
        <f>(1-Summary!$B$11)*T2180+Summary!$B$11*V2180</f>
        <v/>
      </c>
      <c r="P2180">
        <f>IF(B2196=0,0,O2180/B2196)</f>
        <v/>
      </c>
      <c r="Q2180" t="n">
        <v>0</v>
      </c>
      <c r="R2180" t="n">
        <v>0</v>
      </c>
      <c r="S2180">
        <f>IFERROR(O2180/N2180,0)</f>
        <v/>
      </c>
      <c r="T2180" t="n">
        <v>0</v>
      </c>
      <c r="V2180" t="n">
        <v>0</v>
      </c>
    </row>
    <row r="2181">
      <c r="A2181">
        <f>Skills!A20</f>
        <v/>
      </c>
      <c r="B2181">
        <f>Skills!B20</f>
        <v/>
      </c>
      <c r="C2181">
        <f>Inputs!$B$3&gt;=43</f>
        <v/>
      </c>
      <c r="D2181">
        <f>IF(Skills!C20=1,60+Inputs!$B$25+Inputs!$B$29,IF(Skills!C20=2,90+Inputs!$B$26+Inputs!$B$29,IF(Skills!C20=3,120+Inputs!$B$27+Inputs!$B$29,MAX(0,(Inputs!$B$3-100)*3)+Inputs!$B$28+Inputs!$B$29)))</f>
        <v/>
      </c>
      <c r="E2181">
        <f>INDEX(FactorTable!$B$2:$Y$301, MATCH(ROUND(MIN(300,MAX(1,D2181)),0), FactorTable!$A$2:$A$301,0), Skills!M20+1)</f>
        <v/>
      </c>
      <c r="F2181">
        <f>IF(Skills!N20=TRUE,(Skills!L20/10)*(E2181/1000),Skills!L20/10)+Skills!O20</f>
        <v/>
      </c>
      <c r="G2181">
        <f>Skills!G20*IF(Skills!H20&gt;0,Skills!I20/Skills!H20,1)</f>
        <v/>
      </c>
      <c r="H2181">
        <f>1-(1-Skills!J20/100)^Skills!K20</f>
        <v/>
      </c>
      <c r="I2181" t="inlineStr">
        <is>
          <t>1</t>
        </is>
      </c>
      <c r="J2181" t="inlineStr"/>
      <c r="K2181" t="inlineStr"/>
      <c r="L2181" t="inlineStr"/>
      <c r="M2181" t="inlineStr"/>
      <c r="N2181" t="inlineStr"/>
      <c r="O2181">
        <f>(1-Summary!$B$11)*T2181+Summary!$B$11*V2181</f>
        <v/>
      </c>
      <c r="P2181">
        <f>IF(B2196=0,0,O2181/B2196)</f>
        <v/>
      </c>
      <c r="Q2181" t="n">
        <v>0</v>
      </c>
      <c r="R2181" t="n">
        <v>0</v>
      </c>
      <c r="S2181">
        <f>IFERROR(O2181/N2181,0)</f>
        <v/>
      </c>
      <c r="T2181" t="n">
        <v>0</v>
      </c>
      <c r="V2181" t="n">
        <v>0</v>
      </c>
    </row>
    <row r="2182">
      <c r="A2182">
        <f>Skills!A21</f>
        <v/>
      </c>
      <c r="B2182">
        <f>Skills!B21</f>
        <v/>
      </c>
      <c r="C2182">
        <f>Inputs!$B$3&gt;=38</f>
        <v/>
      </c>
      <c r="D2182">
        <f>IF(Skills!C21=1,60+Inputs!$B$25+Inputs!$B$29,IF(Skills!C21=2,90+Inputs!$B$26+Inputs!$B$29,IF(Skills!C21=3,120+Inputs!$B$27+Inputs!$B$29,MAX(0,(Inputs!$B$3-100)*3)+Inputs!$B$28+Inputs!$B$29)))</f>
        <v/>
      </c>
      <c r="E2182">
        <f>INDEX(FactorTable!$B$2:$Y$301, MATCH(ROUND(MIN(300,MAX(1,D2182)),0), FactorTable!$A$2:$A$301,0), Skills!M21+1)</f>
        <v/>
      </c>
      <c r="F2182">
        <f>IF(Skills!N21=TRUE,(Skills!L21/10)*(E2182/1000),Skills!L21/10)+Skills!O21</f>
        <v/>
      </c>
      <c r="G2182">
        <f>Skills!G21*IF(Skills!H21&gt;0,Skills!I21/Skills!H21,1)</f>
        <v/>
      </c>
      <c r="H2182">
        <f>1-(1-Skills!J21/100)^Skills!K21</f>
        <v/>
      </c>
      <c r="I2182" t="inlineStr">
        <is>
          <t>1</t>
        </is>
      </c>
      <c r="J2182" t="inlineStr"/>
      <c r="K2182" t="inlineStr"/>
      <c r="L2182" t="inlineStr"/>
      <c r="M2182" t="inlineStr"/>
      <c r="N2182" t="inlineStr"/>
      <c r="O2182">
        <f>(1-Summary!$B$11)*T2182+Summary!$B$11*V2182</f>
        <v/>
      </c>
      <c r="P2182">
        <f>IF(B2196=0,0,O2182/B2196)</f>
        <v/>
      </c>
      <c r="Q2182" t="n">
        <v>0</v>
      </c>
      <c r="R2182" t="n">
        <v>0</v>
      </c>
      <c r="S2182">
        <f>IFERROR(O2182/N2182,0)</f>
        <v/>
      </c>
      <c r="T2182" t="n">
        <v>0</v>
      </c>
      <c r="V2182" t="n">
        <v>0</v>
      </c>
    </row>
    <row r="2183">
      <c r="A2183">
        <f>Skills!A22</f>
        <v/>
      </c>
      <c r="B2183">
        <f>Skills!B22</f>
        <v/>
      </c>
      <c r="C2183">
        <f>Inputs!$B$3&gt;=75</f>
        <v/>
      </c>
      <c r="D2183">
        <f>IF(Skills!C22=1,60+Inputs!$B$25+Inputs!$B$29,IF(Skills!C22=2,90+Inputs!$B$26+Inputs!$B$29,IF(Skills!C22=3,120+Inputs!$B$27+Inputs!$B$29,MAX(0,(Inputs!$B$3-100)*3)+Inputs!$B$28+Inputs!$B$29)))</f>
        <v/>
      </c>
      <c r="E2183">
        <f>INDEX(FactorTable!$B$2:$Y$301, MATCH(ROUND(MIN(300,MAX(1,D2183)),0), FactorTable!$A$2:$A$301,0), Skills!M22+1)</f>
        <v/>
      </c>
      <c r="F2183">
        <f>IF(Skills!N22=TRUE,(Skills!L22/10)*(E2183/1000),Skills!L22/10)+Skills!O22</f>
        <v/>
      </c>
      <c r="G2183">
        <f>Skills!G22*IF(Skills!H22&gt;0,Skills!I22/Skills!H22,1)</f>
        <v/>
      </c>
      <c r="H2183">
        <f>1-(1-Skills!J22/100)^Skills!K22</f>
        <v/>
      </c>
      <c r="I2183" t="inlineStr">
        <is>
          <t>1</t>
        </is>
      </c>
      <c r="J2183" t="inlineStr"/>
      <c r="K2183" t="inlineStr"/>
      <c r="L2183" t="inlineStr"/>
      <c r="M2183" t="inlineStr"/>
      <c r="N2183" t="inlineStr"/>
      <c r="O2183">
        <f>(1-Summary!$B$11)*T2183+Summary!$B$11*V2183</f>
        <v/>
      </c>
      <c r="P2183">
        <f>IF(B2196=0,0,O2183/B2196)</f>
        <v/>
      </c>
      <c r="Q2183" t="n">
        <v>0</v>
      </c>
      <c r="R2183" t="n">
        <v>0</v>
      </c>
      <c r="S2183">
        <f>IFERROR(O2183/N2183,0)</f>
        <v/>
      </c>
      <c r="T2183" t="n">
        <v>0</v>
      </c>
      <c r="V2183" t="n">
        <v>0</v>
      </c>
    </row>
    <row r="2185">
      <c r="A2185" t="inlineStr">
        <is>
          <t>Attack% Bucket Multiplier</t>
        </is>
      </c>
      <c r="B2185">
        <f>(1+(((C2174=TRUE)*F2174)+((C2180=TRUE)*(F2180-Calc!F19))+(IF(ArtifactsInput!$M$21,CHOOSE(ArtifactsInput!$N$21+1,25,30,35,40,45,50)*(IF(OR(Inputs!$B$4="Chapter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86">
      <c r="A2186" t="inlineStr">
        <is>
          <t>Global Crit Rate Bonus %</t>
        </is>
      </c>
      <c r="B2186" t="n">
        <v>0</v>
      </c>
    </row>
    <row r="2187">
      <c r="A2187" t="inlineStr">
        <is>
          <t>Attack Speed Buff Bonus % (unused)</t>
        </is>
      </c>
      <c r="B2187" t="n">
        <v>0</v>
      </c>
    </row>
    <row r="2188">
      <c r="A2188" t="inlineStr">
        <is>
          <t>Actions Per Second</t>
        </is>
      </c>
      <c r="B2188">
        <f>1+MIN(150,150*(1-(1-(Inputs!$B$11+((C2178=TRUE)*(F2178-Calc!F17))+((C2179=TRUE)*(F2179-Calc!F18)))/150)*(1-B2187/150)))/100</f>
        <v/>
      </c>
    </row>
    <row r="2189">
      <c r="A2189" t="inlineStr">
        <is>
          <t>Skill + Buff Cast Rate</t>
        </is>
      </c>
      <c r="B2189">
        <f>IF(AND(Inputs!$B$38&lt;&gt;"pvp",Inputs!$B$43&gt;0),SUMPRODUCT((Skills!E2:E22=TRUE)*(C2163:C2183=TRUE)*R2163:R2183*Skills!F2:F22)/Inputs!$B$43,SUMPRODUCT((Skills!E2:E22=TRUE)*(C2163:C2183=TRUE)*Q2163:Q2183*Skills!F2:F22))</f>
        <v/>
      </c>
    </row>
    <row r="2190">
      <c r="A2190" t="inlineStr">
        <is>
          <t>Hook Bomber Casts Per Second</t>
        </is>
      </c>
      <c r="B2190">
        <f>MAX(0,B2188-B2189)</f>
        <v/>
      </c>
    </row>
    <row r="2191">
      <c r="A2191" t="inlineStr">
        <is>
          <t>Global Critical Damage Bonus % (unused)</t>
        </is>
      </c>
      <c r="B2191" t="n">
        <v>0</v>
      </c>
    </row>
    <row r="2192">
      <c r="A2192" t="inlineStr">
        <is>
          <t>Global Final Damage Bonus % (Serpent Scale + Crossbones + Time Leap + Speed Infusion)</t>
        </is>
      </c>
      <c r="B2192">
        <f>((C2166=TRUE)*F2166*((10+IF(Inputs!$B$3&gt;=94,5,0))/((10+IF(Inputs!$B$3&gt;=94,5,0))+5/(B2190*(1+IF(Inputs!$B$3&gt;=104,1,0))))))+((C2175=TRUE)*F2175)+((C2176=TRUE)*F2176)+((Inputs!$B$3&gt;=110)*20*(B2188-1))</f>
        <v/>
      </c>
    </row>
    <row r="2193">
      <c r="A2193" t="inlineStr">
        <is>
          <t>Buff-Casting Startup Delay (s, fixed-duration only)</t>
        </is>
      </c>
      <c r="B2193">
        <f>IF(AND(Inputs!$B$38&lt;&gt;"pvp",Inputs!$B$43&gt;0),SUMPRODUCT((Skills!T2:T22&gt;0)*(Skills!E2:E22=TRUE)*(C2163:C2183=TRUE))/B2188,0)</f>
        <v/>
      </c>
    </row>
    <row r="2194">
      <c r="A2194" t="inlineStr">
        <is>
          <t>Boss-Only Total DPS (this block's swept value)</t>
        </is>
      </c>
      <c r="B2194">
        <f>SUM(T2163:T2183)</f>
        <v/>
      </c>
    </row>
    <row r="2195">
      <c r="A2195" t="inlineStr">
        <is>
          <t>Normal-Only Total DPS (this block's swept value)</t>
        </is>
      </c>
      <c r="B2195">
        <f>SUM(V2163:V2183)</f>
        <v/>
      </c>
    </row>
    <row r="2196">
      <c r="A2196" s="6" t="inlineStr">
        <is>
          <t>TOTAL DPS</t>
        </is>
      </c>
      <c r="B2196" s="6">
        <f>SUM(O2163:O2183)</f>
        <v/>
      </c>
    </row>
    <row r="2199">
      <c r="A2199" s="6" t="inlineStr">
        <is>
          <t>Stat: Alliance Badge (Equip)</t>
        </is>
      </c>
    </row>
    <row r="2200">
      <c r="A2200" s="5" t="inlineStr">
        <is>
          <t>Key</t>
        </is>
      </c>
      <c r="B2200" s="5" t="inlineStr">
        <is>
          <t>Name</t>
        </is>
      </c>
      <c r="C2200" s="5" t="inlineStr">
        <is>
          <t>Unlocked</t>
        </is>
      </c>
      <c r="D2200" s="5" t="inlineStr">
        <is>
          <t>InputLevel</t>
        </is>
      </c>
      <c r="E2200" s="5" t="inlineStr">
        <is>
          <t>Factor</t>
        </is>
      </c>
      <c r="F2200" s="5" t="inlineStr">
        <is>
          <t>CoefficientPercent</t>
        </is>
      </c>
      <c r="G2200" s="5" t="inlineStr">
        <is>
          <t>EffectiveHits</t>
        </is>
      </c>
      <c r="H2200" s="5" t="inlineStr">
        <is>
          <t>ProcProbability</t>
        </is>
      </c>
      <c r="I2200" s="5" t="inlineStr">
        <is>
          <t>MapleHeroMultiplier</t>
        </is>
      </c>
      <c r="J2200" s="5" t="inlineStr">
        <is>
          <t>BaseDamage</t>
        </is>
      </c>
      <c r="K2200" s="5" t="inlineStr">
        <is>
          <t>BaseHitDamage</t>
        </is>
      </c>
      <c r="L2200" s="5" t="inlineStr">
        <is>
          <t>NonCritAvg</t>
        </is>
      </c>
      <c r="M2200" s="5" t="inlineStr">
        <is>
          <t>CritAvg</t>
        </is>
      </c>
      <c r="N2200" s="5" t="inlineStr">
        <is>
          <t>ExpectedDamage(perHit)</t>
        </is>
      </c>
      <c r="O2200" s="5" t="inlineStr">
        <is>
          <t>DPS</t>
        </is>
      </c>
      <c r="P2200" s="5" t="inlineStr">
        <is>
          <t>% of Total</t>
        </is>
      </c>
      <c r="Q2200" s="5" t="inlineStr">
        <is>
          <t>InvCooldown</t>
        </is>
      </c>
      <c r="R2200" s="5" t="inlineStr">
        <is>
          <t>CastsInFight</t>
        </is>
      </c>
      <c r="S2200" s="5" t="inlineStr">
        <is>
          <t>HitRate(perSec)</t>
        </is>
      </c>
      <c r="U2200" t="inlineStr">
        <is>
          <t>helpers</t>
        </is>
      </c>
    </row>
    <row r="2201">
      <c r="A2201">
        <f>Skills!A2</f>
        <v/>
      </c>
      <c r="B2201">
        <f>Skills!B2</f>
        <v/>
      </c>
      <c r="C2201">
        <f>Inputs!$B$3&gt;=100</f>
        <v/>
      </c>
      <c r="D2201" t="inlineStr"/>
      <c r="E2201" t="inlineStr"/>
      <c r="F2201">
        <f>U2203+Skills!O2</f>
        <v/>
      </c>
      <c r="G2201">
        <f>Skills!G2*IF(Skills!H2&gt;0,Skills!I2/Skills!H2,1)</f>
        <v/>
      </c>
      <c r="H2201">
        <f>1-(1-Skills!J2/100)^Skills!K2</f>
        <v/>
      </c>
      <c r="I2201" t="inlineStr">
        <is>
          <t>1</t>
        </is>
      </c>
      <c r="J2201">
        <f>((Inputs!$B$6*(1+Inputs!$B$7/100))+(((Inputs!$B$12*(1+Inputs!$B$13/100))-(Inputs!$B$12*(1+Inputs!$B$13/100)))+0.25*(Inputs!$B$14-Inputs!$B$14))*(1+Inputs!$B$7/100))*(F2201/100)</f>
        <v/>
      </c>
      <c r="K2201">
        <f>J2201*(1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2201)</f>
        <v/>
      </c>
      <c r="L2201">
        <f>K2201*(MIN(Inputs!$B$22+((C2219=TRUE)*(F2219-Calc!F20)),(Inputs!$B$23+0+(IF(ArtifactsInput!$M$15,CHOOSE(ArtifactsInput!$N$15+1,25,30,35,40,45,50)/100*(Inputs!$B$11-Inputs!$B$11),0))))/100+(Inputs!$B$23+0+(IF(ArtifactsInput!$M$15,CHOOSE(ArtifactsInput!$N$15+1,25,30,35,40,45,50)/100*(Inputs!$B$11-Inputs!$B$11),0)))/100)/2</f>
        <v/>
      </c>
      <c r="M2201">
        <f>L2201*(1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1">
        <f>L2201*(1-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1">
        <f>(1-Summary!$B$11)*T2201+Summary!$B$11*V2201</f>
        <v/>
      </c>
      <c r="P2201">
        <f>IF(B2234=0,0,O2201/B2234)</f>
        <v/>
      </c>
      <c r="Q2201" t="n">
        <v>0</v>
      </c>
      <c r="R2201" t="n">
        <v>0</v>
      </c>
      <c r="S2201">
        <f>IFERROR(O2201/N2201,0)</f>
        <v/>
      </c>
      <c r="T2201">
        <f>IF(C2201,(Skills!G2*N2201*B2228)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2201*(1-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1">
        <f>MAX(0,(Inputs!$B$3-100)*3)+Inputs!$B$28+Inputs!$B$29</f>
        <v/>
      </c>
      <c r="V2201">
        <f>IF(C2201,(Skills!G2*N2201*B2228)*IF(Inputs!$B$38="pvp",1,(1+(Inputs!$B$21+Skills!Q2+(IF(ArtifactsInput!$M$33,CHOOSE(ArtifactsInput!$N$33+1,30,36,42,48,54,60),0))+(IF(AND(ArtifactsInput!$M$35,Inputs!$B$4&lt;&gt;"Chapter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2">
      <c r="A2202">
        <f>Skills!A3</f>
        <v/>
      </c>
      <c r="B2202">
        <f>Skills!B3</f>
        <v/>
      </c>
      <c r="C2202">
        <f>Inputs!$B$3&gt;=35</f>
        <v/>
      </c>
      <c r="D2202">
        <f>IF(Skills!C3=1,60+Inputs!$B$25+Inputs!$B$29,IF(Skills!C3=2,90+Inputs!$B$26+Inputs!$B$29,IF(Skills!C3=3,120+Inputs!$B$27+Inputs!$B$29,MAX(0,(Inputs!$B$3-100)*3)+Inputs!$B$28+Inputs!$B$29)))</f>
        <v/>
      </c>
      <c r="E2202">
        <f>INDEX(FactorTable!$B$2:$Y$301, MATCH(ROUND(MIN(300,MAX(1,D2202)),0), FactorTable!$A$2:$A$301,0), Skills!M3+1)</f>
        <v/>
      </c>
      <c r="F2202">
        <f>IF(Skills!N3=TRUE,(Skills!L3/10)*(E2202/1000),Skills!L3/10)+Skills!O3</f>
        <v/>
      </c>
      <c r="G2202">
        <f>Skills!G3*IF(Skills!H3&gt;0,Skills!I3/Skills!H3,1)</f>
        <v/>
      </c>
      <c r="H2202">
        <f>1-(1-Skills!J3/100)^Skills!K3</f>
        <v/>
      </c>
      <c r="I2202" t="inlineStr">
        <is>
          <t>1</t>
        </is>
      </c>
      <c r="J2202">
        <f>((Inputs!$B$6*(1+Inputs!$B$7/100))+(((Inputs!$B$12*(1+Inputs!$B$13/100))-(Inputs!$B$12*(1+Inputs!$B$13/100)))+0.25*(Inputs!$B$14-Inputs!$B$14))*(1+Inputs!$B$7/100))*(F2202/100)</f>
        <v/>
      </c>
      <c r="K2202">
        <f>J2202*(1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2202)</f>
        <v/>
      </c>
      <c r="L2202">
        <f>K2202*(MIN(Inputs!$B$22+((C2219=TRUE)*(F2219-Calc!F20)),(Inputs!$B$23+0+(IF(ArtifactsInput!$M$15,CHOOSE(ArtifactsInput!$N$15+1,25,30,35,40,45,50)/100*(Inputs!$B$11-Inputs!$B$11),0))))/100+(Inputs!$B$23+0+(IF(ArtifactsInput!$M$15,CHOOSE(ArtifactsInput!$N$15+1,25,30,35,40,45,50)/100*(Inputs!$B$11-Inputs!$B$11),0)))/100)/2</f>
        <v/>
      </c>
      <c r="M2202">
        <f>L2202*(1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2">
        <f>L2202*(1-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2202*(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2">
        <f>(1-Summary!$B$11)*T2202+Summary!$B$11*V2202</f>
        <v/>
      </c>
      <c r="P2202">
        <f>IF(B2234=0,0,O2202/B2234)</f>
        <v/>
      </c>
      <c r="Q2202" t="n">
        <v>0</v>
      </c>
      <c r="R2202" t="n">
        <v>0</v>
      </c>
      <c r="S2202">
        <f>IFERROR(O2202/N2202,0)</f>
        <v/>
      </c>
      <c r="T2202">
        <f>IF(C2202,(Skills!G3*H2202*N2202*B2228)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2202*(1-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2202*(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2202*(1-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2202*(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2">
        <f>INDEX(FactorTable!$B$2:$Y$301, MATCH(ROUND(MIN(300,MAX(1,U2201)),0), FactorTable!$A$2:$A$301,0), 22)</f>
        <v/>
      </c>
      <c r="V2202">
        <f>IF(C2202,(Skills!G3*H2202*N2202*B2228)*IF(Inputs!$B$38="pvp",1,(1+(Inputs!$B$21+Skills!Q3+(IF(ArtifactsInput!$M$33,CHOOSE(ArtifactsInput!$N$33+1,30,36,42,48,54,60),0))+(IF(AND(ArtifactsInput!$M$35,Inputs!$B$4&lt;&gt;"Chapter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3">
      <c r="A2203">
        <f>Skills!A4</f>
        <v/>
      </c>
      <c r="B2203">
        <f>Skills!B4</f>
        <v/>
      </c>
      <c r="C2203">
        <f>Inputs!$B$3&gt;=60</f>
        <v/>
      </c>
      <c r="D2203">
        <f>IF(Skills!C4=1,60+Inputs!$B$25+Inputs!$B$29,IF(Skills!C4=2,90+Inputs!$B$26+Inputs!$B$29,IF(Skills!C4=3,120+Inputs!$B$27+Inputs!$B$29,MAX(0,(Inputs!$B$3-100)*3)+Inputs!$B$28+Inputs!$B$29)))</f>
        <v/>
      </c>
      <c r="E2203">
        <f>INDEX(FactorTable!$B$2:$Y$301, MATCH(ROUND(MIN(300,MAX(1,D2203)),0), FactorTable!$A$2:$A$301,0), Skills!M4+1)</f>
        <v/>
      </c>
      <c r="F2203">
        <f>IF(Skills!N4=TRUE,(Skills!L4/10)*(E2203/1000),Skills!L4/10)+Skills!O4</f>
        <v/>
      </c>
      <c r="G2203">
        <f>Skills!G4*IF(Skills!H4&gt;0,Skills!I4/Skills!H4,1)</f>
        <v/>
      </c>
      <c r="H2203">
        <f>1-(1-Skills!J4/100)^Skills!K4</f>
        <v/>
      </c>
      <c r="I2203" t="inlineStr">
        <is>
          <t>1</t>
        </is>
      </c>
      <c r="J2203">
        <f>((Inputs!$B$6*(1+Inputs!$B$7/100))+(((Inputs!$B$12*(1+Inputs!$B$13/100))-(Inputs!$B$12*(1+Inputs!$B$13/100)))+0.25*(Inputs!$B$14-Inputs!$B$14))*(1+Inputs!$B$7/100))*(F2203/100)</f>
        <v/>
      </c>
      <c r="K2203">
        <f>J2203*(1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2211=TRUE,F2211,0)/100)*(1+(IF(Skills!A4="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2203)</f>
        <v/>
      </c>
      <c r="L2203">
        <f>K2203*(MIN(Inputs!$B$22+((C2219=TRUE)*(F2219-Calc!F20)),(Inputs!$B$23+0+(IF(ArtifactsInput!$M$15,CHOOSE(ArtifactsInput!$N$15+1,25,30,35,40,45,50)/100*(Inputs!$B$11-Inputs!$B$11),0))))/100+(Inputs!$B$23+0+(IF(ArtifactsInput!$M$15,CHOOSE(ArtifactsInput!$N$15+1,25,30,35,40,45,50)/100*(Inputs!$B$11-Inputs!$B$11),0)))/100)/2</f>
        <v/>
      </c>
      <c r="M2203">
        <f>L2203*(1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3">
        <f>L2203*(1-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2203*(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3">
        <f>(1-Summary!$B$11)*T2203+Summary!$B$11*V2203</f>
        <v/>
      </c>
      <c r="P2203">
        <f>IF(B2234=0,0,O2203/B2234)</f>
        <v/>
      </c>
      <c r="Q2203" t="n">
        <v>0</v>
      </c>
      <c r="R2203" t="n">
        <v>0</v>
      </c>
      <c r="S2203">
        <f>IFERROR(O2203/N2203,0)</f>
        <v/>
      </c>
      <c r="T2203">
        <f>IF(C2203,(Skills!G4*H2203*N2203*B2228)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2203*(1-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2203*(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2203*(1-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2203*(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3">
        <f>290*U2202/1000</f>
        <v/>
      </c>
      <c r="V2203">
        <f>IF(C2203,(Skills!G4*H2203*N2203*B2228)*IF(Inputs!$B$38="pvp",1,(1+(Inputs!$B$21+Skills!Q4+(IF(ArtifactsInput!$M$33,CHOOSE(ArtifactsInput!$N$33+1,30,36,42,48,54,60),0))+(IF(AND(ArtifactsInput!$M$35,Inputs!$B$4&lt;&gt;"Chapter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4">
      <c r="A2204">
        <f>Skills!A5</f>
        <v/>
      </c>
      <c r="B2204">
        <f>Skills!B5</f>
        <v/>
      </c>
      <c r="C2204">
        <f>Inputs!$B$3&gt;=60</f>
        <v/>
      </c>
      <c r="D2204">
        <f>IF(Skills!C5=1,60+Inputs!$B$25+Inputs!$B$29,IF(Skills!C5=2,90+Inputs!$B$26+Inputs!$B$29,IF(Skills!C5=3,120+Inputs!$B$27+Inputs!$B$29,MAX(0,(Inputs!$B$3-100)*3)+Inputs!$B$28+Inputs!$B$29)))</f>
        <v/>
      </c>
      <c r="E2204">
        <f>INDEX(FactorTable!$B$2:$Y$301, MATCH(ROUND(MIN(300,MAX(1,D2204)),0), FactorTable!$A$2:$A$301,0), Skills!M5+1)</f>
        <v/>
      </c>
      <c r="F2204">
        <f>IF(Skills!N5=TRUE,(Skills!L5/10)*(E2204/1000),Skills!L5/10)+Skills!O5</f>
        <v/>
      </c>
      <c r="G2204">
        <f>Skills!G5*IF(Skills!H5&gt;0,Skills!I5/Skills!H5,1)</f>
        <v/>
      </c>
      <c r="H2204">
        <f>1-(1-Skills!J5/100)^Skills!K5</f>
        <v/>
      </c>
      <c r="I2204" t="inlineStr">
        <is>
          <t>1</t>
        </is>
      </c>
      <c r="J2204" t="inlineStr"/>
      <c r="K2204" t="inlineStr"/>
      <c r="L2204" t="inlineStr"/>
      <c r="M2204" t="inlineStr"/>
      <c r="N2204" t="inlineStr"/>
      <c r="O2204">
        <f>(1-Summary!$B$11)*T2204+Summary!$B$11*V2204</f>
        <v/>
      </c>
      <c r="P2204">
        <f>IF(B2234=0,0,O2204/B2234)</f>
        <v/>
      </c>
      <c r="Q2204" t="n">
        <v>0</v>
      </c>
      <c r="R2204" t="n">
        <v>0</v>
      </c>
      <c r="S2204">
        <f>IFERROR(O2204/N2204,0)</f>
        <v/>
      </c>
      <c r="T2204" t="n">
        <v>0</v>
      </c>
      <c r="V2204" t="n">
        <v>0</v>
      </c>
    </row>
    <row r="2205">
      <c r="A2205">
        <f>Skills!A6</f>
        <v/>
      </c>
      <c r="B2205">
        <f>Skills!B6</f>
        <v/>
      </c>
      <c r="C2205">
        <f>Inputs!$B$3&gt;=63</f>
        <v/>
      </c>
      <c r="D2205">
        <f>IF(Skills!C6=1,60+Inputs!$B$25+Inputs!$B$29,IF(Skills!C6=2,90+Inputs!$B$26+Inputs!$B$29,IF(Skills!C6=3,120+Inputs!$B$27+Inputs!$B$29,MAX(0,(Inputs!$B$3-100)*3)+Inputs!$B$28+Inputs!$B$29)))</f>
        <v/>
      </c>
      <c r="E2205">
        <f>INDEX(FactorTable!$B$2:$Y$301, MATCH(ROUND(MIN(300,MAX(1,D2205)),0), FactorTable!$A$2:$A$301,0), Skills!M6+1)</f>
        <v/>
      </c>
      <c r="F2205">
        <f>IF(Skills!N6=TRUE,(Skills!L6/10)*(E2205/1000),Skills!L6/10)+Skills!O6</f>
        <v/>
      </c>
      <c r="G2205">
        <f>Skills!G6*IF(Skills!H6&gt;0,Skills!I6/Skills!H6,1)</f>
        <v/>
      </c>
      <c r="H2205">
        <f>1-(1-Skills!J6/100)^Skills!K6</f>
        <v/>
      </c>
      <c r="I2205" t="inlineStr">
        <is>
          <t>1</t>
        </is>
      </c>
      <c r="J2205">
        <f>((Inputs!$B$6*(1+Inputs!$B$7/100))+(((Inputs!$B$12*(1+Inputs!$B$13/100))-(Inputs!$B$12*(1+Inputs!$B$13/100)))+0.25*(Inputs!$B$14-Inputs!$B$14))*(1+Inputs!$B$7/100))*(F2205/100)</f>
        <v/>
      </c>
      <c r="K2205">
        <f>J2205*(1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2205)</f>
        <v/>
      </c>
      <c r="L2205">
        <f>K2205*(MIN(Inputs!$B$22+((C2219=TRUE)*(F2219-Calc!F20)),(Inputs!$B$23+0+(IF(ArtifactsInput!$M$15,CHOOSE(ArtifactsInput!$N$15+1,25,30,35,40,45,50)/100*(Inputs!$B$11-Inputs!$B$11),0))))/100+(Inputs!$B$23+0+(IF(ArtifactsInput!$M$15,CHOOSE(ArtifactsInput!$N$15+1,25,30,35,40,45,50)/100*(Inputs!$B$11-Inputs!$B$11),0)))/100)/2</f>
        <v/>
      </c>
      <c r="M2205">
        <f>L2205*(1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5">
        <f>L2205*(1-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2205*(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5">
        <f>(1-Summary!$B$11)*T2205+Summary!$B$11*V2205</f>
        <v/>
      </c>
      <c r="P2205">
        <f>IF(B2234=0,0,O2205/B2234)</f>
        <v/>
      </c>
      <c r="Q2205">
        <f>IFERROR(1/(IF(Inputs!$B$38="pvp",15,MAX(0.1,Skills!D6-IF(Skills!E6=TRUE,Inputs!$B$32,0)))*(1-IF(AND(ArtifactsInput!$M$27,Inputs!$B$4="Chapter Hunt"),CHOOSE(ArtifactsInput!$N$27+1,20,24,28,32,36,40),0)/100)),0)</f>
        <v/>
      </c>
      <c r="R2205">
        <f>IF(AND(Inputs!$B$38&lt;&gt;"pvp",Inputs!$B$43&gt;0),IF(MAX(0,Inputs!$B$43-B2231)&lt;=0,0,(INT(MAX(0,Inputs!$B$43-B2231)/(IF(Inputs!$B$38="pvp",15,MAX(0.1,Skills!D6-IF(Skills!E6=TRUE,Inputs!$B$32,0)))*(1-IF(AND(ArtifactsInput!$M$27,Inputs!$B$4="Chapter Hunt"),CHOOSE(ArtifactsInput!$N$27+1,20,24,28,32,36,40),0)/100)))+1)),0)</f>
        <v/>
      </c>
      <c r="S2205">
        <f>IFERROR(O2205/N2205,0)</f>
        <v/>
      </c>
      <c r="T2205">
        <f>IF(C2205,(H2205*N2205*IF(AND(Inputs!$B$38&lt;&gt;"pvp",Inputs!$B$43&gt;0),((Skills!G6*((R2205-1)*IF(Skills!H6&gt;0,Skills!I6/Skills!H6,1)+IF(Skills!H6&gt;0,MIN(Skills!I6,MAX(0,MAX(0,Inputs!$B$43-B2231)-((R2205-1)*(IF(Inputs!$B$38="pvp",15,MAX(0.1,Skills!D6-IF(Skills!E6=TRUE,Inputs!$B$32,0)))*(1-IF(AND(ArtifactsInput!$M$27,Inputs!$B$4="Chapter Hunt"),CHOOSE(ArtifactsInput!$N$27+1,20,24,28,32,36,40),0)/100)))))/Skills!H6,1)))/Inputs!$B$43),G2205*Q2205)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2205*(1-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2205*(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2205*(1-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2205*(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5">
        <f>IF(C2205,(H2205*N2205*IF(AND(Inputs!$B$38&lt;&gt;"pvp",Inputs!$B$43&gt;0),((Skills!G6*((R2205-1)*IF(Skills!H6&gt;0,Skills!I6/Skills!H6,1)+IF(Skills!H6&gt;0,MIN(Skills!I6,MAX(0,MAX(0,Inputs!$B$43-B2231)-((R2205-1)*(IF(Inputs!$B$38="pvp",15,MAX(0.1,Skills!D6-IF(Skills!E6=TRUE,Inputs!$B$32,0)))*(1-IF(AND(ArtifactsInput!$M$27,Inputs!$B$4="Chapter Hunt"),CHOOSE(ArtifactsInput!$N$27+1,20,24,28,32,36,40),0)/100)))))/Skills!H6,1)))/Inputs!$B$43),G2205*Q2205))*IF(Inputs!$B$38="pvp",1,(1+(Inputs!$B$21+Skills!Q6+(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6">
      <c r="A2206">
        <f>Skills!A7</f>
        <v/>
      </c>
      <c r="B2206">
        <f>Skills!B7</f>
        <v/>
      </c>
      <c r="C2206">
        <f>Inputs!$B$3&gt;=100</f>
        <v/>
      </c>
      <c r="D2206">
        <f>IF(Skills!C7=1,60+Inputs!$B$25+Inputs!$B$29,IF(Skills!C7=2,90+Inputs!$B$26+Inputs!$B$29,IF(Skills!C7=3,120+Inputs!$B$27+Inputs!$B$29,MAX(0,(Inputs!$B$3-100)*3)+Inputs!$B$28+Inputs!$B$29)))</f>
        <v/>
      </c>
      <c r="E2206">
        <f>INDEX(FactorTable!$B$2:$Y$301, MATCH(ROUND(MIN(300,MAX(1,D2206)),0), FactorTable!$A$2:$A$301,0), Skills!M7+1)</f>
        <v/>
      </c>
      <c r="F2206">
        <f>IF(Skills!N7=TRUE,(Skills!L7/10)*(E2206/1000),Skills!L7/10)+Skills!O7</f>
        <v/>
      </c>
      <c r="G2206">
        <f>Skills!G7*IF(Skills!H7&gt;0,Skills!I7/Skills!H7,1)</f>
        <v/>
      </c>
      <c r="H2206">
        <f>1-(1-Skills!J7/100)^Skills!K7</f>
        <v/>
      </c>
      <c r="I2206" t="inlineStr">
        <is>
          <t>1</t>
        </is>
      </c>
      <c r="J2206">
        <f>((Inputs!$B$6*(1+Inputs!$B$7/100))+(((Inputs!$B$12*(1+Inputs!$B$13/100))-(Inputs!$B$12*(1+Inputs!$B$13/100)))+0.25*(Inputs!$B$14-Inputs!$B$14))*(1+Inputs!$B$7/100))*(F2206/100)</f>
        <v/>
      </c>
      <c r="K2206">
        <f>J2206*(1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2206)</f>
        <v/>
      </c>
      <c r="L2206">
        <f>K2206*(MIN(Inputs!$B$22+((C2219=TRUE)*(F2219-Calc!F20)),(Inputs!$B$23+0+(IF(ArtifactsInput!$M$15,CHOOSE(ArtifactsInput!$N$15+1,25,30,35,40,45,50)/100*(Inputs!$B$11-Inputs!$B$11),0))))/100+(Inputs!$B$23+0+(IF(ArtifactsInput!$M$15,CHOOSE(ArtifactsInput!$N$15+1,25,30,35,40,45,50)/100*(Inputs!$B$11-Inputs!$B$11),0)))/100)/2</f>
        <v/>
      </c>
      <c r="M2206">
        <f>L2206*(1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6">
        <f>L2206*(1-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2206*(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6">
        <f>(1-Summary!$B$11)*T2206+Summary!$B$11*V2206</f>
        <v/>
      </c>
      <c r="P2206">
        <f>IF(B2234=0,0,O2206/B2234)</f>
        <v/>
      </c>
      <c r="Q2206">
        <f>IFERROR(1/(IF(Inputs!$B$38="pvp",15,MAX(0.1,Skills!D7-IF(Skills!E7=TRUE,Inputs!$B$32,0)))*(1-IF(AND(ArtifactsInput!$M$27,Inputs!$B$4="Chapter Hunt"),CHOOSE(ArtifactsInput!$N$27+1,20,24,28,32,36,40),0)/100)),0)</f>
        <v/>
      </c>
      <c r="R2206">
        <f>IF(AND(Inputs!$B$38&lt;&gt;"pvp",Inputs!$B$43&gt;0),IF(MAX(0,Inputs!$B$43-B2231)&lt;=0,0,(INT(MAX(0,Inputs!$B$43-B2231)/(IF(Inputs!$B$38="pvp",15,MAX(0.1,Skills!D7-IF(Skills!E7=TRUE,Inputs!$B$32,0)))*(1-IF(AND(ArtifactsInput!$M$27,Inputs!$B$4="Chapter Hunt"),CHOOSE(ArtifactsInput!$N$27+1,20,24,28,32,36,40),0)/100)))+1)),0)</f>
        <v/>
      </c>
      <c r="S2206">
        <f>IFERROR(O2206/N2206,0)</f>
        <v/>
      </c>
      <c r="T2206">
        <f>IF(C2206,(H2206*N2206*IF(AND(Inputs!$B$38&lt;&gt;"pvp",Inputs!$B$43&gt;0),((Skills!G7*((R2206-1)*IF(Skills!H7&gt;0,Skills!I7/Skills!H7,1)+IF(Skills!H7&gt;0,MIN(Skills!I7,MAX(0,MAX(0,Inputs!$B$43-B2231)-((R2206-1)*(IF(Inputs!$B$38="pvp",15,MAX(0.1,Skills!D7-IF(Skills!E7=TRUE,Inputs!$B$32,0)))*(1-IF(AND(ArtifactsInput!$M$27,Inputs!$B$4="Chapter Hunt"),CHOOSE(ArtifactsInput!$N$27+1,20,24,28,32,36,40),0)/100)))))/Skills!H7,1)))/Inputs!$B$43),G2206*Q2206)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2206*(1-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2206*(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2206*(1-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2206*(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6">
        <f>IF(C2206,(H2206*N2206*IF(AND(Inputs!$B$38&lt;&gt;"pvp",Inputs!$B$43&gt;0),((Skills!G7*((R2206-1)*IF(Skills!H7&gt;0,Skills!I7/Skills!H7,1)+IF(Skills!H7&gt;0,MIN(Skills!I7,MAX(0,MAX(0,Inputs!$B$43-B2231)-((R2206-1)*(IF(Inputs!$B$38="pvp",15,MAX(0.1,Skills!D7-IF(Skills!E7=TRUE,Inputs!$B$32,0)))*(1-IF(AND(ArtifactsInput!$M$27,Inputs!$B$4="Chapter Hunt"),CHOOSE(ArtifactsInput!$N$27+1,20,24,28,32,36,40),0)/100)))))/Skills!H7,1)))/Inputs!$B$43),G2206*Q2206))*IF(Inputs!$B$38="pvp",1,(1+(Inputs!$B$21+Skills!Q7+(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7">
      <c r="A2207">
        <f>Skills!A8</f>
        <v/>
      </c>
      <c r="B2207">
        <f>Skills!B8</f>
        <v/>
      </c>
      <c r="C2207">
        <f>Inputs!$B$3&gt;=110</f>
        <v/>
      </c>
      <c r="D2207">
        <f>IF(Skills!C8=1,60+Inputs!$B$25+Inputs!$B$29,IF(Skills!C8=2,90+Inputs!$B$26+Inputs!$B$29,IF(Skills!C8=3,120+Inputs!$B$27+Inputs!$B$29,MAX(0,(Inputs!$B$3-100)*3)+Inputs!$B$28+Inputs!$B$29)))</f>
        <v/>
      </c>
      <c r="E2207">
        <f>INDEX(FactorTable!$B$2:$Y$301, MATCH(ROUND(MIN(300,MAX(1,D2207)),0), FactorTable!$A$2:$A$301,0), Skills!M8+1)</f>
        <v/>
      </c>
      <c r="F2207">
        <f>IF(Skills!N8=TRUE,(Skills!L8/10)*(E2207/1000),Skills!L8/10)+Skills!O8</f>
        <v/>
      </c>
      <c r="G2207">
        <f>Skills!G8*IF(Skills!H8&gt;0,Skills!I8/Skills!H8,1)</f>
        <v/>
      </c>
      <c r="H2207">
        <f>1-(1-Skills!J8/100)^Skills!K8</f>
        <v/>
      </c>
      <c r="I2207" t="inlineStr">
        <is>
          <t>1</t>
        </is>
      </c>
      <c r="J2207">
        <f>((Inputs!$B$6*(1+Inputs!$B$7/100))+(((Inputs!$B$12*(1+Inputs!$B$13/100))-(Inputs!$B$12*(1+Inputs!$B$13/100)))+0.25*(Inputs!$B$14-Inputs!$B$14))*(1+Inputs!$B$7/100))*(F2207/100)</f>
        <v/>
      </c>
      <c r="K2207">
        <f>J2207*(1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2207)</f>
        <v/>
      </c>
      <c r="L2207">
        <f>K2207*(MIN(Inputs!$B$22+((C2219=TRUE)*(F2219-Calc!F20)),(Inputs!$B$23+0+(IF(ArtifactsInput!$M$15,CHOOSE(ArtifactsInput!$N$15+1,25,30,35,40,45,50)/100*(Inputs!$B$11-Inputs!$B$11),0))))/100+(Inputs!$B$23+0+(IF(ArtifactsInput!$M$15,CHOOSE(ArtifactsInput!$N$15+1,25,30,35,40,45,50)/100*(Inputs!$B$11-Inputs!$B$11),0)))/100)/2</f>
        <v/>
      </c>
      <c r="M2207">
        <f>L2207*(1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7">
        <f>L2207*(1-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2207*(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7">
        <f>(1-Summary!$B$11)*T2207+Summary!$B$11*V2207</f>
        <v/>
      </c>
      <c r="P2207">
        <f>IF(B2234=0,0,O2207/B2234)</f>
        <v/>
      </c>
      <c r="Q2207">
        <f>IFERROR(1/(IF(Inputs!$B$38="pvp",15,MAX(0.1,Skills!D8-IF(Skills!E8=TRUE,Inputs!$B$32,0)))*(1-IF(AND(ArtifactsInput!$M$27,Inputs!$B$4="Chapter Hunt"),CHOOSE(ArtifactsInput!$N$27+1,20,24,28,32,36,40),0)/100)),0)</f>
        <v/>
      </c>
      <c r="R2207">
        <f>IF(AND(Inputs!$B$38&lt;&gt;"pvp",Inputs!$B$43&gt;0),IF(MAX(0,Inputs!$B$43-B2231)&lt;=0,0,(INT(MAX(0,Inputs!$B$43-B2231)/(IF(Inputs!$B$38="pvp",15,MAX(0.1,Skills!D8-IF(Skills!E8=TRUE,Inputs!$B$32,0)))*(1-IF(AND(ArtifactsInput!$M$27,Inputs!$B$4="Chapter Hunt"),CHOOSE(ArtifactsInput!$N$27+1,20,24,28,32,36,40),0)/100)))+1)),0)</f>
        <v/>
      </c>
      <c r="S2207">
        <f>IFERROR(O2207/N2207,0)</f>
        <v/>
      </c>
      <c r="T2207">
        <f>IF(C2207,(H2207*N2207*IF(AND(Inputs!$B$38&lt;&gt;"pvp",Inputs!$B$43&gt;0),((Skills!G8*((R2207-1)*IF(Skills!H8&gt;0,Skills!I8/Skills!H8,1)+IF(Skills!H8&gt;0,MIN(Skills!I8,MAX(0,MAX(0,Inputs!$B$43-B2231)-((R2207-1)*(IF(Inputs!$B$38="pvp",15,MAX(0.1,Skills!D8-IF(Skills!E8=TRUE,Inputs!$B$32,0)))*(1-IF(AND(ArtifactsInput!$M$27,Inputs!$B$4="Chapter Hunt"),CHOOSE(ArtifactsInput!$N$27+1,20,24,28,32,36,40),0)/100)))))/Skills!H8,1)))/Inputs!$B$43),G2207*Q2207)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2207*(1-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2207*(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2207*(1-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2207*(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7">
        <f>IF(C2207,(H2207*N2207*IF(AND(Inputs!$B$38&lt;&gt;"pvp",Inputs!$B$43&gt;0),((Skills!G8*((R2207-1)*IF(Skills!H8&gt;0,Skills!I8/Skills!H8,1)+IF(Skills!H8&gt;0,MIN(Skills!I8,MAX(0,MAX(0,Inputs!$B$43-B2231)-((R2207-1)*(IF(Inputs!$B$38="pvp",15,MAX(0.1,Skills!D8-IF(Skills!E8=TRUE,Inputs!$B$32,0)))*(1-IF(AND(ArtifactsInput!$M$27,Inputs!$B$4="Chapter Hunt"),CHOOSE(ArtifactsInput!$N$27+1,20,24,28,32,36,40),0)/100)))))/Skills!H8,1)))/Inputs!$B$43),G2207*Q2207))*IF(Inputs!$B$38="pvp",1,(1+(Inputs!$B$21+Skills!Q8+(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8">
      <c r="A2208">
        <f>Skills!A9</f>
        <v/>
      </c>
      <c r="B2208">
        <f>Skills!B9</f>
        <v/>
      </c>
      <c r="C2208">
        <f>Inputs!$B$3&gt;=110</f>
        <v/>
      </c>
      <c r="D2208">
        <f>IF(Skills!C9=1,60+Inputs!$B$25+Inputs!$B$29,IF(Skills!C9=2,90+Inputs!$B$26+Inputs!$B$29,IF(Skills!C9=3,120+Inputs!$B$27+Inputs!$B$29,MAX(0,(Inputs!$B$3-100)*3)+Inputs!$B$28+Inputs!$B$29)))</f>
        <v/>
      </c>
      <c r="E2208">
        <f>INDEX(FactorTable!$B$2:$Y$301, MATCH(ROUND(MIN(300,MAX(1,D2208)),0), FactorTable!$A$2:$A$301,0), Skills!M9+1)</f>
        <v/>
      </c>
      <c r="F2208">
        <f>IF(Skills!N9=TRUE,(Skills!L9/10)*(E2208/1000),Skills!L9/10)+Skills!O9</f>
        <v/>
      </c>
      <c r="G2208">
        <f>Skills!G9*IF(Skills!H9&gt;0,Skills!I9/Skills!H9,1)</f>
        <v/>
      </c>
      <c r="H2208">
        <f>1-(1-Skills!J9/100)^Skills!K9</f>
        <v/>
      </c>
      <c r="I2208" t="inlineStr">
        <is>
          <t>1</t>
        </is>
      </c>
      <c r="J2208">
        <f>((Inputs!$B$6*(1+Inputs!$B$7/100))+(((Inputs!$B$12*(1+Inputs!$B$13/100))-(Inputs!$B$12*(1+Inputs!$B$13/100)))+0.25*(Inputs!$B$14-Inputs!$B$14))*(1+Inputs!$B$7/100))*(F2208/100)</f>
        <v/>
      </c>
      <c r="K2208">
        <f>J2208*(1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2208)</f>
        <v/>
      </c>
      <c r="L2208">
        <f>K2208*(MIN(Inputs!$B$22+((C2219=TRUE)*(F2219-Calc!F20)),(Inputs!$B$23+0+(IF(ArtifactsInput!$M$15,CHOOSE(ArtifactsInput!$N$15+1,25,30,35,40,45,50)/100*(Inputs!$B$11-Inputs!$B$11),0))))/100+(Inputs!$B$23+0+(IF(ArtifactsInput!$M$15,CHOOSE(ArtifactsInput!$N$15+1,25,30,35,40,45,50)/100*(Inputs!$B$11-Inputs!$B$11),0)))/100)/2</f>
        <v/>
      </c>
      <c r="M2208">
        <f>L2208*(1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8">
        <f>L2208*(1-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2208*(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8">
        <f>(1-Summary!$B$11)*T2208+Summary!$B$11*V2208</f>
        <v/>
      </c>
      <c r="P2208">
        <f>IF(B2234=0,0,O2208/B2234)</f>
        <v/>
      </c>
      <c r="Q2208">
        <f>IFERROR(1/(IF(Inputs!$B$38="pvp",15,MAX(0.1,Skills!D9-IF(Skills!E9=TRUE,Inputs!$B$32,0)))*(1-IF(AND(ArtifactsInput!$M$27,Inputs!$B$4="Chapter Hunt"),CHOOSE(ArtifactsInput!$N$27+1,20,24,28,32,36,40),0)/100)),0)</f>
        <v/>
      </c>
      <c r="R2208">
        <f>IF(AND(Inputs!$B$38&lt;&gt;"pvp",Inputs!$B$43&gt;0),IF(MAX(0,Inputs!$B$43-B2231)&lt;=0,0,(INT(MAX(0,Inputs!$B$43-B2231)/(IF(Inputs!$B$38="pvp",15,MAX(0.1,Skills!D9-IF(Skills!E9=TRUE,Inputs!$B$32,0)))*(1-IF(AND(ArtifactsInput!$M$27,Inputs!$B$4="Chapter Hunt"),CHOOSE(ArtifactsInput!$N$27+1,20,24,28,32,36,40),0)/100)))+1)),0)</f>
        <v/>
      </c>
      <c r="S2208">
        <f>IFERROR(O2208/N2208,0)</f>
        <v/>
      </c>
      <c r="T2208">
        <f>IF(C2208,(H2208*N2208*IF(AND(Inputs!$B$38&lt;&gt;"pvp",Inputs!$B$43&gt;0),((Skills!G9*((R2208-1)*IF(Skills!H9&gt;0,Skills!I9/Skills!H9,1)+IF(Skills!H9&gt;0,MIN(Skills!I9,MAX(0,MAX(0,Inputs!$B$43-B2231)-((R2208-1)*(IF(Inputs!$B$38="pvp",15,MAX(0.1,Skills!D9-IF(Skills!E9=TRUE,Inputs!$B$32,0)))*(1-IF(AND(ArtifactsInput!$M$27,Inputs!$B$4="Chapter Hunt"),CHOOSE(ArtifactsInput!$N$27+1,20,24,28,32,36,40),0)/100)))))/Skills!H9,1)))/Inputs!$B$43),G2208*Q2208)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2208*(1-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2208*(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2208*(1-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2208*(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8">
        <f>IF(C2208,(H2208*N2208*IF(AND(Inputs!$B$38&lt;&gt;"pvp",Inputs!$B$43&gt;0),((Skills!G9*((R2208-1)*IF(Skills!H9&gt;0,Skills!I9/Skills!H9,1)+IF(Skills!H9&gt;0,MIN(Skills!I9,MAX(0,MAX(0,Inputs!$B$43-B2231)-((R2208-1)*(IF(Inputs!$B$38="pvp",15,MAX(0.1,Skills!D9-IF(Skills!E9=TRUE,Inputs!$B$32,0)))*(1-IF(AND(ArtifactsInput!$M$27,Inputs!$B$4="Chapter Hunt"),CHOOSE(ArtifactsInput!$N$27+1,20,24,28,32,36,40),0)/100)))))/Skills!H9,1)))/Inputs!$B$43),G2208*Q2208))*IF(Inputs!$B$38="pvp",1,(1+(Inputs!$B$21+Skills!Q9+(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9">
      <c r="A2209">
        <f>Skills!A10</f>
        <v/>
      </c>
      <c r="B2209">
        <f>Skills!B10</f>
        <v/>
      </c>
      <c r="C2209">
        <f>Inputs!$B$3&gt;=103</f>
        <v/>
      </c>
      <c r="D2209">
        <f>IF(Skills!C10=1,60+Inputs!$B$25+Inputs!$B$29,IF(Skills!C10=2,90+Inputs!$B$26+Inputs!$B$29,IF(Skills!C10=3,120+Inputs!$B$27+Inputs!$B$29,MAX(0,(Inputs!$B$3-100)*3)+Inputs!$B$28+Inputs!$B$29)))</f>
        <v/>
      </c>
      <c r="E2209">
        <f>INDEX(FactorTable!$B$2:$Y$301, MATCH(ROUND(MIN(300,MAX(1,D2209)),0), FactorTable!$A$2:$A$301,0), Skills!M10+1)</f>
        <v/>
      </c>
      <c r="F2209">
        <f>IF(Skills!N10=TRUE,(Skills!L10/10)*(E2209/1000),Skills!L10/10)+Skills!O10</f>
        <v/>
      </c>
      <c r="G2209">
        <f>Skills!G10*IF(Skills!H10&gt;0,Skills!I10/Skills!H10,1)</f>
        <v/>
      </c>
      <c r="H2209">
        <f>1-(1-Skills!J10/100)^Skills!K10</f>
        <v/>
      </c>
      <c r="I2209" t="inlineStr">
        <is>
          <t>1</t>
        </is>
      </c>
      <c r="J2209">
        <f>((Inputs!$B$6*(1+Inputs!$B$7/100))+(((Inputs!$B$12*(1+Inputs!$B$13/100))-(Inputs!$B$12*(1+Inputs!$B$13/100)))+0.25*(Inputs!$B$14-Inputs!$B$14))*(1+Inputs!$B$7/100))*(F2209/100)</f>
        <v/>
      </c>
      <c r="K2209">
        <f>J2209*(1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2209)</f>
        <v/>
      </c>
      <c r="L2209">
        <f>K2209*(MIN(Inputs!$B$22+((C2219=TRUE)*(F2219-Calc!F20)),(Inputs!$B$23+0+(IF(ArtifactsInput!$M$15,CHOOSE(ArtifactsInput!$N$15+1,25,30,35,40,45,50)/100*(Inputs!$B$11-Inputs!$B$11),0))))/100+(Inputs!$B$23+0+(IF(ArtifactsInput!$M$15,CHOOSE(ArtifactsInput!$N$15+1,25,30,35,40,45,50)/100*(Inputs!$B$11-Inputs!$B$11),0)))/100)/2</f>
        <v/>
      </c>
      <c r="M2209">
        <f>L2209*(1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9">
        <f>L2209*(1-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2209*(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9">
        <f>(1-Summary!$B$11)*T2209+Summary!$B$11*V2209</f>
        <v/>
      </c>
      <c r="P2209">
        <f>IF(B2234=0,0,O2209/B2234)</f>
        <v/>
      </c>
      <c r="Q2209">
        <f>IFERROR(1/(IF(Inputs!$B$38="pvp",15,MAX(0.1,Skills!D10-IF(Skills!E10=TRUE,Inputs!$B$32,0)))*(1-IF(AND(ArtifactsInput!$M$27,Inputs!$B$4="Chapter Hunt"),CHOOSE(ArtifactsInput!$N$27+1,20,24,28,32,36,40),0)/100)),0)</f>
        <v/>
      </c>
      <c r="R2209">
        <f>IF(AND(Inputs!$B$38&lt;&gt;"pvp",Inputs!$B$43&gt;0),IF(MAX(0,Inputs!$B$43-B2231)&lt;=0,0,(INT(MAX(0,Inputs!$B$43-B2231)/(IF(Inputs!$B$38="pvp",15,MAX(0.1,Skills!D10-IF(Skills!E10=TRUE,Inputs!$B$32,0)))*(1-IF(AND(ArtifactsInput!$M$27,Inputs!$B$4="Chapter Hunt"),CHOOSE(ArtifactsInput!$N$27+1,20,24,28,32,36,40),0)/100)))+1)),0)</f>
        <v/>
      </c>
      <c r="S2209">
        <f>IFERROR(O2209/N2209,0)</f>
        <v/>
      </c>
      <c r="T2209">
        <f>IF(C2209,(H2209*N2209*IF(AND(Inputs!$B$38&lt;&gt;"pvp",Inputs!$B$43&gt;0),((Skills!G10*((R2209-1)*IF(Skills!H10&gt;0,Skills!I10/Skills!H10,1)+IF(Skills!H10&gt;0,MIN(Skills!I10,MAX(0,MAX(0,Inputs!$B$43-B2231)-((R2209-1)*(IF(Inputs!$B$38="pvp",15,MAX(0.1,Skills!D10-IF(Skills!E10=TRUE,Inputs!$B$32,0)))*(1-IF(AND(ArtifactsInput!$M$27,Inputs!$B$4="Chapter Hunt"),CHOOSE(ArtifactsInput!$N$27+1,20,24,28,32,36,40),0)/100)))))/Skills!H10,1)))/Inputs!$B$43),G2209*Q2209)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2209*(1-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2209*(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2209*(1-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2209*(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9">
        <f>IF(C2209,(H2209*N2209*IF(AND(Inputs!$B$38&lt;&gt;"pvp",Inputs!$B$43&gt;0),((Skills!G10*((R2209-1)*IF(Skills!H10&gt;0,Skills!I10/Skills!H10,1)+IF(Skills!H10&gt;0,MIN(Skills!I10,MAX(0,MAX(0,Inputs!$B$43-B2231)-((R2209-1)*(IF(Inputs!$B$38="pvp",15,MAX(0.1,Skills!D10-IF(Skills!E10=TRUE,Inputs!$B$32,0)))*(1-IF(AND(ArtifactsInput!$M$27,Inputs!$B$4="Chapter Hunt"),CHOOSE(ArtifactsInput!$N$27+1,20,24,28,32,36,40),0)/100)))))/Skills!H10,1)))/Inputs!$B$43),G2209*Q2209))*IF(Inputs!$B$38="pvp",1,(1+(Inputs!$B$21+Skills!Q10+(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0">
      <c r="A2210">
        <f>Skills!A11</f>
        <v/>
      </c>
      <c r="B2210">
        <f>Skills!B11</f>
        <v/>
      </c>
      <c r="C2210">
        <f>Inputs!$B$3&gt;=113</f>
        <v/>
      </c>
      <c r="D2210">
        <f>IF(Skills!C11=1,60+Inputs!$B$25+Inputs!$B$29,IF(Skills!C11=2,90+Inputs!$B$26+Inputs!$B$29,IF(Skills!C11=3,120+Inputs!$B$27+Inputs!$B$29,MAX(0,(Inputs!$B$3-100)*3)+Inputs!$B$28+Inputs!$B$29)))</f>
        <v/>
      </c>
      <c r="E2210">
        <f>INDEX(FactorTable!$B$2:$Y$301, MATCH(ROUND(MIN(300,MAX(1,D2210)),0), FactorTable!$A$2:$A$301,0), Skills!M11+1)</f>
        <v/>
      </c>
      <c r="F2210">
        <f>IF(Skills!N11=TRUE,(Skills!L11/10)*(E2210/1000),Skills!L11/10)+Skills!O11</f>
        <v/>
      </c>
      <c r="G2210">
        <f>Skills!G11*IF(Skills!H11&gt;0,Skills!I11/Skills!H11,1)</f>
        <v/>
      </c>
      <c r="H2210">
        <f>1-(1-Skills!J11/100)^Skills!K11</f>
        <v/>
      </c>
      <c r="I2210" t="inlineStr">
        <is>
          <t>1</t>
        </is>
      </c>
      <c r="J2210">
        <f>((Inputs!$B$6*(1+Inputs!$B$7/100))+(((Inputs!$B$12*(1+Inputs!$B$13/100))-(Inputs!$B$12*(1+Inputs!$B$13/100)))+0.25*(Inputs!$B$14-Inputs!$B$14))*(1+Inputs!$B$7/100))*(F2210/100)</f>
        <v/>
      </c>
      <c r="K2210">
        <f>J2210*(1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2210)</f>
        <v/>
      </c>
      <c r="L2210">
        <f>K2210*(MIN(Inputs!$B$22+((C2219=TRUE)*(F2219-Calc!F20)),(Inputs!$B$23+0+(IF(ArtifactsInput!$M$15,CHOOSE(ArtifactsInput!$N$15+1,25,30,35,40,45,50)/100*(Inputs!$B$11-Inputs!$B$11),0))))/100+(Inputs!$B$23+0+(IF(ArtifactsInput!$M$15,CHOOSE(ArtifactsInput!$N$15+1,25,30,35,40,45,50)/100*(Inputs!$B$11-Inputs!$B$11),0)))/100)/2</f>
        <v/>
      </c>
      <c r="M2210">
        <f>L2210*(1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0">
        <f>L2210*(1-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2210*(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0">
        <f>(1-Summary!$B$11)*T2210+Summary!$B$11*V2210</f>
        <v/>
      </c>
      <c r="P2210">
        <f>IF(B2234=0,0,O2210/B2234)</f>
        <v/>
      </c>
      <c r="Q2210">
        <f>IFERROR(1/(IF(Inputs!$B$38="pvp",15,MAX(0.1,Skills!D11-IF(Skills!E11=TRUE,Inputs!$B$32,0)))*(1-IF(AND(ArtifactsInput!$M$27,Inputs!$B$4="Chapter Hunt"),CHOOSE(ArtifactsInput!$N$27+1,20,24,28,32,36,40),0)/100)),0)</f>
        <v/>
      </c>
      <c r="R2210">
        <f>IF(AND(Inputs!$B$38&lt;&gt;"pvp",Inputs!$B$43&gt;0),IF(MAX(0,Inputs!$B$43-B2231)&lt;=0,0,(INT(MAX(0,Inputs!$B$43-B2231)/(IF(Inputs!$B$38="pvp",15,MAX(0.1,Skills!D11-IF(Skills!E11=TRUE,Inputs!$B$32,0)))*(1-IF(AND(ArtifactsInput!$M$27,Inputs!$B$4="Chapter Hunt"),CHOOSE(ArtifactsInput!$N$27+1,20,24,28,32,36,40),0)/100)))+1)),0)</f>
        <v/>
      </c>
      <c r="S2210">
        <f>IFERROR(O2210/N2210,0)</f>
        <v/>
      </c>
      <c r="T2210">
        <f>IF(C2210,(H2210*N2210*IF(AND(Inputs!$B$38&lt;&gt;"pvp",Inputs!$B$43&gt;0),((Skills!G11*((R2210-1)*IF(Skills!H11&gt;0,Skills!I11/Skills!H11,1)+IF(Skills!H11&gt;0,MIN(Skills!I11,MAX(0,MAX(0,Inputs!$B$43-B2231)-((R2210-1)*(IF(Inputs!$B$38="pvp",15,MAX(0.1,Skills!D11-IF(Skills!E11=TRUE,Inputs!$B$32,0)))*(1-IF(AND(ArtifactsInput!$M$27,Inputs!$B$4="Chapter Hunt"),CHOOSE(ArtifactsInput!$N$27+1,20,24,28,32,36,40),0)/100)))))/Skills!H11,1)))/Inputs!$B$43),G2210*Q2210)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2210*(1-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2210*(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2210*(1-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2210*(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0">
        <f>IF(C2210,(H2210*N2210*IF(AND(Inputs!$B$38&lt;&gt;"pvp",Inputs!$B$43&gt;0),((Skills!G11*((R2210-1)*IF(Skills!H11&gt;0,Skills!I11/Skills!H11,1)+IF(Skills!H11&gt;0,MIN(Skills!I11,MAX(0,MAX(0,Inputs!$B$43-B2231)-((R2210-1)*(IF(Inputs!$B$38="pvp",15,MAX(0.1,Skills!D11-IF(Skills!E11=TRUE,Inputs!$B$32,0)))*(1-IF(AND(ArtifactsInput!$M$27,Inputs!$B$4="Chapter Hunt"),CHOOSE(ArtifactsInput!$N$27+1,20,24,28,32,36,40),0)/100)))))/Skills!H11,1)))/Inputs!$B$43),G2210*Q2210))*IF(Inputs!$B$38="pvp",1,(1+(Inputs!$B$21+Skills!Q11+(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1">
      <c r="A2211">
        <f>Skills!A12</f>
        <v/>
      </c>
      <c r="B2211">
        <f>Skills!B12</f>
        <v/>
      </c>
      <c r="C2211">
        <f>Inputs!$B$3&gt;=100</f>
        <v/>
      </c>
      <c r="D2211">
        <f>IF(Skills!C12=1,60+Inputs!$B$25+Inputs!$B$29,IF(Skills!C12=2,90+Inputs!$B$26+Inputs!$B$29,IF(Skills!C12=3,120+Inputs!$B$27+Inputs!$B$29,MAX(0,(Inputs!$B$3-100)*3)+Inputs!$B$28+Inputs!$B$29)))</f>
        <v/>
      </c>
      <c r="E2211">
        <f>INDEX(FactorTable!$B$2:$Y$301, MATCH(ROUND(MIN(300,MAX(1,D2211)),0), FactorTable!$A$2:$A$301,0), Skills!M12+1)</f>
        <v/>
      </c>
      <c r="F2211">
        <f>IF(Skills!N12=TRUE,(Skills!L12/10)*(E2211/1000),Skills!L12/10)+Skills!O12</f>
        <v/>
      </c>
      <c r="G2211" t="inlineStr"/>
      <c r="H2211" t="inlineStr"/>
      <c r="I2211" t="inlineStr">
        <is>
          <t>1</t>
        </is>
      </c>
      <c r="J2211" t="inlineStr"/>
      <c r="K2211" t="inlineStr"/>
      <c r="L2211" t="inlineStr"/>
      <c r="M2211" t="inlineStr"/>
      <c r="N2211" t="inlineStr"/>
      <c r="O2211" t="inlineStr"/>
      <c r="P2211" t="inlineStr"/>
      <c r="Q2211" t="inlineStr"/>
      <c r="R2211" t="inlineStr"/>
      <c r="S2211" t="inlineStr"/>
      <c r="T2211" t="inlineStr"/>
      <c r="V2211" t="inlineStr"/>
    </row>
    <row r="2212">
      <c r="A2212">
        <f>Skills!A13</f>
        <v/>
      </c>
      <c r="B2212">
        <f>Skills!B13</f>
        <v/>
      </c>
      <c r="C2212">
        <f>Inputs!$B$3&gt;=66</f>
        <v/>
      </c>
      <c r="D2212">
        <f>IF(Skills!C13=1,60+Inputs!$B$25+Inputs!$B$29,IF(Skills!C13=2,90+Inputs!$B$26+Inputs!$B$29,IF(Skills!C13=3,120+Inputs!$B$27+Inputs!$B$29,MAX(0,(Inputs!$B$3-100)*3)+Inputs!$B$28+Inputs!$B$29)))</f>
        <v/>
      </c>
      <c r="E2212">
        <f>INDEX(FactorTable!$B$2:$Y$301, MATCH(ROUND(MIN(300,MAX(1,D2212)),0), FactorTable!$A$2:$A$301,0), Skills!M13+1)</f>
        <v/>
      </c>
      <c r="F2212">
        <f>IF(Skills!N13=TRUE,(Skills!L13/10)*(E2212/1000),Skills!L13/10)+Skills!O13</f>
        <v/>
      </c>
      <c r="G2212">
        <f>Skills!G13*IF(Skills!H13&gt;0,Skills!I13/Skills!H13,1)</f>
        <v/>
      </c>
      <c r="H2212">
        <f>1-(1-Skills!J13/100)^Skills!K13</f>
        <v/>
      </c>
      <c r="I2212" t="inlineStr">
        <is>
          <t>1</t>
        </is>
      </c>
      <c r="J2212" t="inlineStr"/>
      <c r="K2212" t="inlineStr"/>
      <c r="L2212" t="inlineStr"/>
      <c r="M2212" t="inlineStr"/>
      <c r="N2212" t="inlineStr"/>
      <c r="O2212">
        <f>(1-Summary!$B$11)*T2212+Summary!$B$11*V2212</f>
        <v/>
      </c>
      <c r="P2212">
        <f>IF(B2234=0,0,O2212/B2234)</f>
        <v/>
      </c>
      <c r="Q2212" t="n">
        <v>0</v>
      </c>
      <c r="R2212" t="n">
        <v>0</v>
      </c>
      <c r="S2212">
        <f>IFERROR(O2212/N2212,0)</f>
        <v/>
      </c>
      <c r="T2212" t="n">
        <v>0</v>
      </c>
      <c r="V2212" t="n">
        <v>0</v>
      </c>
    </row>
    <row r="2213">
      <c r="A2213">
        <f>Skills!A14</f>
        <v/>
      </c>
      <c r="B2213">
        <f>Skills!B14</f>
        <v/>
      </c>
      <c r="C2213">
        <f>Inputs!$B$3&gt;=107</f>
        <v/>
      </c>
      <c r="D2213">
        <f>IF(Skills!C14=1,60+Inputs!$B$25+Inputs!$B$29,IF(Skills!C14=2,90+Inputs!$B$26+Inputs!$B$29,IF(Skills!C14=3,120+Inputs!$B$27+Inputs!$B$29,MAX(0,(Inputs!$B$3-100)*3)+Inputs!$B$28+Inputs!$B$29)))</f>
        <v/>
      </c>
      <c r="E2213">
        <f>INDEX(FactorTable!$B$2:$Y$301, MATCH(ROUND(MIN(300,MAX(1,D2213)),0), FactorTable!$A$2:$A$301,0), Skills!M14+1)</f>
        <v/>
      </c>
      <c r="F2213">
        <f>IF(Skills!N14=TRUE,(Skills!L14/10)*(E2213/1000),Skills!L14/10)+Skills!O14</f>
        <v/>
      </c>
      <c r="G2213">
        <f>Skills!G14*IF(Skills!H14&gt;0,Skills!I14/Skills!H14,1)</f>
        <v/>
      </c>
      <c r="H2213">
        <f>1-(1-Skills!J14/100)^Skills!K14</f>
        <v/>
      </c>
      <c r="I2213" t="inlineStr">
        <is>
          <t>1</t>
        </is>
      </c>
      <c r="J2213" t="inlineStr"/>
      <c r="K2213" t="inlineStr"/>
      <c r="L2213" t="inlineStr"/>
      <c r="M2213" t="inlineStr"/>
      <c r="N2213" t="inlineStr"/>
      <c r="O2213">
        <f>(1-Summary!$B$11)*T2213+Summary!$B$11*V2213</f>
        <v/>
      </c>
      <c r="P2213">
        <f>IF(B2234=0,0,O2213/B2234)</f>
        <v/>
      </c>
      <c r="Q2213" t="n">
        <v>0</v>
      </c>
      <c r="R2213" t="n">
        <v>0</v>
      </c>
      <c r="S2213">
        <f>IFERROR(O2213/N2213,0)</f>
        <v/>
      </c>
      <c r="T2213" t="n">
        <v>0</v>
      </c>
      <c r="V2213" t="n">
        <v>0</v>
      </c>
    </row>
    <row r="2214">
      <c r="A2214">
        <f>Skills!A15</f>
        <v/>
      </c>
      <c r="B2214">
        <f>Skills!B15</f>
        <v/>
      </c>
      <c r="C2214">
        <f>Inputs!$B$3&gt;=115</f>
        <v/>
      </c>
      <c r="D2214">
        <f>IF(Skills!C15=1,60+Inputs!$B$25+Inputs!$B$29,IF(Skills!C15=2,90+Inputs!$B$26+Inputs!$B$29,IF(Skills!C15=3,120+Inputs!$B$27+Inputs!$B$29,MAX(0,(Inputs!$B$3-100)*3)+Inputs!$B$28+Inputs!$B$29)))</f>
        <v/>
      </c>
      <c r="E2214">
        <f>INDEX(FactorTable!$B$2:$Y$301, MATCH(ROUND(MIN(300,MAX(1,D2214)),0), FactorTable!$A$2:$A$301,0), Skills!M15+1)</f>
        <v/>
      </c>
      <c r="F2214">
        <f>IF(Skills!N15=TRUE,(Skills!L15/10)*(E2214/1000),Skills!L15/10)+Skills!O15</f>
        <v/>
      </c>
      <c r="G2214">
        <f>Skills!G15*IF(Skills!H15&gt;0,Skills!I15/Skills!H15,1)</f>
        <v/>
      </c>
      <c r="H2214">
        <f>1-(1-Skills!J15/100)^Skills!K15</f>
        <v/>
      </c>
      <c r="I2214" t="inlineStr">
        <is>
          <t>1</t>
        </is>
      </c>
      <c r="J2214" t="inlineStr"/>
      <c r="K2214" t="inlineStr"/>
      <c r="L2214" t="inlineStr"/>
      <c r="M2214" t="inlineStr"/>
      <c r="N2214" t="inlineStr"/>
      <c r="O2214">
        <f>(1-Summary!$B$11)*T2214+Summary!$B$11*V2214</f>
        <v/>
      </c>
      <c r="P2214">
        <f>IF(B2234=0,0,O2214/B2234)</f>
        <v/>
      </c>
      <c r="Q2214" t="n">
        <v>0</v>
      </c>
      <c r="R2214" t="n">
        <v>0</v>
      </c>
      <c r="S2214">
        <f>IFERROR(O2214/N2214,0)</f>
        <v/>
      </c>
      <c r="T2214" t="n">
        <v>0</v>
      </c>
      <c r="V2214" t="n">
        <v>0</v>
      </c>
    </row>
    <row r="2215">
      <c r="A2215">
        <f>Skills!A16</f>
        <v/>
      </c>
      <c r="B2215">
        <f>Skills!B16</f>
        <v/>
      </c>
      <c r="C2215">
        <f>Inputs!$B$3&gt;=15</f>
        <v/>
      </c>
      <c r="D2215">
        <f>IF(Skills!C16=1,60+Inputs!$B$25+Inputs!$B$29,IF(Skills!C16=2,90+Inputs!$B$26+Inputs!$B$29,IF(Skills!C16=3,120+Inputs!$B$27+Inputs!$B$29,MAX(0,(Inputs!$B$3-100)*3)+Inputs!$B$28+Inputs!$B$29)))</f>
        <v/>
      </c>
      <c r="E2215">
        <f>INDEX(FactorTable!$B$2:$Y$301, MATCH(ROUND(MIN(300,MAX(1,D2215)),0), FactorTable!$A$2:$A$301,0), Skills!M16+1)</f>
        <v/>
      </c>
      <c r="F2215">
        <f>IF(Skills!N16=TRUE,(Skills!L16/10)*(E2215/1000),Skills!L16/10)+Skills!O16</f>
        <v/>
      </c>
      <c r="G2215">
        <f>Skills!G16*IF(Skills!H16&gt;0,Skills!I16/Skills!H16,1)</f>
        <v/>
      </c>
      <c r="H2215">
        <f>1-(1-Skills!J16/100)^Skills!K16</f>
        <v/>
      </c>
      <c r="I2215" t="inlineStr">
        <is>
          <t>1</t>
        </is>
      </c>
      <c r="J2215" t="inlineStr"/>
      <c r="K2215" t="inlineStr"/>
      <c r="L2215" t="inlineStr"/>
      <c r="M2215" t="inlineStr"/>
      <c r="N2215" t="inlineStr"/>
      <c r="O2215">
        <f>(1-Summary!$B$11)*T2215+Summary!$B$11*V2215</f>
        <v/>
      </c>
      <c r="P2215">
        <f>IF(B2234=0,0,O2215/B2234)</f>
        <v/>
      </c>
      <c r="Q2215" t="n">
        <v>0</v>
      </c>
      <c r="R2215" t="n">
        <v>0</v>
      </c>
      <c r="S2215">
        <f>IFERROR(O2215/N2215,0)</f>
        <v/>
      </c>
      <c r="T2215" t="n">
        <v>0</v>
      </c>
      <c r="V2215" t="n">
        <v>0</v>
      </c>
    </row>
    <row r="2216">
      <c r="A2216">
        <f>Skills!A17</f>
        <v/>
      </c>
      <c r="B2216">
        <f>Skills!B17</f>
        <v/>
      </c>
      <c r="C2216">
        <f>Inputs!$B$3&gt;=10</f>
        <v/>
      </c>
      <c r="D2216">
        <f>IF(Skills!C17=1,60+Inputs!$B$25+Inputs!$B$29,IF(Skills!C17=2,90+Inputs!$B$26+Inputs!$B$29,IF(Skills!C17=3,120+Inputs!$B$27+Inputs!$B$29,MAX(0,(Inputs!$B$3-100)*3)+Inputs!$B$28+Inputs!$B$29)))</f>
        <v/>
      </c>
      <c r="E2216">
        <f>INDEX(FactorTable!$B$2:$Y$301, MATCH(ROUND(MIN(300,MAX(1,D2216)),0), FactorTable!$A$2:$A$301,0), Skills!M17+1)</f>
        <v/>
      </c>
      <c r="F2216">
        <f>IF(Skills!N17=TRUE,(Skills!L17/10)*(E2216/1000),Skills!L17/10)+Skills!O17</f>
        <v/>
      </c>
      <c r="G2216">
        <f>Skills!G17*IF(Skills!H17&gt;0,Skills!I17/Skills!H17,1)</f>
        <v/>
      </c>
      <c r="H2216">
        <f>1-(1-Skills!J17/100)^Skills!K17</f>
        <v/>
      </c>
      <c r="I2216" t="inlineStr">
        <is>
          <t>1</t>
        </is>
      </c>
      <c r="J2216" t="inlineStr"/>
      <c r="K2216" t="inlineStr"/>
      <c r="L2216" t="inlineStr"/>
      <c r="M2216" t="inlineStr"/>
      <c r="N2216" t="inlineStr"/>
      <c r="O2216">
        <f>(1-Summary!$B$11)*T2216+Summary!$B$11*V2216</f>
        <v/>
      </c>
      <c r="P2216">
        <f>IF(B2234=0,0,O2216/B2234)</f>
        <v/>
      </c>
      <c r="Q2216" t="n">
        <v>0</v>
      </c>
      <c r="R2216" t="n">
        <v>0</v>
      </c>
      <c r="S2216">
        <f>IFERROR(O2216/N2216,0)</f>
        <v/>
      </c>
      <c r="T2216" t="n">
        <v>0</v>
      </c>
      <c r="V2216" t="n">
        <v>0</v>
      </c>
    </row>
    <row r="2217">
      <c r="A2217">
        <f>Skills!A18</f>
        <v/>
      </c>
      <c r="B2217">
        <f>Skills!B18</f>
        <v/>
      </c>
      <c r="C2217">
        <f>Inputs!$B$3&gt;=33</f>
        <v/>
      </c>
      <c r="D2217">
        <f>IF(Skills!C18=1,60+Inputs!$B$25+Inputs!$B$29,IF(Skills!C18=2,90+Inputs!$B$26+Inputs!$B$29,IF(Skills!C18=3,120+Inputs!$B$27+Inputs!$B$29,MAX(0,(Inputs!$B$3-100)*3)+Inputs!$B$28+Inputs!$B$29)))</f>
        <v/>
      </c>
      <c r="E2217">
        <f>INDEX(FactorTable!$B$2:$Y$301, MATCH(ROUND(MIN(300,MAX(1,D2217)),0), FactorTable!$A$2:$A$301,0), Skills!M18+1)</f>
        <v/>
      </c>
      <c r="F2217">
        <f>IF(Skills!N18=TRUE,(Skills!L18/10)*(E2217/1000),Skills!L18/10)+Skills!O18</f>
        <v/>
      </c>
      <c r="G2217">
        <f>Skills!G18*IF(Skills!H18&gt;0,Skills!I18/Skills!H18,1)</f>
        <v/>
      </c>
      <c r="H2217">
        <f>1-(1-Skills!J18/100)^Skills!K18</f>
        <v/>
      </c>
      <c r="I2217" t="inlineStr">
        <is>
          <t>1</t>
        </is>
      </c>
      <c r="J2217" t="inlineStr"/>
      <c r="K2217" t="inlineStr"/>
      <c r="L2217" t="inlineStr"/>
      <c r="M2217" t="inlineStr"/>
      <c r="N2217" t="inlineStr"/>
      <c r="O2217">
        <f>(1-Summary!$B$11)*T2217+Summary!$B$11*V2217</f>
        <v/>
      </c>
      <c r="P2217">
        <f>IF(B2234=0,0,O2217/B2234)</f>
        <v/>
      </c>
      <c r="Q2217" t="n">
        <v>0</v>
      </c>
      <c r="R2217" t="n">
        <v>0</v>
      </c>
      <c r="S2217">
        <f>IFERROR(O2217/N2217,0)</f>
        <v/>
      </c>
      <c r="T2217" t="n">
        <v>0</v>
      </c>
      <c r="V2217" t="n">
        <v>0</v>
      </c>
    </row>
    <row r="2218">
      <c r="A2218">
        <f>Skills!A19</f>
        <v/>
      </c>
      <c r="B2218">
        <f>Skills!B19</f>
        <v/>
      </c>
      <c r="C2218">
        <f>Inputs!$B$3&gt;=40</f>
        <v/>
      </c>
      <c r="D2218">
        <f>IF(Skills!C19=1,60+Inputs!$B$25+Inputs!$B$29,IF(Skills!C19=2,90+Inputs!$B$26+Inputs!$B$29,IF(Skills!C19=3,120+Inputs!$B$27+Inputs!$B$29,MAX(0,(Inputs!$B$3-100)*3)+Inputs!$B$28+Inputs!$B$29)))</f>
        <v/>
      </c>
      <c r="E2218">
        <f>INDEX(FactorTable!$B$2:$Y$301, MATCH(ROUND(MIN(300,MAX(1,D2218)),0), FactorTable!$A$2:$A$301,0), Skills!M19+1)</f>
        <v/>
      </c>
      <c r="F2218">
        <f>IF(Skills!N19=TRUE,(Skills!L19/10)*(E2218/1000),Skills!L19/10)+Skills!O19</f>
        <v/>
      </c>
      <c r="G2218">
        <f>Skills!G19*IF(Skills!H19&gt;0,Skills!I19/Skills!H19,1)</f>
        <v/>
      </c>
      <c r="H2218">
        <f>1-(1-Skills!J19/100)^Skills!K19</f>
        <v/>
      </c>
      <c r="I2218" t="inlineStr">
        <is>
          <t>1</t>
        </is>
      </c>
      <c r="J2218" t="inlineStr"/>
      <c r="K2218" t="inlineStr"/>
      <c r="L2218" t="inlineStr"/>
      <c r="M2218" t="inlineStr"/>
      <c r="N2218" t="inlineStr"/>
      <c r="O2218">
        <f>(1-Summary!$B$11)*T2218+Summary!$B$11*V2218</f>
        <v/>
      </c>
      <c r="P2218">
        <f>IF(B2234=0,0,O2218/B2234)</f>
        <v/>
      </c>
      <c r="Q2218" t="n">
        <v>0</v>
      </c>
      <c r="R2218" t="n">
        <v>0</v>
      </c>
      <c r="S2218">
        <f>IFERROR(O2218/N2218,0)</f>
        <v/>
      </c>
      <c r="T2218" t="n">
        <v>0</v>
      </c>
      <c r="V2218" t="n">
        <v>0</v>
      </c>
    </row>
    <row r="2219">
      <c r="A2219">
        <f>Skills!A20</f>
        <v/>
      </c>
      <c r="B2219">
        <f>Skills!B20</f>
        <v/>
      </c>
      <c r="C2219">
        <f>Inputs!$B$3&gt;=43</f>
        <v/>
      </c>
      <c r="D2219">
        <f>IF(Skills!C20=1,60+Inputs!$B$25+Inputs!$B$29,IF(Skills!C20=2,90+Inputs!$B$26+Inputs!$B$29,IF(Skills!C20=3,120+Inputs!$B$27+Inputs!$B$29,MAX(0,(Inputs!$B$3-100)*3)+Inputs!$B$28+Inputs!$B$29)))</f>
        <v/>
      </c>
      <c r="E2219">
        <f>INDEX(FactorTable!$B$2:$Y$301, MATCH(ROUND(MIN(300,MAX(1,D2219)),0), FactorTable!$A$2:$A$301,0), Skills!M20+1)</f>
        <v/>
      </c>
      <c r="F2219">
        <f>IF(Skills!N20=TRUE,(Skills!L20/10)*(E2219/1000),Skills!L20/10)+Skills!O20</f>
        <v/>
      </c>
      <c r="G2219">
        <f>Skills!G20*IF(Skills!H20&gt;0,Skills!I20/Skills!H20,1)</f>
        <v/>
      </c>
      <c r="H2219">
        <f>1-(1-Skills!J20/100)^Skills!K20</f>
        <v/>
      </c>
      <c r="I2219" t="inlineStr">
        <is>
          <t>1</t>
        </is>
      </c>
      <c r="J2219" t="inlineStr"/>
      <c r="K2219" t="inlineStr"/>
      <c r="L2219" t="inlineStr"/>
      <c r="M2219" t="inlineStr"/>
      <c r="N2219" t="inlineStr"/>
      <c r="O2219">
        <f>(1-Summary!$B$11)*T2219+Summary!$B$11*V2219</f>
        <v/>
      </c>
      <c r="P2219">
        <f>IF(B2234=0,0,O2219/B2234)</f>
        <v/>
      </c>
      <c r="Q2219" t="n">
        <v>0</v>
      </c>
      <c r="R2219" t="n">
        <v>0</v>
      </c>
      <c r="S2219">
        <f>IFERROR(O2219/N2219,0)</f>
        <v/>
      </c>
      <c r="T2219" t="n">
        <v>0</v>
      </c>
      <c r="V2219" t="n">
        <v>0</v>
      </c>
    </row>
    <row r="2220">
      <c r="A2220">
        <f>Skills!A21</f>
        <v/>
      </c>
      <c r="B2220">
        <f>Skills!B21</f>
        <v/>
      </c>
      <c r="C2220">
        <f>Inputs!$B$3&gt;=38</f>
        <v/>
      </c>
      <c r="D2220">
        <f>IF(Skills!C21=1,60+Inputs!$B$25+Inputs!$B$29,IF(Skills!C21=2,90+Inputs!$B$26+Inputs!$B$29,IF(Skills!C21=3,120+Inputs!$B$27+Inputs!$B$29,MAX(0,(Inputs!$B$3-100)*3)+Inputs!$B$28+Inputs!$B$29)))</f>
        <v/>
      </c>
      <c r="E2220">
        <f>INDEX(FactorTable!$B$2:$Y$301, MATCH(ROUND(MIN(300,MAX(1,D2220)),0), FactorTable!$A$2:$A$301,0), Skills!M21+1)</f>
        <v/>
      </c>
      <c r="F2220">
        <f>IF(Skills!N21=TRUE,(Skills!L21/10)*(E2220/1000),Skills!L21/10)+Skills!O21</f>
        <v/>
      </c>
      <c r="G2220">
        <f>Skills!G21*IF(Skills!H21&gt;0,Skills!I21/Skills!H21,1)</f>
        <v/>
      </c>
      <c r="H2220">
        <f>1-(1-Skills!J21/100)^Skills!K21</f>
        <v/>
      </c>
      <c r="I2220" t="inlineStr">
        <is>
          <t>1</t>
        </is>
      </c>
      <c r="J2220" t="inlineStr"/>
      <c r="K2220" t="inlineStr"/>
      <c r="L2220" t="inlineStr"/>
      <c r="M2220" t="inlineStr"/>
      <c r="N2220" t="inlineStr"/>
      <c r="O2220">
        <f>(1-Summary!$B$11)*T2220+Summary!$B$11*V2220</f>
        <v/>
      </c>
      <c r="P2220">
        <f>IF(B2234=0,0,O2220/B2234)</f>
        <v/>
      </c>
      <c r="Q2220" t="n">
        <v>0</v>
      </c>
      <c r="R2220" t="n">
        <v>0</v>
      </c>
      <c r="S2220">
        <f>IFERROR(O2220/N2220,0)</f>
        <v/>
      </c>
      <c r="T2220" t="n">
        <v>0</v>
      </c>
      <c r="V2220" t="n">
        <v>0</v>
      </c>
    </row>
    <row r="2221">
      <c r="A2221">
        <f>Skills!A22</f>
        <v/>
      </c>
      <c r="B2221">
        <f>Skills!B22</f>
        <v/>
      </c>
      <c r="C2221">
        <f>Inputs!$B$3&gt;=75</f>
        <v/>
      </c>
      <c r="D2221">
        <f>IF(Skills!C22=1,60+Inputs!$B$25+Inputs!$B$29,IF(Skills!C22=2,90+Inputs!$B$26+Inputs!$B$29,IF(Skills!C22=3,120+Inputs!$B$27+Inputs!$B$29,MAX(0,(Inputs!$B$3-100)*3)+Inputs!$B$28+Inputs!$B$29)))</f>
        <v/>
      </c>
      <c r="E2221">
        <f>INDEX(FactorTable!$B$2:$Y$301, MATCH(ROUND(MIN(300,MAX(1,D2221)),0), FactorTable!$A$2:$A$301,0), Skills!M22+1)</f>
        <v/>
      </c>
      <c r="F2221">
        <f>IF(Skills!N22=TRUE,(Skills!L22/10)*(E2221/1000),Skills!L22/10)+Skills!O22</f>
        <v/>
      </c>
      <c r="G2221">
        <f>Skills!G22*IF(Skills!H22&gt;0,Skills!I22/Skills!H22,1)</f>
        <v/>
      </c>
      <c r="H2221">
        <f>1-(1-Skills!J22/100)^Skills!K22</f>
        <v/>
      </c>
      <c r="I2221" t="inlineStr">
        <is>
          <t>1</t>
        </is>
      </c>
      <c r="J2221" t="inlineStr"/>
      <c r="K2221" t="inlineStr"/>
      <c r="L2221" t="inlineStr"/>
      <c r="M2221" t="inlineStr"/>
      <c r="N2221" t="inlineStr"/>
      <c r="O2221">
        <f>(1-Summary!$B$11)*T2221+Summary!$B$11*V2221</f>
        <v/>
      </c>
      <c r="P2221">
        <f>IF(B2234=0,0,O2221/B2234)</f>
        <v/>
      </c>
      <c r="Q2221" t="n">
        <v>0</v>
      </c>
      <c r="R2221" t="n">
        <v>0</v>
      </c>
      <c r="S2221">
        <f>IFERROR(O2221/N2221,0)</f>
        <v/>
      </c>
      <c r="T2221" t="n">
        <v>0</v>
      </c>
      <c r="V2221" t="n">
        <v>0</v>
      </c>
    </row>
    <row r="2223">
      <c r="A2223" t="inlineStr">
        <is>
          <t>Attack% Bucket Multiplier</t>
        </is>
      </c>
      <c r="B2223">
        <f>(1+(((C2212=TRUE)*F2212)+((C2218=TRUE)*(F2218-Calc!F19))+(IF(ArtifactsInput!$M$21,CHOOSE(ArtifactsInput!$N$21+1,25,30,35,40,45,50)*(IF(OR(Inputs!$B$4="Chapter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24">
      <c r="A2224" t="inlineStr">
        <is>
          <t>Global Crit Rate Bonus %</t>
        </is>
      </c>
      <c r="B2224" t="n">
        <v>0</v>
      </c>
    </row>
    <row r="2225">
      <c r="A2225" t="inlineStr">
        <is>
          <t>Attack Speed Buff Bonus % (unused)</t>
        </is>
      </c>
      <c r="B2225" t="n">
        <v>0</v>
      </c>
    </row>
    <row r="2226">
      <c r="A2226" t="inlineStr">
        <is>
          <t>Actions Per Second</t>
        </is>
      </c>
      <c r="B2226">
        <f>1+MIN(150,150*(1-(1-(Inputs!$B$11+((C2216=TRUE)*(F2216-Calc!F17))+((C2217=TRUE)*(F2217-Calc!F18)))/150)*(1-B2225/150)))/100</f>
        <v/>
      </c>
    </row>
    <row r="2227">
      <c r="A2227" t="inlineStr">
        <is>
          <t>Skill + Buff Cast Rate</t>
        </is>
      </c>
      <c r="B2227">
        <f>IF(AND(Inputs!$B$38&lt;&gt;"pvp",Inputs!$B$43&gt;0),SUMPRODUCT((Skills!E2:E22=TRUE)*(C2201:C2221=TRUE)*R2201:R2221*Skills!F2:F22)/Inputs!$B$43,SUMPRODUCT((Skills!E2:E22=TRUE)*(C2201:C2221=TRUE)*Q2201:Q2221*Skills!F2:F22))</f>
        <v/>
      </c>
    </row>
    <row r="2228">
      <c r="A2228" t="inlineStr">
        <is>
          <t>Hook Bomber Casts Per Second</t>
        </is>
      </c>
      <c r="B2228">
        <f>MAX(0,B2226-B2227)</f>
        <v/>
      </c>
    </row>
    <row r="2229">
      <c r="A2229" t="inlineStr">
        <is>
          <t>Global Critical Damage Bonus % (unused)</t>
        </is>
      </c>
      <c r="B2229" t="n">
        <v>0</v>
      </c>
    </row>
    <row r="2230">
      <c r="A2230" t="inlineStr">
        <is>
          <t>Global Final Damage Bonus % (Serpent Scale + Crossbones + Time Leap + Speed Infusion)</t>
        </is>
      </c>
      <c r="B2230">
        <f>((C2204=TRUE)*F2204*((10+IF(Inputs!$B$3&gt;=94,5,0))/((10+IF(Inputs!$B$3&gt;=94,5,0))+5/(B2228*(1+IF(Inputs!$B$3&gt;=104,1,0))))))+((C2213=TRUE)*F2213)+((C2214=TRUE)*F2214)+((Inputs!$B$3&gt;=110)*20*(B2226-1))</f>
        <v/>
      </c>
    </row>
    <row r="2231">
      <c r="A2231" t="inlineStr">
        <is>
          <t>Buff-Casting Startup Delay (s, fixed-duration only)</t>
        </is>
      </c>
      <c r="B2231">
        <f>IF(AND(Inputs!$B$38&lt;&gt;"pvp",Inputs!$B$43&gt;0),SUMPRODUCT((Skills!T2:T22&gt;0)*(Skills!E2:E22=TRUE)*(C2201:C2221=TRUE))/B2226,0)</f>
        <v/>
      </c>
    </row>
    <row r="2232">
      <c r="A2232" t="inlineStr">
        <is>
          <t>Boss-Only Total DPS (this block's swept value)</t>
        </is>
      </c>
      <c r="B2232">
        <f>SUM(T2201:T2221)</f>
        <v/>
      </c>
    </row>
    <row r="2233">
      <c r="A2233" t="inlineStr">
        <is>
          <t>Normal-Only Total DPS (this block's swept value)</t>
        </is>
      </c>
      <c r="B2233">
        <f>SUM(V2201:V2221)</f>
        <v/>
      </c>
    </row>
    <row r="2234">
      <c r="A2234" s="6" t="inlineStr">
        <is>
          <t>TOTAL DPS</t>
        </is>
      </c>
      <c r="B2234" s="6">
        <f>SUM(O2201:O2221)</f>
        <v/>
      </c>
    </row>
    <row r="2237">
      <c r="A2237" s="6" t="inlineStr">
        <is>
          <t>Stat: Horn Flute (Equip)</t>
        </is>
      </c>
    </row>
    <row r="2238">
      <c r="A2238" s="5" t="inlineStr">
        <is>
          <t>Key</t>
        </is>
      </c>
      <c r="B2238" s="5" t="inlineStr">
        <is>
          <t>Name</t>
        </is>
      </c>
      <c r="C2238" s="5" t="inlineStr">
        <is>
          <t>Unlocked</t>
        </is>
      </c>
      <c r="D2238" s="5" t="inlineStr">
        <is>
          <t>InputLevel</t>
        </is>
      </c>
      <c r="E2238" s="5" t="inlineStr">
        <is>
          <t>Factor</t>
        </is>
      </c>
      <c r="F2238" s="5" t="inlineStr">
        <is>
          <t>CoefficientPercent</t>
        </is>
      </c>
      <c r="G2238" s="5" t="inlineStr">
        <is>
          <t>EffectiveHits</t>
        </is>
      </c>
      <c r="H2238" s="5" t="inlineStr">
        <is>
          <t>ProcProbability</t>
        </is>
      </c>
      <c r="I2238" s="5" t="inlineStr">
        <is>
          <t>MapleHeroMultiplier</t>
        </is>
      </c>
      <c r="J2238" s="5" t="inlineStr">
        <is>
          <t>BaseDamage</t>
        </is>
      </c>
      <c r="K2238" s="5" t="inlineStr">
        <is>
          <t>BaseHitDamage</t>
        </is>
      </c>
      <c r="L2238" s="5" t="inlineStr">
        <is>
          <t>NonCritAvg</t>
        </is>
      </c>
      <c r="M2238" s="5" t="inlineStr">
        <is>
          <t>CritAvg</t>
        </is>
      </c>
      <c r="N2238" s="5" t="inlineStr">
        <is>
          <t>ExpectedDamage(perHit)</t>
        </is>
      </c>
      <c r="O2238" s="5" t="inlineStr">
        <is>
          <t>DPS</t>
        </is>
      </c>
      <c r="P2238" s="5" t="inlineStr">
        <is>
          <t>% of Total</t>
        </is>
      </c>
      <c r="Q2238" s="5" t="inlineStr">
        <is>
          <t>InvCooldown</t>
        </is>
      </c>
      <c r="R2238" s="5" t="inlineStr">
        <is>
          <t>CastsInFight</t>
        </is>
      </c>
      <c r="S2238" s="5" t="inlineStr">
        <is>
          <t>HitRate(perSec)</t>
        </is>
      </c>
      <c r="U2238" t="inlineStr">
        <is>
          <t>helpers</t>
        </is>
      </c>
    </row>
    <row r="2239">
      <c r="A2239">
        <f>Skills!A2</f>
        <v/>
      </c>
      <c r="B2239">
        <f>Skills!B2</f>
        <v/>
      </c>
      <c r="C2239">
        <f>Inputs!$B$3&gt;=100</f>
        <v/>
      </c>
      <c r="D2239" t="inlineStr"/>
      <c r="E2239" t="inlineStr"/>
      <c r="F2239">
        <f>U2241+Skills!O2</f>
        <v/>
      </c>
      <c r="G2239">
        <f>Skills!G2*IF(Skills!H2&gt;0,Skills!I2/Skills!H2,1)</f>
        <v/>
      </c>
      <c r="H2239">
        <f>1-(1-Skills!J2/100)^Skills!K2</f>
        <v/>
      </c>
      <c r="I2239" t="inlineStr">
        <is>
          <t>1</t>
        </is>
      </c>
      <c r="J2239">
        <f>((Inputs!$B$6*(1+Inputs!$B$7/100))+(((Inputs!$B$12*(1+Inputs!$B$13/100))-(Inputs!$B$12*(1+Inputs!$B$13/100)))+0.25*(Inputs!$B$14-Inputs!$B$14))*(1+Inputs!$B$7/100))*(F2239/100)</f>
        <v/>
      </c>
      <c r="K2239">
        <f>J2239*(1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2257=TRUE)*(F2257-Calc!F20)),(Inputs!$B$23+0+(IF(ArtifactsInput!$M$15,CHOOSE(ArtifactsInput!$N$15+1,25,30,35,40,45,50)/100*(Inputs!$B$11-Inputs!$B$11),0))))/100+(Inputs!$B$23+0+(IF(ArtifactsInput!$M$15,CHOOSE(ArtifactsInput!$N$15+1,25,30,35,40,45,50)/100*(Inputs!$B$11-Inputs!$B$11),0)))/100)/2</f>
        <v/>
      </c>
      <c r="M2239">
        <f>L2239*(1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IF(B2272=0,0,O2239/B2272)</f>
        <v/>
      </c>
      <c r="Q2239" t="n">
        <v>0</v>
      </c>
      <c r="R2239" t="n">
        <v>0</v>
      </c>
      <c r="S2239">
        <f>IFERROR(O2239/N2239,0)</f>
        <v/>
      </c>
      <c r="T2239">
        <f>IF(C2239,(Skills!G2*N2239*B2266)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2239*(1-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9">
        <f>MAX(0,(Inputs!$B$3-100)*3)+Inputs!$B$28+Inputs!$B$29</f>
        <v/>
      </c>
      <c r="V2239">
        <f>IF(C2239,(Skills!G2*N2239*B2266)*IF(Inputs!$B$38="pvp",1,(1+(Inputs!$B$21+Skills!Q2+(IF(ArtifactsInput!$M$33,CHOOSE(ArtifactsInput!$N$33+1,30,36,42,48,54,60),0))+(IF(AND(ArtifactsInput!$M$35,Inputs!$B$4&lt;&gt;"Chapter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Skills!A3</f>
        <v/>
      </c>
      <c r="B2240">
        <f>Skills!B3</f>
        <v/>
      </c>
      <c r="C2240">
        <f>Inputs!$B$3&gt;=35</f>
        <v/>
      </c>
      <c r="D2240">
        <f>IF(Skills!C3=1,60+Inputs!$B$25+Inputs!$B$29,IF(Skills!C3=2,90+Inputs!$B$26+Inputs!$B$29,IF(Skills!C3=3,120+Inputs!$B$27+Inputs!$B$29,MAX(0,(Inputs!$B$3-100)*3)+Inputs!$B$28+Inputs!$B$29)))</f>
        <v/>
      </c>
      <c r="E2240">
        <f>INDEX(FactorTable!$B$2:$Y$301, MATCH(ROUND(MIN(300,MAX(1,D2240)),0), FactorTable!$A$2:$A$301,0), Skills!M3+1)</f>
        <v/>
      </c>
      <c r="F2240">
        <f>IF(Skills!N3=TRUE,(Skills!L3/10)*(E2240/1000),Skills!L3/10)+Skills!O3</f>
        <v/>
      </c>
      <c r="G2240">
        <f>Skills!G3*IF(Skills!H3&gt;0,Skills!I3/Skills!H3,1)</f>
        <v/>
      </c>
      <c r="H2240">
        <f>1-(1-Skills!J3/100)^Skills!K3</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2257=TRUE)*(F2257-Calc!F20)),(Inputs!$B$23+0+(IF(ArtifactsInput!$M$15,CHOOSE(ArtifactsInput!$N$15+1,25,30,35,40,45,50)/100*(Inputs!$B$11-Inputs!$B$11),0))))/100+(Inputs!$B$23+0+(IF(ArtifactsInput!$M$15,CHOOSE(ArtifactsInput!$N$15+1,25,30,35,40,45,50)/100*(Inputs!$B$11-Inputs!$B$11),0)))/100)/2</f>
        <v/>
      </c>
      <c r="M2240">
        <f>L2240*(1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IF(B2272=0,0,O2240/B2272)</f>
        <v/>
      </c>
      <c r="Q2240" t="n">
        <v>0</v>
      </c>
      <c r="R2240" t="n">
        <v>0</v>
      </c>
      <c r="S2240">
        <f>IFERROR(O2240/N2240,0)</f>
        <v/>
      </c>
      <c r="T2240">
        <f>IF(C2240,(Skills!G3*H2240*N2240*B2266)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0">
        <f>INDEX(FactorTable!$B$2:$Y$301, MATCH(ROUND(MIN(300,MAX(1,U2239)),0), FactorTable!$A$2:$A$301,0), 22)</f>
        <v/>
      </c>
      <c r="V2240">
        <f>IF(C2240,(Skills!G3*H2240*N2240*B2266)*IF(Inputs!$B$38="pvp",1,(1+(Inputs!$B$21+Skills!Q3+(IF(ArtifactsInput!$M$33,CHOOSE(ArtifactsInput!$N$33+1,30,36,42,48,54,60),0))+(IF(AND(ArtifactsInput!$M$35,Inputs!$B$4&lt;&gt;"Chapter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Skills!A4</f>
        <v/>
      </c>
      <c r="B2241">
        <f>Skills!B4</f>
        <v/>
      </c>
      <c r="C2241">
        <f>Inputs!$B$3&gt;=60</f>
        <v/>
      </c>
      <c r="D2241">
        <f>IF(Skills!C4=1,60+Inputs!$B$25+Inputs!$B$29,IF(Skills!C4=2,90+Inputs!$B$26+Inputs!$B$29,IF(Skills!C4=3,120+Inputs!$B$27+Inputs!$B$29,MAX(0,(Inputs!$B$3-100)*3)+Inputs!$B$28+Inputs!$B$29)))</f>
        <v/>
      </c>
      <c r="E2241">
        <f>INDEX(FactorTable!$B$2:$Y$301, MATCH(ROUND(MIN(300,MAX(1,D2241)),0), FactorTable!$A$2:$A$301,0), Skills!M4+1)</f>
        <v/>
      </c>
      <c r="F2241">
        <f>IF(Skills!N4=TRUE,(Skills!L4/10)*(E2241/1000),Skills!L4/10)+Skills!O4</f>
        <v/>
      </c>
      <c r="G2241">
        <f>Skills!G4*IF(Skills!H4&gt;0,Skills!I4/Skills!H4,1)</f>
        <v/>
      </c>
      <c r="H2241">
        <f>1-(1-Skills!J4/100)^Skills!K4</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2249=TRUE,F2249,0)/100)*(1+(IF(Skills!A4="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2257=TRUE)*(F2257-Calc!F20)),(Inputs!$B$23+0+(IF(ArtifactsInput!$M$15,CHOOSE(ArtifactsInput!$N$15+1,25,30,35,40,45,50)/100*(Inputs!$B$11-Inputs!$B$11),0))))/100+(Inputs!$B$23+0+(IF(ArtifactsInput!$M$15,CHOOSE(ArtifactsInput!$N$15+1,25,30,35,40,45,50)/100*(Inputs!$B$11-Inputs!$B$11),0)))/100)/2</f>
        <v/>
      </c>
      <c r="M2241">
        <f>L2241*(1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IF(B2272=0,0,O2241/B2272)</f>
        <v/>
      </c>
      <c r="Q2241" t="n">
        <v>0</v>
      </c>
      <c r="R2241" t="n">
        <v>0</v>
      </c>
      <c r="S2241">
        <f>IFERROR(O2241/N2241,0)</f>
        <v/>
      </c>
      <c r="T2241">
        <f>IF(C2241,(Skills!G4*H2241*N2241*B2266)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1">
        <f>290*U2240/1000</f>
        <v/>
      </c>
      <c r="V2241">
        <f>IF(C2241,(Skills!G4*H2241*N2241*B2266)*IF(Inputs!$B$38="pvp",1,(1+(Inputs!$B$21+Skills!Q4+(IF(ArtifactsInput!$M$33,CHOOSE(ArtifactsInput!$N$33+1,30,36,42,48,54,60),0))+(IF(AND(ArtifactsInput!$M$35,Inputs!$B$4&lt;&gt;"Chapter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Skills!A5</f>
        <v/>
      </c>
      <c r="B2242">
        <f>Skills!B5</f>
        <v/>
      </c>
      <c r="C2242">
        <f>Inputs!$B$3&gt;=60</f>
        <v/>
      </c>
      <c r="D2242">
        <f>IF(Skills!C5=1,60+Inputs!$B$25+Inputs!$B$29,IF(Skills!C5=2,90+Inputs!$B$26+Inputs!$B$29,IF(Skills!C5=3,120+Inputs!$B$27+Inputs!$B$29,MAX(0,(Inputs!$B$3-100)*3)+Inputs!$B$28+Inputs!$B$29)))</f>
        <v/>
      </c>
      <c r="E2242">
        <f>INDEX(FactorTable!$B$2:$Y$301, MATCH(ROUND(MIN(300,MAX(1,D2242)),0), FactorTable!$A$2:$A$301,0), Skills!M5+1)</f>
        <v/>
      </c>
      <c r="F2242">
        <f>IF(Skills!N5=TRUE,(Skills!L5/10)*(E2242/1000),Skills!L5/10)+Skills!O5</f>
        <v/>
      </c>
      <c r="G2242">
        <f>Skills!G5*IF(Skills!H5&gt;0,Skills!I5/Skills!H5,1)</f>
        <v/>
      </c>
      <c r="H2242">
        <f>1-(1-Skills!J5/100)^Skills!K5</f>
        <v/>
      </c>
      <c r="I2242" t="inlineStr">
        <is>
          <t>1</t>
        </is>
      </c>
      <c r="J2242" t="inlineStr"/>
      <c r="K2242" t="inlineStr"/>
      <c r="L2242" t="inlineStr"/>
      <c r="M2242" t="inlineStr"/>
      <c r="N2242" t="inlineStr"/>
      <c r="O2242">
        <f>(1-Summary!$B$11)*T2242+Summary!$B$11*V2242</f>
        <v/>
      </c>
      <c r="P2242">
        <f>IF(B2272=0,0,O2242/B2272)</f>
        <v/>
      </c>
      <c r="Q2242" t="n">
        <v>0</v>
      </c>
      <c r="R2242" t="n">
        <v>0</v>
      </c>
      <c r="S2242">
        <f>IFERROR(O2242/N2242,0)</f>
        <v/>
      </c>
      <c r="T2242" t="n">
        <v>0</v>
      </c>
      <c r="V2242" t="n">
        <v>0</v>
      </c>
    </row>
    <row r="2243">
      <c r="A2243">
        <f>Skills!A6</f>
        <v/>
      </c>
      <c r="B2243">
        <f>Skills!B6</f>
        <v/>
      </c>
      <c r="C2243">
        <f>Inputs!$B$3&gt;=63</f>
        <v/>
      </c>
      <c r="D2243">
        <f>IF(Skills!C6=1,60+Inputs!$B$25+Inputs!$B$29,IF(Skills!C6=2,90+Inputs!$B$26+Inputs!$B$29,IF(Skills!C6=3,120+Inputs!$B$27+Inputs!$B$29,MAX(0,(Inputs!$B$3-100)*3)+Inputs!$B$28+Inputs!$B$29)))</f>
        <v/>
      </c>
      <c r="E2243">
        <f>INDEX(FactorTable!$B$2:$Y$301, MATCH(ROUND(MIN(300,MAX(1,D2243)),0), FactorTable!$A$2:$A$301,0), Skills!M6+1)</f>
        <v/>
      </c>
      <c r="F2243">
        <f>IF(Skills!N6=TRUE,(Skills!L6/10)*(E2243/1000),Skills!L6/10)+Skills!O6</f>
        <v/>
      </c>
      <c r="G2243">
        <f>Skills!G6*IF(Skills!H6&gt;0,Skills!I6/Skills!H6,1)</f>
        <v/>
      </c>
      <c r="H2243">
        <f>1-(1-Skills!J6/100)^Skills!K6</f>
        <v/>
      </c>
      <c r="I2243" t="inlineStr">
        <is>
          <t>1</t>
        </is>
      </c>
      <c r="J2243">
        <f>((Inputs!$B$6*(1+Inputs!$B$7/100))+(((Inputs!$B$12*(1+Inputs!$B$13/100))-(Inputs!$B$12*(1+Inputs!$B$13/100)))+0.25*(Inputs!$B$14-Inputs!$B$14))*(1+Inputs!$B$7/100))*(F2243/100)</f>
        <v/>
      </c>
      <c r="K2243">
        <f>J2243*(1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2243)</f>
        <v/>
      </c>
      <c r="L2243">
        <f>K2243*(MIN(Inputs!$B$22+((C2257=TRUE)*(F2257-Calc!F20)),(Inputs!$B$23+0+(IF(ArtifactsInput!$M$15,CHOOSE(ArtifactsInput!$N$15+1,25,30,35,40,45,50)/100*(Inputs!$B$11-Inputs!$B$11),0))))/100+(Inputs!$B$23+0+(IF(ArtifactsInput!$M$15,CHOOSE(ArtifactsInput!$N$15+1,25,30,35,40,45,50)/100*(Inputs!$B$11-Inputs!$B$11),0)))/100)/2</f>
        <v/>
      </c>
      <c r="M2243">
        <f>L2243*(1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3">
        <f>L2243*(1-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2243*(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3">
        <f>(1-Summary!$B$11)*T2243+Summary!$B$11*V2243</f>
        <v/>
      </c>
      <c r="P2243">
        <f>IF(B2272=0,0,O2243/B2272)</f>
        <v/>
      </c>
      <c r="Q2243">
        <f>IFERROR(1/(IF(Inputs!$B$38="pvp",15,MAX(0.1,Skills!D6-IF(Skills!E6=TRUE,Inputs!$B$32,0)))*(1-IF(AND(ArtifactsInput!$M$27,Inputs!$B$4="Chapter Hunt"),CHOOSE(ArtifactsInput!$N$27+1,20,24,28,32,36,40),0)/100)),0)</f>
        <v/>
      </c>
      <c r="R2243">
        <f>IF(AND(Inputs!$B$38&lt;&gt;"pvp",Inputs!$B$43&gt;0),IF(MAX(0,Inputs!$B$43-B2269)&lt;=0,0,(INT(MAX(0,Inputs!$B$43-B2269)/(IF(Inputs!$B$38="pvp",15,MAX(0.1,Skills!D6-IF(Skills!E6=TRUE,Inputs!$B$32,0)))*(1-IF(AND(ArtifactsInput!$M$27,Inputs!$B$4="Chapter Hunt"),CHOOSE(ArtifactsInput!$N$27+1,20,24,28,32,36,40),0)/100)))+1)),0)</f>
        <v/>
      </c>
      <c r="S2243">
        <f>IFERROR(O2243/N2243,0)</f>
        <v/>
      </c>
      <c r="T2243">
        <f>IF(C2243,(H2243*N2243*IF(AND(Inputs!$B$38&lt;&gt;"pvp",Inputs!$B$43&gt;0),((Skills!G6*((R2243-1)*IF(Skills!H6&gt;0,Skills!I6/Skills!H6,1)+IF(Skills!H6&gt;0,MIN(Skills!I6,MAX(0,MAX(0,Inputs!$B$43-B2269)-((R2243-1)*(IF(Inputs!$B$38="pvp",15,MAX(0.1,Skills!D6-IF(Skills!E6=TRUE,Inputs!$B$32,0)))*(1-IF(AND(ArtifactsInput!$M$27,Inputs!$B$4="Chapter Hunt"),CHOOSE(ArtifactsInput!$N$27+1,20,24,28,32,36,40),0)/100)))))/Skills!H6,1)))/Inputs!$B$43),G2243*Q2243)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2243*(1-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2243*(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2243*(1-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2243*(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3">
        <f>IF(C2243,(H2243*N2243*IF(AND(Inputs!$B$38&lt;&gt;"pvp",Inputs!$B$43&gt;0),((Skills!G6*((R2243-1)*IF(Skills!H6&gt;0,Skills!I6/Skills!H6,1)+IF(Skills!H6&gt;0,MIN(Skills!I6,MAX(0,MAX(0,Inputs!$B$43-B2269)-((R2243-1)*(IF(Inputs!$B$38="pvp",15,MAX(0.1,Skills!D6-IF(Skills!E6=TRUE,Inputs!$B$32,0)))*(1-IF(AND(ArtifactsInput!$M$27,Inputs!$B$4="Chapter Hunt"),CHOOSE(ArtifactsInput!$N$27+1,20,24,28,32,36,40),0)/100)))))/Skills!H6,1)))/Inputs!$B$43),G2243*Q2243))*IF(Inputs!$B$38="pvp",1,(1+(Inputs!$B$21+Skills!Q6+(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4">
      <c r="A2244">
        <f>Skills!A7</f>
        <v/>
      </c>
      <c r="B2244">
        <f>Skills!B7</f>
        <v/>
      </c>
      <c r="C2244">
        <f>Inputs!$B$3&gt;=100</f>
        <v/>
      </c>
      <c r="D2244">
        <f>IF(Skills!C7=1,60+Inputs!$B$25+Inputs!$B$29,IF(Skills!C7=2,90+Inputs!$B$26+Inputs!$B$29,IF(Skills!C7=3,120+Inputs!$B$27+Inputs!$B$29,MAX(0,(Inputs!$B$3-100)*3)+Inputs!$B$28+Inputs!$B$29)))</f>
        <v/>
      </c>
      <c r="E2244">
        <f>INDEX(FactorTable!$B$2:$Y$301, MATCH(ROUND(MIN(300,MAX(1,D2244)),0), FactorTable!$A$2:$A$301,0), Skills!M7+1)</f>
        <v/>
      </c>
      <c r="F2244">
        <f>IF(Skills!N7=TRUE,(Skills!L7/10)*(E2244/1000),Skills!L7/10)+Skills!O7</f>
        <v/>
      </c>
      <c r="G2244">
        <f>Skills!G7*IF(Skills!H7&gt;0,Skills!I7/Skills!H7,1)</f>
        <v/>
      </c>
      <c r="H2244">
        <f>1-(1-Skills!J7/100)^Skills!K7</f>
        <v/>
      </c>
      <c r="I2244" t="inlineStr">
        <is>
          <t>1</t>
        </is>
      </c>
      <c r="J2244">
        <f>((Inputs!$B$6*(1+Inputs!$B$7/100))+(((Inputs!$B$12*(1+Inputs!$B$13/100))-(Inputs!$B$12*(1+Inputs!$B$13/100)))+0.25*(Inputs!$B$14-Inputs!$B$14))*(1+Inputs!$B$7/100))*(F2244/100)</f>
        <v/>
      </c>
      <c r="K2244">
        <f>J2244*(1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2244)</f>
        <v/>
      </c>
      <c r="L2244">
        <f>K2244*(MIN(Inputs!$B$22+((C2257=TRUE)*(F2257-Calc!F20)),(Inputs!$B$23+0+(IF(ArtifactsInput!$M$15,CHOOSE(ArtifactsInput!$N$15+1,25,30,35,40,45,50)/100*(Inputs!$B$11-Inputs!$B$11),0))))/100+(Inputs!$B$23+0+(IF(ArtifactsInput!$M$15,CHOOSE(ArtifactsInput!$N$15+1,25,30,35,40,45,50)/100*(Inputs!$B$11-Inputs!$B$11),0)))/100)/2</f>
        <v/>
      </c>
      <c r="M2244">
        <f>L2244*(1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4">
        <f>L2244*(1-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2244*(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4">
        <f>(1-Summary!$B$11)*T2244+Summary!$B$11*V2244</f>
        <v/>
      </c>
      <c r="P2244">
        <f>IF(B2272=0,0,O2244/B2272)</f>
        <v/>
      </c>
      <c r="Q2244">
        <f>IFERROR(1/(IF(Inputs!$B$38="pvp",15,MAX(0.1,Skills!D7-IF(Skills!E7=TRUE,Inputs!$B$32,0)))*(1-IF(AND(ArtifactsInput!$M$27,Inputs!$B$4="Chapter Hunt"),CHOOSE(ArtifactsInput!$N$27+1,20,24,28,32,36,40),0)/100)),0)</f>
        <v/>
      </c>
      <c r="R2244">
        <f>IF(AND(Inputs!$B$38&lt;&gt;"pvp",Inputs!$B$43&gt;0),IF(MAX(0,Inputs!$B$43-B2269)&lt;=0,0,(INT(MAX(0,Inputs!$B$43-B2269)/(IF(Inputs!$B$38="pvp",15,MAX(0.1,Skills!D7-IF(Skills!E7=TRUE,Inputs!$B$32,0)))*(1-IF(AND(ArtifactsInput!$M$27,Inputs!$B$4="Chapter Hunt"),CHOOSE(ArtifactsInput!$N$27+1,20,24,28,32,36,40),0)/100)))+1)),0)</f>
        <v/>
      </c>
      <c r="S2244">
        <f>IFERROR(O2244/N2244,0)</f>
        <v/>
      </c>
      <c r="T2244">
        <f>IF(C2244,(H2244*N2244*IF(AND(Inputs!$B$38&lt;&gt;"pvp",Inputs!$B$43&gt;0),((Skills!G7*((R2244-1)*IF(Skills!H7&gt;0,Skills!I7/Skills!H7,1)+IF(Skills!H7&gt;0,MIN(Skills!I7,MAX(0,MAX(0,Inputs!$B$43-B2269)-((R2244-1)*(IF(Inputs!$B$38="pvp",15,MAX(0.1,Skills!D7-IF(Skills!E7=TRUE,Inputs!$B$32,0)))*(1-IF(AND(ArtifactsInput!$M$27,Inputs!$B$4="Chapter Hunt"),CHOOSE(ArtifactsInput!$N$27+1,20,24,28,32,36,40),0)/100)))))/Skills!H7,1)))/Inputs!$B$43),G2244*Q2244)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2244*(1-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2244*(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2244*(1-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2244*(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4">
        <f>IF(C2244,(H2244*N2244*IF(AND(Inputs!$B$38&lt;&gt;"pvp",Inputs!$B$43&gt;0),((Skills!G7*((R2244-1)*IF(Skills!H7&gt;0,Skills!I7/Skills!H7,1)+IF(Skills!H7&gt;0,MIN(Skills!I7,MAX(0,MAX(0,Inputs!$B$43-B2269)-((R2244-1)*(IF(Inputs!$B$38="pvp",15,MAX(0.1,Skills!D7-IF(Skills!E7=TRUE,Inputs!$B$32,0)))*(1-IF(AND(ArtifactsInput!$M$27,Inputs!$B$4="Chapter Hunt"),CHOOSE(ArtifactsInput!$N$27+1,20,24,28,32,36,40),0)/100)))))/Skills!H7,1)))/Inputs!$B$43),G2244*Q2244))*IF(Inputs!$B$38="pvp",1,(1+(Inputs!$B$21+Skills!Q7+(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5">
      <c r="A2245">
        <f>Skills!A8</f>
        <v/>
      </c>
      <c r="B2245">
        <f>Skills!B8</f>
        <v/>
      </c>
      <c r="C2245">
        <f>Inputs!$B$3&gt;=110</f>
        <v/>
      </c>
      <c r="D2245">
        <f>IF(Skills!C8=1,60+Inputs!$B$25+Inputs!$B$29,IF(Skills!C8=2,90+Inputs!$B$26+Inputs!$B$29,IF(Skills!C8=3,120+Inputs!$B$27+Inputs!$B$29,MAX(0,(Inputs!$B$3-100)*3)+Inputs!$B$28+Inputs!$B$29)))</f>
        <v/>
      </c>
      <c r="E2245">
        <f>INDEX(FactorTable!$B$2:$Y$301, MATCH(ROUND(MIN(300,MAX(1,D2245)),0), FactorTable!$A$2:$A$301,0), Skills!M8+1)</f>
        <v/>
      </c>
      <c r="F2245">
        <f>IF(Skills!N8=TRUE,(Skills!L8/10)*(E2245/1000),Skills!L8/10)+Skills!O8</f>
        <v/>
      </c>
      <c r="G2245">
        <f>Skills!G8*IF(Skills!H8&gt;0,Skills!I8/Skills!H8,1)</f>
        <v/>
      </c>
      <c r="H2245">
        <f>1-(1-Skills!J8/100)^Skills!K8</f>
        <v/>
      </c>
      <c r="I2245" t="inlineStr">
        <is>
          <t>1</t>
        </is>
      </c>
      <c r="J2245">
        <f>((Inputs!$B$6*(1+Inputs!$B$7/100))+(((Inputs!$B$12*(1+Inputs!$B$13/100))-(Inputs!$B$12*(1+Inputs!$B$13/100)))+0.25*(Inputs!$B$14-Inputs!$B$14))*(1+Inputs!$B$7/100))*(F2245/100)</f>
        <v/>
      </c>
      <c r="K2245">
        <f>J2245*(1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2245)</f>
        <v/>
      </c>
      <c r="L2245">
        <f>K2245*(MIN(Inputs!$B$22+((C2257=TRUE)*(F2257-Calc!F20)),(Inputs!$B$23+0+(IF(ArtifactsInput!$M$15,CHOOSE(ArtifactsInput!$N$15+1,25,30,35,40,45,50)/100*(Inputs!$B$11-Inputs!$B$11),0))))/100+(Inputs!$B$23+0+(IF(ArtifactsInput!$M$15,CHOOSE(ArtifactsInput!$N$15+1,25,30,35,40,45,50)/100*(Inputs!$B$11-Inputs!$B$11),0)))/100)/2</f>
        <v/>
      </c>
      <c r="M2245">
        <f>L2245*(1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5">
        <f>L2245*(1-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2245*(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5">
        <f>(1-Summary!$B$11)*T2245+Summary!$B$11*V2245</f>
        <v/>
      </c>
      <c r="P2245">
        <f>IF(B2272=0,0,O2245/B2272)</f>
        <v/>
      </c>
      <c r="Q2245">
        <f>IFERROR(1/(IF(Inputs!$B$38="pvp",15,MAX(0.1,Skills!D8-IF(Skills!E8=TRUE,Inputs!$B$32,0)))*(1-IF(AND(ArtifactsInput!$M$27,Inputs!$B$4="Chapter Hunt"),CHOOSE(ArtifactsInput!$N$27+1,20,24,28,32,36,40),0)/100)),0)</f>
        <v/>
      </c>
      <c r="R2245">
        <f>IF(AND(Inputs!$B$38&lt;&gt;"pvp",Inputs!$B$43&gt;0),IF(MAX(0,Inputs!$B$43-B2269)&lt;=0,0,(INT(MAX(0,Inputs!$B$43-B2269)/(IF(Inputs!$B$38="pvp",15,MAX(0.1,Skills!D8-IF(Skills!E8=TRUE,Inputs!$B$32,0)))*(1-IF(AND(ArtifactsInput!$M$27,Inputs!$B$4="Chapter Hunt"),CHOOSE(ArtifactsInput!$N$27+1,20,24,28,32,36,40),0)/100)))+1)),0)</f>
        <v/>
      </c>
      <c r="S2245">
        <f>IFERROR(O2245/N2245,0)</f>
        <v/>
      </c>
      <c r="T2245">
        <f>IF(C2245,(H2245*N2245*IF(AND(Inputs!$B$38&lt;&gt;"pvp",Inputs!$B$43&gt;0),((Skills!G8*((R2245-1)*IF(Skills!H8&gt;0,Skills!I8/Skills!H8,1)+IF(Skills!H8&gt;0,MIN(Skills!I8,MAX(0,MAX(0,Inputs!$B$43-B2269)-((R2245-1)*(IF(Inputs!$B$38="pvp",15,MAX(0.1,Skills!D8-IF(Skills!E8=TRUE,Inputs!$B$32,0)))*(1-IF(AND(ArtifactsInput!$M$27,Inputs!$B$4="Chapter Hunt"),CHOOSE(ArtifactsInput!$N$27+1,20,24,28,32,36,40),0)/100)))))/Skills!H8,1)))/Inputs!$B$43),G2245*Q2245)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2245*(1-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2245*(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2245*(1-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2245*(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5">
        <f>IF(C2245,(H2245*N2245*IF(AND(Inputs!$B$38&lt;&gt;"pvp",Inputs!$B$43&gt;0),((Skills!G8*((R2245-1)*IF(Skills!H8&gt;0,Skills!I8/Skills!H8,1)+IF(Skills!H8&gt;0,MIN(Skills!I8,MAX(0,MAX(0,Inputs!$B$43-B2269)-((R2245-1)*(IF(Inputs!$B$38="pvp",15,MAX(0.1,Skills!D8-IF(Skills!E8=TRUE,Inputs!$B$32,0)))*(1-IF(AND(ArtifactsInput!$M$27,Inputs!$B$4="Chapter Hunt"),CHOOSE(ArtifactsInput!$N$27+1,20,24,28,32,36,40),0)/100)))))/Skills!H8,1)))/Inputs!$B$43),G2245*Q2245))*IF(Inputs!$B$38="pvp",1,(1+(Inputs!$B$21+Skills!Q8+(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6">
      <c r="A2246">
        <f>Skills!A9</f>
        <v/>
      </c>
      <c r="B2246">
        <f>Skills!B9</f>
        <v/>
      </c>
      <c r="C2246">
        <f>Inputs!$B$3&gt;=110</f>
        <v/>
      </c>
      <c r="D2246">
        <f>IF(Skills!C9=1,60+Inputs!$B$25+Inputs!$B$29,IF(Skills!C9=2,90+Inputs!$B$26+Inputs!$B$29,IF(Skills!C9=3,120+Inputs!$B$27+Inputs!$B$29,MAX(0,(Inputs!$B$3-100)*3)+Inputs!$B$28+Inputs!$B$29)))</f>
        <v/>
      </c>
      <c r="E2246">
        <f>INDEX(FactorTable!$B$2:$Y$301, MATCH(ROUND(MIN(300,MAX(1,D2246)),0), FactorTable!$A$2:$A$301,0), Skills!M9+1)</f>
        <v/>
      </c>
      <c r="F2246">
        <f>IF(Skills!N9=TRUE,(Skills!L9/10)*(E2246/1000),Skills!L9/10)+Skills!O9</f>
        <v/>
      </c>
      <c r="G2246">
        <f>Skills!G9*IF(Skills!H9&gt;0,Skills!I9/Skills!H9,1)</f>
        <v/>
      </c>
      <c r="H2246">
        <f>1-(1-Skills!J9/100)^Skills!K9</f>
        <v/>
      </c>
      <c r="I2246" t="inlineStr">
        <is>
          <t>1</t>
        </is>
      </c>
      <c r="J2246">
        <f>((Inputs!$B$6*(1+Inputs!$B$7/100))+(((Inputs!$B$12*(1+Inputs!$B$13/100))-(Inputs!$B$12*(1+Inputs!$B$13/100)))+0.25*(Inputs!$B$14-Inputs!$B$14))*(1+Inputs!$B$7/100))*(F2246/100)</f>
        <v/>
      </c>
      <c r="K2246">
        <f>J2246*(1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2246)</f>
        <v/>
      </c>
      <c r="L2246">
        <f>K2246*(MIN(Inputs!$B$22+((C2257=TRUE)*(F2257-Calc!F20)),(Inputs!$B$23+0+(IF(ArtifactsInput!$M$15,CHOOSE(ArtifactsInput!$N$15+1,25,30,35,40,45,50)/100*(Inputs!$B$11-Inputs!$B$11),0))))/100+(Inputs!$B$23+0+(IF(ArtifactsInput!$M$15,CHOOSE(ArtifactsInput!$N$15+1,25,30,35,40,45,50)/100*(Inputs!$B$11-Inputs!$B$11),0)))/100)/2</f>
        <v/>
      </c>
      <c r="M2246">
        <f>L2246*(1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6">
        <f>L2246*(1-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2246*(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6">
        <f>(1-Summary!$B$11)*T2246+Summary!$B$11*V2246</f>
        <v/>
      </c>
      <c r="P2246">
        <f>IF(B2272=0,0,O2246/B2272)</f>
        <v/>
      </c>
      <c r="Q2246">
        <f>IFERROR(1/(IF(Inputs!$B$38="pvp",15,MAX(0.1,Skills!D9-IF(Skills!E9=TRUE,Inputs!$B$32,0)))*(1-IF(AND(ArtifactsInput!$M$27,Inputs!$B$4="Chapter Hunt"),CHOOSE(ArtifactsInput!$N$27+1,20,24,28,32,36,40),0)/100)),0)</f>
        <v/>
      </c>
      <c r="R2246">
        <f>IF(AND(Inputs!$B$38&lt;&gt;"pvp",Inputs!$B$43&gt;0),IF(MAX(0,Inputs!$B$43-B2269)&lt;=0,0,(INT(MAX(0,Inputs!$B$43-B2269)/(IF(Inputs!$B$38="pvp",15,MAX(0.1,Skills!D9-IF(Skills!E9=TRUE,Inputs!$B$32,0)))*(1-IF(AND(ArtifactsInput!$M$27,Inputs!$B$4="Chapter Hunt"),CHOOSE(ArtifactsInput!$N$27+1,20,24,28,32,36,40),0)/100)))+1)),0)</f>
        <v/>
      </c>
      <c r="S2246">
        <f>IFERROR(O2246/N2246,0)</f>
        <v/>
      </c>
      <c r="T2246">
        <f>IF(C2246,(H2246*N2246*IF(AND(Inputs!$B$38&lt;&gt;"pvp",Inputs!$B$43&gt;0),((Skills!G9*((R2246-1)*IF(Skills!H9&gt;0,Skills!I9/Skills!H9,1)+IF(Skills!H9&gt;0,MIN(Skills!I9,MAX(0,MAX(0,Inputs!$B$43-B2269)-((R2246-1)*(IF(Inputs!$B$38="pvp",15,MAX(0.1,Skills!D9-IF(Skills!E9=TRUE,Inputs!$B$32,0)))*(1-IF(AND(ArtifactsInput!$M$27,Inputs!$B$4="Chapter Hunt"),CHOOSE(ArtifactsInput!$N$27+1,20,24,28,32,36,40),0)/100)))))/Skills!H9,1)))/Inputs!$B$43),G2246*Q2246)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2246*(1-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2246*(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2246*(1-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2246*(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6">
        <f>IF(C2246,(H2246*N2246*IF(AND(Inputs!$B$38&lt;&gt;"pvp",Inputs!$B$43&gt;0),((Skills!G9*((R2246-1)*IF(Skills!H9&gt;0,Skills!I9/Skills!H9,1)+IF(Skills!H9&gt;0,MIN(Skills!I9,MAX(0,MAX(0,Inputs!$B$43-B2269)-((R2246-1)*(IF(Inputs!$B$38="pvp",15,MAX(0.1,Skills!D9-IF(Skills!E9=TRUE,Inputs!$B$32,0)))*(1-IF(AND(ArtifactsInput!$M$27,Inputs!$B$4="Chapter Hunt"),CHOOSE(ArtifactsInput!$N$27+1,20,24,28,32,36,40),0)/100)))))/Skills!H9,1)))/Inputs!$B$43),G2246*Q2246))*IF(Inputs!$B$38="pvp",1,(1+(Inputs!$B$21+Skills!Q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7">
      <c r="A2247">
        <f>Skills!A10</f>
        <v/>
      </c>
      <c r="B2247">
        <f>Skills!B10</f>
        <v/>
      </c>
      <c r="C2247">
        <f>Inputs!$B$3&gt;=103</f>
        <v/>
      </c>
      <c r="D2247">
        <f>IF(Skills!C10=1,60+Inputs!$B$25+Inputs!$B$29,IF(Skills!C10=2,90+Inputs!$B$26+Inputs!$B$29,IF(Skills!C10=3,120+Inputs!$B$27+Inputs!$B$29,MAX(0,(Inputs!$B$3-100)*3)+Inputs!$B$28+Inputs!$B$29)))</f>
        <v/>
      </c>
      <c r="E2247">
        <f>INDEX(FactorTable!$B$2:$Y$301, MATCH(ROUND(MIN(300,MAX(1,D2247)),0), FactorTable!$A$2:$A$301,0), Skills!M10+1)</f>
        <v/>
      </c>
      <c r="F2247">
        <f>IF(Skills!N10=TRUE,(Skills!L10/10)*(E2247/1000),Skills!L10/10)+Skills!O10</f>
        <v/>
      </c>
      <c r="G2247">
        <f>Skills!G10*IF(Skills!H10&gt;0,Skills!I10/Skills!H10,1)</f>
        <v/>
      </c>
      <c r="H2247">
        <f>1-(1-Skills!J10/100)^Skills!K10</f>
        <v/>
      </c>
      <c r="I2247" t="inlineStr">
        <is>
          <t>1</t>
        </is>
      </c>
      <c r="J2247">
        <f>((Inputs!$B$6*(1+Inputs!$B$7/100))+(((Inputs!$B$12*(1+Inputs!$B$13/100))-(Inputs!$B$12*(1+Inputs!$B$13/100)))+0.25*(Inputs!$B$14-Inputs!$B$14))*(1+Inputs!$B$7/100))*(F2247/100)</f>
        <v/>
      </c>
      <c r="K2247">
        <f>J2247*(1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2247)</f>
        <v/>
      </c>
      <c r="L2247">
        <f>K2247*(MIN(Inputs!$B$22+((C2257=TRUE)*(F2257-Calc!F20)),(Inputs!$B$23+0+(IF(ArtifactsInput!$M$15,CHOOSE(ArtifactsInput!$N$15+1,25,30,35,40,45,50)/100*(Inputs!$B$11-Inputs!$B$11),0))))/100+(Inputs!$B$23+0+(IF(ArtifactsInput!$M$15,CHOOSE(ArtifactsInput!$N$15+1,25,30,35,40,45,50)/100*(Inputs!$B$11-Inputs!$B$11),0)))/100)/2</f>
        <v/>
      </c>
      <c r="M2247">
        <f>L2247*(1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7">
        <f>L2247*(1-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2247*(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7">
        <f>(1-Summary!$B$11)*T2247+Summary!$B$11*V2247</f>
        <v/>
      </c>
      <c r="P2247">
        <f>IF(B2272=0,0,O2247/B2272)</f>
        <v/>
      </c>
      <c r="Q2247">
        <f>IFERROR(1/(IF(Inputs!$B$38="pvp",15,MAX(0.1,Skills!D10-IF(Skills!E10=TRUE,Inputs!$B$32,0)))*(1-IF(AND(ArtifactsInput!$M$27,Inputs!$B$4="Chapter Hunt"),CHOOSE(ArtifactsInput!$N$27+1,20,24,28,32,36,40),0)/100)),0)</f>
        <v/>
      </c>
      <c r="R2247">
        <f>IF(AND(Inputs!$B$38&lt;&gt;"pvp",Inputs!$B$43&gt;0),IF(MAX(0,Inputs!$B$43-B2269)&lt;=0,0,(INT(MAX(0,Inputs!$B$43-B2269)/(IF(Inputs!$B$38="pvp",15,MAX(0.1,Skills!D10-IF(Skills!E10=TRUE,Inputs!$B$32,0)))*(1-IF(AND(ArtifactsInput!$M$27,Inputs!$B$4="Chapter Hunt"),CHOOSE(ArtifactsInput!$N$27+1,20,24,28,32,36,40),0)/100)))+1)),0)</f>
        <v/>
      </c>
      <c r="S2247">
        <f>IFERROR(O2247/N2247,0)</f>
        <v/>
      </c>
      <c r="T2247">
        <f>IF(C2247,(H2247*N2247*IF(AND(Inputs!$B$38&lt;&gt;"pvp",Inputs!$B$43&gt;0),((Skills!G10*((R2247-1)*IF(Skills!H10&gt;0,Skills!I10/Skills!H10,1)+IF(Skills!H10&gt;0,MIN(Skills!I10,MAX(0,MAX(0,Inputs!$B$43-B2269)-((R2247-1)*(IF(Inputs!$B$38="pvp",15,MAX(0.1,Skills!D10-IF(Skills!E10=TRUE,Inputs!$B$32,0)))*(1-IF(AND(ArtifactsInput!$M$27,Inputs!$B$4="Chapter Hunt"),CHOOSE(ArtifactsInput!$N$27+1,20,24,28,32,36,40),0)/100)))))/Skills!H10,1)))/Inputs!$B$43),G2247*Q2247)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2247*(1-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2247*(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2247*(1-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2247*(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7">
        <f>IF(C2247,(H2247*N2247*IF(AND(Inputs!$B$38&lt;&gt;"pvp",Inputs!$B$43&gt;0),((Skills!G10*((R2247-1)*IF(Skills!H10&gt;0,Skills!I10/Skills!H10,1)+IF(Skills!H10&gt;0,MIN(Skills!I10,MAX(0,MAX(0,Inputs!$B$43-B2269)-((R2247-1)*(IF(Inputs!$B$38="pvp",15,MAX(0.1,Skills!D10-IF(Skills!E10=TRUE,Inputs!$B$32,0)))*(1-IF(AND(ArtifactsInput!$M$27,Inputs!$B$4="Chapter Hunt"),CHOOSE(ArtifactsInput!$N$27+1,20,24,28,32,36,40),0)/100)))))/Skills!H10,1)))/Inputs!$B$43),G2247*Q2247))*IF(Inputs!$B$38="pvp",1,(1+(Inputs!$B$21+Skills!Q10+(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8">
      <c r="A2248">
        <f>Skills!A11</f>
        <v/>
      </c>
      <c r="B2248">
        <f>Skills!B11</f>
        <v/>
      </c>
      <c r="C2248">
        <f>Inputs!$B$3&gt;=113</f>
        <v/>
      </c>
      <c r="D2248">
        <f>IF(Skills!C11=1,60+Inputs!$B$25+Inputs!$B$29,IF(Skills!C11=2,90+Inputs!$B$26+Inputs!$B$29,IF(Skills!C11=3,120+Inputs!$B$27+Inputs!$B$29,MAX(0,(Inputs!$B$3-100)*3)+Inputs!$B$28+Inputs!$B$29)))</f>
        <v/>
      </c>
      <c r="E2248">
        <f>INDEX(FactorTable!$B$2:$Y$301, MATCH(ROUND(MIN(300,MAX(1,D2248)),0), FactorTable!$A$2:$A$301,0), Skills!M11+1)</f>
        <v/>
      </c>
      <c r="F2248">
        <f>IF(Skills!N11=TRUE,(Skills!L11/10)*(E2248/1000),Skills!L11/10)+Skills!O11</f>
        <v/>
      </c>
      <c r="G2248">
        <f>Skills!G11*IF(Skills!H11&gt;0,Skills!I11/Skills!H11,1)</f>
        <v/>
      </c>
      <c r="H2248">
        <f>1-(1-Skills!J11/100)^Skills!K11</f>
        <v/>
      </c>
      <c r="I2248" t="inlineStr">
        <is>
          <t>1</t>
        </is>
      </c>
      <c r="J2248">
        <f>((Inputs!$B$6*(1+Inputs!$B$7/100))+(((Inputs!$B$12*(1+Inputs!$B$13/100))-(Inputs!$B$12*(1+Inputs!$B$13/100)))+0.25*(Inputs!$B$14-Inputs!$B$14))*(1+Inputs!$B$7/100))*(F2248/100)</f>
        <v/>
      </c>
      <c r="K2248">
        <f>J2248*(1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2248)</f>
        <v/>
      </c>
      <c r="L2248">
        <f>K2248*(MIN(Inputs!$B$22+((C2257=TRUE)*(F2257-Calc!F20)),(Inputs!$B$23+0+(IF(ArtifactsInput!$M$15,CHOOSE(ArtifactsInput!$N$15+1,25,30,35,40,45,50)/100*(Inputs!$B$11-Inputs!$B$11),0))))/100+(Inputs!$B$23+0+(IF(ArtifactsInput!$M$15,CHOOSE(ArtifactsInput!$N$15+1,25,30,35,40,45,50)/100*(Inputs!$B$11-Inputs!$B$11),0)))/100)/2</f>
        <v/>
      </c>
      <c r="M2248">
        <f>L2248*(1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8">
        <f>L2248*(1-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2248*(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8">
        <f>(1-Summary!$B$11)*T2248+Summary!$B$11*V2248</f>
        <v/>
      </c>
      <c r="P2248">
        <f>IF(B2272=0,0,O2248/B2272)</f>
        <v/>
      </c>
      <c r="Q2248">
        <f>IFERROR(1/(IF(Inputs!$B$38="pvp",15,MAX(0.1,Skills!D11-IF(Skills!E11=TRUE,Inputs!$B$32,0)))*(1-IF(AND(ArtifactsInput!$M$27,Inputs!$B$4="Chapter Hunt"),CHOOSE(ArtifactsInput!$N$27+1,20,24,28,32,36,40),0)/100)),0)</f>
        <v/>
      </c>
      <c r="R2248">
        <f>IF(AND(Inputs!$B$38&lt;&gt;"pvp",Inputs!$B$43&gt;0),IF(MAX(0,Inputs!$B$43-B2269)&lt;=0,0,(INT(MAX(0,Inputs!$B$43-B2269)/(IF(Inputs!$B$38="pvp",15,MAX(0.1,Skills!D11-IF(Skills!E11=TRUE,Inputs!$B$32,0)))*(1-IF(AND(ArtifactsInput!$M$27,Inputs!$B$4="Chapter Hunt"),CHOOSE(ArtifactsInput!$N$27+1,20,24,28,32,36,40),0)/100)))+1)),0)</f>
        <v/>
      </c>
      <c r="S2248">
        <f>IFERROR(O2248/N2248,0)</f>
        <v/>
      </c>
      <c r="T2248">
        <f>IF(C2248,(H2248*N2248*IF(AND(Inputs!$B$38&lt;&gt;"pvp",Inputs!$B$43&gt;0),((Skills!G11*((R2248-1)*IF(Skills!H11&gt;0,Skills!I11/Skills!H11,1)+IF(Skills!H11&gt;0,MIN(Skills!I11,MAX(0,MAX(0,Inputs!$B$43-B2269)-((R2248-1)*(IF(Inputs!$B$38="pvp",15,MAX(0.1,Skills!D11-IF(Skills!E11=TRUE,Inputs!$B$32,0)))*(1-IF(AND(ArtifactsInput!$M$27,Inputs!$B$4="Chapter Hunt"),CHOOSE(ArtifactsInput!$N$27+1,20,24,28,32,36,40),0)/100)))))/Skills!H11,1)))/Inputs!$B$43),G2248*Q2248)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2248*(1-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2248*(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2248*(1-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2248*(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8">
        <f>IF(C2248,(H2248*N2248*IF(AND(Inputs!$B$38&lt;&gt;"pvp",Inputs!$B$43&gt;0),((Skills!G11*((R2248-1)*IF(Skills!H11&gt;0,Skills!I11/Skills!H11,1)+IF(Skills!H11&gt;0,MIN(Skills!I11,MAX(0,MAX(0,Inputs!$B$43-B2269)-((R2248-1)*(IF(Inputs!$B$38="pvp",15,MAX(0.1,Skills!D11-IF(Skills!E11=TRUE,Inputs!$B$32,0)))*(1-IF(AND(ArtifactsInput!$M$27,Inputs!$B$4="Chapter Hunt"),CHOOSE(ArtifactsInput!$N$27+1,20,24,28,32,36,40),0)/100)))))/Skills!H11,1)))/Inputs!$B$43),G2248*Q2248))*IF(Inputs!$B$38="pvp",1,(1+(Inputs!$B$21+Skills!Q11+(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9">
      <c r="A2249">
        <f>Skills!A12</f>
        <v/>
      </c>
      <c r="B2249">
        <f>Skills!B12</f>
        <v/>
      </c>
      <c r="C2249">
        <f>Inputs!$B$3&gt;=100</f>
        <v/>
      </c>
      <c r="D2249">
        <f>IF(Skills!C12=1,60+Inputs!$B$25+Inputs!$B$29,IF(Skills!C12=2,90+Inputs!$B$26+Inputs!$B$29,IF(Skills!C12=3,120+Inputs!$B$27+Inputs!$B$29,MAX(0,(Inputs!$B$3-100)*3)+Inputs!$B$28+Inputs!$B$29)))</f>
        <v/>
      </c>
      <c r="E2249">
        <f>INDEX(FactorTable!$B$2:$Y$301, MATCH(ROUND(MIN(300,MAX(1,D2249)),0), FactorTable!$A$2:$A$301,0), Skills!M12+1)</f>
        <v/>
      </c>
      <c r="F2249">
        <f>IF(Skills!N12=TRUE,(Skills!L12/10)*(E2249/1000),Skills!L12/10)+Skills!O12</f>
        <v/>
      </c>
      <c r="G2249" t="inlineStr"/>
      <c r="H2249" t="inlineStr"/>
      <c r="I2249" t="inlineStr">
        <is>
          <t>1</t>
        </is>
      </c>
      <c r="J2249" t="inlineStr"/>
      <c r="K2249" t="inlineStr"/>
      <c r="L2249" t="inlineStr"/>
      <c r="M2249" t="inlineStr"/>
      <c r="N2249" t="inlineStr"/>
      <c r="O2249" t="inlineStr"/>
      <c r="P2249" t="inlineStr"/>
      <c r="Q2249" t="inlineStr"/>
      <c r="R2249" t="inlineStr"/>
      <c r="S2249" t="inlineStr"/>
      <c r="T2249" t="inlineStr"/>
      <c r="V2249" t="inlineStr"/>
    </row>
    <row r="2250">
      <c r="A2250">
        <f>Skills!A13</f>
        <v/>
      </c>
      <c r="B2250">
        <f>Skills!B13</f>
        <v/>
      </c>
      <c r="C2250">
        <f>Inputs!$B$3&gt;=66</f>
        <v/>
      </c>
      <c r="D2250">
        <f>IF(Skills!C13=1,60+Inputs!$B$25+Inputs!$B$29,IF(Skills!C13=2,90+Inputs!$B$26+Inputs!$B$29,IF(Skills!C13=3,120+Inputs!$B$27+Inputs!$B$29,MAX(0,(Inputs!$B$3-100)*3)+Inputs!$B$28+Inputs!$B$29)))</f>
        <v/>
      </c>
      <c r="E2250">
        <f>INDEX(FactorTable!$B$2:$Y$301, MATCH(ROUND(MIN(300,MAX(1,D2250)),0), FactorTable!$A$2:$A$301,0), Skills!M13+1)</f>
        <v/>
      </c>
      <c r="F2250">
        <f>IF(Skills!N13=TRUE,(Skills!L13/10)*(E2250/1000),Skills!L13/10)+Skills!O13</f>
        <v/>
      </c>
      <c r="G2250">
        <f>Skills!G13*IF(Skills!H13&gt;0,Skills!I13/Skills!H13,1)</f>
        <v/>
      </c>
      <c r="H2250">
        <f>1-(1-Skills!J13/100)^Skills!K13</f>
        <v/>
      </c>
      <c r="I2250" t="inlineStr">
        <is>
          <t>1</t>
        </is>
      </c>
      <c r="J2250" t="inlineStr"/>
      <c r="K2250" t="inlineStr"/>
      <c r="L2250" t="inlineStr"/>
      <c r="M2250" t="inlineStr"/>
      <c r="N2250" t="inlineStr"/>
      <c r="O2250">
        <f>(1-Summary!$B$11)*T2250+Summary!$B$11*V2250</f>
        <v/>
      </c>
      <c r="P2250">
        <f>IF(B2272=0,0,O2250/B2272)</f>
        <v/>
      </c>
      <c r="Q2250" t="n">
        <v>0</v>
      </c>
      <c r="R2250" t="n">
        <v>0</v>
      </c>
      <c r="S2250">
        <f>IFERROR(O2250/N2250,0)</f>
        <v/>
      </c>
      <c r="T2250" t="n">
        <v>0</v>
      </c>
      <c r="V2250" t="n">
        <v>0</v>
      </c>
    </row>
    <row r="2251">
      <c r="A2251">
        <f>Skills!A14</f>
        <v/>
      </c>
      <c r="B2251">
        <f>Skills!B14</f>
        <v/>
      </c>
      <c r="C2251">
        <f>Inputs!$B$3&gt;=107</f>
        <v/>
      </c>
      <c r="D2251">
        <f>IF(Skills!C14=1,60+Inputs!$B$25+Inputs!$B$29,IF(Skills!C14=2,90+Inputs!$B$26+Inputs!$B$29,IF(Skills!C14=3,120+Inputs!$B$27+Inputs!$B$29,MAX(0,(Inputs!$B$3-100)*3)+Inputs!$B$28+Inputs!$B$29)))</f>
        <v/>
      </c>
      <c r="E2251">
        <f>INDEX(FactorTable!$B$2:$Y$301, MATCH(ROUND(MIN(300,MAX(1,D2251)),0), FactorTable!$A$2:$A$301,0), Skills!M14+1)</f>
        <v/>
      </c>
      <c r="F2251">
        <f>IF(Skills!N14=TRUE,(Skills!L14/10)*(E2251/1000),Skills!L14/10)+Skills!O14</f>
        <v/>
      </c>
      <c r="G2251">
        <f>Skills!G14*IF(Skills!H14&gt;0,Skills!I14/Skills!H14,1)</f>
        <v/>
      </c>
      <c r="H2251">
        <f>1-(1-Skills!J14/100)^Skills!K14</f>
        <v/>
      </c>
      <c r="I2251" t="inlineStr">
        <is>
          <t>1</t>
        </is>
      </c>
      <c r="J2251" t="inlineStr"/>
      <c r="K2251" t="inlineStr"/>
      <c r="L2251" t="inlineStr"/>
      <c r="M2251" t="inlineStr"/>
      <c r="N2251" t="inlineStr"/>
      <c r="O2251">
        <f>(1-Summary!$B$11)*T2251+Summary!$B$11*V2251</f>
        <v/>
      </c>
      <c r="P2251">
        <f>IF(B2272=0,0,O2251/B2272)</f>
        <v/>
      </c>
      <c r="Q2251" t="n">
        <v>0</v>
      </c>
      <c r="R2251" t="n">
        <v>0</v>
      </c>
      <c r="S2251">
        <f>IFERROR(O2251/N2251,0)</f>
        <v/>
      </c>
      <c r="T2251" t="n">
        <v>0</v>
      </c>
      <c r="V2251" t="n">
        <v>0</v>
      </c>
    </row>
    <row r="2252">
      <c r="A2252">
        <f>Skills!A15</f>
        <v/>
      </c>
      <c r="B2252">
        <f>Skills!B15</f>
        <v/>
      </c>
      <c r="C2252">
        <f>Inputs!$B$3&gt;=115</f>
        <v/>
      </c>
      <c r="D2252">
        <f>IF(Skills!C15=1,60+Inputs!$B$25+Inputs!$B$29,IF(Skills!C15=2,90+Inputs!$B$26+Inputs!$B$29,IF(Skills!C15=3,120+Inputs!$B$27+Inputs!$B$29,MAX(0,(Inputs!$B$3-100)*3)+Inputs!$B$28+Inputs!$B$29)))</f>
        <v/>
      </c>
      <c r="E2252">
        <f>INDEX(FactorTable!$B$2:$Y$301, MATCH(ROUND(MIN(300,MAX(1,D2252)),0), FactorTable!$A$2:$A$301,0), Skills!M15+1)</f>
        <v/>
      </c>
      <c r="F2252">
        <f>IF(Skills!N15=TRUE,(Skills!L15/10)*(E2252/1000),Skills!L15/10)+Skills!O15</f>
        <v/>
      </c>
      <c r="G2252">
        <f>Skills!G15*IF(Skills!H15&gt;0,Skills!I15/Skills!H15,1)</f>
        <v/>
      </c>
      <c r="H2252">
        <f>1-(1-Skills!J15/100)^Skills!K15</f>
        <v/>
      </c>
      <c r="I2252" t="inlineStr">
        <is>
          <t>1</t>
        </is>
      </c>
      <c r="J2252" t="inlineStr"/>
      <c r="K2252" t="inlineStr"/>
      <c r="L2252" t="inlineStr"/>
      <c r="M2252" t="inlineStr"/>
      <c r="N2252" t="inlineStr"/>
      <c r="O2252">
        <f>(1-Summary!$B$11)*T2252+Summary!$B$11*V2252</f>
        <v/>
      </c>
      <c r="P2252">
        <f>IF(B2272=0,0,O2252/B2272)</f>
        <v/>
      </c>
      <c r="Q2252" t="n">
        <v>0</v>
      </c>
      <c r="R2252" t="n">
        <v>0</v>
      </c>
      <c r="S2252">
        <f>IFERROR(O2252/N2252,0)</f>
        <v/>
      </c>
      <c r="T2252" t="n">
        <v>0</v>
      </c>
      <c r="V2252" t="n">
        <v>0</v>
      </c>
    </row>
    <row r="2253">
      <c r="A2253">
        <f>Skills!A16</f>
        <v/>
      </c>
      <c r="B2253">
        <f>Skills!B16</f>
        <v/>
      </c>
      <c r="C2253">
        <f>Inputs!$B$3&gt;=15</f>
        <v/>
      </c>
      <c r="D2253">
        <f>IF(Skills!C16=1,60+Inputs!$B$25+Inputs!$B$29,IF(Skills!C16=2,90+Inputs!$B$26+Inputs!$B$29,IF(Skills!C16=3,120+Inputs!$B$27+Inputs!$B$29,MAX(0,(Inputs!$B$3-100)*3)+Inputs!$B$28+Inputs!$B$29)))</f>
        <v/>
      </c>
      <c r="E2253">
        <f>INDEX(FactorTable!$B$2:$Y$301, MATCH(ROUND(MIN(300,MAX(1,D2253)),0), FactorTable!$A$2:$A$301,0), Skills!M16+1)</f>
        <v/>
      </c>
      <c r="F2253">
        <f>IF(Skills!N16=TRUE,(Skills!L16/10)*(E2253/1000),Skills!L16/10)+Skills!O16</f>
        <v/>
      </c>
      <c r="G2253">
        <f>Skills!G16*IF(Skills!H16&gt;0,Skills!I16/Skills!H16,1)</f>
        <v/>
      </c>
      <c r="H2253">
        <f>1-(1-Skills!J16/100)^Skills!K16</f>
        <v/>
      </c>
      <c r="I2253" t="inlineStr">
        <is>
          <t>1</t>
        </is>
      </c>
      <c r="J2253" t="inlineStr"/>
      <c r="K2253" t="inlineStr"/>
      <c r="L2253" t="inlineStr"/>
      <c r="M2253" t="inlineStr"/>
      <c r="N2253" t="inlineStr"/>
      <c r="O2253">
        <f>(1-Summary!$B$11)*T2253+Summary!$B$11*V2253</f>
        <v/>
      </c>
      <c r="P2253">
        <f>IF(B2272=0,0,O2253/B2272)</f>
        <v/>
      </c>
      <c r="Q2253" t="n">
        <v>0</v>
      </c>
      <c r="R2253" t="n">
        <v>0</v>
      </c>
      <c r="S2253">
        <f>IFERROR(O2253/N2253,0)</f>
        <v/>
      </c>
      <c r="T2253" t="n">
        <v>0</v>
      </c>
      <c r="V2253" t="n">
        <v>0</v>
      </c>
    </row>
    <row r="2254">
      <c r="A2254">
        <f>Skills!A17</f>
        <v/>
      </c>
      <c r="B2254">
        <f>Skills!B17</f>
        <v/>
      </c>
      <c r="C2254">
        <f>Inputs!$B$3&gt;=10</f>
        <v/>
      </c>
      <c r="D2254">
        <f>IF(Skills!C17=1,60+Inputs!$B$25+Inputs!$B$29,IF(Skills!C17=2,90+Inputs!$B$26+Inputs!$B$29,IF(Skills!C17=3,120+Inputs!$B$27+Inputs!$B$29,MAX(0,(Inputs!$B$3-100)*3)+Inputs!$B$28+Inputs!$B$29)))</f>
        <v/>
      </c>
      <c r="E2254">
        <f>INDEX(FactorTable!$B$2:$Y$301, MATCH(ROUND(MIN(300,MAX(1,D2254)),0), FactorTable!$A$2:$A$301,0), Skills!M17+1)</f>
        <v/>
      </c>
      <c r="F2254">
        <f>IF(Skills!N17=TRUE,(Skills!L17/10)*(E2254/1000),Skills!L17/10)+Skills!O17</f>
        <v/>
      </c>
      <c r="G2254">
        <f>Skills!G17*IF(Skills!H17&gt;0,Skills!I17/Skills!H17,1)</f>
        <v/>
      </c>
      <c r="H2254">
        <f>1-(1-Skills!J17/100)^Skills!K17</f>
        <v/>
      </c>
      <c r="I2254" t="inlineStr">
        <is>
          <t>1</t>
        </is>
      </c>
      <c r="J2254" t="inlineStr"/>
      <c r="K2254" t="inlineStr"/>
      <c r="L2254" t="inlineStr"/>
      <c r="M2254" t="inlineStr"/>
      <c r="N2254" t="inlineStr"/>
      <c r="O2254">
        <f>(1-Summary!$B$11)*T2254+Summary!$B$11*V2254</f>
        <v/>
      </c>
      <c r="P2254">
        <f>IF(B2272=0,0,O2254/B2272)</f>
        <v/>
      </c>
      <c r="Q2254" t="n">
        <v>0</v>
      </c>
      <c r="R2254" t="n">
        <v>0</v>
      </c>
      <c r="S2254">
        <f>IFERROR(O2254/N2254,0)</f>
        <v/>
      </c>
      <c r="T2254" t="n">
        <v>0</v>
      </c>
      <c r="V2254" t="n">
        <v>0</v>
      </c>
    </row>
    <row r="2255">
      <c r="A2255">
        <f>Skills!A18</f>
        <v/>
      </c>
      <c r="B2255">
        <f>Skills!B18</f>
        <v/>
      </c>
      <c r="C2255">
        <f>Inputs!$B$3&gt;=33</f>
        <v/>
      </c>
      <c r="D2255">
        <f>IF(Skills!C18=1,60+Inputs!$B$25+Inputs!$B$29,IF(Skills!C18=2,90+Inputs!$B$26+Inputs!$B$29,IF(Skills!C18=3,120+Inputs!$B$27+Inputs!$B$29,MAX(0,(Inputs!$B$3-100)*3)+Inputs!$B$28+Inputs!$B$29)))</f>
        <v/>
      </c>
      <c r="E2255">
        <f>INDEX(FactorTable!$B$2:$Y$301, MATCH(ROUND(MIN(300,MAX(1,D2255)),0), FactorTable!$A$2:$A$301,0), Skills!M18+1)</f>
        <v/>
      </c>
      <c r="F2255">
        <f>IF(Skills!N18=TRUE,(Skills!L18/10)*(E2255/1000),Skills!L18/10)+Skills!O18</f>
        <v/>
      </c>
      <c r="G2255">
        <f>Skills!G18*IF(Skills!H18&gt;0,Skills!I18/Skills!H18,1)</f>
        <v/>
      </c>
      <c r="H2255">
        <f>1-(1-Skills!J18/100)^Skills!K18</f>
        <v/>
      </c>
      <c r="I2255" t="inlineStr">
        <is>
          <t>1</t>
        </is>
      </c>
      <c r="J2255" t="inlineStr"/>
      <c r="K2255" t="inlineStr"/>
      <c r="L2255" t="inlineStr"/>
      <c r="M2255" t="inlineStr"/>
      <c r="N2255" t="inlineStr"/>
      <c r="O2255">
        <f>(1-Summary!$B$11)*T2255+Summary!$B$11*V2255</f>
        <v/>
      </c>
      <c r="P2255">
        <f>IF(B2272=0,0,O2255/B2272)</f>
        <v/>
      </c>
      <c r="Q2255" t="n">
        <v>0</v>
      </c>
      <c r="R2255" t="n">
        <v>0</v>
      </c>
      <c r="S2255">
        <f>IFERROR(O2255/N2255,0)</f>
        <v/>
      </c>
      <c r="T2255" t="n">
        <v>0</v>
      </c>
      <c r="V2255" t="n">
        <v>0</v>
      </c>
    </row>
    <row r="2256">
      <c r="A2256">
        <f>Skills!A19</f>
        <v/>
      </c>
      <c r="B2256">
        <f>Skills!B19</f>
        <v/>
      </c>
      <c r="C2256">
        <f>Inputs!$B$3&gt;=40</f>
        <v/>
      </c>
      <c r="D2256">
        <f>IF(Skills!C19=1,60+Inputs!$B$25+Inputs!$B$29,IF(Skills!C19=2,90+Inputs!$B$26+Inputs!$B$29,IF(Skills!C19=3,120+Inputs!$B$27+Inputs!$B$29,MAX(0,(Inputs!$B$3-100)*3)+Inputs!$B$28+Inputs!$B$29)))</f>
        <v/>
      </c>
      <c r="E2256">
        <f>INDEX(FactorTable!$B$2:$Y$301, MATCH(ROUND(MIN(300,MAX(1,D2256)),0), FactorTable!$A$2:$A$301,0), Skills!M19+1)</f>
        <v/>
      </c>
      <c r="F2256">
        <f>IF(Skills!N19=TRUE,(Skills!L19/10)*(E2256/1000),Skills!L19/10)+Skills!O19</f>
        <v/>
      </c>
      <c r="G2256">
        <f>Skills!G19*IF(Skills!H19&gt;0,Skills!I19/Skills!H19,1)</f>
        <v/>
      </c>
      <c r="H2256">
        <f>1-(1-Skills!J19/100)^Skills!K19</f>
        <v/>
      </c>
      <c r="I2256" t="inlineStr">
        <is>
          <t>1</t>
        </is>
      </c>
      <c r="J2256" t="inlineStr"/>
      <c r="K2256" t="inlineStr"/>
      <c r="L2256" t="inlineStr"/>
      <c r="M2256" t="inlineStr"/>
      <c r="N2256" t="inlineStr"/>
      <c r="O2256">
        <f>(1-Summary!$B$11)*T2256+Summary!$B$11*V2256</f>
        <v/>
      </c>
      <c r="P2256">
        <f>IF(B2272=0,0,O2256/B2272)</f>
        <v/>
      </c>
      <c r="Q2256" t="n">
        <v>0</v>
      </c>
      <c r="R2256" t="n">
        <v>0</v>
      </c>
      <c r="S2256">
        <f>IFERROR(O2256/N2256,0)</f>
        <v/>
      </c>
      <c r="T2256" t="n">
        <v>0</v>
      </c>
      <c r="V2256" t="n">
        <v>0</v>
      </c>
    </row>
    <row r="2257">
      <c r="A2257">
        <f>Skills!A20</f>
        <v/>
      </c>
      <c r="B2257">
        <f>Skills!B20</f>
        <v/>
      </c>
      <c r="C2257">
        <f>Inputs!$B$3&gt;=43</f>
        <v/>
      </c>
      <c r="D2257">
        <f>IF(Skills!C20=1,60+Inputs!$B$25+Inputs!$B$29,IF(Skills!C20=2,90+Inputs!$B$26+Inputs!$B$29,IF(Skills!C20=3,120+Inputs!$B$27+Inputs!$B$29,MAX(0,(Inputs!$B$3-100)*3)+Inputs!$B$28+Inputs!$B$29)))</f>
        <v/>
      </c>
      <c r="E2257">
        <f>INDEX(FactorTable!$B$2:$Y$301, MATCH(ROUND(MIN(300,MAX(1,D2257)),0), FactorTable!$A$2:$A$301,0), Skills!M20+1)</f>
        <v/>
      </c>
      <c r="F2257">
        <f>IF(Skills!N20=TRUE,(Skills!L20/10)*(E2257/1000),Skills!L20/10)+Skills!O20</f>
        <v/>
      </c>
      <c r="G2257">
        <f>Skills!G20*IF(Skills!H20&gt;0,Skills!I20/Skills!H20,1)</f>
        <v/>
      </c>
      <c r="H2257">
        <f>1-(1-Skills!J20/100)^Skills!K20</f>
        <v/>
      </c>
      <c r="I2257" t="inlineStr">
        <is>
          <t>1</t>
        </is>
      </c>
      <c r="J2257" t="inlineStr"/>
      <c r="K2257" t="inlineStr"/>
      <c r="L2257" t="inlineStr"/>
      <c r="M2257" t="inlineStr"/>
      <c r="N2257" t="inlineStr"/>
      <c r="O2257">
        <f>(1-Summary!$B$11)*T2257+Summary!$B$11*V2257</f>
        <v/>
      </c>
      <c r="P2257">
        <f>IF(B2272=0,0,O2257/B2272)</f>
        <v/>
      </c>
      <c r="Q2257" t="n">
        <v>0</v>
      </c>
      <c r="R2257" t="n">
        <v>0</v>
      </c>
      <c r="S2257">
        <f>IFERROR(O2257/N2257,0)</f>
        <v/>
      </c>
      <c r="T2257" t="n">
        <v>0</v>
      </c>
      <c r="V2257" t="n">
        <v>0</v>
      </c>
    </row>
    <row r="2258">
      <c r="A2258">
        <f>Skills!A21</f>
        <v/>
      </c>
      <c r="B2258">
        <f>Skills!B21</f>
        <v/>
      </c>
      <c r="C2258">
        <f>Inputs!$B$3&gt;=38</f>
        <v/>
      </c>
      <c r="D2258">
        <f>IF(Skills!C21=1,60+Inputs!$B$25+Inputs!$B$29,IF(Skills!C21=2,90+Inputs!$B$26+Inputs!$B$29,IF(Skills!C21=3,120+Inputs!$B$27+Inputs!$B$29,MAX(0,(Inputs!$B$3-100)*3)+Inputs!$B$28+Inputs!$B$29)))</f>
        <v/>
      </c>
      <c r="E2258">
        <f>INDEX(FactorTable!$B$2:$Y$301, MATCH(ROUND(MIN(300,MAX(1,D2258)),0), FactorTable!$A$2:$A$301,0), Skills!M21+1)</f>
        <v/>
      </c>
      <c r="F2258">
        <f>IF(Skills!N21=TRUE,(Skills!L21/10)*(E2258/1000),Skills!L21/10)+Skills!O21</f>
        <v/>
      </c>
      <c r="G2258">
        <f>Skills!G21*IF(Skills!H21&gt;0,Skills!I21/Skills!H21,1)</f>
        <v/>
      </c>
      <c r="H2258">
        <f>1-(1-Skills!J21/100)^Skills!K21</f>
        <v/>
      </c>
      <c r="I2258" t="inlineStr">
        <is>
          <t>1</t>
        </is>
      </c>
      <c r="J2258" t="inlineStr"/>
      <c r="K2258" t="inlineStr"/>
      <c r="L2258" t="inlineStr"/>
      <c r="M2258" t="inlineStr"/>
      <c r="N2258" t="inlineStr"/>
      <c r="O2258">
        <f>(1-Summary!$B$11)*T2258+Summary!$B$11*V2258</f>
        <v/>
      </c>
      <c r="P2258">
        <f>IF(B2272=0,0,O2258/B2272)</f>
        <v/>
      </c>
      <c r="Q2258" t="n">
        <v>0</v>
      </c>
      <c r="R2258" t="n">
        <v>0</v>
      </c>
      <c r="S2258">
        <f>IFERROR(O2258/N2258,0)</f>
        <v/>
      </c>
      <c r="T2258" t="n">
        <v>0</v>
      </c>
      <c r="V2258" t="n">
        <v>0</v>
      </c>
    </row>
    <row r="2259">
      <c r="A2259">
        <f>Skills!A22</f>
        <v/>
      </c>
      <c r="B2259">
        <f>Skills!B22</f>
        <v/>
      </c>
      <c r="C2259">
        <f>Inputs!$B$3&gt;=75</f>
        <v/>
      </c>
      <c r="D2259">
        <f>IF(Skills!C22=1,60+Inputs!$B$25+Inputs!$B$29,IF(Skills!C22=2,90+Inputs!$B$26+Inputs!$B$29,IF(Skills!C22=3,120+Inputs!$B$27+Inputs!$B$29,MAX(0,(Inputs!$B$3-100)*3)+Inputs!$B$28+Inputs!$B$29)))</f>
        <v/>
      </c>
      <c r="E2259">
        <f>INDEX(FactorTable!$B$2:$Y$301, MATCH(ROUND(MIN(300,MAX(1,D2259)),0), FactorTable!$A$2:$A$301,0), Skills!M22+1)</f>
        <v/>
      </c>
      <c r="F2259">
        <f>IF(Skills!N22=TRUE,(Skills!L22/10)*(E2259/1000),Skills!L22/10)+Skills!O22</f>
        <v/>
      </c>
      <c r="G2259">
        <f>Skills!G22*IF(Skills!H22&gt;0,Skills!I22/Skills!H22,1)</f>
        <v/>
      </c>
      <c r="H2259">
        <f>1-(1-Skills!J22/100)^Skills!K22</f>
        <v/>
      </c>
      <c r="I2259" t="inlineStr">
        <is>
          <t>1</t>
        </is>
      </c>
      <c r="J2259" t="inlineStr"/>
      <c r="K2259" t="inlineStr"/>
      <c r="L2259" t="inlineStr"/>
      <c r="M2259" t="inlineStr"/>
      <c r="N2259" t="inlineStr"/>
      <c r="O2259">
        <f>(1-Summary!$B$11)*T2259+Summary!$B$11*V2259</f>
        <v/>
      </c>
      <c r="P2259">
        <f>IF(B2272=0,0,O2259/B2272)</f>
        <v/>
      </c>
      <c r="Q2259" t="n">
        <v>0</v>
      </c>
      <c r="R2259" t="n">
        <v>0</v>
      </c>
      <c r="S2259">
        <f>IFERROR(O2259/N2259,0)</f>
        <v/>
      </c>
      <c r="T2259" t="n">
        <v>0</v>
      </c>
      <c r="V2259" t="n">
        <v>0</v>
      </c>
    </row>
    <row r="2261">
      <c r="A2261" t="inlineStr">
        <is>
          <t>Attack% Bucket Multiplier</t>
        </is>
      </c>
      <c r="B2261">
        <f>(1+(((C2250=TRUE)*F2250)+((C2256=TRUE)*(F2256-Calc!F19))+(IF(ArtifactsInput!$M$21,CHOOSE(ArtifactsInput!$N$21+1,25,30,35,40,45,50)*(IF(OR(Inputs!$B$4="Chapter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2">
      <c r="A2262" t="inlineStr">
        <is>
          <t>Global Crit Rate Bonus %</t>
        </is>
      </c>
      <c r="B2262" t="n">
        <v>0</v>
      </c>
    </row>
    <row r="2263">
      <c r="A2263" t="inlineStr">
        <is>
          <t>Attack Speed Buff Bonus % (unused)</t>
        </is>
      </c>
      <c r="B2263" t="n">
        <v>0</v>
      </c>
    </row>
    <row r="2264">
      <c r="A2264" t="inlineStr">
        <is>
          <t>Actions Per Second</t>
        </is>
      </c>
      <c r="B2264">
        <f>1+MIN(150,150*(1-(1-(Inputs!$B$11+((C2254=TRUE)*(F2254-Calc!F17))+((C2255=TRUE)*(F2255-Calc!F18)))/150)*(1-B2263/150)))/100</f>
        <v/>
      </c>
    </row>
    <row r="2265">
      <c r="A2265" t="inlineStr">
        <is>
          <t>Skill + Buff Cast Rate</t>
        </is>
      </c>
      <c r="B2265">
        <f>IF(AND(Inputs!$B$38&lt;&gt;"pvp",Inputs!$B$43&gt;0),SUMPRODUCT((Skills!E2:E22=TRUE)*(C2239:C2259=TRUE)*R2239:R2259*Skills!F2:F22)/Inputs!$B$43,SUMPRODUCT((Skills!E2:E22=TRUE)*(C2239:C2259=TRUE)*Q2239:Q2259*Skills!F2:F22))</f>
        <v/>
      </c>
    </row>
    <row r="2266">
      <c r="A2266" t="inlineStr">
        <is>
          <t>Hook Bomber Casts Per Second</t>
        </is>
      </c>
      <c r="B2266">
        <f>MAX(0,B2264-B2265)</f>
        <v/>
      </c>
    </row>
    <row r="2267">
      <c r="A2267" t="inlineStr">
        <is>
          <t>Global Critical Damage Bonus % (unused)</t>
        </is>
      </c>
      <c r="B2267" t="n">
        <v>0</v>
      </c>
    </row>
    <row r="2268">
      <c r="A2268" t="inlineStr">
        <is>
          <t>Global Final Damage Bonus % (Serpent Scale + Crossbones + Time Leap + Speed Infusion)</t>
        </is>
      </c>
      <c r="B2268">
        <f>((C2242=TRUE)*F2242*((10+IF(Inputs!$B$3&gt;=94,5,0))/((10+IF(Inputs!$B$3&gt;=94,5,0))+5/(B2266*(1+IF(Inputs!$B$3&gt;=104,1,0))))))+((C2251=TRUE)*F2251)+((C2252=TRUE)*F2252)+((Inputs!$B$3&gt;=110)*20*(B2264-1))</f>
        <v/>
      </c>
    </row>
    <row r="2269">
      <c r="A2269" t="inlineStr">
        <is>
          <t>Buff-Casting Startup Delay (s, fixed-duration only)</t>
        </is>
      </c>
      <c r="B2269">
        <f>IF(AND(Inputs!$B$38&lt;&gt;"pvp",Inputs!$B$43&gt;0),SUMPRODUCT((Skills!T2:T22&gt;0)*(Skills!E2:E22=TRUE)*(C2239:C2259=TRUE))/B2264,0)</f>
        <v/>
      </c>
    </row>
    <row r="2270">
      <c r="A2270" t="inlineStr">
        <is>
          <t>Boss-Only Total DPS (this block's swept value)</t>
        </is>
      </c>
      <c r="B2270">
        <f>SUM(T2239:T2259)</f>
        <v/>
      </c>
    </row>
    <row r="2271">
      <c r="A2271" t="inlineStr">
        <is>
          <t>Normal-Only Total DPS (this block's swept value)</t>
        </is>
      </c>
      <c r="B2271">
        <f>SUM(V2239:V2259)</f>
        <v/>
      </c>
    </row>
    <row r="2272">
      <c r="A2272" s="6" t="inlineStr">
        <is>
          <t>TOTAL DPS</t>
        </is>
      </c>
      <c r="B2272" s="6">
        <f>SUM(O2239:O2259)</f>
        <v/>
      </c>
    </row>
    <row r="2275">
      <c r="A2275" s="6" t="inlineStr">
        <is>
          <t>Stat: Cursed Doll (Equip)</t>
        </is>
      </c>
    </row>
    <row r="2276">
      <c r="A2276" s="5" t="inlineStr">
        <is>
          <t>Key</t>
        </is>
      </c>
      <c r="B2276" s="5" t="inlineStr">
        <is>
          <t>Name</t>
        </is>
      </c>
      <c r="C2276" s="5" t="inlineStr">
        <is>
          <t>Unlocked</t>
        </is>
      </c>
      <c r="D2276" s="5" t="inlineStr">
        <is>
          <t>InputLevel</t>
        </is>
      </c>
      <c r="E2276" s="5" t="inlineStr">
        <is>
          <t>Factor</t>
        </is>
      </c>
      <c r="F2276" s="5" t="inlineStr">
        <is>
          <t>CoefficientPercent</t>
        </is>
      </c>
      <c r="G2276" s="5" t="inlineStr">
        <is>
          <t>EffectiveHits</t>
        </is>
      </c>
      <c r="H2276" s="5" t="inlineStr">
        <is>
          <t>ProcProbability</t>
        </is>
      </c>
      <c r="I2276" s="5" t="inlineStr">
        <is>
          <t>MapleHeroMultiplier</t>
        </is>
      </c>
      <c r="J2276" s="5" t="inlineStr">
        <is>
          <t>BaseDamage</t>
        </is>
      </c>
      <c r="K2276" s="5" t="inlineStr">
        <is>
          <t>BaseHitDamage</t>
        </is>
      </c>
      <c r="L2276" s="5" t="inlineStr">
        <is>
          <t>NonCritAvg</t>
        </is>
      </c>
      <c r="M2276" s="5" t="inlineStr">
        <is>
          <t>CritAvg</t>
        </is>
      </c>
      <c r="N2276" s="5" t="inlineStr">
        <is>
          <t>ExpectedDamage(perHit)</t>
        </is>
      </c>
      <c r="O2276" s="5" t="inlineStr">
        <is>
          <t>DPS</t>
        </is>
      </c>
      <c r="P2276" s="5" t="inlineStr">
        <is>
          <t>% of Total</t>
        </is>
      </c>
      <c r="Q2276" s="5" t="inlineStr">
        <is>
          <t>InvCooldown</t>
        </is>
      </c>
      <c r="R2276" s="5" t="inlineStr">
        <is>
          <t>CastsInFight</t>
        </is>
      </c>
      <c r="S2276" s="5" t="inlineStr">
        <is>
          <t>HitRate(perSec)</t>
        </is>
      </c>
      <c r="U2276" t="inlineStr">
        <is>
          <t>helpers</t>
        </is>
      </c>
    </row>
    <row r="2277">
      <c r="A2277">
        <f>Skills!A2</f>
        <v/>
      </c>
      <c r="B2277">
        <f>Skills!B2</f>
        <v/>
      </c>
      <c r="C2277">
        <f>Inputs!$B$3&gt;=100</f>
        <v/>
      </c>
      <c r="D2277" t="inlineStr"/>
      <c r="E2277" t="inlineStr"/>
      <c r="F2277">
        <f>U2279+Skills!O2</f>
        <v/>
      </c>
      <c r="G2277">
        <f>Skills!G2*IF(Skills!H2&gt;0,Skills!I2/Skills!H2,1)</f>
        <v/>
      </c>
      <c r="H2277">
        <f>1-(1-Skills!J2/100)^Skills!K2</f>
        <v/>
      </c>
      <c r="I2277" t="inlineStr">
        <is>
          <t>1</t>
        </is>
      </c>
      <c r="J2277">
        <f>((Inputs!$B$6*(1+Inputs!$B$7/100))+(((Inputs!$B$12*(1+Inputs!$B$13/100))-(Inputs!$B$12*(1+Inputs!$B$13/100)))+0.25*(Inputs!$B$14-Inputs!$B$14))*(1+Inputs!$B$7/100))*(F2277/100)</f>
        <v/>
      </c>
      <c r="K2277">
        <f>J2277*(1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C2295=TRUE)*(F2295-Calc!F20)),(Inputs!$B$23+0+(IF(ArtifactsInput!$M$15,CHOOSE(ArtifactsInput!$N$15+1,25,30,35,40,45,50)/100*(Inputs!$B$11-Inputs!$B$11),0))))/100+(Inputs!$B$23+0+(IF(ArtifactsInput!$M$15,CHOOSE(ArtifactsInput!$N$15+1,25,30,35,40,45,50)/100*(Inputs!$B$11-Inputs!$B$11),0)))/100)/2</f>
        <v/>
      </c>
      <c r="M2277">
        <f>L2277*(1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(1-Summary!$B$11)*T2277+Summary!$B$11*V2277</f>
        <v/>
      </c>
      <c r="P2277">
        <f>IF(B2310=0,0,O2277/B2310)</f>
        <v/>
      </c>
      <c r="Q2277" t="n">
        <v>0</v>
      </c>
      <c r="R2277" t="n">
        <v>0</v>
      </c>
      <c r="S2277">
        <f>IFERROR(O2277/N2277,0)</f>
        <v/>
      </c>
      <c r="T2277">
        <f>IF(C2277,(Skills!G2*N2277*B2304)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2277*(1-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7">
        <f>MAX(0,(Inputs!$B$3-100)*3)+Inputs!$B$28+Inputs!$B$29</f>
        <v/>
      </c>
      <c r="V2277">
        <f>IF(C2277,(Skills!G2*N2277*B2304)*IF(Inputs!$B$38="pvp",1,(1+(Inputs!$B$21+Skills!Q2+(IF(ArtifactsInput!$M$33,CHOOSE(ArtifactsInput!$N$33+1,30,36,42,48,54,60),0))+(IF(AND(ArtifactsInput!$M$35,Inputs!$B$4&lt;&gt;"Chapter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Skills!A3</f>
        <v/>
      </c>
      <c r="B2278">
        <f>Skills!B3</f>
        <v/>
      </c>
      <c r="C2278">
        <f>Inputs!$B$3&gt;=35</f>
        <v/>
      </c>
      <c r="D2278">
        <f>IF(Skills!C3=1,60+Inputs!$B$25+Inputs!$B$29,IF(Skills!C3=2,90+Inputs!$B$26+Inputs!$B$29,IF(Skills!C3=3,120+Inputs!$B$27+Inputs!$B$29,MAX(0,(Inputs!$B$3-100)*3)+Inputs!$B$28+Inputs!$B$29)))</f>
        <v/>
      </c>
      <c r="E2278">
        <f>INDEX(FactorTable!$B$2:$Y$301, MATCH(ROUND(MIN(300,MAX(1,D2278)),0), FactorTable!$A$2:$A$301,0), Skills!M3+1)</f>
        <v/>
      </c>
      <c r="F2278">
        <f>IF(Skills!N3=TRUE,(Skills!L3/10)*(E2278/1000),Skills!L3/10)+Skills!O3</f>
        <v/>
      </c>
      <c r="G2278">
        <f>Skills!G3*IF(Skills!H3&gt;0,Skills!I3/Skills!H3,1)</f>
        <v/>
      </c>
      <c r="H2278">
        <f>1-(1-Skills!J3/100)^Skills!K3</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2295=TRUE)*(F2295-Calc!F20)),(Inputs!$B$23+0+(IF(ArtifactsInput!$M$15,CHOOSE(ArtifactsInput!$N$15+1,25,30,35,40,45,50)/100*(Inputs!$B$11-Inputs!$B$11),0))))/100+(Inputs!$B$23+0+(IF(ArtifactsInput!$M$15,CHOOSE(ArtifactsInput!$N$15+1,25,30,35,40,45,50)/100*(Inputs!$B$11-Inputs!$B$11),0)))/100)/2</f>
        <v/>
      </c>
      <c r="M2278">
        <f>L2278*(1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IF(B2310=0,0,O2278/B2310)</f>
        <v/>
      </c>
      <c r="Q2278" t="n">
        <v>0</v>
      </c>
      <c r="R2278" t="n">
        <v>0</v>
      </c>
      <c r="S2278">
        <f>IFERROR(O2278/N2278,0)</f>
        <v/>
      </c>
      <c r="T2278">
        <f>IF(C2278,(Skills!G3*H2278*N2278*B2304)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INDEX(FactorTable!$B$2:$Y$301, MATCH(ROUND(MIN(300,MAX(1,U2277)),0), FactorTable!$A$2:$A$301,0), 22)</f>
        <v/>
      </c>
      <c r="V2278">
        <f>IF(C2278,(Skills!G3*H2278*N2278*B2304)*IF(Inputs!$B$38="pvp",1,(1+(Inputs!$B$21+Skills!Q3+(IF(ArtifactsInput!$M$33,CHOOSE(ArtifactsInput!$N$33+1,30,36,42,48,54,60),0))+(IF(AND(ArtifactsInput!$M$35,Inputs!$B$4&lt;&gt;"Chapter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Skills!A4</f>
        <v/>
      </c>
      <c r="B2279">
        <f>Skills!B4</f>
        <v/>
      </c>
      <c r="C2279">
        <f>Inputs!$B$3&gt;=60</f>
        <v/>
      </c>
      <c r="D2279">
        <f>IF(Skills!C4=1,60+Inputs!$B$25+Inputs!$B$29,IF(Skills!C4=2,90+Inputs!$B$26+Inputs!$B$29,IF(Skills!C4=3,120+Inputs!$B$27+Inputs!$B$29,MAX(0,(Inputs!$B$3-100)*3)+Inputs!$B$28+Inputs!$B$29)))</f>
        <v/>
      </c>
      <c r="E2279">
        <f>INDEX(FactorTable!$B$2:$Y$301, MATCH(ROUND(MIN(300,MAX(1,D2279)),0), FactorTable!$A$2:$A$301,0), Skills!M4+1)</f>
        <v/>
      </c>
      <c r="F2279">
        <f>IF(Skills!N4=TRUE,(Skills!L4/10)*(E2279/1000),Skills!L4/10)+Skills!O4</f>
        <v/>
      </c>
      <c r="G2279">
        <f>Skills!G4*IF(Skills!H4&gt;0,Skills!I4/Skills!H4,1)</f>
        <v/>
      </c>
      <c r="H2279">
        <f>1-(1-Skills!J4/100)^Skills!K4</f>
        <v/>
      </c>
      <c r="I2279" t="inlineStr">
        <is>
          <t>1</t>
        </is>
      </c>
      <c r="J2279">
        <f>((Inputs!$B$6*(1+Inputs!$B$7/100))+(((Inputs!$B$12*(1+Inputs!$B$13/100))-(Inputs!$B$12*(1+Inputs!$B$13/100)))+0.25*(Inputs!$B$14-Inputs!$B$14))*(1+Inputs!$B$7/100))*(F2279/100)</f>
        <v/>
      </c>
      <c r="K2279">
        <f>J2279*(1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2287=TRUE,F2287,0)/100)*(1+(IF(Skills!A4="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C2295=TRUE)*(F2295-Calc!F20)),(Inputs!$B$23+0+(IF(ArtifactsInput!$M$15,CHOOSE(ArtifactsInput!$N$15+1,25,30,35,40,45,50)/100*(Inputs!$B$11-Inputs!$B$11),0))))/100+(Inputs!$B$23+0+(IF(ArtifactsInput!$M$15,CHOOSE(ArtifactsInput!$N$15+1,25,30,35,40,45,50)/100*(Inputs!$B$11-Inputs!$B$11),0)))/100)/2</f>
        <v/>
      </c>
      <c r="M2279">
        <f>L2279*(1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(1-Summary!$B$11)*T2279+Summary!$B$11*V2279</f>
        <v/>
      </c>
      <c r="P2279">
        <f>IF(B2310=0,0,O2279/B2310)</f>
        <v/>
      </c>
      <c r="Q2279" t="n">
        <v>0</v>
      </c>
      <c r="R2279" t="n">
        <v>0</v>
      </c>
      <c r="S2279">
        <f>IFERROR(O2279/N2279,0)</f>
        <v/>
      </c>
      <c r="T2279">
        <f>IF(C2279,(Skills!G4*H2279*N2279*B2304)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2279*(1-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9">
        <f>290*U2278/1000</f>
        <v/>
      </c>
      <c r="V2279">
        <f>IF(C2279,(Skills!G4*H2279*N2279*B2304)*IF(Inputs!$B$38="pvp",1,(1+(Inputs!$B$21+Skills!Q4+(IF(ArtifactsInput!$M$33,CHOOSE(ArtifactsInput!$N$33+1,30,36,42,48,54,60),0))+(IF(AND(ArtifactsInput!$M$35,Inputs!$B$4&lt;&gt;"Chapter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Skills!A5</f>
        <v/>
      </c>
      <c r="B2280">
        <f>Skills!B5</f>
        <v/>
      </c>
      <c r="C2280">
        <f>Inputs!$B$3&gt;=60</f>
        <v/>
      </c>
      <c r="D2280">
        <f>IF(Skills!C5=1,60+Inputs!$B$25+Inputs!$B$29,IF(Skills!C5=2,90+Inputs!$B$26+Inputs!$B$29,IF(Skills!C5=3,120+Inputs!$B$27+Inputs!$B$29,MAX(0,(Inputs!$B$3-100)*3)+Inputs!$B$28+Inputs!$B$29)))</f>
        <v/>
      </c>
      <c r="E2280">
        <f>INDEX(FactorTable!$B$2:$Y$301, MATCH(ROUND(MIN(300,MAX(1,D2280)),0), FactorTable!$A$2:$A$301,0), Skills!M5+1)</f>
        <v/>
      </c>
      <c r="F2280">
        <f>IF(Skills!N5=TRUE,(Skills!L5/10)*(E2280/1000),Skills!L5/10)+Skills!O5</f>
        <v/>
      </c>
      <c r="G2280">
        <f>Skills!G5*IF(Skills!H5&gt;0,Skills!I5/Skills!H5,1)</f>
        <v/>
      </c>
      <c r="H2280">
        <f>1-(1-Skills!J5/100)^Skills!K5</f>
        <v/>
      </c>
      <c r="I2280" t="inlineStr">
        <is>
          <t>1</t>
        </is>
      </c>
      <c r="J2280" t="inlineStr"/>
      <c r="K2280" t="inlineStr"/>
      <c r="L2280" t="inlineStr"/>
      <c r="M2280" t="inlineStr"/>
      <c r="N2280" t="inlineStr"/>
      <c r="O2280">
        <f>(1-Summary!$B$11)*T2280+Summary!$B$11*V2280</f>
        <v/>
      </c>
      <c r="P2280">
        <f>IF(B2310=0,0,O2280/B2310)</f>
        <v/>
      </c>
      <c r="Q2280" t="n">
        <v>0</v>
      </c>
      <c r="R2280" t="n">
        <v>0</v>
      </c>
      <c r="S2280">
        <f>IFERROR(O2280/N2280,0)</f>
        <v/>
      </c>
      <c r="T2280" t="n">
        <v>0</v>
      </c>
      <c r="V2280" t="n">
        <v>0</v>
      </c>
    </row>
    <row r="2281">
      <c r="A2281">
        <f>Skills!A6</f>
        <v/>
      </c>
      <c r="B2281">
        <f>Skills!B6</f>
        <v/>
      </c>
      <c r="C2281">
        <f>Inputs!$B$3&gt;=63</f>
        <v/>
      </c>
      <c r="D2281">
        <f>IF(Skills!C6=1,60+Inputs!$B$25+Inputs!$B$29,IF(Skills!C6=2,90+Inputs!$B$26+Inputs!$B$29,IF(Skills!C6=3,120+Inputs!$B$27+Inputs!$B$29,MAX(0,(Inputs!$B$3-100)*3)+Inputs!$B$28+Inputs!$B$29)))</f>
        <v/>
      </c>
      <c r="E2281">
        <f>INDEX(FactorTable!$B$2:$Y$301, MATCH(ROUND(MIN(300,MAX(1,D2281)),0), FactorTable!$A$2:$A$301,0), Skills!M6+1)</f>
        <v/>
      </c>
      <c r="F2281">
        <f>IF(Skills!N6=TRUE,(Skills!L6/10)*(E2281/1000),Skills!L6/10)+Skills!O6</f>
        <v/>
      </c>
      <c r="G2281">
        <f>Skills!G6*IF(Skills!H6&gt;0,Skills!I6/Skills!H6,1)</f>
        <v/>
      </c>
      <c r="H2281">
        <f>1-(1-Skills!J6/100)^Skills!K6</f>
        <v/>
      </c>
      <c r="I2281" t="inlineStr">
        <is>
          <t>1</t>
        </is>
      </c>
      <c r="J2281">
        <f>((Inputs!$B$6*(1+Inputs!$B$7/100))+(((Inputs!$B$12*(1+Inputs!$B$13/100))-(Inputs!$B$12*(1+Inputs!$B$13/100)))+0.25*(Inputs!$B$14-Inputs!$B$14))*(1+Inputs!$B$7/100))*(F2281/100)</f>
        <v/>
      </c>
      <c r="K2281">
        <f>J2281*(1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2295=TRUE)*(F2295-Calc!F20)),(Inputs!$B$23+0+(IF(ArtifactsInput!$M$15,CHOOSE(ArtifactsInput!$N$15+1,25,30,35,40,45,50)/100*(Inputs!$B$11-Inputs!$B$11),0))))/100+(Inputs!$B$23+0+(IF(ArtifactsInput!$M$15,CHOOSE(ArtifactsInput!$N$15+1,25,30,35,40,45,50)/100*(Inputs!$B$11-Inputs!$B$11),0)))/100)/2</f>
        <v/>
      </c>
      <c r="M2281">
        <f>L2281*(1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IF(B2310=0,0,O2281/B2310)</f>
        <v/>
      </c>
      <c r="Q2281">
        <f>IFERROR(1/(IF(Inputs!$B$38="pvp",15,MAX(0.1,Skills!D6-IF(Skills!E6=TRUE,Inputs!$B$32,0)))*(1-IF(AND(ArtifactsInput!$M$27,Inputs!$B$4="Chapter Hunt"),CHOOSE(ArtifactsInput!$N$27+1,20,24,28,32,36,40),0)/100)),0)</f>
        <v/>
      </c>
      <c r="R2281">
        <f>IF(AND(Inputs!$B$38&lt;&gt;"pvp",Inputs!$B$43&gt;0),IF(MAX(0,Inputs!$B$43-B2307)&lt;=0,0,(INT(MAX(0,Inputs!$B$43-B2307)/(IF(Inputs!$B$38="pvp",15,MAX(0.1,Skills!D6-IF(Skills!E6=TRUE,Inputs!$B$32,0)))*(1-IF(AND(ArtifactsInput!$M$27,Inputs!$B$4="Chapter Hunt"),CHOOSE(ArtifactsInput!$N$27+1,20,24,28,32,36,40),0)/100)))+1)),0)</f>
        <v/>
      </c>
      <c r="S2281">
        <f>IFERROR(O2281/N2281,0)</f>
        <v/>
      </c>
      <c r="T2281">
        <f>IF(C2281,(H2281*N2281*IF(AND(Inputs!$B$38&lt;&gt;"pvp",Inputs!$B$43&gt;0),((Skills!G6*((R2281-1)*IF(Skills!H6&gt;0,Skills!I6/Skills!H6,1)+IF(Skills!H6&gt;0,MIN(Skills!I6,MAX(0,MAX(0,Inputs!$B$43-B2307)-((R2281-1)*(IF(Inputs!$B$38="pvp",15,MAX(0.1,Skills!D6-IF(Skills!E6=TRUE,Inputs!$B$32,0)))*(1-IF(AND(ArtifactsInput!$M$27,Inputs!$B$4="Chapter Hunt"),CHOOSE(ArtifactsInput!$N$27+1,20,24,28,32,36,40),0)/100)))))/Skills!H6,1)))/Inputs!$B$43),G2281*Q2281)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6*((R2281-1)*IF(Skills!H6&gt;0,Skills!I6/Skills!H6,1)+IF(Skills!H6&gt;0,MIN(Skills!I6,MAX(0,MAX(0,Inputs!$B$43-B2307)-((R2281-1)*(IF(Inputs!$B$38="pvp",15,MAX(0.1,Skills!D6-IF(Skills!E6=TRUE,Inputs!$B$32,0)))*(1-IF(AND(ArtifactsInput!$M$27,Inputs!$B$4="Chapter Hunt"),CHOOSE(ArtifactsInput!$N$27+1,20,24,28,32,36,40),0)/100)))))/Skills!H6,1)))/Inputs!$B$43),G2281*Q2281))*IF(Inputs!$B$38="pvp",1,(1+(Inputs!$B$21+Skills!Q6+(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Skills!A7</f>
        <v/>
      </c>
      <c r="B2282">
        <f>Skills!B7</f>
        <v/>
      </c>
      <c r="C2282">
        <f>Inputs!$B$3&gt;=100</f>
        <v/>
      </c>
      <c r="D2282">
        <f>IF(Skills!C7=1,60+Inputs!$B$25+Inputs!$B$29,IF(Skills!C7=2,90+Inputs!$B$26+Inputs!$B$29,IF(Skills!C7=3,120+Inputs!$B$27+Inputs!$B$29,MAX(0,(Inputs!$B$3-100)*3)+Inputs!$B$28+Inputs!$B$29)))</f>
        <v/>
      </c>
      <c r="E2282">
        <f>INDEX(FactorTable!$B$2:$Y$301, MATCH(ROUND(MIN(300,MAX(1,D2282)),0), FactorTable!$A$2:$A$301,0), Skills!M7+1)</f>
        <v/>
      </c>
      <c r="F2282">
        <f>IF(Skills!N7=TRUE,(Skills!L7/10)*(E2282/1000),Skills!L7/10)+Skills!O7</f>
        <v/>
      </c>
      <c r="G2282">
        <f>Skills!G7*IF(Skills!H7&gt;0,Skills!I7/Skills!H7,1)</f>
        <v/>
      </c>
      <c r="H2282">
        <f>1-(1-Skills!J7/100)^Skills!K7</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2295=TRUE)*(F2295-Calc!F20)),(Inputs!$B$23+0+(IF(ArtifactsInput!$M$15,CHOOSE(ArtifactsInput!$N$15+1,25,30,35,40,45,50)/100*(Inputs!$B$11-Inputs!$B$11),0))))/100+(Inputs!$B$23+0+(IF(ArtifactsInput!$M$15,CHOOSE(ArtifactsInput!$N$15+1,25,30,35,40,45,50)/100*(Inputs!$B$11-Inputs!$B$11),0)))/100)/2</f>
        <v/>
      </c>
      <c r="M2282">
        <f>L2282*(1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IF(B2310=0,0,O2282/B2310)</f>
        <v/>
      </c>
      <c r="Q2282">
        <f>IFERROR(1/(IF(Inputs!$B$38="pvp",15,MAX(0.1,Skills!D7-IF(Skills!E7=TRUE,Inputs!$B$32,0)))*(1-IF(AND(ArtifactsInput!$M$27,Inputs!$B$4="Chapter Hunt"),CHOOSE(ArtifactsInput!$N$27+1,20,24,28,32,36,40),0)/100)),0)</f>
        <v/>
      </c>
      <c r="R2282">
        <f>IF(AND(Inputs!$B$38&lt;&gt;"pvp",Inputs!$B$43&gt;0),IF(MAX(0,Inputs!$B$43-B2307)&lt;=0,0,(INT(MAX(0,Inputs!$B$43-B2307)/(IF(Inputs!$B$38="pvp",15,MAX(0.1,Skills!D7-IF(Skills!E7=TRUE,Inputs!$B$32,0)))*(1-IF(AND(ArtifactsInput!$M$27,Inputs!$B$4="Chapter Hunt"),CHOOSE(ArtifactsInput!$N$27+1,20,24,28,32,36,40),0)/100)))+1)),0)</f>
        <v/>
      </c>
      <c r="S2282">
        <f>IFERROR(O2282/N2282,0)</f>
        <v/>
      </c>
      <c r="T2282">
        <f>IF(C2282,(H2282*N2282*IF(AND(Inputs!$B$38&lt;&gt;"pvp",Inputs!$B$43&gt;0),((Skills!G7*((R2282-1)*IF(Skills!H7&gt;0,Skills!I7/Skills!H7,1)+IF(Skills!H7&gt;0,MIN(Skills!I7,MAX(0,MAX(0,Inputs!$B$43-B2307)-((R2282-1)*(IF(Inputs!$B$38="pvp",15,MAX(0.1,Skills!D7-IF(Skills!E7=TRUE,Inputs!$B$32,0)))*(1-IF(AND(ArtifactsInput!$M$27,Inputs!$B$4="Chapter Hunt"),CHOOSE(ArtifactsInput!$N$27+1,20,24,28,32,36,40),0)/100)))))/Skills!H7,1)))/Inputs!$B$43),G2282*Q2282)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7*((R2282-1)*IF(Skills!H7&gt;0,Skills!I7/Skills!H7,1)+IF(Skills!H7&gt;0,MIN(Skills!I7,MAX(0,MAX(0,Inputs!$B$43-B2307)-((R2282-1)*(IF(Inputs!$B$38="pvp",15,MAX(0.1,Skills!D7-IF(Skills!E7=TRUE,Inputs!$B$32,0)))*(1-IF(AND(ArtifactsInput!$M$27,Inputs!$B$4="Chapter Hunt"),CHOOSE(ArtifactsInput!$N$27+1,20,24,28,32,36,40),0)/100)))))/Skills!H7,1)))/Inputs!$B$43),G2282*Q2282))*IF(Inputs!$B$38="pvp",1,(1+(Inputs!$B$21+Skills!Q7+(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Skills!A8</f>
        <v/>
      </c>
      <c r="B2283">
        <f>Skills!B8</f>
        <v/>
      </c>
      <c r="C2283">
        <f>Inputs!$B$3&gt;=110</f>
        <v/>
      </c>
      <c r="D2283">
        <f>IF(Skills!C8=1,60+Inputs!$B$25+Inputs!$B$29,IF(Skills!C8=2,90+Inputs!$B$26+Inputs!$B$29,IF(Skills!C8=3,120+Inputs!$B$27+Inputs!$B$29,MAX(0,(Inputs!$B$3-100)*3)+Inputs!$B$28+Inputs!$B$29)))</f>
        <v/>
      </c>
      <c r="E2283">
        <f>INDEX(FactorTable!$B$2:$Y$301, MATCH(ROUND(MIN(300,MAX(1,D2283)),0), FactorTable!$A$2:$A$301,0), Skills!M8+1)</f>
        <v/>
      </c>
      <c r="F2283">
        <f>IF(Skills!N8=TRUE,(Skills!L8/10)*(E2283/1000),Skills!L8/10)+Skills!O8</f>
        <v/>
      </c>
      <c r="G2283">
        <f>Skills!G8*IF(Skills!H8&gt;0,Skills!I8/Skills!H8,1)</f>
        <v/>
      </c>
      <c r="H2283">
        <f>1-(1-Skills!J8/100)^Skills!K8</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2295=TRUE)*(F2295-Calc!F20)),(Inputs!$B$23+0+(IF(ArtifactsInput!$M$15,CHOOSE(ArtifactsInput!$N$15+1,25,30,35,40,45,50)/100*(Inputs!$B$11-Inputs!$B$11),0))))/100+(Inputs!$B$23+0+(IF(ArtifactsInput!$M$15,CHOOSE(ArtifactsInput!$N$15+1,25,30,35,40,45,50)/100*(Inputs!$B$11-Inputs!$B$11),0)))/100)/2</f>
        <v/>
      </c>
      <c r="M2283">
        <f>L2283*(1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IF(B2310=0,0,O2283/B2310)</f>
        <v/>
      </c>
      <c r="Q2283">
        <f>IFERROR(1/(IF(Inputs!$B$38="pvp",15,MAX(0.1,Skills!D8-IF(Skills!E8=TRUE,Inputs!$B$32,0)))*(1-IF(AND(ArtifactsInput!$M$27,Inputs!$B$4="Chapter Hunt"),CHOOSE(ArtifactsInput!$N$27+1,20,24,28,32,36,40),0)/100)),0)</f>
        <v/>
      </c>
      <c r="R2283">
        <f>IF(AND(Inputs!$B$38&lt;&gt;"pvp",Inputs!$B$43&gt;0),IF(MAX(0,Inputs!$B$43-B2307)&lt;=0,0,(INT(MAX(0,Inputs!$B$43-B2307)/(IF(Inputs!$B$38="pvp",15,MAX(0.1,Skills!D8-IF(Skills!E8=TRUE,Inputs!$B$32,0)))*(1-IF(AND(ArtifactsInput!$M$27,Inputs!$B$4="Chapter Hunt"),CHOOSE(ArtifactsInput!$N$27+1,20,24,28,32,36,40),0)/100)))+1)),0)</f>
        <v/>
      </c>
      <c r="S2283">
        <f>IFERROR(O2283/N2283,0)</f>
        <v/>
      </c>
      <c r="T2283">
        <f>IF(C2283,(H2283*N2283*IF(AND(Inputs!$B$38&lt;&gt;"pvp",Inputs!$B$43&gt;0),((Skills!G8*((R2283-1)*IF(Skills!H8&gt;0,Skills!I8/Skills!H8,1)+IF(Skills!H8&gt;0,MIN(Skills!I8,MAX(0,MAX(0,Inputs!$B$43-B2307)-((R2283-1)*(IF(Inputs!$B$38="pvp",15,MAX(0.1,Skills!D8-IF(Skills!E8=TRUE,Inputs!$B$32,0)))*(1-IF(AND(ArtifactsInput!$M$27,Inputs!$B$4="Chapter Hunt"),CHOOSE(ArtifactsInput!$N$27+1,20,24,28,32,36,40),0)/100)))))/Skills!H8,1)))/Inputs!$B$43),G2283*Q2283)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3">
        <f>IF(C2283,(H2283*N2283*IF(AND(Inputs!$B$38&lt;&gt;"pvp",Inputs!$B$43&gt;0),((Skills!G8*((R2283-1)*IF(Skills!H8&gt;0,Skills!I8/Skills!H8,1)+IF(Skills!H8&gt;0,MIN(Skills!I8,MAX(0,MAX(0,Inputs!$B$43-B2307)-((R2283-1)*(IF(Inputs!$B$38="pvp",15,MAX(0.1,Skills!D8-IF(Skills!E8=TRUE,Inputs!$B$32,0)))*(1-IF(AND(ArtifactsInput!$M$27,Inputs!$B$4="Chapter Hunt"),CHOOSE(ArtifactsInput!$N$27+1,20,24,28,32,36,40),0)/100)))))/Skills!H8,1)))/Inputs!$B$43),G2283*Q2283))*IF(Inputs!$B$38="pvp",1,(1+(Inputs!$B$21+Skills!Q8+(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Skills!A9</f>
        <v/>
      </c>
      <c r="B2284">
        <f>Skills!B9</f>
        <v/>
      </c>
      <c r="C2284">
        <f>Inputs!$B$3&gt;=110</f>
        <v/>
      </c>
      <c r="D2284">
        <f>IF(Skills!C9=1,60+Inputs!$B$25+Inputs!$B$29,IF(Skills!C9=2,90+Inputs!$B$26+Inputs!$B$29,IF(Skills!C9=3,120+Inputs!$B$27+Inputs!$B$29,MAX(0,(Inputs!$B$3-100)*3)+Inputs!$B$28+Inputs!$B$29)))</f>
        <v/>
      </c>
      <c r="E2284">
        <f>INDEX(FactorTable!$B$2:$Y$301, MATCH(ROUND(MIN(300,MAX(1,D2284)),0), FactorTable!$A$2:$A$301,0), Skills!M9+1)</f>
        <v/>
      </c>
      <c r="F2284">
        <f>IF(Skills!N9=TRUE,(Skills!L9/10)*(E2284/1000),Skills!L9/10)+Skills!O9</f>
        <v/>
      </c>
      <c r="G2284">
        <f>Skills!G9*IF(Skills!H9&gt;0,Skills!I9/Skills!H9,1)</f>
        <v/>
      </c>
      <c r="H2284">
        <f>1-(1-Skills!J9/100)^Skills!K9</f>
        <v/>
      </c>
      <c r="I2284" t="inlineStr">
        <is>
          <t>1</t>
        </is>
      </c>
      <c r="J2284">
        <f>((Inputs!$B$6*(1+Inputs!$B$7/100))+(((Inputs!$B$12*(1+Inputs!$B$13/100))-(Inputs!$B$12*(1+Inputs!$B$13/100)))+0.25*(Inputs!$B$14-Inputs!$B$14))*(1+Inputs!$B$7/100))*(F2284/100)</f>
        <v/>
      </c>
      <c r="K2284">
        <f>J2284*(1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C2295=TRUE)*(F2295-Calc!F20)),(Inputs!$B$23+0+(IF(ArtifactsInput!$M$15,CHOOSE(ArtifactsInput!$N$15+1,25,30,35,40,45,50)/100*(Inputs!$B$11-Inputs!$B$11),0))))/100+(Inputs!$B$23+0+(IF(ArtifactsInput!$M$15,CHOOSE(ArtifactsInput!$N$15+1,25,30,35,40,45,50)/100*(Inputs!$B$11-Inputs!$B$11),0)))/100)/2</f>
        <v/>
      </c>
      <c r="M2284">
        <f>L2284*(1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4">
        <f>L2284*(1-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(1-Summary!$B$11)*T2284+Summary!$B$11*V2284</f>
        <v/>
      </c>
      <c r="P2284">
        <f>IF(B2310=0,0,O2284/B2310)</f>
        <v/>
      </c>
      <c r="Q2284">
        <f>IFERROR(1/(IF(Inputs!$B$38="pvp",15,MAX(0.1,Skills!D9-IF(Skills!E9=TRUE,Inputs!$B$32,0)))*(1-IF(AND(ArtifactsInput!$M$27,Inputs!$B$4="Chapter Hunt"),CHOOSE(ArtifactsInput!$N$27+1,20,24,28,32,36,40),0)/100)),0)</f>
        <v/>
      </c>
      <c r="R2284">
        <f>IF(AND(Inputs!$B$38&lt;&gt;"pvp",Inputs!$B$43&gt;0),IF(MAX(0,Inputs!$B$43-B2307)&lt;=0,0,(INT(MAX(0,Inputs!$B$43-B2307)/(IF(Inputs!$B$38="pvp",15,MAX(0.1,Skills!D9-IF(Skills!E9=TRUE,Inputs!$B$32,0)))*(1-IF(AND(ArtifactsInput!$M$27,Inputs!$B$4="Chapter Hunt"),CHOOSE(ArtifactsInput!$N$27+1,20,24,28,32,36,40),0)/100)))+1)),0)</f>
        <v/>
      </c>
      <c r="S2284">
        <f>IFERROR(O2284/N2284,0)</f>
        <v/>
      </c>
      <c r="T2284">
        <f>IF(C2284,(H2284*N2284*IF(AND(Inputs!$B$38&lt;&gt;"pvp",Inputs!$B$43&gt;0),((Skills!G9*((R2284-1)*IF(Skills!H9&gt;0,Skills!I9/Skills!H9,1)+IF(Skills!H9&gt;0,MIN(Skills!I9,MAX(0,MAX(0,Inputs!$B$43-B2307)-((R2284-1)*(IF(Inputs!$B$38="pvp",15,MAX(0.1,Skills!D9-IF(Skills!E9=TRUE,Inputs!$B$32,0)))*(1-IF(AND(ArtifactsInput!$M$27,Inputs!$B$4="Chapter Hunt"),CHOOSE(ArtifactsInput!$N$27+1,20,24,28,32,36,40),0)/100)))))/Skills!H9,1)))/Inputs!$B$43),G2284*Q2284)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2284*(1-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4">
        <f>IF(C2284,(H2284*N2284*IF(AND(Inputs!$B$38&lt;&gt;"pvp",Inputs!$B$43&gt;0),((Skills!G9*((R2284-1)*IF(Skills!H9&gt;0,Skills!I9/Skills!H9,1)+IF(Skills!H9&gt;0,MIN(Skills!I9,MAX(0,MAX(0,Inputs!$B$43-B2307)-((R2284-1)*(IF(Inputs!$B$38="pvp",15,MAX(0.1,Skills!D9-IF(Skills!E9=TRUE,Inputs!$B$32,0)))*(1-IF(AND(ArtifactsInput!$M$27,Inputs!$B$4="Chapter Hunt"),CHOOSE(ArtifactsInput!$N$27+1,20,24,28,32,36,40),0)/100)))))/Skills!H9,1)))/Inputs!$B$43),G2284*Q2284))*IF(Inputs!$B$38="pvp",1,(1+(Inputs!$B$21+Skills!Q9+(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Skills!A10</f>
        <v/>
      </c>
      <c r="B2285">
        <f>Skills!B10</f>
        <v/>
      </c>
      <c r="C2285">
        <f>Inputs!$B$3&gt;=103</f>
        <v/>
      </c>
      <c r="D2285">
        <f>IF(Skills!C10=1,60+Inputs!$B$25+Inputs!$B$29,IF(Skills!C10=2,90+Inputs!$B$26+Inputs!$B$29,IF(Skills!C10=3,120+Inputs!$B$27+Inputs!$B$29,MAX(0,(Inputs!$B$3-100)*3)+Inputs!$B$28+Inputs!$B$29)))</f>
        <v/>
      </c>
      <c r="E2285">
        <f>INDEX(FactorTable!$B$2:$Y$301, MATCH(ROUND(MIN(300,MAX(1,D2285)),0), FactorTable!$A$2:$A$301,0), Skills!M10+1)</f>
        <v/>
      </c>
      <c r="F2285">
        <f>IF(Skills!N10=TRUE,(Skills!L10/10)*(E2285/1000),Skills!L10/10)+Skills!O10</f>
        <v/>
      </c>
      <c r="G2285">
        <f>Skills!G10*IF(Skills!H10&gt;0,Skills!I10/Skills!H10,1)</f>
        <v/>
      </c>
      <c r="H2285">
        <f>1-(1-Skills!J10/100)^Skills!K10</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2295=TRUE)*(F2295-Calc!F20)),(Inputs!$B$23+0+(IF(ArtifactsInput!$M$15,CHOOSE(ArtifactsInput!$N$15+1,25,30,35,40,45,50)/100*(Inputs!$B$11-Inputs!$B$11),0))))/100+(Inputs!$B$23+0+(IF(ArtifactsInput!$M$15,CHOOSE(ArtifactsInput!$N$15+1,25,30,35,40,45,50)/100*(Inputs!$B$11-Inputs!$B$11),0)))/100)/2</f>
        <v/>
      </c>
      <c r="M2285">
        <f>L2285*(1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IF(B2310=0,0,O2285/B2310)</f>
        <v/>
      </c>
      <c r="Q2285">
        <f>IFERROR(1/(IF(Inputs!$B$38="pvp",15,MAX(0.1,Skills!D10-IF(Skills!E10=TRUE,Inputs!$B$32,0)))*(1-IF(AND(ArtifactsInput!$M$27,Inputs!$B$4="Chapter Hunt"),CHOOSE(ArtifactsInput!$N$27+1,20,24,28,32,36,40),0)/100)),0)</f>
        <v/>
      </c>
      <c r="R2285">
        <f>IF(AND(Inputs!$B$38&lt;&gt;"pvp",Inputs!$B$43&gt;0),IF(MAX(0,Inputs!$B$43-B2307)&lt;=0,0,(INT(MAX(0,Inputs!$B$43-B2307)/(IF(Inputs!$B$38="pvp",15,MAX(0.1,Skills!D10-IF(Skills!E10=TRUE,Inputs!$B$32,0)))*(1-IF(AND(ArtifactsInput!$M$27,Inputs!$B$4="Chapter Hunt"),CHOOSE(ArtifactsInput!$N$27+1,20,24,28,32,36,40),0)/100)))+1)),0)</f>
        <v/>
      </c>
      <c r="S2285">
        <f>IFERROR(O2285/N2285,0)</f>
        <v/>
      </c>
      <c r="T2285">
        <f>IF(C2285,(H2285*N2285*IF(AND(Inputs!$B$38&lt;&gt;"pvp",Inputs!$B$43&gt;0),((Skills!G10*((R2285-1)*IF(Skills!H10&gt;0,Skills!I10/Skills!H10,1)+IF(Skills!H10&gt;0,MIN(Skills!I10,MAX(0,MAX(0,Inputs!$B$43-B2307)-((R2285-1)*(IF(Inputs!$B$38="pvp",15,MAX(0.1,Skills!D10-IF(Skills!E10=TRUE,Inputs!$B$32,0)))*(1-IF(AND(ArtifactsInput!$M$27,Inputs!$B$4="Chapter Hunt"),CHOOSE(ArtifactsInput!$N$27+1,20,24,28,32,36,40),0)/100)))))/Skills!H10,1)))/Inputs!$B$43),G2285*Q2285)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10*((R2285-1)*IF(Skills!H10&gt;0,Skills!I10/Skills!H10,1)+IF(Skills!H10&gt;0,MIN(Skills!I10,MAX(0,MAX(0,Inputs!$B$43-B2307)-((R2285-1)*(IF(Inputs!$B$38="pvp",15,MAX(0.1,Skills!D10-IF(Skills!E10=TRUE,Inputs!$B$32,0)))*(1-IF(AND(ArtifactsInput!$M$27,Inputs!$B$4="Chapter Hunt"),CHOOSE(ArtifactsInput!$N$27+1,20,24,28,32,36,40),0)/100)))))/Skills!H10,1)))/Inputs!$B$43),G2285*Q2285))*IF(Inputs!$B$38="pvp",1,(1+(Inputs!$B$21+Skills!Q10+(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Skills!A11</f>
        <v/>
      </c>
      <c r="B2286">
        <f>Skills!B11</f>
        <v/>
      </c>
      <c r="C2286">
        <f>Inputs!$B$3&gt;=113</f>
        <v/>
      </c>
      <c r="D2286">
        <f>IF(Skills!C11=1,60+Inputs!$B$25+Inputs!$B$29,IF(Skills!C11=2,90+Inputs!$B$26+Inputs!$B$29,IF(Skills!C11=3,120+Inputs!$B$27+Inputs!$B$29,MAX(0,(Inputs!$B$3-100)*3)+Inputs!$B$28+Inputs!$B$29)))</f>
        <v/>
      </c>
      <c r="E2286">
        <f>INDEX(FactorTable!$B$2:$Y$301, MATCH(ROUND(MIN(300,MAX(1,D2286)),0), FactorTable!$A$2:$A$301,0), Skills!M11+1)</f>
        <v/>
      </c>
      <c r="F2286">
        <f>IF(Skills!N11=TRUE,(Skills!L11/10)*(E2286/1000),Skills!L11/10)+Skills!O11</f>
        <v/>
      </c>
      <c r="G2286">
        <f>Skills!G11*IF(Skills!H11&gt;0,Skills!I11/Skills!H11,1)</f>
        <v/>
      </c>
      <c r="H2286">
        <f>1-(1-Skills!J11/100)^Skills!K11</f>
        <v/>
      </c>
      <c r="I2286" t="inlineStr">
        <is>
          <t>1</t>
        </is>
      </c>
      <c r="J2286">
        <f>((Inputs!$B$6*(1+Inputs!$B$7/100))+(((Inputs!$B$12*(1+Inputs!$B$13/100))-(Inputs!$B$12*(1+Inputs!$B$13/100)))+0.25*(Inputs!$B$14-Inputs!$B$14))*(1+Inputs!$B$7/100))*(F2286/100)</f>
        <v/>
      </c>
      <c r="K2286">
        <f>J2286*(1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2295=TRUE)*(F2295-Calc!F20)),(Inputs!$B$23+0+(IF(ArtifactsInput!$M$15,CHOOSE(ArtifactsInput!$N$15+1,25,30,35,40,45,50)/100*(Inputs!$B$11-Inputs!$B$11),0))))/100+(Inputs!$B$23+0+(IF(ArtifactsInput!$M$15,CHOOSE(ArtifactsInput!$N$15+1,25,30,35,40,45,50)/100*(Inputs!$B$11-Inputs!$B$11),0)))/100)/2</f>
        <v/>
      </c>
      <c r="M2286">
        <f>L2286*(1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IF(B2310=0,0,O2286/B2310)</f>
        <v/>
      </c>
      <c r="Q2286">
        <f>IFERROR(1/(IF(Inputs!$B$38="pvp",15,MAX(0.1,Skills!D11-IF(Skills!E11=TRUE,Inputs!$B$32,0)))*(1-IF(AND(ArtifactsInput!$M$27,Inputs!$B$4="Chapter Hunt"),CHOOSE(ArtifactsInput!$N$27+1,20,24,28,32,36,40),0)/100)),0)</f>
        <v/>
      </c>
      <c r="R2286">
        <f>IF(AND(Inputs!$B$38&lt;&gt;"pvp",Inputs!$B$43&gt;0),IF(MAX(0,Inputs!$B$43-B2307)&lt;=0,0,(INT(MAX(0,Inputs!$B$43-B2307)/(IF(Inputs!$B$38="pvp",15,MAX(0.1,Skills!D11-IF(Skills!E11=TRUE,Inputs!$B$32,0)))*(1-IF(AND(ArtifactsInput!$M$27,Inputs!$B$4="Chapter Hunt"),CHOOSE(ArtifactsInput!$N$27+1,20,24,28,32,36,40),0)/100)))+1)),0)</f>
        <v/>
      </c>
      <c r="S2286">
        <f>IFERROR(O2286/N2286,0)</f>
        <v/>
      </c>
      <c r="T2286">
        <f>IF(C2286,(H2286*N2286*IF(AND(Inputs!$B$38&lt;&gt;"pvp",Inputs!$B$43&gt;0),((Skills!G11*((R2286-1)*IF(Skills!H11&gt;0,Skills!I11/Skills!H11,1)+IF(Skills!H11&gt;0,MIN(Skills!I11,MAX(0,MAX(0,Inputs!$B$43-B2307)-((R2286-1)*(IF(Inputs!$B$38="pvp",15,MAX(0.1,Skills!D11-IF(Skills!E11=TRUE,Inputs!$B$32,0)))*(1-IF(AND(ArtifactsInput!$M$27,Inputs!$B$4="Chapter Hunt"),CHOOSE(ArtifactsInput!$N$27+1,20,24,28,32,36,40),0)/100)))))/Skills!H11,1)))/Inputs!$B$43),G2286*Q2286)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2286*(1-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H2286*N2286*IF(AND(Inputs!$B$38&lt;&gt;"pvp",Inputs!$B$43&gt;0),((Skills!G11*((R2286-1)*IF(Skills!H11&gt;0,Skills!I11/Skills!H11,1)+IF(Skills!H11&gt;0,MIN(Skills!I11,MAX(0,MAX(0,Inputs!$B$43-B2307)-((R2286-1)*(IF(Inputs!$B$38="pvp",15,MAX(0.1,Skills!D11-IF(Skills!E11=TRUE,Inputs!$B$32,0)))*(1-IF(AND(ArtifactsInput!$M$27,Inputs!$B$4="Chapter Hunt"),CHOOSE(ArtifactsInput!$N$27+1,20,24,28,32,36,40),0)/100)))))/Skills!H11,1)))/Inputs!$B$43),G2286*Q2286))*IF(Inputs!$B$38="pvp",1,(1+(Inputs!$B$21+Skills!Q11+(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Skills!A12</f>
        <v/>
      </c>
      <c r="B2287">
        <f>Skills!B12</f>
        <v/>
      </c>
      <c r="C2287">
        <f>Inputs!$B$3&gt;=100</f>
        <v/>
      </c>
      <c r="D2287">
        <f>IF(Skills!C12=1,60+Inputs!$B$25+Inputs!$B$29,IF(Skills!C12=2,90+Inputs!$B$26+Inputs!$B$29,IF(Skills!C12=3,120+Inputs!$B$27+Inputs!$B$29,MAX(0,(Inputs!$B$3-100)*3)+Inputs!$B$28+Inputs!$B$29)))</f>
        <v/>
      </c>
      <c r="E2287">
        <f>INDEX(FactorTable!$B$2:$Y$301, MATCH(ROUND(MIN(300,MAX(1,D2287)),0), FactorTable!$A$2:$A$301,0), Skills!M12+1)</f>
        <v/>
      </c>
      <c r="F2287">
        <f>IF(Skills!N12=TRUE,(Skills!L12/10)*(E2287/1000),Skills!L12/10)+Skills!O12</f>
        <v/>
      </c>
      <c r="G2287" t="inlineStr"/>
      <c r="H2287" t="inlineStr"/>
      <c r="I2287" t="inlineStr">
        <is>
          <t>1</t>
        </is>
      </c>
      <c r="J2287" t="inlineStr"/>
      <c r="K2287" t="inlineStr"/>
      <c r="L2287" t="inlineStr"/>
      <c r="M2287" t="inlineStr"/>
      <c r="N2287" t="inlineStr"/>
      <c r="O2287" t="inlineStr"/>
      <c r="P2287" t="inlineStr"/>
      <c r="Q2287" t="inlineStr"/>
      <c r="R2287" t="inlineStr"/>
      <c r="S2287" t="inlineStr"/>
      <c r="T2287" t="inlineStr"/>
      <c r="V2287" t="inlineStr"/>
    </row>
    <row r="2288">
      <c r="A2288">
        <f>Skills!A13</f>
        <v/>
      </c>
      <c r="B2288">
        <f>Skills!B13</f>
        <v/>
      </c>
      <c r="C2288">
        <f>Inputs!$B$3&gt;=66</f>
        <v/>
      </c>
      <c r="D2288">
        <f>IF(Skills!C13=1,60+Inputs!$B$25+Inputs!$B$29,IF(Skills!C13=2,90+Inputs!$B$26+Inputs!$B$29,IF(Skills!C13=3,120+Inputs!$B$27+Inputs!$B$29,MAX(0,(Inputs!$B$3-100)*3)+Inputs!$B$28+Inputs!$B$29)))</f>
        <v/>
      </c>
      <c r="E2288">
        <f>INDEX(FactorTable!$B$2:$Y$301, MATCH(ROUND(MIN(300,MAX(1,D2288)),0), FactorTable!$A$2:$A$301,0), Skills!M13+1)</f>
        <v/>
      </c>
      <c r="F2288">
        <f>IF(Skills!N13=TRUE,(Skills!L13/10)*(E2288/1000),Skills!L13/10)+Skills!O13</f>
        <v/>
      </c>
      <c r="G2288">
        <f>Skills!G13*IF(Skills!H13&gt;0,Skills!I13/Skills!H13,1)</f>
        <v/>
      </c>
      <c r="H2288">
        <f>1-(1-Skills!J13/100)^Skills!K13</f>
        <v/>
      </c>
      <c r="I2288" t="inlineStr">
        <is>
          <t>1</t>
        </is>
      </c>
      <c r="J2288" t="inlineStr"/>
      <c r="K2288" t="inlineStr"/>
      <c r="L2288" t="inlineStr"/>
      <c r="M2288" t="inlineStr"/>
      <c r="N2288" t="inlineStr"/>
      <c r="O2288">
        <f>(1-Summary!$B$11)*T2288+Summary!$B$11*V2288</f>
        <v/>
      </c>
      <c r="P2288">
        <f>IF(B2310=0,0,O2288/B2310)</f>
        <v/>
      </c>
      <c r="Q2288" t="n">
        <v>0</v>
      </c>
      <c r="R2288" t="n">
        <v>0</v>
      </c>
      <c r="S2288">
        <f>IFERROR(O2288/N2288,0)</f>
        <v/>
      </c>
      <c r="T2288" t="n">
        <v>0</v>
      </c>
      <c r="V2288" t="n">
        <v>0</v>
      </c>
    </row>
    <row r="2289">
      <c r="A2289">
        <f>Skills!A14</f>
        <v/>
      </c>
      <c r="B2289">
        <f>Skills!B14</f>
        <v/>
      </c>
      <c r="C2289">
        <f>Inputs!$B$3&gt;=107</f>
        <v/>
      </c>
      <c r="D2289">
        <f>IF(Skills!C14=1,60+Inputs!$B$25+Inputs!$B$29,IF(Skills!C14=2,90+Inputs!$B$26+Inputs!$B$29,IF(Skills!C14=3,120+Inputs!$B$27+Inputs!$B$29,MAX(0,(Inputs!$B$3-100)*3)+Inputs!$B$28+Inputs!$B$29)))</f>
        <v/>
      </c>
      <c r="E2289">
        <f>INDEX(FactorTable!$B$2:$Y$301, MATCH(ROUND(MIN(300,MAX(1,D2289)),0), FactorTable!$A$2:$A$301,0), Skills!M14+1)</f>
        <v/>
      </c>
      <c r="F2289">
        <f>IF(Skills!N14=TRUE,(Skills!L14/10)*(E2289/1000),Skills!L14/10)+Skills!O14</f>
        <v/>
      </c>
      <c r="G2289">
        <f>Skills!G14*IF(Skills!H14&gt;0,Skills!I14/Skills!H14,1)</f>
        <v/>
      </c>
      <c r="H2289">
        <f>1-(1-Skills!J14/100)^Skills!K14</f>
        <v/>
      </c>
      <c r="I2289" t="inlineStr">
        <is>
          <t>1</t>
        </is>
      </c>
      <c r="J2289" t="inlineStr"/>
      <c r="K2289" t="inlineStr"/>
      <c r="L2289" t="inlineStr"/>
      <c r="M2289" t="inlineStr"/>
      <c r="N2289" t="inlineStr"/>
      <c r="O2289">
        <f>(1-Summary!$B$11)*T2289+Summary!$B$11*V2289</f>
        <v/>
      </c>
      <c r="P2289">
        <f>IF(B2310=0,0,O2289/B2310)</f>
        <v/>
      </c>
      <c r="Q2289" t="n">
        <v>0</v>
      </c>
      <c r="R2289" t="n">
        <v>0</v>
      </c>
      <c r="S2289">
        <f>IFERROR(O2289/N2289,0)</f>
        <v/>
      </c>
      <c r="T2289" t="n">
        <v>0</v>
      </c>
      <c r="V2289" t="n">
        <v>0</v>
      </c>
    </row>
    <row r="2290">
      <c r="A2290">
        <f>Skills!A15</f>
        <v/>
      </c>
      <c r="B2290">
        <f>Skills!B15</f>
        <v/>
      </c>
      <c r="C2290">
        <f>Inputs!$B$3&gt;=115</f>
        <v/>
      </c>
      <c r="D2290">
        <f>IF(Skills!C15=1,60+Inputs!$B$25+Inputs!$B$29,IF(Skills!C15=2,90+Inputs!$B$26+Inputs!$B$29,IF(Skills!C15=3,120+Inputs!$B$27+Inputs!$B$29,MAX(0,(Inputs!$B$3-100)*3)+Inputs!$B$28+Inputs!$B$29)))</f>
        <v/>
      </c>
      <c r="E2290">
        <f>INDEX(FactorTable!$B$2:$Y$301, MATCH(ROUND(MIN(300,MAX(1,D2290)),0), FactorTable!$A$2:$A$301,0), Skills!M15+1)</f>
        <v/>
      </c>
      <c r="F2290">
        <f>IF(Skills!N15=TRUE,(Skills!L15/10)*(E2290/1000),Skills!L15/10)+Skills!O15</f>
        <v/>
      </c>
      <c r="G2290">
        <f>Skills!G15*IF(Skills!H15&gt;0,Skills!I15/Skills!H15,1)</f>
        <v/>
      </c>
      <c r="H2290">
        <f>1-(1-Skills!J15/100)^Skills!K15</f>
        <v/>
      </c>
      <c r="I2290" t="inlineStr">
        <is>
          <t>1</t>
        </is>
      </c>
      <c r="J2290" t="inlineStr"/>
      <c r="K2290" t="inlineStr"/>
      <c r="L2290" t="inlineStr"/>
      <c r="M2290" t="inlineStr"/>
      <c r="N2290" t="inlineStr"/>
      <c r="O2290">
        <f>(1-Summary!$B$11)*T2290+Summary!$B$11*V2290</f>
        <v/>
      </c>
      <c r="P2290">
        <f>IF(B2310=0,0,O2290/B2310)</f>
        <v/>
      </c>
      <c r="Q2290" t="n">
        <v>0</v>
      </c>
      <c r="R2290" t="n">
        <v>0</v>
      </c>
      <c r="S2290">
        <f>IFERROR(O2290/N2290,0)</f>
        <v/>
      </c>
      <c r="T2290" t="n">
        <v>0</v>
      </c>
      <c r="V2290" t="n">
        <v>0</v>
      </c>
    </row>
    <row r="2291">
      <c r="A2291">
        <f>Skills!A16</f>
        <v/>
      </c>
      <c r="B2291">
        <f>Skills!B16</f>
        <v/>
      </c>
      <c r="C2291">
        <f>Inputs!$B$3&gt;=15</f>
        <v/>
      </c>
      <c r="D2291">
        <f>IF(Skills!C16=1,60+Inputs!$B$25+Inputs!$B$29,IF(Skills!C16=2,90+Inputs!$B$26+Inputs!$B$29,IF(Skills!C16=3,120+Inputs!$B$27+Inputs!$B$29,MAX(0,(Inputs!$B$3-100)*3)+Inputs!$B$28+Inputs!$B$29)))</f>
        <v/>
      </c>
      <c r="E2291">
        <f>INDEX(FactorTable!$B$2:$Y$301, MATCH(ROUND(MIN(300,MAX(1,D2291)),0), FactorTable!$A$2:$A$301,0), Skills!M16+1)</f>
        <v/>
      </c>
      <c r="F2291">
        <f>IF(Skills!N16=TRUE,(Skills!L16/10)*(E2291/1000),Skills!L16/10)+Skills!O16</f>
        <v/>
      </c>
      <c r="G2291">
        <f>Skills!G16*IF(Skills!H16&gt;0,Skills!I16/Skills!H16,1)</f>
        <v/>
      </c>
      <c r="H2291">
        <f>1-(1-Skills!J16/100)^Skills!K16</f>
        <v/>
      </c>
      <c r="I2291" t="inlineStr">
        <is>
          <t>1</t>
        </is>
      </c>
      <c r="J2291" t="inlineStr"/>
      <c r="K2291" t="inlineStr"/>
      <c r="L2291" t="inlineStr"/>
      <c r="M2291" t="inlineStr"/>
      <c r="N2291" t="inlineStr"/>
      <c r="O2291">
        <f>(1-Summary!$B$11)*T2291+Summary!$B$11*V2291</f>
        <v/>
      </c>
      <c r="P2291">
        <f>IF(B2310=0,0,O2291/B2310)</f>
        <v/>
      </c>
      <c r="Q2291" t="n">
        <v>0</v>
      </c>
      <c r="R2291" t="n">
        <v>0</v>
      </c>
      <c r="S2291">
        <f>IFERROR(O2291/N2291,0)</f>
        <v/>
      </c>
      <c r="T2291" t="n">
        <v>0</v>
      </c>
      <c r="V2291" t="n">
        <v>0</v>
      </c>
    </row>
    <row r="2292">
      <c r="A2292">
        <f>Skills!A17</f>
        <v/>
      </c>
      <c r="B2292">
        <f>Skills!B17</f>
        <v/>
      </c>
      <c r="C2292">
        <f>Inputs!$B$3&gt;=10</f>
        <v/>
      </c>
      <c r="D2292">
        <f>IF(Skills!C17=1,60+Inputs!$B$25+Inputs!$B$29,IF(Skills!C17=2,90+Inputs!$B$26+Inputs!$B$29,IF(Skills!C17=3,120+Inputs!$B$27+Inputs!$B$29,MAX(0,(Inputs!$B$3-100)*3)+Inputs!$B$28+Inputs!$B$29)))</f>
        <v/>
      </c>
      <c r="E2292">
        <f>INDEX(FactorTable!$B$2:$Y$301, MATCH(ROUND(MIN(300,MAX(1,D2292)),0), FactorTable!$A$2:$A$301,0), Skills!M17+1)</f>
        <v/>
      </c>
      <c r="F2292">
        <f>IF(Skills!N17=TRUE,(Skills!L17/10)*(E2292/1000),Skills!L17/10)+Skills!O17</f>
        <v/>
      </c>
      <c r="G2292">
        <f>Skills!G17*IF(Skills!H17&gt;0,Skills!I17/Skills!H17,1)</f>
        <v/>
      </c>
      <c r="H2292">
        <f>1-(1-Skills!J17/100)^Skills!K17</f>
        <v/>
      </c>
      <c r="I2292" t="inlineStr">
        <is>
          <t>1</t>
        </is>
      </c>
      <c r="J2292" t="inlineStr"/>
      <c r="K2292" t="inlineStr"/>
      <c r="L2292" t="inlineStr"/>
      <c r="M2292" t="inlineStr"/>
      <c r="N2292" t="inlineStr"/>
      <c r="O2292">
        <f>(1-Summary!$B$11)*T2292+Summary!$B$11*V2292</f>
        <v/>
      </c>
      <c r="P2292">
        <f>IF(B2310=0,0,O2292/B2310)</f>
        <v/>
      </c>
      <c r="Q2292" t="n">
        <v>0</v>
      </c>
      <c r="R2292" t="n">
        <v>0</v>
      </c>
      <c r="S2292">
        <f>IFERROR(O2292/N2292,0)</f>
        <v/>
      </c>
      <c r="T2292" t="n">
        <v>0</v>
      </c>
      <c r="V2292" t="n">
        <v>0</v>
      </c>
    </row>
    <row r="2293">
      <c r="A2293">
        <f>Skills!A18</f>
        <v/>
      </c>
      <c r="B2293">
        <f>Skills!B18</f>
        <v/>
      </c>
      <c r="C2293">
        <f>Inputs!$B$3&gt;=33</f>
        <v/>
      </c>
      <c r="D2293">
        <f>IF(Skills!C18=1,60+Inputs!$B$25+Inputs!$B$29,IF(Skills!C18=2,90+Inputs!$B$26+Inputs!$B$29,IF(Skills!C18=3,120+Inputs!$B$27+Inputs!$B$29,MAX(0,(Inputs!$B$3-100)*3)+Inputs!$B$28+Inputs!$B$29)))</f>
        <v/>
      </c>
      <c r="E2293">
        <f>INDEX(FactorTable!$B$2:$Y$301, MATCH(ROUND(MIN(300,MAX(1,D2293)),0), FactorTable!$A$2:$A$301,0), Skills!M18+1)</f>
        <v/>
      </c>
      <c r="F2293">
        <f>IF(Skills!N18=TRUE,(Skills!L18/10)*(E2293/1000),Skills!L18/10)+Skills!O18</f>
        <v/>
      </c>
      <c r="G2293">
        <f>Skills!G18*IF(Skills!H18&gt;0,Skills!I18/Skills!H18,1)</f>
        <v/>
      </c>
      <c r="H2293">
        <f>1-(1-Skills!J18/100)^Skills!K18</f>
        <v/>
      </c>
      <c r="I2293" t="inlineStr">
        <is>
          <t>1</t>
        </is>
      </c>
      <c r="J2293" t="inlineStr"/>
      <c r="K2293" t="inlineStr"/>
      <c r="L2293" t="inlineStr"/>
      <c r="M2293" t="inlineStr"/>
      <c r="N2293" t="inlineStr"/>
      <c r="O2293">
        <f>(1-Summary!$B$11)*T2293+Summary!$B$11*V2293</f>
        <v/>
      </c>
      <c r="P2293">
        <f>IF(B2310=0,0,O2293/B2310)</f>
        <v/>
      </c>
      <c r="Q2293" t="n">
        <v>0</v>
      </c>
      <c r="R2293" t="n">
        <v>0</v>
      </c>
      <c r="S2293">
        <f>IFERROR(O2293/N2293,0)</f>
        <v/>
      </c>
      <c r="T2293" t="n">
        <v>0</v>
      </c>
      <c r="V2293" t="n">
        <v>0</v>
      </c>
    </row>
    <row r="2294">
      <c r="A2294">
        <f>Skills!A19</f>
        <v/>
      </c>
      <c r="B2294">
        <f>Skills!B19</f>
        <v/>
      </c>
      <c r="C2294">
        <f>Inputs!$B$3&gt;=40</f>
        <v/>
      </c>
      <c r="D2294">
        <f>IF(Skills!C19=1,60+Inputs!$B$25+Inputs!$B$29,IF(Skills!C19=2,90+Inputs!$B$26+Inputs!$B$29,IF(Skills!C19=3,120+Inputs!$B$27+Inputs!$B$29,MAX(0,(Inputs!$B$3-100)*3)+Inputs!$B$28+Inputs!$B$29)))</f>
        <v/>
      </c>
      <c r="E2294">
        <f>INDEX(FactorTable!$B$2:$Y$301, MATCH(ROUND(MIN(300,MAX(1,D2294)),0), FactorTable!$A$2:$A$301,0), Skills!M19+1)</f>
        <v/>
      </c>
      <c r="F2294">
        <f>IF(Skills!N19=TRUE,(Skills!L19/10)*(E2294/1000),Skills!L19/10)+Skills!O19</f>
        <v/>
      </c>
      <c r="G2294">
        <f>Skills!G19*IF(Skills!H19&gt;0,Skills!I19/Skills!H19,1)</f>
        <v/>
      </c>
      <c r="H2294">
        <f>1-(1-Skills!J19/100)^Skills!K19</f>
        <v/>
      </c>
      <c r="I2294" t="inlineStr">
        <is>
          <t>1</t>
        </is>
      </c>
      <c r="J2294" t="inlineStr"/>
      <c r="K2294" t="inlineStr"/>
      <c r="L2294" t="inlineStr"/>
      <c r="M2294" t="inlineStr"/>
      <c r="N2294" t="inlineStr"/>
      <c r="O2294">
        <f>(1-Summary!$B$11)*T2294+Summary!$B$11*V2294</f>
        <v/>
      </c>
      <c r="P2294">
        <f>IF(B2310=0,0,O2294/B2310)</f>
        <v/>
      </c>
      <c r="Q2294" t="n">
        <v>0</v>
      </c>
      <c r="R2294" t="n">
        <v>0</v>
      </c>
      <c r="S2294">
        <f>IFERROR(O2294/N2294,0)</f>
        <v/>
      </c>
      <c r="T2294" t="n">
        <v>0</v>
      </c>
      <c r="V2294" t="n">
        <v>0</v>
      </c>
    </row>
    <row r="2295">
      <c r="A2295">
        <f>Skills!A20</f>
        <v/>
      </c>
      <c r="B2295">
        <f>Skills!B20</f>
        <v/>
      </c>
      <c r="C2295">
        <f>Inputs!$B$3&gt;=43</f>
        <v/>
      </c>
      <c r="D2295">
        <f>IF(Skills!C20=1,60+Inputs!$B$25+Inputs!$B$29,IF(Skills!C20=2,90+Inputs!$B$26+Inputs!$B$29,IF(Skills!C20=3,120+Inputs!$B$27+Inputs!$B$29,MAX(0,(Inputs!$B$3-100)*3)+Inputs!$B$28+Inputs!$B$29)))</f>
        <v/>
      </c>
      <c r="E2295">
        <f>INDEX(FactorTable!$B$2:$Y$301, MATCH(ROUND(MIN(300,MAX(1,D2295)),0), FactorTable!$A$2:$A$301,0), Skills!M20+1)</f>
        <v/>
      </c>
      <c r="F2295">
        <f>IF(Skills!N20=TRUE,(Skills!L20/10)*(E2295/1000),Skills!L20/10)+Skills!O20</f>
        <v/>
      </c>
      <c r="G2295">
        <f>Skills!G20*IF(Skills!H20&gt;0,Skills!I20/Skills!H20,1)</f>
        <v/>
      </c>
      <c r="H2295">
        <f>1-(1-Skills!J20/100)^Skills!K20</f>
        <v/>
      </c>
      <c r="I2295" t="inlineStr">
        <is>
          <t>1</t>
        </is>
      </c>
      <c r="J2295" t="inlineStr"/>
      <c r="K2295" t="inlineStr"/>
      <c r="L2295" t="inlineStr"/>
      <c r="M2295" t="inlineStr"/>
      <c r="N2295" t="inlineStr"/>
      <c r="O2295">
        <f>(1-Summary!$B$11)*T2295+Summary!$B$11*V2295</f>
        <v/>
      </c>
      <c r="P2295">
        <f>IF(B2310=0,0,O2295/B2310)</f>
        <v/>
      </c>
      <c r="Q2295" t="n">
        <v>0</v>
      </c>
      <c r="R2295" t="n">
        <v>0</v>
      </c>
      <c r="S2295">
        <f>IFERROR(O2295/N2295,0)</f>
        <v/>
      </c>
      <c r="T2295" t="n">
        <v>0</v>
      </c>
      <c r="V2295" t="n">
        <v>0</v>
      </c>
    </row>
    <row r="2296">
      <c r="A2296">
        <f>Skills!A21</f>
        <v/>
      </c>
      <c r="B2296">
        <f>Skills!B21</f>
        <v/>
      </c>
      <c r="C2296">
        <f>Inputs!$B$3&gt;=38</f>
        <v/>
      </c>
      <c r="D2296">
        <f>IF(Skills!C21=1,60+Inputs!$B$25+Inputs!$B$29,IF(Skills!C21=2,90+Inputs!$B$26+Inputs!$B$29,IF(Skills!C21=3,120+Inputs!$B$27+Inputs!$B$29,MAX(0,(Inputs!$B$3-100)*3)+Inputs!$B$28+Inputs!$B$29)))</f>
        <v/>
      </c>
      <c r="E2296">
        <f>INDEX(FactorTable!$B$2:$Y$301, MATCH(ROUND(MIN(300,MAX(1,D2296)),0), FactorTable!$A$2:$A$301,0), Skills!M21+1)</f>
        <v/>
      </c>
      <c r="F2296">
        <f>IF(Skills!N21=TRUE,(Skills!L21/10)*(E2296/1000),Skills!L21/10)+Skills!O21</f>
        <v/>
      </c>
      <c r="G2296">
        <f>Skills!G21*IF(Skills!H21&gt;0,Skills!I21/Skills!H21,1)</f>
        <v/>
      </c>
      <c r="H2296">
        <f>1-(1-Skills!J21/100)^Skills!K21</f>
        <v/>
      </c>
      <c r="I2296" t="inlineStr">
        <is>
          <t>1</t>
        </is>
      </c>
      <c r="J2296" t="inlineStr"/>
      <c r="K2296" t="inlineStr"/>
      <c r="L2296" t="inlineStr"/>
      <c r="M2296" t="inlineStr"/>
      <c r="N2296" t="inlineStr"/>
      <c r="O2296">
        <f>(1-Summary!$B$11)*T2296+Summary!$B$11*V2296</f>
        <v/>
      </c>
      <c r="P2296">
        <f>IF(B2310=0,0,O2296/B2310)</f>
        <v/>
      </c>
      <c r="Q2296" t="n">
        <v>0</v>
      </c>
      <c r="R2296" t="n">
        <v>0</v>
      </c>
      <c r="S2296">
        <f>IFERROR(O2296/N2296,0)</f>
        <v/>
      </c>
      <c r="T2296" t="n">
        <v>0</v>
      </c>
      <c r="V2296" t="n">
        <v>0</v>
      </c>
    </row>
    <row r="2297">
      <c r="A2297">
        <f>Skills!A22</f>
        <v/>
      </c>
      <c r="B2297">
        <f>Skills!B22</f>
        <v/>
      </c>
      <c r="C2297">
        <f>Inputs!$B$3&gt;=75</f>
        <v/>
      </c>
      <c r="D2297">
        <f>IF(Skills!C22=1,60+Inputs!$B$25+Inputs!$B$29,IF(Skills!C22=2,90+Inputs!$B$26+Inputs!$B$29,IF(Skills!C22=3,120+Inputs!$B$27+Inputs!$B$29,MAX(0,(Inputs!$B$3-100)*3)+Inputs!$B$28+Inputs!$B$29)))</f>
        <v/>
      </c>
      <c r="E2297">
        <f>INDEX(FactorTable!$B$2:$Y$301, MATCH(ROUND(MIN(300,MAX(1,D2297)),0), FactorTable!$A$2:$A$301,0), Skills!M22+1)</f>
        <v/>
      </c>
      <c r="F2297">
        <f>IF(Skills!N22=TRUE,(Skills!L22/10)*(E2297/1000),Skills!L22/10)+Skills!O22</f>
        <v/>
      </c>
      <c r="G2297">
        <f>Skills!G22*IF(Skills!H22&gt;0,Skills!I22/Skills!H22,1)</f>
        <v/>
      </c>
      <c r="H2297">
        <f>1-(1-Skills!J22/100)^Skills!K22</f>
        <v/>
      </c>
      <c r="I2297" t="inlineStr">
        <is>
          <t>1</t>
        </is>
      </c>
      <c r="J2297" t="inlineStr"/>
      <c r="K2297" t="inlineStr"/>
      <c r="L2297" t="inlineStr"/>
      <c r="M2297" t="inlineStr"/>
      <c r="N2297" t="inlineStr"/>
      <c r="O2297">
        <f>(1-Summary!$B$11)*T2297+Summary!$B$11*V2297</f>
        <v/>
      </c>
      <c r="P2297">
        <f>IF(B2310=0,0,O2297/B2310)</f>
        <v/>
      </c>
      <c r="Q2297" t="n">
        <v>0</v>
      </c>
      <c r="R2297" t="n">
        <v>0</v>
      </c>
      <c r="S2297">
        <f>IFERROR(O2297/N2297,0)</f>
        <v/>
      </c>
      <c r="T2297" t="n">
        <v>0</v>
      </c>
      <c r="V2297" t="n">
        <v>0</v>
      </c>
    </row>
    <row r="2299">
      <c r="A2299" t="inlineStr">
        <is>
          <t>Attack% Bucket Multiplier</t>
        </is>
      </c>
      <c r="B2299">
        <f>(1+(((C2288=TRUE)*F2288)+((C2294=TRUE)*(F2294-Calc!F19))+(IF(ArtifactsInput!$M$21,CHOOSE(ArtifactsInput!$N$21+1,25,30,35,40,45,50)*(IF(OR(Inputs!$B$4="Chapter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0">
      <c r="A2300" t="inlineStr">
        <is>
          <t>Global Crit Rate Bonus %</t>
        </is>
      </c>
      <c r="B2300" t="n">
        <v>0</v>
      </c>
    </row>
    <row r="2301">
      <c r="A2301" t="inlineStr">
        <is>
          <t>Attack Speed Buff Bonus % (unused)</t>
        </is>
      </c>
      <c r="B2301" t="n">
        <v>0</v>
      </c>
    </row>
    <row r="2302">
      <c r="A2302" t="inlineStr">
        <is>
          <t>Actions Per Second</t>
        </is>
      </c>
      <c r="B2302">
        <f>1+MIN(150,150*(1-(1-(Inputs!$B$11+((C2292=TRUE)*(F2292-Calc!F17))+((C2293=TRUE)*(F2293-Calc!F18)))/150)*(1-B2301/150)))/100</f>
        <v/>
      </c>
    </row>
    <row r="2303">
      <c r="A2303" t="inlineStr">
        <is>
          <t>Skill + Buff Cast Rate</t>
        </is>
      </c>
      <c r="B2303">
        <f>IF(AND(Inputs!$B$38&lt;&gt;"pvp",Inputs!$B$43&gt;0),SUMPRODUCT((Skills!E2:E22=TRUE)*(C2277:C2297=TRUE)*R2277:R2297*Skills!F2:F22)/Inputs!$B$43,SUMPRODUCT((Skills!E2:E22=TRUE)*(C2277:C2297=TRUE)*Q2277:Q2297*Skills!F2:F22))</f>
        <v/>
      </c>
    </row>
    <row r="2304">
      <c r="A2304" t="inlineStr">
        <is>
          <t>Hook Bomber Casts Per Second</t>
        </is>
      </c>
      <c r="B2304">
        <f>MAX(0,B2302-B2303)</f>
        <v/>
      </c>
    </row>
    <row r="2305">
      <c r="A2305" t="inlineStr">
        <is>
          <t>Global Critical Damage Bonus % (unused)</t>
        </is>
      </c>
      <c r="B2305" t="n">
        <v>0</v>
      </c>
    </row>
    <row r="2306">
      <c r="A2306" t="inlineStr">
        <is>
          <t>Global Final Damage Bonus % (Serpent Scale + Crossbones + Time Leap + Speed Infusion)</t>
        </is>
      </c>
      <c r="B2306">
        <f>((C2280=TRUE)*F2280*((10+IF(Inputs!$B$3&gt;=94,5,0))/((10+IF(Inputs!$B$3&gt;=94,5,0))+5/(B2304*(1+IF(Inputs!$B$3&gt;=104,1,0))))))+((C2289=TRUE)*F2289)+((C2290=TRUE)*F2290)+((Inputs!$B$3&gt;=110)*20*(B2302-1))</f>
        <v/>
      </c>
    </row>
    <row r="2307">
      <c r="A2307" t="inlineStr">
        <is>
          <t>Buff-Casting Startup Delay (s, fixed-duration only)</t>
        </is>
      </c>
      <c r="B2307">
        <f>IF(AND(Inputs!$B$38&lt;&gt;"pvp",Inputs!$B$43&gt;0),SUMPRODUCT((Skills!T2:T22&gt;0)*(Skills!E2:E22=TRUE)*(C2277:C2297=TRUE))/B2302,0)</f>
        <v/>
      </c>
    </row>
    <row r="2308">
      <c r="A2308" t="inlineStr">
        <is>
          <t>Boss-Only Total DPS (this block's swept value)</t>
        </is>
      </c>
      <c r="B2308">
        <f>SUM(T2277:T2297)</f>
        <v/>
      </c>
    </row>
    <row r="2309">
      <c r="A2309" t="inlineStr">
        <is>
          <t>Normal-Only Total DPS (this block's swept value)</t>
        </is>
      </c>
      <c r="B2309">
        <f>SUM(V2277:V2297)</f>
        <v/>
      </c>
    </row>
    <row r="2310">
      <c r="A2310" s="6" t="inlineStr">
        <is>
          <t>TOTAL DPS</t>
        </is>
      </c>
      <c r="B2310" s="6">
        <f>SUM(O2277:O2297)</f>
        <v/>
      </c>
    </row>
    <row r="2313">
      <c r="A2313" s="6" t="inlineStr">
        <is>
          <t>Stat: Reindeer's Spear (Equip)</t>
        </is>
      </c>
    </row>
    <row r="2314">
      <c r="A2314" s="5" t="inlineStr">
        <is>
          <t>Key</t>
        </is>
      </c>
      <c r="B2314" s="5" t="inlineStr">
        <is>
          <t>Name</t>
        </is>
      </c>
      <c r="C2314" s="5" t="inlineStr">
        <is>
          <t>Unlocked</t>
        </is>
      </c>
      <c r="D2314" s="5" t="inlineStr">
        <is>
          <t>InputLevel</t>
        </is>
      </c>
      <c r="E2314" s="5" t="inlineStr">
        <is>
          <t>Factor</t>
        </is>
      </c>
      <c r="F2314" s="5" t="inlineStr">
        <is>
          <t>CoefficientPercent</t>
        </is>
      </c>
      <c r="G2314" s="5" t="inlineStr">
        <is>
          <t>EffectiveHits</t>
        </is>
      </c>
      <c r="H2314" s="5" t="inlineStr">
        <is>
          <t>ProcProbability</t>
        </is>
      </c>
      <c r="I2314" s="5" t="inlineStr">
        <is>
          <t>MapleHeroMultiplier</t>
        </is>
      </c>
      <c r="J2314" s="5" t="inlineStr">
        <is>
          <t>BaseDamage</t>
        </is>
      </c>
      <c r="K2314" s="5" t="inlineStr">
        <is>
          <t>BaseHitDamage</t>
        </is>
      </c>
      <c r="L2314" s="5" t="inlineStr">
        <is>
          <t>NonCritAvg</t>
        </is>
      </c>
      <c r="M2314" s="5" t="inlineStr">
        <is>
          <t>CritAvg</t>
        </is>
      </c>
      <c r="N2314" s="5" t="inlineStr">
        <is>
          <t>ExpectedDamage(perHit)</t>
        </is>
      </c>
      <c r="O2314" s="5" t="inlineStr">
        <is>
          <t>DPS</t>
        </is>
      </c>
      <c r="P2314" s="5" t="inlineStr">
        <is>
          <t>% of Total</t>
        </is>
      </c>
      <c r="Q2314" s="5" t="inlineStr">
        <is>
          <t>InvCooldown</t>
        </is>
      </c>
      <c r="R2314" s="5" t="inlineStr">
        <is>
          <t>CastsInFight</t>
        </is>
      </c>
      <c r="S2314" s="5" t="inlineStr">
        <is>
          <t>HitRate(perSec)</t>
        </is>
      </c>
      <c r="U2314" t="inlineStr">
        <is>
          <t>helpers</t>
        </is>
      </c>
    </row>
    <row r="2315">
      <c r="A2315">
        <f>Skills!A2</f>
        <v/>
      </c>
      <c r="B2315">
        <f>Skills!B2</f>
        <v/>
      </c>
      <c r="C2315">
        <f>Inputs!$B$3&gt;=100</f>
        <v/>
      </c>
      <c r="D2315" t="inlineStr"/>
      <c r="E2315" t="inlineStr"/>
      <c r="F2315">
        <f>U2317+Skills!O2</f>
        <v/>
      </c>
      <c r="G2315">
        <f>Skills!G2*IF(Skills!H2&gt;0,Skills!I2/Skills!H2,1)</f>
        <v/>
      </c>
      <c r="H2315">
        <f>1-(1-Skills!J2/100)^Skills!K2</f>
        <v/>
      </c>
      <c r="I2315" t="inlineStr">
        <is>
          <t>1</t>
        </is>
      </c>
      <c r="J2315">
        <f>((Inputs!$B$6*(1+Inputs!$B$7/100))+(((Inputs!$B$12*(1+Inputs!$B$13/100))-(Inputs!$B$12*(1+Inputs!$B$13/100)))+0.25*(Inputs!$B$14-Inputs!$B$14))*(1+Inputs!$B$7/100))*(F2315/100)</f>
        <v/>
      </c>
      <c r="K2315">
        <f>J2315*(1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2315)</f>
        <v/>
      </c>
      <c r="L2315">
        <f>K2315*(MIN(Inputs!$B$22+((C2333=TRUE)*(F2333-Calc!F20)),(Inputs!$B$23+0+(IF(ArtifactsInput!$M$15,CHOOSE(ArtifactsInput!$N$15+1,25,30,35,40,45,50)/100*(Inputs!$B$11-Inputs!$B$11),0))))/100+(Inputs!$B$23+0+(IF(ArtifactsInput!$M$15,CHOOSE(ArtifactsInput!$N$15+1,25,30,35,40,45,50)/100*(Inputs!$B$11-Inputs!$B$11),0)))/100)/2</f>
        <v/>
      </c>
      <c r="M2315">
        <f>L2315*(1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5">
        <f>L2315*(1-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2315*(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5">
        <f>(1-Summary!$B$11)*T2315+Summary!$B$11*V2315</f>
        <v/>
      </c>
      <c r="P2315">
        <f>IF(B2348=0,0,O2315/B2348)</f>
        <v/>
      </c>
      <c r="Q2315" t="n">
        <v>0</v>
      </c>
      <c r="R2315" t="n">
        <v>0</v>
      </c>
      <c r="S2315">
        <f>IFERROR(O2315/N2315,0)</f>
        <v/>
      </c>
      <c r="T2315">
        <f>IF(C2315,(Skills!G2*N2315*B2342)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2315*(1-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2315*(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2315*(1-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2315*(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5">
        <f>MAX(0,(Inputs!$B$3-100)*3)+Inputs!$B$28+Inputs!$B$29</f>
        <v/>
      </c>
      <c r="V2315">
        <f>IF(C2315,(Skills!G2*N2315*B2342)*IF(Inputs!$B$38="pvp",1,(1+(Inputs!$B$21+Skills!Q2+(IF(ArtifactsInput!$M$33,CHOOSE(ArtifactsInput!$N$33+1,30,36,42,48,54,60),0))+(IF(AND(ArtifactsInput!$M$35,Inputs!$B$4&lt;&gt;"Chapter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6">
      <c r="A2316">
        <f>Skills!A3</f>
        <v/>
      </c>
      <c r="B2316">
        <f>Skills!B3</f>
        <v/>
      </c>
      <c r="C2316">
        <f>Inputs!$B$3&gt;=35</f>
        <v/>
      </c>
      <c r="D2316">
        <f>IF(Skills!C3=1,60+Inputs!$B$25+Inputs!$B$29,IF(Skills!C3=2,90+Inputs!$B$26+Inputs!$B$29,IF(Skills!C3=3,120+Inputs!$B$27+Inputs!$B$29,MAX(0,(Inputs!$B$3-100)*3)+Inputs!$B$28+Inputs!$B$29)))</f>
        <v/>
      </c>
      <c r="E2316">
        <f>INDEX(FactorTable!$B$2:$Y$301, MATCH(ROUND(MIN(300,MAX(1,D2316)),0), FactorTable!$A$2:$A$301,0), Skills!M3+1)</f>
        <v/>
      </c>
      <c r="F2316">
        <f>IF(Skills!N3=TRUE,(Skills!L3/10)*(E2316/1000),Skills!L3/10)+Skills!O3</f>
        <v/>
      </c>
      <c r="G2316">
        <f>Skills!G3*IF(Skills!H3&gt;0,Skills!I3/Skills!H3,1)</f>
        <v/>
      </c>
      <c r="H2316">
        <f>1-(1-Skills!J3/100)^Skills!K3</f>
        <v/>
      </c>
      <c r="I2316" t="inlineStr">
        <is>
          <t>1</t>
        </is>
      </c>
      <c r="J2316">
        <f>((Inputs!$B$6*(1+Inputs!$B$7/100))+(((Inputs!$B$12*(1+Inputs!$B$13/100))-(Inputs!$B$12*(1+Inputs!$B$13/100)))+0.25*(Inputs!$B$14-Inputs!$B$14))*(1+Inputs!$B$7/100))*(F2316/100)</f>
        <v/>
      </c>
      <c r="K2316">
        <f>J2316*(1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C2333=TRUE)*(F2333-Calc!F20)),(Inputs!$B$23+0+(IF(ArtifactsInput!$M$15,CHOOSE(ArtifactsInput!$N$15+1,25,30,35,40,45,50)/100*(Inputs!$B$11-Inputs!$B$11),0))))/100+(Inputs!$B$23+0+(IF(ArtifactsInput!$M$15,CHOOSE(ArtifactsInput!$N$15+1,25,30,35,40,45,50)/100*(Inputs!$B$11-Inputs!$B$11),0)))/100)/2</f>
        <v/>
      </c>
      <c r="M2316">
        <f>L2316*(1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(1-Summary!$B$11)*T2316+Summary!$B$11*V2316</f>
        <v/>
      </c>
      <c r="P2316">
        <f>IF(B2348=0,0,O2316/B2348)</f>
        <v/>
      </c>
      <c r="Q2316" t="n">
        <v>0</v>
      </c>
      <c r="R2316" t="n">
        <v>0</v>
      </c>
      <c r="S2316">
        <f>IFERROR(O2316/N2316,0)</f>
        <v/>
      </c>
      <c r="T2316">
        <f>IF(C2316,(Skills!G3*H2316*N2316*B2342)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2316*(1-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6">
        <f>INDEX(FactorTable!$B$2:$Y$301, MATCH(ROUND(MIN(300,MAX(1,U2315)),0), FactorTable!$A$2:$A$301,0), 22)</f>
        <v/>
      </c>
      <c r="V2316">
        <f>IF(C2316,(Skills!G3*H2316*N2316*B2342)*IF(Inputs!$B$38="pvp",1,(1+(Inputs!$B$21+Skills!Q3+(IF(ArtifactsInput!$M$33,CHOOSE(ArtifactsInput!$N$33+1,30,36,42,48,54,60),0))+(IF(AND(ArtifactsInput!$M$35,Inputs!$B$4&lt;&gt;"Chapter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7">
      <c r="A2317">
        <f>Skills!A4</f>
        <v/>
      </c>
      <c r="B2317">
        <f>Skills!B4</f>
        <v/>
      </c>
      <c r="C2317">
        <f>Inputs!$B$3&gt;=60</f>
        <v/>
      </c>
      <c r="D2317">
        <f>IF(Skills!C4=1,60+Inputs!$B$25+Inputs!$B$29,IF(Skills!C4=2,90+Inputs!$B$26+Inputs!$B$29,IF(Skills!C4=3,120+Inputs!$B$27+Inputs!$B$29,MAX(0,(Inputs!$B$3-100)*3)+Inputs!$B$28+Inputs!$B$29)))</f>
        <v/>
      </c>
      <c r="E2317">
        <f>INDEX(FactorTable!$B$2:$Y$301, MATCH(ROUND(MIN(300,MAX(1,D2317)),0), FactorTable!$A$2:$A$301,0), Skills!M4+1)</f>
        <v/>
      </c>
      <c r="F2317">
        <f>IF(Skills!N4=TRUE,(Skills!L4/10)*(E2317/1000),Skills!L4/10)+Skills!O4</f>
        <v/>
      </c>
      <c r="G2317">
        <f>Skills!G4*IF(Skills!H4&gt;0,Skills!I4/Skills!H4,1)</f>
        <v/>
      </c>
      <c r="H2317">
        <f>1-(1-Skills!J4/100)^Skills!K4</f>
        <v/>
      </c>
      <c r="I2317" t="inlineStr">
        <is>
          <t>1</t>
        </is>
      </c>
      <c r="J2317">
        <f>((Inputs!$B$6*(1+Inputs!$B$7/100))+(((Inputs!$B$12*(1+Inputs!$B$13/100))-(Inputs!$B$12*(1+Inputs!$B$13/100)))+0.25*(Inputs!$B$14-Inputs!$B$14))*(1+Inputs!$B$7/100))*(F2317/100)</f>
        <v/>
      </c>
      <c r="K2317">
        <f>J2317*(1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2325=TRUE,F2325,0)/100)*(1+(IF(Skills!A4="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C2333=TRUE)*(F2333-Calc!F20)),(Inputs!$B$23+0+(IF(ArtifactsInput!$M$15,CHOOSE(ArtifactsInput!$N$15+1,25,30,35,40,45,50)/100*(Inputs!$B$11-Inputs!$B$11),0))))/100+(Inputs!$B$23+0+(IF(ArtifactsInput!$M$15,CHOOSE(ArtifactsInput!$N$15+1,25,30,35,40,45,50)/100*(Inputs!$B$11-Inputs!$B$11),0)))/100)/2</f>
        <v/>
      </c>
      <c r="M2317">
        <f>L2317*(1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(1-Summary!$B$11)*T2317+Summary!$B$11*V2317</f>
        <v/>
      </c>
      <c r="P2317">
        <f>IF(B2348=0,0,O2317/B2348)</f>
        <v/>
      </c>
      <c r="Q2317" t="n">
        <v>0</v>
      </c>
      <c r="R2317" t="n">
        <v>0</v>
      </c>
      <c r="S2317">
        <f>IFERROR(O2317/N2317,0)</f>
        <v/>
      </c>
      <c r="T2317">
        <f>IF(C2317,(Skills!G4*H2317*N2317*B2342)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2317*(1-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7">
        <f>290*U2316/1000</f>
        <v/>
      </c>
      <c r="V2317">
        <f>IF(C2317,(Skills!G4*H2317*N2317*B2342)*IF(Inputs!$B$38="pvp",1,(1+(Inputs!$B$21+Skills!Q4+(IF(ArtifactsInput!$M$33,CHOOSE(ArtifactsInput!$N$33+1,30,36,42,48,54,60),0))+(IF(AND(ArtifactsInput!$M$35,Inputs!$B$4&lt;&gt;"Chapter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Skills!A5</f>
        <v/>
      </c>
      <c r="B2318">
        <f>Skills!B5</f>
        <v/>
      </c>
      <c r="C2318">
        <f>Inputs!$B$3&gt;=60</f>
        <v/>
      </c>
      <c r="D2318">
        <f>IF(Skills!C5=1,60+Inputs!$B$25+Inputs!$B$29,IF(Skills!C5=2,90+Inputs!$B$26+Inputs!$B$29,IF(Skills!C5=3,120+Inputs!$B$27+Inputs!$B$29,MAX(0,(Inputs!$B$3-100)*3)+Inputs!$B$28+Inputs!$B$29)))</f>
        <v/>
      </c>
      <c r="E2318">
        <f>INDEX(FactorTable!$B$2:$Y$301, MATCH(ROUND(MIN(300,MAX(1,D2318)),0), FactorTable!$A$2:$A$301,0), Skills!M5+1)</f>
        <v/>
      </c>
      <c r="F2318">
        <f>IF(Skills!N5=TRUE,(Skills!L5/10)*(E2318/1000),Skills!L5/10)+Skills!O5</f>
        <v/>
      </c>
      <c r="G2318">
        <f>Skills!G5*IF(Skills!H5&gt;0,Skills!I5/Skills!H5,1)</f>
        <v/>
      </c>
      <c r="H2318">
        <f>1-(1-Skills!J5/100)^Skills!K5</f>
        <v/>
      </c>
      <c r="I2318" t="inlineStr">
        <is>
          <t>1</t>
        </is>
      </c>
      <c r="J2318" t="inlineStr"/>
      <c r="K2318" t="inlineStr"/>
      <c r="L2318" t="inlineStr"/>
      <c r="M2318" t="inlineStr"/>
      <c r="N2318" t="inlineStr"/>
      <c r="O2318">
        <f>(1-Summary!$B$11)*T2318+Summary!$B$11*V2318</f>
        <v/>
      </c>
      <c r="P2318">
        <f>IF(B2348=0,0,O2318/B2348)</f>
        <v/>
      </c>
      <c r="Q2318" t="n">
        <v>0</v>
      </c>
      <c r="R2318" t="n">
        <v>0</v>
      </c>
      <c r="S2318">
        <f>IFERROR(O2318/N2318,0)</f>
        <v/>
      </c>
      <c r="T2318" t="n">
        <v>0</v>
      </c>
      <c r="V2318" t="n">
        <v>0</v>
      </c>
    </row>
    <row r="2319">
      <c r="A2319">
        <f>Skills!A6</f>
        <v/>
      </c>
      <c r="B2319">
        <f>Skills!B6</f>
        <v/>
      </c>
      <c r="C2319">
        <f>Inputs!$B$3&gt;=63</f>
        <v/>
      </c>
      <c r="D2319">
        <f>IF(Skills!C6=1,60+Inputs!$B$25+Inputs!$B$29,IF(Skills!C6=2,90+Inputs!$B$26+Inputs!$B$29,IF(Skills!C6=3,120+Inputs!$B$27+Inputs!$B$29,MAX(0,(Inputs!$B$3-100)*3)+Inputs!$B$28+Inputs!$B$29)))</f>
        <v/>
      </c>
      <c r="E2319">
        <f>INDEX(FactorTable!$B$2:$Y$301, MATCH(ROUND(MIN(300,MAX(1,D2319)),0), FactorTable!$A$2:$A$301,0), Skills!M6+1)</f>
        <v/>
      </c>
      <c r="F2319">
        <f>IF(Skills!N6=TRUE,(Skills!L6/10)*(E2319/1000),Skills!L6/10)+Skills!O6</f>
        <v/>
      </c>
      <c r="G2319">
        <f>Skills!G6*IF(Skills!H6&gt;0,Skills!I6/Skills!H6,1)</f>
        <v/>
      </c>
      <c r="H2319">
        <f>1-(1-Skills!J6/100)^Skills!K6</f>
        <v/>
      </c>
      <c r="I2319" t="inlineStr">
        <is>
          <t>1</t>
        </is>
      </c>
      <c r="J2319">
        <f>((Inputs!$B$6*(1+Inputs!$B$7/100))+(((Inputs!$B$12*(1+Inputs!$B$13/100))-(Inputs!$B$12*(1+Inputs!$B$13/100)))+0.25*(Inputs!$B$14-Inputs!$B$14))*(1+Inputs!$B$7/100))*(F2319/100)</f>
        <v/>
      </c>
      <c r="K2319">
        <f>J2319*(1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C2333=TRUE)*(F2333-Calc!F20)),(Inputs!$B$23+0+(IF(ArtifactsInput!$M$15,CHOOSE(ArtifactsInput!$N$15+1,25,30,35,40,45,50)/100*(Inputs!$B$11-Inputs!$B$11),0))))/100+(Inputs!$B$23+0+(IF(ArtifactsInput!$M$15,CHOOSE(ArtifactsInput!$N$15+1,25,30,35,40,45,50)/100*(Inputs!$B$11-Inputs!$B$11),0)))/100)/2</f>
        <v/>
      </c>
      <c r="M2319">
        <f>L2319*(1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(1-Summary!$B$11)*T2319+Summary!$B$11*V2319</f>
        <v/>
      </c>
      <c r="P2319">
        <f>IF(B2348=0,0,O2319/B2348)</f>
        <v/>
      </c>
      <c r="Q2319">
        <f>IFERROR(1/(IF(Inputs!$B$38="pvp",15,MAX(0.1,Skills!D6-IF(Skills!E6=TRUE,Inputs!$B$32,0)))*(1-IF(AND(ArtifactsInput!$M$27,Inputs!$B$4="Chapter Hunt"),CHOOSE(ArtifactsInput!$N$27+1,20,24,28,32,36,40),0)/100)),0)</f>
        <v/>
      </c>
      <c r="R2319">
        <f>IF(AND(Inputs!$B$38&lt;&gt;"pvp",Inputs!$B$43&gt;0),IF(MAX(0,Inputs!$B$43-B2345)&lt;=0,0,(INT(MAX(0,Inputs!$B$43-B2345)/(IF(Inputs!$B$38="pvp",15,MAX(0.1,Skills!D6-IF(Skills!E6=TRUE,Inputs!$B$32,0)))*(1-IF(AND(ArtifactsInput!$M$27,Inputs!$B$4="Chapter Hunt"),CHOOSE(ArtifactsInput!$N$27+1,20,24,28,32,36,40),0)/100)))+1)),0)</f>
        <v/>
      </c>
      <c r="S2319">
        <f>IFERROR(O2319/N2319,0)</f>
        <v/>
      </c>
      <c r="T2319">
        <f>IF(C2319,(H2319*N2319*IF(AND(Inputs!$B$38&lt;&gt;"pvp",Inputs!$B$43&gt;0),((Skills!G6*((R2319-1)*IF(Skills!H6&gt;0,Skills!I6/Skills!H6,1)+IF(Skills!H6&gt;0,MIN(Skills!I6,MAX(0,MAX(0,Inputs!$B$43-B2345)-((R2319-1)*(IF(Inputs!$B$38="pvp",15,MAX(0.1,Skills!D6-IF(Skills!E6=TRUE,Inputs!$B$32,0)))*(1-IF(AND(ArtifactsInput!$M$27,Inputs!$B$4="Chapter Hunt"),CHOOSE(ArtifactsInput!$N$27+1,20,24,28,32,36,40),0)/100)))))/Skills!H6,1)))/Inputs!$B$43),G2319*Q2319)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2319*(1-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9">
        <f>IF(C2319,(H2319*N2319*IF(AND(Inputs!$B$38&lt;&gt;"pvp",Inputs!$B$43&gt;0),((Skills!G6*((R2319-1)*IF(Skills!H6&gt;0,Skills!I6/Skills!H6,1)+IF(Skills!H6&gt;0,MIN(Skills!I6,MAX(0,MAX(0,Inputs!$B$43-B2345)-((R2319-1)*(IF(Inputs!$B$38="pvp",15,MAX(0.1,Skills!D6-IF(Skills!E6=TRUE,Inputs!$B$32,0)))*(1-IF(AND(ArtifactsInput!$M$27,Inputs!$B$4="Chapter Hunt"),CHOOSE(ArtifactsInput!$N$27+1,20,24,28,32,36,40),0)/100)))))/Skills!H6,1)))/Inputs!$B$43),G2319*Q2319))*IF(Inputs!$B$38="pvp",1,(1+(Inputs!$B$21+Skills!Q6+(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Skills!A7</f>
        <v/>
      </c>
      <c r="B2320">
        <f>Skills!B7</f>
        <v/>
      </c>
      <c r="C2320">
        <f>Inputs!$B$3&gt;=100</f>
        <v/>
      </c>
      <c r="D2320">
        <f>IF(Skills!C7=1,60+Inputs!$B$25+Inputs!$B$29,IF(Skills!C7=2,90+Inputs!$B$26+Inputs!$B$29,IF(Skills!C7=3,120+Inputs!$B$27+Inputs!$B$29,MAX(0,(Inputs!$B$3-100)*3)+Inputs!$B$28+Inputs!$B$29)))</f>
        <v/>
      </c>
      <c r="E2320">
        <f>INDEX(FactorTable!$B$2:$Y$301, MATCH(ROUND(MIN(300,MAX(1,D2320)),0), FactorTable!$A$2:$A$301,0), Skills!M7+1)</f>
        <v/>
      </c>
      <c r="F2320">
        <f>IF(Skills!N7=TRUE,(Skills!L7/10)*(E2320/1000),Skills!L7/10)+Skills!O7</f>
        <v/>
      </c>
      <c r="G2320">
        <f>Skills!G7*IF(Skills!H7&gt;0,Skills!I7/Skills!H7,1)</f>
        <v/>
      </c>
      <c r="H2320">
        <f>1-(1-Skills!J7/100)^Skills!K7</f>
        <v/>
      </c>
      <c r="I2320" t="inlineStr">
        <is>
          <t>1</t>
        </is>
      </c>
      <c r="J2320">
        <f>((Inputs!$B$6*(1+Inputs!$B$7/100))+(((Inputs!$B$12*(1+Inputs!$B$13/100))-(Inputs!$B$12*(1+Inputs!$B$13/100)))+0.25*(Inputs!$B$14-Inputs!$B$14))*(1+Inputs!$B$7/100))*(F2320/100)</f>
        <v/>
      </c>
      <c r="K2320">
        <f>J2320*(1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C2333=TRUE)*(F2333-Calc!F20)),(Inputs!$B$23+0+(IF(ArtifactsInput!$M$15,CHOOSE(ArtifactsInput!$N$15+1,25,30,35,40,45,50)/100*(Inputs!$B$11-Inputs!$B$11),0))))/100+(Inputs!$B$23+0+(IF(ArtifactsInput!$M$15,CHOOSE(ArtifactsInput!$N$15+1,25,30,35,40,45,50)/100*(Inputs!$B$11-Inputs!$B$11),0)))/100)/2</f>
        <v/>
      </c>
      <c r="M2320">
        <f>L2320*(1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(1-Summary!$B$11)*T2320+Summary!$B$11*V2320</f>
        <v/>
      </c>
      <c r="P2320">
        <f>IF(B2348=0,0,O2320/B2348)</f>
        <v/>
      </c>
      <c r="Q2320">
        <f>IFERROR(1/(IF(Inputs!$B$38="pvp",15,MAX(0.1,Skills!D7-IF(Skills!E7=TRUE,Inputs!$B$32,0)))*(1-IF(AND(ArtifactsInput!$M$27,Inputs!$B$4="Chapter Hunt"),CHOOSE(ArtifactsInput!$N$27+1,20,24,28,32,36,40),0)/100)),0)</f>
        <v/>
      </c>
      <c r="R2320">
        <f>IF(AND(Inputs!$B$38&lt;&gt;"pvp",Inputs!$B$43&gt;0),IF(MAX(0,Inputs!$B$43-B2345)&lt;=0,0,(INT(MAX(0,Inputs!$B$43-B2345)/(IF(Inputs!$B$38="pvp",15,MAX(0.1,Skills!D7-IF(Skills!E7=TRUE,Inputs!$B$32,0)))*(1-IF(AND(ArtifactsInput!$M$27,Inputs!$B$4="Chapter Hunt"),CHOOSE(ArtifactsInput!$N$27+1,20,24,28,32,36,40),0)/100)))+1)),0)</f>
        <v/>
      </c>
      <c r="S2320">
        <f>IFERROR(O2320/N2320,0)</f>
        <v/>
      </c>
      <c r="T2320">
        <f>IF(C2320,(H2320*N2320*IF(AND(Inputs!$B$38&lt;&gt;"pvp",Inputs!$B$43&gt;0),((Skills!G7*((R2320-1)*IF(Skills!H7&gt;0,Skills!I7/Skills!H7,1)+IF(Skills!H7&gt;0,MIN(Skills!I7,MAX(0,MAX(0,Inputs!$B$43-B2345)-((R2320-1)*(IF(Inputs!$B$38="pvp",15,MAX(0.1,Skills!D7-IF(Skills!E7=TRUE,Inputs!$B$32,0)))*(1-IF(AND(ArtifactsInput!$M$27,Inputs!$B$4="Chapter Hunt"),CHOOSE(ArtifactsInput!$N$27+1,20,24,28,32,36,40),0)/100)))))/Skills!H7,1)))/Inputs!$B$43),G2320*Q2320)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2320*(1-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0">
        <f>IF(C2320,(H2320*N2320*IF(AND(Inputs!$B$38&lt;&gt;"pvp",Inputs!$B$43&gt;0),((Skills!G7*((R2320-1)*IF(Skills!H7&gt;0,Skills!I7/Skills!H7,1)+IF(Skills!H7&gt;0,MIN(Skills!I7,MAX(0,MAX(0,Inputs!$B$43-B2345)-((R2320-1)*(IF(Inputs!$B$38="pvp",15,MAX(0.1,Skills!D7-IF(Skills!E7=TRUE,Inputs!$B$32,0)))*(1-IF(AND(ArtifactsInput!$M$27,Inputs!$B$4="Chapter Hunt"),CHOOSE(ArtifactsInput!$N$27+1,20,24,28,32,36,40),0)/100)))))/Skills!H7,1)))/Inputs!$B$43),G2320*Q2320))*IF(Inputs!$B$38="pvp",1,(1+(Inputs!$B$21+Skills!Q7+(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Skills!A8</f>
        <v/>
      </c>
      <c r="B2321">
        <f>Skills!B8</f>
        <v/>
      </c>
      <c r="C2321">
        <f>Inputs!$B$3&gt;=110</f>
        <v/>
      </c>
      <c r="D2321">
        <f>IF(Skills!C8=1,60+Inputs!$B$25+Inputs!$B$29,IF(Skills!C8=2,90+Inputs!$B$26+Inputs!$B$29,IF(Skills!C8=3,120+Inputs!$B$27+Inputs!$B$29,MAX(0,(Inputs!$B$3-100)*3)+Inputs!$B$28+Inputs!$B$29)))</f>
        <v/>
      </c>
      <c r="E2321">
        <f>INDEX(FactorTable!$B$2:$Y$301, MATCH(ROUND(MIN(300,MAX(1,D2321)),0), FactorTable!$A$2:$A$301,0), Skills!M8+1)</f>
        <v/>
      </c>
      <c r="F2321">
        <f>IF(Skills!N8=TRUE,(Skills!L8/10)*(E2321/1000),Skills!L8/10)+Skills!O8</f>
        <v/>
      </c>
      <c r="G2321">
        <f>Skills!G8*IF(Skills!H8&gt;0,Skills!I8/Skills!H8,1)</f>
        <v/>
      </c>
      <c r="H2321">
        <f>1-(1-Skills!J8/100)^Skills!K8</f>
        <v/>
      </c>
      <c r="I2321" t="inlineStr">
        <is>
          <t>1</t>
        </is>
      </c>
      <c r="J2321">
        <f>((Inputs!$B$6*(1+Inputs!$B$7/100))+(((Inputs!$B$12*(1+Inputs!$B$13/100))-(Inputs!$B$12*(1+Inputs!$B$13/100)))+0.25*(Inputs!$B$14-Inputs!$B$14))*(1+Inputs!$B$7/100))*(F2321/100)</f>
        <v/>
      </c>
      <c r="K2321">
        <f>J2321*(1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C2333=TRUE)*(F2333-Calc!F20)),(Inputs!$B$23+0+(IF(ArtifactsInput!$M$15,CHOOSE(ArtifactsInput!$N$15+1,25,30,35,40,45,50)/100*(Inputs!$B$11-Inputs!$B$11),0))))/100+(Inputs!$B$23+0+(IF(ArtifactsInput!$M$15,CHOOSE(ArtifactsInput!$N$15+1,25,30,35,40,45,50)/100*(Inputs!$B$11-Inputs!$B$11),0)))/100)/2</f>
        <v/>
      </c>
      <c r="M2321">
        <f>L2321*(1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(1-Summary!$B$11)*T2321+Summary!$B$11*V2321</f>
        <v/>
      </c>
      <c r="P2321">
        <f>IF(B2348=0,0,O2321/B2348)</f>
        <v/>
      </c>
      <c r="Q2321">
        <f>IFERROR(1/(IF(Inputs!$B$38="pvp",15,MAX(0.1,Skills!D8-IF(Skills!E8=TRUE,Inputs!$B$32,0)))*(1-IF(AND(ArtifactsInput!$M$27,Inputs!$B$4="Chapter Hunt"),CHOOSE(ArtifactsInput!$N$27+1,20,24,28,32,36,40),0)/100)),0)</f>
        <v/>
      </c>
      <c r="R2321">
        <f>IF(AND(Inputs!$B$38&lt;&gt;"pvp",Inputs!$B$43&gt;0),IF(MAX(0,Inputs!$B$43-B2345)&lt;=0,0,(INT(MAX(0,Inputs!$B$43-B2345)/(IF(Inputs!$B$38="pvp",15,MAX(0.1,Skills!D8-IF(Skills!E8=TRUE,Inputs!$B$32,0)))*(1-IF(AND(ArtifactsInput!$M$27,Inputs!$B$4="Chapter Hunt"),CHOOSE(ArtifactsInput!$N$27+1,20,24,28,32,36,40),0)/100)))+1)),0)</f>
        <v/>
      </c>
      <c r="S2321">
        <f>IFERROR(O2321/N2321,0)</f>
        <v/>
      </c>
      <c r="T2321">
        <f>IF(C2321,(H2321*N2321*IF(AND(Inputs!$B$38&lt;&gt;"pvp",Inputs!$B$43&gt;0),((Skills!G8*((R2321-1)*IF(Skills!H8&gt;0,Skills!I8/Skills!H8,1)+IF(Skills!H8&gt;0,MIN(Skills!I8,MAX(0,MAX(0,Inputs!$B$43-B2345)-((R2321-1)*(IF(Inputs!$B$38="pvp",15,MAX(0.1,Skills!D8-IF(Skills!E8=TRUE,Inputs!$B$32,0)))*(1-IF(AND(ArtifactsInput!$M$27,Inputs!$B$4="Chapter Hunt"),CHOOSE(ArtifactsInput!$N$27+1,20,24,28,32,36,40),0)/100)))))/Skills!H8,1)))/Inputs!$B$43),G2321*Q2321)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2321*(1-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1">
        <f>IF(C2321,(H2321*N2321*IF(AND(Inputs!$B$38&lt;&gt;"pvp",Inputs!$B$43&gt;0),((Skills!G8*((R2321-1)*IF(Skills!H8&gt;0,Skills!I8/Skills!H8,1)+IF(Skills!H8&gt;0,MIN(Skills!I8,MAX(0,MAX(0,Inputs!$B$43-B2345)-((R2321-1)*(IF(Inputs!$B$38="pvp",15,MAX(0.1,Skills!D8-IF(Skills!E8=TRUE,Inputs!$B$32,0)))*(1-IF(AND(ArtifactsInput!$M$27,Inputs!$B$4="Chapter Hunt"),CHOOSE(ArtifactsInput!$N$27+1,20,24,28,32,36,40),0)/100)))))/Skills!H8,1)))/Inputs!$B$43),G2321*Q2321))*IF(Inputs!$B$38="pvp",1,(1+(Inputs!$B$21+Skills!Q8+(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Skills!A9</f>
        <v/>
      </c>
      <c r="B2322">
        <f>Skills!B9</f>
        <v/>
      </c>
      <c r="C2322">
        <f>Inputs!$B$3&gt;=110</f>
        <v/>
      </c>
      <c r="D2322">
        <f>IF(Skills!C9=1,60+Inputs!$B$25+Inputs!$B$29,IF(Skills!C9=2,90+Inputs!$B$26+Inputs!$B$29,IF(Skills!C9=3,120+Inputs!$B$27+Inputs!$B$29,MAX(0,(Inputs!$B$3-100)*3)+Inputs!$B$28+Inputs!$B$29)))</f>
        <v/>
      </c>
      <c r="E2322">
        <f>INDEX(FactorTable!$B$2:$Y$301, MATCH(ROUND(MIN(300,MAX(1,D2322)),0), FactorTable!$A$2:$A$301,0), Skills!M9+1)</f>
        <v/>
      </c>
      <c r="F2322">
        <f>IF(Skills!N9=TRUE,(Skills!L9/10)*(E2322/1000),Skills!L9/10)+Skills!O9</f>
        <v/>
      </c>
      <c r="G2322">
        <f>Skills!G9*IF(Skills!H9&gt;0,Skills!I9/Skills!H9,1)</f>
        <v/>
      </c>
      <c r="H2322">
        <f>1-(1-Skills!J9/100)^Skills!K9</f>
        <v/>
      </c>
      <c r="I2322" t="inlineStr">
        <is>
          <t>1</t>
        </is>
      </c>
      <c r="J2322">
        <f>((Inputs!$B$6*(1+Inputs!$B$7/100))+(((Inputs!$B$12*(1+Inputs!$B$13/100))-(Inputs!$B$12*(1+Inputs!$B$13/100)))+0.25*(Inputs!$B$14-Inputs!$B$14))*(1+Inputs!$B$7/100))*(F2322/100)</f>
        <v/>
      </c>
      <c r="K2322">
        <f>J2322*(1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C2333=TRUE)*(F2333-Calc!F20)),(Inputs!$B$23+0+(IF(ArtifactsInput!$M$15,CHOOSE(ArtifactsInput!$N$15+1,25,30,35,40,45,50)/100*(Inputs!$B$11-Inputs!$B$11),0))))/100+(Inputs!$B$23+0+(IF(ArtifactsInput!$M$15,CHOOSE(ArtifactsInput!$N$15+1,25,30,35,40,45,50)/100*(Inputs!$B$11-Inputs!$B$11),0)))/100)/2</f>
        <v/>
      </c>
      <c r="M2322">
        <f>L2322*(1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(1-Summary!$B$11)*T2322+Summary!$B$11*V2322</f>
        <v/>
      </c>
      <c r="P2322">
        <f>IF(B2348=0,0,O2322/B2348)</f>
        <v/>
      </c>
      <c r="Q2322">
        <f>IFERROR(1/(IF(Inputs!$B$38="pvp",15,MAX(0.1,Skills!D9-IF(Skills!E9=TRUE,Inputs!$B$32,0)))*(1-IF(AND(ArtifactsInput!$M$27,Inputs!$B$4="Chapter Hunt"),CHOOSE(ArtifactsInput!$N$27+1,20,24,28,32,36,40),0)/100)),0)</f>
        <v/>
      </c>
      <c r="R2322">
        <f>IF(AND(Inputs!$B$38&lt;&gt;"pvp",Inputs!$B$43&gt;0),IF(MAX(0,Inputs!$B$43-B2345)&lt;=0,0,(INT(MAX(0,Inputs!$B$43-B2345)/(IF(Inputs!$B$38="pvp",15,MAX(0.1,Skills!D9-IF(Skills!E9=TRUE,Inputs!$B$32,0)))*(1-IF(AND(ArtifactsInput!$M$27,Inputs!$B$4="Chapter Hunt"),CHOOSE(ArtifactsInput!$N$27+1,20,24,28,32,36,40),0)/100)))+1)),0)</f>
        <v/>
      </c>
      <c r="S2322">
        <f>IFERROR(O2322/N2322,0)</f>
        <v/>
      </c>
      <c r="T2322">
        <f>IF(C2322,(H2322*N2322*IF(AND(Inputs!$B$38&lt;&gt;"pvp",Inputs!$B$43&gt;0),((Skills!G9*((R2322-1)*IF(Skills!H9&gt;0,Skills!I9/Skills!H9,1)+IF(Skills!H9&gt;0,MIN(Skills!I9,MAX(0,MAX(0,Inputs!$B$43-B2345)-((R2322-1)*(IF(Inputs!$B$38="pvp",15,MAX(0.1,Skills!D9-IF(Skills!E9=TRUE,Inputs!$B$32,0)))*(1-IF(AND(ArtifactsInput!$M$27,Inputs!$B$4="Chapter Hunt"),CHOOSE(ArtifactsInput!$N$27+1,20,24,28,32,36,40),0)/100)))))/Skills!H9,1)))/Inputs!$B$43),G2322*Q2322)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2322*(1-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2">
        <f>IF(C2322,(H2322*N2322*IF(AND(Inputs!$B$38&lt;&gt;"pvp",Inputs!$B$43&gt;0),((Skills!G9*((R2322-1)*IF(Skills!H9&gt;0,Skills!I9/Skills!H9,1)+IF(Skills!H9&gt;0,MIN(Skills!I9,MAX(0,MAX(0,Inputs!$B$43-B2345)-((R2322-1)*(IF(Inputs!$B$38="pvp",15,MAX(0.1,Skills!D9-IF(Skills!E9=TRUE,Inputs!$B$32,0)))*(1-IF(AND(ArtifactsInput!$M$27,Inputs!$B$4="Chapter Hunt"),CHOOSE(ArtifactsInput!$N$27+1,20,24,28,32,36,40),0)/100)))))/Skills!H9,1)))/Inputs!$B$43),G2322*Q2322))*IF(Inputs!$B$38="pvp",1,(1+(Inputs!$B$21+Skills!Q9+(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Skills!A10</f>
        <v/>
      </c>
      <c r="B2323">
        <f>Skills!B10</f>
        <v/>
      </c>
      <c r="C2323">
        <f>Inputs!$B$3&gt;=103</f>
        <v/>
      </c>
      <c r="D2323">
        <f>IF(Skills!C10=1,60+Inputs!$B$25+Inputs!$B$29,IF(Skills!C10=2,90+Inputs!$B$26+Inputs!$B$29,IF(Skills!C10=3,120+Inputs!$B$27+Inputs!$B$29,MAX(0,(Inputs!$B$3-100)*3)+Inputs!$B$28+Inputs!$B$29)))</f>
        <v/>
      </c>
      <c r="E2323">
        <f>INDEX(FactorTable!$B$2:$Y$301, MATCH(ROUND(MIN(300,MAX(1,D2323)),0), FactorTable!$A$2:$A$301,0), Skills!M10+1)</f>
        <v/>
      </c>
      <c r="F2323">
        <f>IF(Skills!N10=TRUE,(Skills!L10/10)*(E2323/1000),Skills!L10/10)+Skills!O10</f>
        <v/>
      </c>
      <c r="G2323">
        <f>Skills!G10*IF(Skills!H10&gt;0,Skills!I10/Skills!H10,1)</f>
        <v/>
      </c>
      <c r="H2323">
        <f>1-(1-Skills!J10/100)^Skills!K10</f>
        <v/>
      </c>
      <c r="I2323" t="inlineStr">
        <is>
          <t>1</t>
        </is>
      </c>
      <c r="J2323">
        <f>((Inputs!$B$6*(1+Inputs!$B$7/100))+(((Inputs!$B$12*(1+Inputs!$B$13/100))-(Inputs!$B$12*(1+Inputs!$B$13/100)))+0.25*(Inputs!$B$14-Inputs!$B$14))*(1+Inputs!$B$7/100))*(F2323/100)</f>
        <v/>
      </c>
      <c r="K2323">
        <f>J2323*(1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C2333=TRUE)*(F2333-Calc!F20)),(Inputs!$B$23+0+(IF(ArtifactsInput!$M$15,CHOOSE(ArtifactsInput!$N$15+1,25,30,35,40,45,50)/100*(Inputs!$B$11-Inputs!$B$11),0))))/100+(Inputs!$B$23+0+(IF(ArtifactsInput!$M$15,CHOOSE(ArtifactsInput!$N$15+1,25,30,35,40,45,50)/100*(Inputs!$B$11-Inputs!$B$11),0)))/100)/2</f>
        <v/>
      </c>
      <c r="M2323">
        <f>L2323*(1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3">
        <f>L2323*(1-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(1-Summary!$B$11)*T2323+Summary!$B$11*V2323</f>
        <v/>
      </c>
      <c r="P2323">
        <f>IF(B2348=0,0,O2323/B2348)</f>
        <v/>
      </c>
      <c r="Q2323">
        <f>IFERROR(1/(IF(Inputs!$B$38="pvp",15,MAX(0.1,Skills!D10-IF(Skills!E10=TRUE,Inputs!$B$32,0)))*(1-IF(AND(ArtifactsInput!$M$27,Inputs!$B$4="Chapter Hunt"),CHOOSE(ArtifactsInput!$N$27+1,20,24,28,32,36,40),0)/100)),0)</f>
        <v/>
      </c>
      <c r="R2323">
        <f>IF(AND(Inputs!$B$38&lt;&gt;"pvp",Inputs!$B$43&gt;0),IF(MAX(0,Inputs!$B$43-B2345)&lt;=0,0,(INT(MAX(0,Inputs!$B$43-B2345)/(IF(Inputs!$B$38="pvp",15,MAX(0.1,Skills!D10-IF(Skills!E10=TRUE,Inputs!$B$32,0)))*(1-IF(AND(ArtifactsInput!$M$27,Inputs!$B$4="Chapter Hunt"),CHOOSE(ArtifactsInput!$N$27+1,20,24,28,32,36,40),0)/100)))+1)),0)</f>
        <v/>
      </c>
      <c r="S2323">
        <f>IFERROR(O2323/N2323,0)</f>
        <v/>
      </c>
      <c r="T2323">
        <f>IF(C2323,(H2323*N2323*IF(AND(Inputs!$B$38&lt;&gt;"pvp",Inputs!$B$43&gt;0),((Skills!G10*((R2323-1)*IF(Skills!H10&gt;0,Skills!I10/Skills!H10,1)+IF(Skills!H10&gt;0,MIN(Skills!I10,MAX(0,MAX(0,Inputs!$B$43-B2345)-((R2323-1)*(IF(Inputs!$B$38="pvp",15,MAX(0.1,Skills!D10-IF(Skills!E10=TRUE,Inputs!$B$32,0)))*(1-IF(AND(ArtifactsInput!$M$27,Inputs!$B$4="Chapter Hunt"),CHOOSE(ArtifactsInput!$N$27+1,20,24,28,32,36,40),0)/100)))))/Skills!H10,1)))/Inputs!$B$43),G2323*Q2323)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2323*(1-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3">
        <f>IF(C2323,(H2323*N2323*IF(AND(Inputs!$B$38&lt;&gt;"pvp",Inputs!$B$43&gt;0),((Skills!G10*((R2323-1)*IF(Skills!H10&gt;0,Skills!I10/Skills!H10,1)+IF(Skills!H10&gt;0,MIN(Skills!I10,MAX(0,MAX(0,Inputs!$B$43-B2345)-((R2323-1)*(IF(Inputs!$B$38="pvp",15,MAX(0.1,Skills!D10-IF(Skills!E10=TRUE,Inputs!$B$32,0)))*(1-IF(AND(ArtifactsInput!$M$27,Inputs!$B$4="Chapter Hunt"),CHOOSE(ArtifactsInput!$N$27+1,20,24,28,32,36,40),0)/100)))))/Skills!H10,1)))/Inputs!$B$43),G2323*Q2323))*IF(Inputs!$B$38="pvp",1,(1+(Inputs!$B$21+Skills!Q10+(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Skills!A11</f>
        <v/>
      </c>
      <c r="B2324">
        <f>Skills!B11</f>
        <v/>
      </c>
      <c r="C2324">
        <f>Inputs!$B$3&gt;=113</f>
        <v/>
      </c>
      <c r="D2324">
        <f>IF(Skills!C11=1,60+Inputs!$B$25+Inputs!$B$29,IF(Skills!C11=2,90+Inputs!$B$26+Inputs!$B$29,IF(Skills!C11=3,120+Inputs!$B$27+Inputs!$B$29,MAX(0,(Inputs!$B$3-100)*3)+Inputs!$B$28+Inputs!$B$29)))</f>
        <v/>
      </c>
      <c r="E2324">
        <f>INDEX(FactorTable!$B$2:$Y$301, MATCH(ROUND(MIN(300,MAX(1,D2324)),0), FactorTable!$A$2:$A$301,0), Skills!M11+1)</f>
        <v/>
      </c>
      <c r="F2324">
        <f>IF(Skills!N11=TRUE,(Skills!L11/10)*(E2324/1000),Skills!L11/10)+Skills!O11</f>
        <v/>
      </c>
      <c r="G2324">
        <f>Skills!G11*IF(Skills!H11&gt;0,Skills!I11/Skills!H11,1)</f>
        <v/>
      </c>
      <c r="H2324">
        <f>1-(1-Skills!J11/100)^Skills!K11</f>
        <v/>
      </c>
      <c r="I2324" t="inlineStr">
        <is>
          <t>1</t>
        </is>
      </c>
      <c r="J2324">
        <f>((Inputs!$B$6*(1+Inputs!$B$7/100))+(((Inputs!$B$12*(1+Inputs!$B$13/100))-(Inputs!$B$12*(1+Inputs!$B$13/100)))+0.25*(Inputs!$B$14-Inputs!$B$14))*(1+Inputs!$B$7/100))*(F2324/100)</f>
        <v/>
      </c>
      <c r="K2324">
        <f>J2324*(1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
      </c>
      <c r="L2324">
        <f>K2324*(MIN(Inputs!$B$22+((C2333=TRUE)*(F2333-Calc!F20)),(Inputs!$B$23+0+(IF(ArtifactsInput!$M$15,CHOOSE(ArtifactsInput!$N$15+1,25,30,35,40,45,50)/100*(Inputs!$B$11-Inputs!$B$11),0))))/100+(Inputs!$B$23+0+(IF(ArtifactsInput!$M$15,CHOOSE(ArtifactsInput!$N$15+1,25,30,35,40,45,50)/100*(Inputs!$B$11-Inputs!$B$11),0)))/100)/2</f>
        <v/>
      </c>
      <c r="M2324">
        <f>L2324*(1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4">
        <f>L2324*(1-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4">
        <f>(1-Summary!$B$11)*T2324+Summary!$B$11*V2324</f>
        <v/>
      </c>
      <c r="P2324">
        <f>IF(B2348=0,0,O2324/B2348)</f>
        <v/>
      </c>
      <c r="Q2324">
        <f>IFERROR(1/(IF(Inputs!$B$38="pvp",15,MAX(0.1,Skills!D11-IF(Skills!E11=TRUE,Inputs!$B$32,0)))*(1-IF(AND(ArtifactsInput!$M$27,Inputs!$B$4="Chapter Hunt"),CHOOSE(ArtifactsInput!$N$27+1,20,24,28,32,36,40),0)/100)),0)</f>
        <v/>
      </c>
      <c r="R2324">
        <f>IF(AND(Inputs!$B$38&lt;&gt;"pvp",Inputs!$B$43&gt;0),IF(MAX(0,Inputs!$B$43-B2345)&lt;=0,0,(INT(MAX(0,Inputs!$B$43-B2345)/(IF(Inputs!$B$38="pvp",15,MAX(0.1,Skills!D11-IF(Skills!E11=TRUE,Inputs!$B$32,0)))*(1-IF(AND(ArtifactsInput!$M$27,Inputs!$B$4="Chapter Hunt"),CHOOSE(ArtifactsInput!$N$27+1,20,24,28,32,36,40),0)/100)))+1)),0)</f>
        <v/>
      </c>
      <c r="S2324">
        <f>IFERROR(O2324/N2324,0)</f>
        <v/>
      </c>
      <c r="T2324">
        <f>IF(C2324,(H2324*N2324*IF(AND(Inputs!$B$38&lt;&gt;"pvp",Inputs!$B$43&gt;0),((Skills!G11*((R2324-1)*IF(Skills!H11&gt;0,Skills!I11/Skills!H11,1)+IF(Skills!H11&gt;0,MIN(Skills!I11,MAX(0,MAX(0,Inputs!$B$43-B2345)-((R2324-1)*(IF(Inputs!$B$38="pvp",15,MAX(0.1,Skills!D11-IF(Skills!E11=TRUE,Inputs!$B$32,0)))*(1-IF(AND(ArtifactsInput!$M$27,Inputs!$B$4="Chapter Hunt"),CHOOSE(ArtifactsInput!$N$27+1,20,24,28,32,36,40),0)/100)))))/Skills!H11,1)))/Inputs!$B$43),G2324*Q2324)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2324*(1-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4">
        <f>IF(C2324,(H2324*N2324*IF(AND(Inputs!$B$38&lt;&gt;"pvp",Inputs!$B$43&gt;0),((Skills!G11*((R2324-1)*IF(Skills!H11&gt;0,Skills!I11/Skills!H11,1)+IF(Skills!H11&gt;0,MIN(Skills!I11,MAX(0,MAX(0,Inputs!$B$43-B2345)-((R2324-1)*(IF(Inputs!$B$38="pvp",15,MAX(0.1,Skills!D11-IF(Skills!E11=TRUE,Inputs!$B$32,0)))*(1-IF(AND(ArtifactsInput!$M$27,Inputs!$B$4="Chapter Hunt"),CHOOSE(ArtifactsInput!$N$27+1,20,24,28,32,36,40),0)/100)))))/Skills!H11,1)))/Inputs!$B$43),G2324*Q2324))*IF(Inputs!$B$38="pvp",1,(1+(Inputs!$B$21+Skills!Q11+(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5">
      <c r="A2325">
        <f>Skills!A12</f>
        <v/>
      </c>
      <c r="B2325">
        <f>Skills!B12</f>
        <v/>
      </c>
      <c r="C2325">
        <f>Inputs!$B$3&gt;=100</f>
        <v/>
      </c>
      <c r="D2325">
        <f>IF(Skills!C12=1,60+Inputs!$B$25+Inputs!$B$29,IF(Skills!C12=2,90+Inputs!$B$26+Inputs!$B$29,IF(Skills!C12=3,120+Inputs!$B$27+Inputs!$B$29,MAX(0,(Inputs!$B$3-100)*3)+Inputs!$B$28+Inputs!$B$29)))</f>
        <v/>
      </c>
      <c r="E2325">
        <f>INDEX(FactorTable!$B$2:$Y$301, MATCH(ROUND(MIN(300,MAX(1,D2325)),0), FactorTable!$A$2:$A$301,0), Skills!M12+1)</f>
        <v/>
      </c>
      <c r="F2325">
        <f>IF(Skills!N12=TRUE,(Skills!L12/10)*(E2325/1000),Skills!L12/10)+Skills!O12</f>
        <v/>
      </c>
      <c r="G2325" t="inlineStr"/>
      <c r="H2325" t="inlineStr"/>
      <c r="I2325" t="inlineStr">
        <is>
          <t>1</t>
        </is>
      </c>
      <c r="J2325" t="inlineStr"/>
      <c r="K2325" t="inlineStr"/>
      <c r="L2325" t="inlineStr"/>
      <c r="M2325" t="inlineStr"/>
      <c r="N2325" t="inlineStr"/>
      <c r="O2325" t="inlineStr"/>
      <c r="P2325" t="inlineStr"/>
      <c r="Q2325" t="inlineStr"/>
      <c r="R2325" t="inlineStr"/>
      <c r="S2325" t="inlineStr"/>
      <c r="T2325" t="inlineStr"/>
      <c r="V2325" t="inlineStr"/>
    </row>
    <row r="2326">
      <c r="A2326">
        <f>Skills!A13</f>
        <v/>
      </c>
      <c r="B2326">
        <f>Skills!B13</f>
        <v/>
      </c>
      <c r="C2326">
        <f>Inputs!$B$3&gt;=66</f>
        <v/>
      </c>
      <c r="D2326">
        <f>IF(Skills!C13=1,60+Inputs!$B$25+Inputs!$B$29,IF(Skills!C13=2,90+Inputs!$B$26+Inputs!$B$29,IF(Skills!C13=3,120+Inputs!$B$27+Inputs!$B$29,MAX(0,(Inputs!$B$3-100)*3)+Inputs!$B$28+Inputs!$B$29)))</f>
        <v/>
      </c>
      <c r="E2326">
        <f>INDEX(FactorTable!$B$2:$Y$301, MATCH(ROUND(MIN(300,MAX(1,D2326)),0), FactorTable!$A$2:$A$301,0), Skills!M13+1)</f>
        <v/>
      </c>
      <c r="F2326">
        <f>IF(Skills!N13=TRUE,(Skills!L13/10)*(E2326/1000),Skills!L13/10)+Skills!O13</f>
        <v/>
      </c>
      <c r="G2326">
        <f>Skills!G13*IF(Skills!H13&gt;0,Skills!I13/Skills!H13,1)</f>
        <v/>
      </c>
      <c r="H2326">
        <f>1-(1-Skills!J13/100)^Skills!K13</f>
        <v/>
      </c>
      <c r="I2326" t="inlineStr">
        <is>
          <t>1</t>
        </is>
      </c>
      <c r="J2326" t="inlineStr"/>
      <c r="K2326" t="inlineStr"/>
      <c r="L2326" t="inlineStr"/>
      <c r="M2326" t="inlineStr"/>
      <c r="N2326" t="inlineStr"/>
      <c r="O2326">
        <f>(1-Summary!$B$11)*T2326+Summary!$B$11*V2326</f>
        <v/>
      </c>
      <c r="P2326">
        <f>IF(B2348=0,0,O2326/B2348)</f>
        <v/>
      </c>
      <c r="Q2326" t="n">
        <v>0</v>
      </c>
      <c r="R2326" t="n">
        <v>0</v>
      </c>
      <c r="S2326">
        <f>IFERROR(O2326/N2326,0)</f>
        <v/>
      </c>
      <c r="T2326" t="n">
        <v>0</v>
      </c>
      <c r="V2326" t="n">
        <v>0</v>
      </c>
    </row>
    <row r="2327">
      <c r="A2327">
        <f>Skills!A14</f>
        <v/>
      </c>
      <c r="B2327">
        <f>Skills!B14</f>
        <v/>
      </c>
      <c r="C2327">
        <f>Inputs!$B$3&gt;=107</f>
        <v/>
      </c>
      <c r="D2327">
        <f>IF(Skills!C14=1,60+Inputs!$B$25+Inputs!$B$29,IF(Skills!C14=2,90+Inputs!$B$26+Inputs!$B$29,IF(Skills!C14=3,120+Inputs!$B$27+Inputs!$B$29,MAX(0,(Inputs!$B$3-100)*3)+Inputs!$B$28+Inputs!$B$29)))</f>
        <v/>
      </c>
      <c r="E2327">
        <f>INDEX(FactorTable!$B$2:$Y$301, MATCH(ROUND(MIN(300,MAX(1,D2327)),0), FactorTable!$A$2:$A$301,0), Skills!M14+1)</f>
        <v/>
      </c>
      <c r="F2327">
        <f>IF(Skills!N14=TRUE,(Skills!L14/10)*(E2327/1000),Skills!L14/10)+Skills!O14</f>
        <v/>
      </c>
      <c r="G2327">
        <f>Skills!G14*IF(Skills!H14&gt;0,Skills!I14/Skills!H14,1)</f>
        <v/>
      </c>
      <c r="H2327">
        <f>1-(1-Skills!J14/100)^Skills!K14</f>
        <v/>
      </c>
      <c r="I2327" t="inlineStr">
        <is>
          <t>1</t>
        </is>
      </c>
      <c r="J2327" t="inlineStr"/>
      <c r="K2327" t="inlineStr"/>
      <c r="L2327" t="inlineStr"/>
      <c r="M2327" t="inlineStr"/>
      <c r="N2327" t="inlineStr"/>
      <c r="O2327">
        <f>(1-Summary!$B$11)*T2327+Summary!$B$11*V2327</f>
        <v/>
      </c>
      <c r="P2327">
        <f>IF(B2348=0,0,O2327/B2348)</f>
        <v/>
      </c>
      <c r="Q2327" t="n">
        <v>0</v>
      </c>
      <c r="R2327" t="n">
        <v>0</v>
      </c>
      <c r="S2327">
        <f>IFERROR(O2327/N2327,0)</f>
        <v/>
      </c>
      <c r="T2327" t="n">
        <v>0</v>
      </c>
      <c r="V2327" t="n">
        <v>0</v>
      </c>
    </row>
    <row r="2328">
      <c r="A2328">
        <f>Skills!A15</f>
        <v/>
      </c>
      <c r="B2328">
        <f>Skills!B15</f>
        <v/>
      </c>
      <c r="C2328">
        <f>Inputs!$B$3&gt;=115</f>
        <v/>
      </c>
      <c r="D2328">
        <f>IF(Skills!C15=1,60+Inputs!$B$25+Inputs!$B$29,IF(Skills!C15=2,90+Inputs!$B$26+Inputs!$B$29,IF(Skills!C15=3,120+Inputs!$B$27+Inputs!$B$29,MAX(0,(Inputs!$B$3-100)*3)+Inputs!$B$28+Inputs!$B$29)))</f>
        <v/>
      </c>
      <c r="E2328">
        <f>INDEX(FactorTable!$B$2:$Y$301, MATCH(ROUND(MIN(300,MAX(1,D2328)),0), FactorTable!$A$2:$A$301,0), Skills!M15+1)</f>
        <v/>
      </c>
      <c r="F2328">
        <f>IF(Skills!N15=TRUE,(Skills!L15/10)*(E2328/1000),Skills!L15/10)+Skills!O15</f>
        <v/>
      </c>
      <c r="G2328">
        <f>Skills!G15*IF(Skills!H15&gt;0,Skills!I15/Skills!H15,1)</f>
        <v/>
      </c>
      <c r="H2328">
        <f>1-(1-Skills!J15/100)^Skills!K15</f>
        <v/>
      </c>
      <c r="I2328" t="inlineStr">
        <is>
          <t>1</t>
        </is>
      </c>
      <c r="J2328" t="inlineStr"/>
      <c r="K2328" t="inlineStr"/>
      <c r="L2328" t="inlineStr"/>
      <c r="M2328" t="inlineStr"/>
      <c r="N2328" t="inlineStr"/>
      <c r="O2328">
        <f>(1-Summary!$B$11)*T2328+Summary!$B$11*V2328</f>
        <v/>
      </c>
      <c r="P2328">
        <f>IF(B2348=0,0,O2328/B2348)</f>
        <v/>
      </c>
      <c r="Q2328" t="n">
        <v>0</v>
      </c>
      <c r="R2328" t="n">
        <v>0</v>
      </c>
      <c r="S2328">
        <f>IFERROR(O2328/N2328,0)</f>
        <v/>
      </c>
      <c r="T2328" t="n">
        <v>0</v>
      </c>
      <c r="V2328" t="n">
        <v>0</v>
      </c>
    </row>
    <row r="2329">
      <c r="A2329">
        <f>Skills!A16</f>
        <v/>
      </c>
      <c r="B2329">
        <f>Skills!B16</f>
        <v/>
      </c>
      <c r="C2329">
        <f>Inputs!$B$3&gt;=15</f>
        <v/>
      </c>
      <c r="D2329">
        <f>IF(Skills!C16=1,60+Inputs!$B$25+Inputs!$B$29,IF(Skills!C16=2,90+Inputs!$B$26+Inputs!$B$29,IF(Skills!C16=3,120+Inputs!$B$27+Inputs!$B$29,MAX(0,(Inputs!$B$3-100)*3)+Inputs!$B$28+Inputs!$B$29)))</f>
        <v/>
      </c>
      <c r="E2329">
        <f>INDEX(FactorTable!$B$2:$Y$301, MATCH(ROUND(MIN(300,MAX(1,D2329)),0), FactorTable!$A$2:$A$301,0), Skills!M16+1)</f>
        <v/>
      </c>
      <c r="F2329">
        <f>IF(Skills!N16=TRUE,(Skills!L16/10)*(E2329/1000),Skills!L16/10)+Skills!O16</f>
        <v/>
      </c>
      <c r="G2329">
        <f>Skills!G16*IF(Skills!H16&gt;0,Skills!I16/Skills!H16,1)</f>
        <v/>
      </c>
      <c r="H2329">
        <f>1-(1-Skills!J16/100)^Skills!K16</f>
        <v/>
      </c>
      <c r="I2329" t="inlineStr">
        <is>
          <t>1</t>
        </is>
      </c>
      <c r="J2329" t="inlineStr"/>
      <c r="K2329" t="inlineStr"/>
      <c r="L2329" t="inlineStr"/>
      <c r="M2329" t="inlineStr"/>
      <c r="N2329" t="inlineStr"/>
      <c r="O2329">
        <f>(1-Summary!$B$11)*T2329+Summary!$B$11*V2329</f>
        <v/>
      </c>
      <c r="P2329">
        <f>IF(B2348=0,0,O2329/B2348)</f>
        <v/>
      </c>
      <c r="Q2329" t="n">
        <v>0</v>
      </c>
      <c r="R2329" t="n">
        <v>0</v>
      </c>
      <c r="S2329">
        <f>IFERROR(O2329/N2329,0)</f>
        <v/>
      </c>
      <c r="T2329" t="n">
        <v>0</v>
      </c>
      <c r="V2329" t="n">
        <v>0</v>
      </c>
    </row>
    <row r="2330">
      <c r="A2330">
        <f>Skills!A17</f>
        <v/>
      </c>
      <c r="B2330">
        <f>Skills!B17</f>
        <v/>
      </c>
      <c r="C2330">
        <f>Inputs!$B$3&gt;=10</f>
        <v/>
      </c>
      <c r="D2330">
        <f>IF(Skills!C17=1,60+Inputs!$B$25+Inputs!$B$29,IF(Skills!C17=2,90+Inputs!$B$26+Inputs!$B$29,IF(Skills!C17=3,120+Inputs!$B$27+Inputs!$B$29,MAX(0,(Inputs!$B$3-100)*3)+Inputs!$B$28+Inputs!$B$29)))</f>
        <v/>
      </c>
      <c r="E2330">
        <f>INDEX(FactorTable!$B$2:$Y$301, MATCH(ROUND(MIN(300,MAX(1,D2330)),0), FactorTable!$A$2:$A$301,0), Skills!M17+1)</f>
        <v/>
      </c>
      <c r="F2330">
        <f>IF(Skills!N17=TRUE,(Skills!L17/10)*(E2330/1000),Skills!L17/10)+Skills!O17</f>
        <v/>
      </c>
      <c r="G2330">
        <f>Skills!G17*IF(Skills!H17&gt;0,Skills!I17/Skills!H17,1)</f>
        <v/>
      </c>
      <c r="H2330">
        <f>1-(1-Skills!J17/100)^Skills!K17</f>
        <v/>
      </c>
      <c r="I2330" t="inlineStr">
        <is>
          <t>1</t>
        </is>
      </c>
      <c r="J2330" t="inlineStr"/>
      <c r="K2330" t="inlineStr"/>
      <c r="L2330" t="inlineStr"/>
      <c r="M2330" t="inlineStr"/>
      <c r="N2330" t="inlineStr"/>
      <c r="O2330">
        <f>(1-Summary!$B$11)*T2330+Summary!$B$11*V2330</f>
        <v/>
      </c>
      <c r="P2330">
        <f>IF(B2348=0,0,O2330/B2348)</f>
        <v/>
      </c>
      <c r="Q2330" t="n">
        <v>0</v>
      </c>
      <c r="R2330" t="n">
        <v>0</v>
      </c>
      <c r="S2330">
        <f>IFERROR(O2330/N2330,0)</f>
        <v/>
      </c>
      <c r="T2330" t="n">
        <v>0</v>
      </c>
      <c r="V2330" t="n">
        <v>0</v>
      </c>
    </row>
    <row r="2331">
      <c r="A2331">
        <f>Skills!A18</f>
        <v/>
      </c>
      <c r="B2331">
        <f>Skills!B18</f>
        <v/>
      </c>
      <c r="C2331">
        <f>Inputs!$B$3&gt;=33</f>
        <v/>
      </c>
      <c r="D2331">
        <f>IF(Skills!C18=1,60+Inputs!$B$25+Inputs!$B$29,IF(Skills!C18=2,90+Inputs!$B$26+Inputs!$B$29,IF(Skills!C18=3,120+Inputs!$B$27+Inputs!$B$29,MAX(0,(Inputs!$B$3-100)*3)+Inputs!$B$28+Inputs!$B$29)))</f>
        <v/>
      </c>
      <c r="E2331">
        <f>INDEX(FactorTable!$B$2:$Y$301, MATCH(ROUND(MIN(300,MAX(1,D2331)),0), FactorTable!$A$2:$A$301,0), Skills!M18+1)</f>
        <v/>
      </c>
      <c r="F2331">
        <f>IF(Skills!N18=TRUE,(Skills!L18/10)*(E2331/1000),Skills!L18/10)+Skills!O18</f>
        <v/>
      </c>
      <c r="G2331">
        <f>Skills!G18*IF(Skills!H18&gt;0,Skills!I18/Skills!H18,1)</f>
        <v/>
      </c>
      <c r="H2331">
        <f>1-(1-Skills!J18/100)^Skills!K18</f>
        <v/>
      </c>
      <c r="I2331" t="inlineStr">
        <is>
          <t>1</t>
        </is>
      </c>
      <c r="J2331" t="inlineStr"/>
      <c r="K2331" t="inlineStr"/>
      <c r="L2331" t="inlineStr"/>
      <c r="M2331" t="inlineStr"/>
      <c r="N2331" t="inlineStr"/>
      <c r="O2331">
        <f>(1-Summary!$B$11)*T2331+Summary!$B$11*V2331</f>
        <v/>
      </c>
      <c r="P2331">
        <f>IF(B2348=0,0,O2331/B2348)</f>
        <v/>
      </c>
      <c r="Q2331" t="n">
        <v>0</v>
      </c>
      <c r="R2331" t="n">
        <v>0</v>
      </c>
      <c r="S2331">
        <f>IFERROR(O2331/N2331,0)</f>
        <v/>
      </c>
      <c r="T2331" t="n">
        <v>0</v>
      </c>
      <c r="V2331" t="n">
        <v>0</v>
      </c>
    </row>
    <row r="2332">
      <c r="A2332">
        <f>Skills!A19</f>
        <v/>
      </c>
      <c r="B2332">
        <f>Skills!B19</f>
        <v/>
      </c>
      <c r="C2332">
        <f>Inputs!$B$3&gt;=40</f>
        <v/>
      </c>
      <c r="D2332">
        <f>IF(Skills!C19=1,60+Inputs!$B$25+Inputs!$B$29,IF(Skills!C19=2,90+Inputs!$B$26+Inputs!$B$29,IF(Skills!C19=3,120+Inputs!$B$27+Inputs!$B$29,MAX(0,(Inputs!$B$3-100)*3)+Inputs!$B$28+Inputs!$B$29)))</f>
        <v/>
      </c>
      <c r="E2332">
        <f>INDEX(FactorTable!$B$2:$Y$301, MATCH(ROUND(MIN(300,MAX(1,D2332)),0), FactorTable!$A$2:$A$301,0), Skills!M19+1)</f>
        <v/>
      </c>
      <c r="F2332">
        <f>IF(Skills!N19=TRUE,(Skills!L19/10)*(E2332/1000),Skills!L19/10)+Skills!O19</f>
        <v/>
      </c>
      <c r="G2332">
        <f>Skills!G19*IF(Skills!H19&gt;0,Skills!I19/Skills!H19,1)</f>
        <v/>
      </c>
      <c r="H2332">
        <f>1-(1-Skills!J19/100)^Skills!K19</f>
        <v/>
      </c>
      <c r="I2332" t="inlineStr">
        <is>
          <t>1</t>
        </is>
      </c>
      <c r="J2332" t="inlineStr"/>
      <c r="K2332" t="inlineStr"/>
      <c r="L2332" t="inlineStr"/>
      <c r="M2332" t="inlineStr"/>
      <c r="N2332" t="inlineStr"/>
      <c r="O2332">
        <f>(1-Summary!$B$11)*T2332+Summary!$B$11*V2332</f>
        <v/>
      </c>
      <c r="P2332">
        <f>IF(B2348=0,0,O2332/B2348)</f>
        <v/>
      </c>
      <c r="Q2332" t="n">
        <v>0</v>
      </c>
      <c r="R2332" t="n">
        <v>0</v>
      </c>
      <c r="S2332">
        <f>IFERROR(O2332/N2332,0)</f>
        <v/>
      </c>
      <c r="T2332" t="n">
        <v>0</v>
      </c>
      <c r="V2332" t="n">
        <v>0</v>
      </c>
    </row>
    <row r="2333">
      <c r="A2333">
        <f>Skills!A20</f>
        <v/>
      </c>
      <c r="B2333">
        <f>Skills!B20</f>
        <v/>
      </c>
      <c r="C2333">
        <f>Inputs!$B$3&gt;=43</f>
        <v/>
      </c>
      <c r="D2333">
        <f>IF(Skills!C20=1,60+Inputs!$B$25+Inputs!$B$29,IF(Skills!C20=2,90+Inputs!$B$26+Inputs!$B$29,IF(Skills!C20=3,120+Inputs!$B$27+Inputs!$B$29,MAX(0,(Inputs!$B$3-100)*3)+Inputs!$B$28+Inputs!$B$29)))</f>
        <v/>
      </c>
      <c r="E2333">
        <f>INDEX(FactorTable!$B$2:$Y$301, MATCH(ROUND(MIN(300,MAX(1,D2333)),0), FactorTable!$A$2:$A$301,0), Skills!M20+1)</f>
        <v/>
      </c>
      <c r="F2333">
        <f>IF(Skills!N20=TRUE,(Skills!L20/10)*(E2333/1000),Skills!L20/10)+Skills!O20</f>
        <v/>
      </c>
      <c r="G2333">
        <f>Skills!G20*IF(Skills!H20&gt;0,Skills!I20/Skills!H20,1)</f>
        <v/>
      </c>
      <c r="H2333">
        <f>1-(1-Skills!J20/100)^Skills!K20</f>
        <v/>
      </c>
      <c r="I2333" t="inlineStr">
        <is>
          <t>1</t>
        </is>
      </c>
      <c r="J2333" t="inlineStr"/>
      <c r="K2333" t="inlineStr"/>
      <c r="L2333" t="inlineStr"/>
      <c r="M2333" t="inlineStr"/>
      <c r="N2333" t="inlineStr"/>
      <c r="O2333">
        <f>(1-Summary!$B$11)*T2333+Summary!$B$11*V2333</f>
        <v/>
      </c>
      <c r="P2333">
        <f>IF(B2348=0,0,O2333/B2348)</f>
        <v/>
      </c>
      <c r="Q2333" t="n">
        <v>0</v>
      </c>
      <c r="R2333" t="n">
        <v>0</v>
      </c>
      <c r="S2333">
        <f>IFERROR(O2333/N2333,0)</f>
        <v/>
      </c>
      <c r="T2333" t="n">
        <v>0</v>
      </c>
      <c r="V2333" t="n">
        <v>0</v>
      </c>
    </row>
    <row r="2334">
      <c r="A2334">
        <f>Skills!A21</f>
        <v/>
      </c>
      <c r="B2334">
        <f>Skills!B21</f>
        <v/>
      </c>
      <c r="C2334">
        <f>Inputs!$B$3&gt;=38</f>
        <v/>
      </c>
      <c r="D2334">
        <f>IF(Skills!C21=1,60+Inputs!$B$25+Inputs!$B$29,IF(Skills!C21=2,90+Inputs!$B$26+Inputs!$B$29,IF(Skills!C21=3,120+Inputs!$B$27+Inputs!$B$29,MAX(0,(Inputs!$B$3-100)*3)+Inputs!$B$28+Inputs!$B$29)))</f>
        <v/>
      </c>
      <c r="E2334">
        <f>INDEX(FactorTable!$B$2:$Y$301, MATCH(ROUND(MIN(300,MAX(1,D2334)),0), FactorTable!$A$2:$A$301,0), Skills!M21+1)</f>
        <v/>
      </c>
      <c r="F2334">
        <f>IF(Skills!N21=TRUE,(Skills!L21/10)*(E2334/1000),Skills!L21/10)+Skills!O21</f>
        <v/>
      </c>
      <c r="G2334">
        <f>Skills!G21*IF(Skills!H21&gt;0,Skills!I21/Skills!H21,1)</f>
        <v/>
      </c>
      <c r="H2334">
        <f>1-(1-Skills!J21/100)^Skills!K21</f>
        <v/>
      </c>
      <c r="I2334" t="inlineStr">
        <is>
          <t>1</t>
        </is>
      </c>
      <c r="J2334" t="inlineStr"/>
      <c r="K2334" t="inlineStr"/>
      <c r="L2334" t="inlineStr"/>
      <c r="M2334" t="inlineStr"/>
      <c r="N2334" t="inlineStr"/>
      <c r="O2334">
        <f>(1-Summary!$B$11)*T2334+Summary!$B$11*V2334</f>
        <v/>
      </c>
      <c r="P2334">
        <f>IF(B2348=0,0,O2334/B2348)</f>
        <v/>
      </c>
      <c r="Q2334" t="n">
        <v>0</v>
      </c>
      <c r="R2334" t="n">
        <v>0</v>
      </c>
      <c r="S2334">
        <f>IFERROR(O2334/N2334,0)</f>
        <v/>
      </c>
      <c r="T2334" t="n">
        <v>0</v>
      </c>
      <c r="V2334" t="n">
        <v>0</v>
      </c>
    </row>
    <row r="2335">
      <c r="A2335">
        <f>Skills!A22</f>
        <v/>
      </c>
      <c r="B2335">
        <f>Skills!B22</f>
        <v/>
      </c>
      <c r="C2335">
        <f>Inputs!$B$3&gt;=75</f>
        <v/>
      </c>
      <c r="D2335">
        <f>IF(Skills!C22=1,60+Inputs!$B$25+Inputs!$B$29,IF(Skills!C22=2,90+Inputs!$B$26+Inputs!$B$29,IF(Skills!C22=3,120+Inputs!$B$27+Inputs!$B$29,MAX(0,(Inputs!$B$3-100)*3)+Inputs!$B$28+Inputs!$B$29)))</f>
        <v/>
      </c>
      <c r="E2335">
        <f>INDEX(FactorTable!$B$2:$Y$301, MATCH(ROUND(MIN(300,MAX(1,D2335)),0), FactorTable!$A$2:$A$301,0), Skills!M22+1)</f>
        <v/>
      </c>
      <c r="F2335">
        <f>IF(Skills!N22=TRUE,(Skills!L22/10)*(E2335/1000),Skills!L22/10)+Skills!O22</f>
        <v/>
      </c>
      <c r="G2335">
        <f>Skills!G22*IF(Skills!H22&gt;0,Skills!I22/Skills!H22,1)</f>
        <v/>
      </c>
      <c r="H2335">
        <f>1-(1-Skills!J22/100)^Skills!K22</f>
        <v/>
      </c>
      <c r="I2335" t="inlineStr">
        <is>
          <t>1</t>
        </is>
      </c>
      <c r="J2335" t="inlineStr"/>
      <c r="K2335" t="inlineStr"/>
      <c r="L2335" t="inlineStr"/>
      <c r="M2335" t="inlineStr"/>
      <c r="N2335" t="inlineStr"/>
      <c r="O2335">
        <f>(1-Summary!$B$11)*T2335+Summary!$B$11*V2335</f>
        <v/>
      </c>
      <c r="P2335">
        <f>IF(B2348=0,0,O2335/B2348)</f>
        <v/>
      </c>
      <c r="Q2335" t="n">
        <v>0</v>
      </c>
      <c r="R2335" t="n">
        <v>0</v>
      </c>
      <c r="S2335">
        <f>IFERROR(O2335/N2335,0)</f>
        <v/>
      </c>
      <c r="T2335" t="n">
        <v>0</v>
      </c>
      <c r="V2335" t="n">
        <v>0</v>
      </c>
    </row>
    <row r="2337">
      <c r="A2337" t="inlineStr">
        <is>
          <t>Attack% Bucket Multiplier</t>
        </is>
      </c>
      <c r="B2337">
        <f>(1+(((C2326=TRUE)*F2326)+((C2332=TRUE)*(F2332-Calc!F19))+(IF(ArtifactsInput!$M$21,CHOOSE(ArtifactsInput!$N$21+1,25,30,35,40,45,50)*(IF(OR(Inputs!$B$4="Chapter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38">
      <c r="A2338" t="inlineStr">
        <is>
          <t>Global Crit Rate Bonus %</t>
        </is>
      </c>
      <c r="B2338" t="n">
        <v>0</v>
      </c>
    </row>
    <row r="2339">
      <c r="A2339" t="inlineStr">
        <is>
          <t>Attack Speed Buff Bonus % (unused)</t>
        </is>
      </c>
      <c r="B2339" t="n">
        <v>0</v>
      </c>
    </row>
    <row r="2340">
      <c r="A2340" t="inlineStr">
        <is>
          <t>Actions Per Second</t>
        </is>
      </c>
      <c r="B2340">
        <f>1+MIN(150,150*(1-(1-(Inputs!$B$11+((C2330=TRUE)*(F2330-Calc!F17))+((C2331=TRUE)*(F2331-Calc!F18)))/150)*(1-B2339/150)))/100</f>
        <v/>
      </c>
    </row>
    <row r="2341">
      <c r="A2341" t="inlineStr">
        <is>
          <t>Skill + Buff Cast Rate</t>
        </is>
      </c>
      <c r="B2341">
        <f>IF(AND(Inputs!$B$38&lt;&gt;"pvp",Inputs!$B$43&gt;0),SUMPRODUCT((Skills!E2:E22=TRUE)*(C2315:C2335=TRUE)*R2315:R2335*Skills!F2:F22)/Inputs!$B$43,SUMPRODUCT((Skills!E2:E22=TRUE)*(C2315:C2335=TRUE)*Q2315:Q2335*Skills!F2:F22))</f>
        <v/>
      </c>
    </row>
    <row r="2342">
      <c r="A2342" t="inlineStr">
        <is>
          <t>Hook Bomber Casts Per Second</t>
        </is>
      </c>
      <c r="B2342">
        <f>MAX(0,B2340-B2341)</f>
        <v/>
      </c>
    </row>
    <row r="2343">
      <c r="A2343" t="inlineStr">
        <is>
          <t>Global Critical Damage Bonus % (unused)</t>
        </is>
      </c>
      <c r="B2343" t="n">
        <v>0</v>
      </c>
    </row>
    <row r="2344">
      <c r="A2344" t="inlineStr">
        <is>
          <t>Global Final Damage Bonus % (Serpent Scale + Crossbones + Time Leap + Speed Infusion)</t>
        </is>
      </c>
      <c r="B2344">
        <f>((C2318=TRUE)*F2318*((10+IF(Inputs!$B$3&gt;=94,5,0))/((10+IF(Inputs!$B$3&gt;=94,5,0))+5/(B2342*(1+IF(Inputs!$B$3&gt;=104,1,0))))))+((C2327=TRUE)*F2327)+((C2328=TRUE)*F2328)+((Inputs!$B$3&gt;=110)*20*(B2340-1))</f>
        <v/>
      </c>
    </row>
    <row r="2345">
      <c r="A2345" t="inlineStr">
        <is>
          <t>Buff-Casting Startup Delay (s, fixed-duration only)</t>
        </is>
      </c>
      <c r="B2345">
        <f>IF(AND(Inputs!$B$38&lt;&gt;"pvp",Inputs!$B$43&gt;0),SUMPRODUCT((Skills!T2:T22&gt;0)*(Skills!E2:E22=TRUE)*(C2315:C2335=TRUE))/B2340,0)</f>
        <v/>
      </c>
    </row>
    <row r="2346">
      <c r="A2346" t="inlineStr">
        <is>
          <t>Boss-Only Total DPS (this block's swept value)</t>
        </is>
      </c>
      <c r="B2346">
        <f>SUM(T2315:T2335)</f>
        <v/>
      </c>
    </row>
    <row r="2347">
      <c r="A2347" t="inlineStr">
        <is>
          <t>Normal-Only Total DPS (this block's swept value)</t>
        </is>
      </c>
      <c r="B2347">
        <f>SUM(V2315:V2335)</f>
        <v/>
      </c>
    </row>
    <row r="2348">
      <c r="A2348" s="6" t="inlineStr">
        <is>
          <t>TOTAL DPS</t>
        </is>
      </c>
      <c r="B2348" s="6">
        <f>SUM(O2315:O2335)</f>
        <v/>
      </c>
    </row>
    <row r="2351">
      <c r="A2351" s="6" t="inlineStr">
        <is>
          <t>Stat: Secret Map (Equip)</t>
        </is>
      </c>
    </row>
    <row r="2352">
      <c r="A2352" s="5" t="inlineStr">
        <is>
          <t>Key</t>
        </is>
      </c>
      <c r="B2352" s="5" t="inlineStr">
        <is>
          <t>Name</t>
        </is>
      </c>
      <c r="C2352" s="5" t="inlineStr">
        <is>
          <t>Unlocked</t>
        </is>
      </c>
      <c r="D2352" s="5" t="inlineStr">
        <is>
          <t>InputLevel</t>
        </is>
      </c>
      <c r="E2352" s="5" t="inlineStr">
        <is>
          <t>Factor</t>
        </is>
      </c>
      <c r="F2352" s="5" t="inlineStr">
        <is>
          <t>CoefficientPercent</t>
        </is>
      </c>
      <c r="G2352" s="5" t="inlineStr">
        <is>
          <t>EffectiveHits</t>
        </is>
      </c>
      <c r="H2352" s="5" t="inlineStr">
        <is>
          <t>ProcProbability</t>
        </is>
      </c>
      <c r="I2352" s="5" t="inlineStr">
        <is>
          <t>MapleHeroMultiplier</t>
        </is>
      </c>
      <c r="J2352" s="5" t="inlineStr">
        <is>
          <t>BaseDamage</t>
        </is>
      </c>
      <c r="K2352" s="5" t="inlineStr">
        <is>
          <t>BaseHitDamage</t>
        </is>
      </c>
      <c r="L2352" s="5" t="inlineStr">
        <is>
          <t>NonCritAvg</t>
        </is>
      </c>
      <c r="M2352" s="5" t="inlineStr">
        <is>
          <t>CritAvg</t>
        </is>
      </c>
      <c r="N2352" s="5" t="inlineStr">
        <is>
          <t>ExpectedDamage(perHit)</t>
        </is>
      </c>
      <c r="O2352" s="5" t="inlineStr">
        <is>
          <t>DPS</t>
        </is>
      </c>
      <c r="P2352" s="5" t="inlineStr">
        <is>
          <t>% of Total</t>
        </is>
      </c>
      <c r="Q2352" s="5" t="inlineStr">
        <is>
          <t>InvCooldown</t>
        </is>
      </c>
      <c r="R2352" s="5" t="inlineStr">
        <is>
          <t>CastsInFight</t>
        </is>
      </c>
      <c r="S2352" s="5" t="inlineStr">
        <is>
          <t>HitRate(perSec)</t>
        </is>
      </c>
      <c r="U2352" t="inlineStr">
        <is>
          <t>helpers</t>
        </is>
      </c>
    </row>
    <row r="2353">
      <c r="A2353">
        <f>Skills!A2</f>
        <v/>
      </c>
      <c r="B2353">
        <f>Skills!B2</f>
        <v/>
      </c>
      <c r="C2353">
        <f>Inputs!$B$3&gt;=100</f>
        <v/>
      </c>
      <c r="D2353" t="inlineStr"/>
      <c r="E2353" t="inlineStr"/>
      <c r="F2353">
        <f>U2355+Skills!O2</f>
        <v/>
      </c>
      <c r="G2353">
        <f>Skills!G2*IF(Skills!H2&gt;0,Skills!I2/Skills!H2,1)</f>
        <v/>
      </c>
      <c r="H2353">
        <f>1-(1-Skills!J2/100)^Skills!K2</f>
        <v/>
      </c>
      <c r="I2353" t="inlineStr">
        <is>
          <t>1</t>
        </is>
      </c>
      <c r="J2353">
        <f>((Inputs!$B$6*(1+Inputs!$B$7/100))+(((Inputs!$B$12*(1+Inputs!$B$13/100))-(Inputs!$B$12*(1+Inputs!$B$13/100)))+0.25*(Inputs!$B$14-Inputs!$B$14))*(1+Inputs!$B$7/100))*(F2353/100)</f>
        <v/>
      </c>
      <c r="K2353">
        <f>J2353*(1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2353)</f>
        <v/>
      </c>
      <c r="L2353">
        <f>K2353*(MIN(Inputs!$B$22+((C2371=TRUE)*(F2371-Calc!F20)),(Inputs!$B$23+0+(IF(ArtifactsInput!$M$15,CHOOSE(ArtifactsInput!$N$15+1,25,30,35,40,45,50)/100*(Inputs!$B$11-Inputs!$B$11),0))))/100+(Inputs!$B$23+0+(IF(ArtifactsInput!$M$15,CHOOSE(ArtifactsInput!$N$15+1,25,30,35,40,45,50)/100*(Inputs!$B$11-Inputs!$B$11),0)))/100)/2</f>
        <v/>
      </c>
      <c r="M2353">
        <f>L2353*(1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3">
        <f>L2353*(1-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2353*(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3">
        <f>(1-Summary!$B$11)*T2353+Summary!$B$11*V2353</f>
        <v/>
      </c>
      <c r="P2353">
        <f>IF(B2386=0,0,O2353/B2386)</f>
        <v/>
      </c>
      <c r="Q2353" t="n">
        <v>0</v>
      </c>
      <c r="R2353" t="n">
        <v>0</v>
      </c>
      <c r="S2353">
        <f>IFERROR(O2353/N2353,0)</f>
        <v/>
      </c>
      <c r="T2353">
        <f>IF(C2353,(Skills!G2*N2353*B2380)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2353*(1-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2353*(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2353*(1-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2353*(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3">
        <f>MAX(0,(Inputs!$B$3-100)*3)+Inputs!$B$28+Inputs!$B$29</f>
        <v/>
      </c>
      <c r="V2353">
        <f>IF(C2353,(Skills!G2*N2353*B2380)*IF(Inputs!$B$38="pvp",1,(1+(Inputs!$B$21+Skills!Q2+(IF(ArtifactsInput!$M$33,CHOOSE(ArtifactsInput!$N$33+1,30,36,42,48,54,60),0))+(IF(AND(ArtifactsInput!$M$35,Inputs!$B$4&lt;&gt;"Chapter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4">
      <c r="A2354">
        <f>Skills!A3</f>
        <v/>
      </c>
      <c r="B2354">
        <f>Skills!B3</f>
        <v/>
      </c>
      <c r="C2354">
        <f>Inputs!$B$3&gt;=35</f>
        <v/>
      </c>
      <c r="D2354">
        <f>IF(Skills!C3=1,60+Inputs!$B$25+Inputs!$B$29,IF(Skills!C3=2,90+Inputs!$B$26+Inputs!$B$29,IF(Skills!C3=3,120+Inputs!$B$27+Inputs!$B$29,MAX(0,(Inputs!$B$3-100)*3)+Inputs!$B$28+Inputs!$B$29)))</f>
        <v/>
      </c>
      <c r="E2354">
        <f>INDEX(FactorTable!$B$2:$Y$301, MATCH(ROUND(MIN(300,MAX(1,D2354)),0), FactorTable!$A$2:$A$301,0), Skills!M3+1)</f>
        <v/>
      </c>
      <c r="F2354">
        <f>IF(Skills!N3=TRUE,(Skills!L3/10)*(E2354/1000),Skills!L3/10)+Skills!O3</f>
        <v/>
      </c>
      <c r="G2354">
        <f>Skills!G3*IF(Skills!H3&gt;0,Skills!I3/Skills!H3,1)</f>
        <v/>
      </c>
      <c r="H2354">
        <f>1-(1-Skills!J3/100)^Skills!K3</f>
        <v/>
      </c>
      <c r="I2354" t="inlineStr">
        <is>
          <t>1</t>
        </is>
      </c>
      <c r="J2354">
        <f>((Inputs!$B$6*(1+Inputs!$B$7/100))+(((Inputs!$B$12*(1+Inputs!$B$13/100))-(Inputs!$B$12*(1+Inputs!$B$13/100)))+0.25*(Inputs!$B$14-Inputs!$B$14))*(1+Inputs!$B$7/100))*(F2354/100)</f>
        <v/>
      </c>
      <c r="K2354">
        <f>J2354*(1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2354)</f>
        <v/>
      </c>
      <c r="L2354">
        <f>K2354*(MIN(Inputs!$B$22+((C2371=TRUE)*(F2371-Calc!F20)),(Inputs!$B$23+0+(IF(ArtifactsInput!$M$15,CHOOSE(ArtifactsInput!$N$15+1,25,30,35,40,45,50)/100*(Inputs!$B$11-Inputs!$B$11),0))))/100+(Inputs!$B$23+0+(IF(ArtifactsInput!$M$15,CHOOSE(ArtifactsInput!$N$15+1,25,30,35,40,45,50)/100*(Inputs!$B$11-Inputs!$B$11),0)))/100)/2</f>
        <v/>
      </c>
      <c r="M2354">
        <f>L2354*(1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4">
        <f>L2354*(1-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2354*(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4">
        <f>(1-Summary!$B$11)*T2354+Summary!$B$11*V2354</f>
        <v/>
      </c>
      <c r="P2354">
        <f>IF(B2386=0,0,O2354/B2386)</f>
        <v/>
      </c>
      <c r="Q2354" t="n">
        <v>0</v>
      </c>
      <c r="R2354" t="n">
        <v>0</v>
      </c>
      <c r="S2354">
        <f>IFERROR(O2354/N2354,0)</f>
        <v/>
      </c>
      <c r="T2354">
        <f>IF(C2354,(Skills!G3*H2354*N2354*B2380)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2354*(1-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2354*(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2354*(1-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2354*(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4">
        <f>INDEX(FactorTable!$B$2:$Y$301, MATCH(ROUND(MIN(300,MAX(1,U2353)),0), FactorTable!$A$2:$A$301,0), 22)</f>
        <v/>
      </c>
      <c r="V2354">
        <f>IF(C2354,(Skills!G3*H2354*N2354*B2380)*IF(Inputs!$B$38="pvp",1,(1+(Inputs!$B$21+Skills!Q3+(IF(ArtifactsInput!$M$33,CHOOSE(ArtifactsInput!$N$33+1,30,36,42,48,54,60),0))+(IF(AND(ArtifactsInput!$M$35,Inputs!$B$4&lt;&gt;"Chapter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5">
      <c r="A2355">
        <f>Skills!A4</f>
        <v/>
      </c>
      <c r="B2355">
        <f>Skills!B4</f>
        <v/>
      </c>
      <c r="C2355">
        <f>Inputs!$B$3&gt;=60</f>
        <v/>
      </c>
      <c r="D2355">
        <f>IF(Skills!C4=1,60+Inputs!$B$25+Inputs!$B$29,IF(Skills!C4=2,90+Inputs!$B$26+Inputs!$B$29,IF(Skills!C4=3,120+Inputs!$B$27+Inputs!$B$29,MAX(0,(Inputs!$B$3-100)*3)+Inputs!$B$28+Inputs!$B$29)))</f>
        <v/>
      </c>
      <c r="E2355">
        <f>INDEX(FactorTable!$B$2:$Y$301, MATCH(ROUND(MIN(300,MAX(1,D2355)),0), FactorTable!$A$2:$A$301,0), Skills!M4+1)</f>
        <v/>
      </c>
      <c r="F2355">
        <f>IF(Skills!N4=TRUE,(Skills!L4/10)*(E2355/1000),Skills!L4/10)+Skills!O4</f>
        <v/>
      </c>
      <c r="G2355">
        <f>Skills!G4*IF(Skills!H4&gt;0,Skills!I4/Skills!H4,1)</f>
        <v/>
      </c>
      <c r="H2355">
        <f>1-(1-Skills!J4/100)^Skills!K4</f>
        <v/>
      </c>
      <c r="I2355" t="inlineStr">
        <is>
          <t>1</t>
        </is>
      </c>
      <c r="J2355">
        <f>((Inputs!$B$6*(1+Inputs!$B$7/100))+(((Inputs!$B$12*(1+Inputs!$B$13/100))-(Inputs!$B$12*(1+Inputs!$B$13/100)))+0.25*(Inputs!$B$14-Inputs!$B$14))*(1+Inputs!$B$7/100))*(F2355/100)</f>
        <v/>
      </c>
      <c r="K2355">
        <f>J2355*(1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2363=TRUE,F2363,0)/100)*(1+(IF(Skills!A4="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2355)</f>
        <v/>
      </c>
      <c r="L2355">
        <f>K2355*(MIN(Inputs!$B$22+((C2371=TRUE)*(F2371-Calc!F20)),(Inputs!$B$23+0+(IF(ArtifactsInput!$M$15,CHOOSE(ArtifactsInput!$N$15+1,25,30,35,40,45,50)/100*(Inputs!$B$11-Inputs!$B$11),0))))/100+(Inputs!$B$23+0+(IF(ArtifactsInput!$M$15,CHOOSE(ArtifactsInput!$N$15+1,25,30,35,40,45,50)/100*(Inputs!$B$11-Inputs!$B$11),0)))/100)/2</f>
        <v/>
      </c>
      <c r="M2355">
        <f>L2355*(1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5">
        <f>L2355*(1-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2355*(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5">
        <f>(1-Summary!$B$11)*T2355+Summary!$B$11*V2355</f>
        <v/>
      </c>
      <c r="P2355">
        <f>IF(B2386=0,0,O2355/B2386)</f>
        <v/>
      </c>
      <c r="Q2355" t="n">
        <v>0</v>
      </c>
      <c r="R2355" t="n">
        <v>0</v>
      </c>
      <c r="S2355">
        <f>IFERROR(O2355/N2355,0)</f>
        <v/>
      </c>
      <c r="T2355">
        <f>IF(C2355,(Skills!G4*H2355*N2355*B2380)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2355*(1-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2355*(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2355*(1-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2355*(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5">
        <f>290*U2354/1000</f>
        <v/>
      </c>
      <c r="V2355">
        <f>IF(C2355,(Skills!G4*H2355*N2355*B2380)*IF(Inputs!$B$38="pvp",1,(1+(Inputs!$B$21+Skills!Q4+(IF(ArtifactsInput!$M$33,CHOOSE(ArtifactsInput!$N$33+1,30,36,42,48,54,60),0))+(IF(AND(ArtifactsInput!$M$35,Inputs!$B$4&lt;&gt;"Chapter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6">
      <c r="A2356">
        <f>Skills!A5</f>
        <v/>
      </c>
      <c r="B2356">
        <f>Skills!B5</f>
        <v/>
      </c>
      <c r="C2356">
        <f>Inputs!$B$3&gt;=60</f>
        <v/>
      </c>
      <c r="D2356">
        <f>IF(Skills!C5=1,60+Inputs!$B$25+Inputs!$B$29,IF(Skills!C5=2,90+Inputs!$B$26+Inputs!$B$29,IF(Skills!C5=3,120+Inputs!$B$27+Inputs!$B$29,MAX(0,(Inputs!$B$3-100)*3)+Inputs!$B$28+Inputs!$B$29)))</f>
        <v/>
      </c>
      <c r="E2356">
        <f>INDEX(FactorTable!$B$2:$Y$301, MATCH(ROUND(MIN(300,MAX(1,D2356)),0), FactorTable!$A$2:$A$301,0), Skills!M5+1)</f>
        <v/>
      </c>
      <c r="F2356">
        <f>IF(Skills!N5=TRUE,(Skills!L5/10)*(E2356/1000),Skills!L5/10)+Skills!O5</f>
        <v/>
      </c>
      <c r="G2356">
        <f>Skills!G5*IF(Skills!H5&gt;0,Skills!I5/Skills!H5,1)</f>
        <v/>
      </c>
      <c r="H2356">
        <f>1-(1-Skills!J5/100)^Skills!K5</f>
        <v/>
      </c>
      <c r="I2356" t="inlineStr">
        <is>
          <t>1</t>
        </is>
      </c>
      <c r="J2356" t="inlineStr"/>
      <c r="K2356" t="inlineStr"/>
      <c r="L2356" t="inlineStr"/>
      <c r="M2356" t="inlineStr"/>
      <c r="N2356" t="inlineStr"/>
      <c r="O2356">
        <f>(1-Summary!$B$11)*T2356+Summary!$B$11*V2356</f>
        <v/>
      </c>
      <c r="P2356">
        <f>IF(B2386=0,0,O2356/B2386)</f>
        <v/>
      </c>
      <c r="Q2356" t="n">
        <v>0</v>
      </c>
      <c r="R2356" t="n">
        <v>0</v>
      </c>
      <c r="S2356">
        <f>IFERROR(O2356/N2356,0)</f>
        <v/>
      </c>
      <c r="T2356" t="n">
        <v>0</v>
      </c>
      <c r="V2356" t="n">
        <v>0</v>
      </c>
    </row>
    <row r="2357">
      <c r="A2357">
        <f>Skills!A6</f>
        <v/>
      </c>
      <c r="B2357">
        <f>Skills!B6</f>
        <v/>
      </c>
      <c r="C2357">
        <f>Inputs!$B$3&gt;=63</f>
        <v/>
      </c>
      <c r="D2357">
        <f>IF(Skills!C6=1,60+Inputs!$B$25+Inputs!$B$29,IF(Skills!C6=2,90+Inputs!$B$26+Inputs!$B$29,IF(Skills!C6=3,120+Inputs!$B$27+Inputs!$B$29,MAX(0,(Inputs!$B$3-100)*3)+Inputs!$B$28+Inputs!$B$29)))</f>
        <v/>
      </c>
      <c r="E2357">
        <f>INDEX(FactorTable!$B$2:$Y$301, MATCH(ROUND(MIN(300,MAX(1,D2357)),0), FactorTable!$A$2:$A$301,0), Skills!M6+1)</f>
        <v/>
      </c>
      <c r="F2357">
        <f>IF(Skills!N6=TRUE,(Skills!L6/10)*(E2357/1000),Skills!L6/10)+Skills!O6</f>
        <v/>
      </c>
      <c r="G2357">
        <f>Skills!G6*IF(Skills!H6&gt;0,Skills!I6/Skills!H6,1)</f>
        <v/>
      </c>
      <c r="H2357">
        <f>1-(1-Skills!J6/100)^Skills!K6</f>
        <v/>
      </c>
      <c r="I2357" t="inlineStr">
        <is>
          <t>1</t>
        </is>
      </c>
      <c r="J2357">
        <f>((Inputs!$B$6*(1+Inputs!$B$7/100))+(((Inputs!$B$12*(1+Inputs!$B$13/100))-(Inputs!$B$12*(1+Inputs!$B$13/100)))+0.25*(Inputs!$B$14-Inputs!$B$14))*(1+Inputs!$B$7/100))*(F2357/100)</f>
        <v/>
      </c>
      <c r="K2357">
        <f>J2357*(1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2357)</f>
        <v/>
      </c>
      <c r="L2357">
        <f>K2357*(MIN(Inputs!$B$22+((C2371=TRUE)*(F2371-Calc!F20)),(Inputs!$B$23+0+(IF(ArtifactsInput!$M$15,CHOOSE(ArtifactsInput!$N$15+1,25,30,35,40,45,50)/100*(Inputs!$B$11-Inputs!$B$11),0))))/100+(Inputs!$B$23+0+(IF(ArtifactsInput!$M$15,CHOOSE(ArtifactsInput!$N$15+1,25,30,35,40,45,50)/100*(Inputs!$B$11-Inputs!$B$11),0)))/100)/2</f>
        <v/>
      </c>
      <c r="M2357">
        <f>L2357*(1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7">
        <f>L2357*(1-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2357*(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7">
        <f>(1-Summary!$B$11)*T2357+Summary!$B$11*V2357</f>
        <v/>
      </c>
      <c r="P2357">
        <f>IF(B2386=0,0,O2357/B2386)</f>
        <v/>
      </c>
      <c r="Q2357">
        <f>IFERROR(1/(IF(Inputs!$B$38="pvp",15,MAX(0.1,Skills!D6-IF(Skills!E6=TRUE,Inputs!$B$32,0)))*(1-IF(AND(ArtifactsInput!$M$27,Inputs!$B$4="Chapter Hunt"),CHOOSE(ArtifactsInput!$N$27+1,20,24,28,32,36,40),0)/100)),0)</f>
        <v/>
      </c>
      <c r="R2357">
        <f>IF(AND(Inputs!$B$38&lt;&gt;"pvp",Inputs!$B$43&gt;0),IF(MAX(0,Inputs!$B$43-B2383)&lt;=0,0,(INT(MAX(0,Inputs!$B$43-B2383)/(IF(Inputs!$B$38="pvp",15,MAX(0.1,Skills!D6-IF(Skills!E6=TRUE,Inputs!$B$32,0)))*(1-IF(AND(ArtifactsInput!$M$27,Inputs!$B$4="Chapter Hunt"),CHOOSE(ArtifactsInput!$N$27+1,20,24,28,32,36,40),0)/100)))+1)),0)</f>
        <v/>
      </c>
      <c r="S2357">
        <f>IFERROR(O2357/N2357,0)</f>
        <v/>
      </c>
      <c r="T2357">
        <f>IF(C2357,(H2357*N2357*IF(AND(Inputs!$B$38&lt;&gt;"pvp",Inputs!$B$43&gt;0),((Skills!G6*((R2357-1)*IF(Skills!H6&gt;0,Skills!I6/Skills!H6,1)+IF(Skills!H6&gt;0,MIN(Skills!I6,MAX(0,MAX(0,Inputs!$B$43-B2383)-((R2357-1)*(IF(Inputs!$B$38="pvp",15,MAX(0.1,Skills!D6-IF(Skills!E6=TRUE,Inputs!$B$32,0)))*(1-IF(AND(ArtifactsInput!$M$27,Inputs!$B$4="Chapter Hunt"),CHOOSE(ArtifactsInput!$N$27+1,20,24,28,32,36,40),0)/100)))))/Skills!H6,1)))/Inputs!$B$43),G2357*Q2357)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2357*(1-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2357*(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2357*(1-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2357*(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7">
        <f>IF(C2357,(H2357*N2357*IF(AND(Inputs!$B$38&lt;&gt;"pvp",Inputs!$B$43&gt;0),((Skills!G6*((R2357-1)*IF(Skills!H6&gt;0,Skills!I6/Skills!H6,1)+IF(Skills!H6&gt;0,MIN(Skills!I6,MAX(0,MAX(0,Inputs!$B$43-B2383)-((R2357-1)*(IF(Inputs!$B$38="pvp",15,MAX(0.1,Skills!D6-IF(Skills!E6=TRUE,Inputs!$B$32,0)))*(1-IF(AND(ArtifactsInput!$M$27,Inputs!$B$4="Chapter Hunt"),CHOOSE(ArtifactsInput!$N$27+1,20,24,28,32,36,40),0)/100)))))/Skills!H6,1)))/Inputs!$B$43),G2357*Q2357))*IF(Inputs!$B$38="pvp",1,(1+(Inputs!$B$21+Skills!Q6+(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8">
      <c r="A2358">
        <f>Skills!A7</f>
        <v/>
      </c>
      <c r="B2358">
        <f>Skills!B7</f>
        <v/>
      </c>
      <c r="C2358">
        <f>Inputs!$B$3&gt;=100</f>
        <v/>
      </c>
      <c r="D2358">
        <f>IF(Skills!C7=1,60+Inputs!$B$25+Inputs!$B$29,IF(Skills!C7=2,90+Inputs!$B$26+Inputs!$B$29,IF(Skills!C7=3,120+Inputs!$B$27+Inputs!$B$29,MAX(0,(Inputs!$B$3-100)*3)+Inputs!$B$28+Inputs!$B$29)))</f>
        <v/>
      </c>
      <c r="E2358">
        <f>INDEX(FactorTable!$B$2:$Y$301, MATCH(ROUND(MIN(300,MAX(1,D2358)),0), FactorTable!$A$2:$A$301,0), Skills!M7+1)</f>
        <v/>
      </c>
      <c r="F2358">
        <f>IF(Skills!N7=TRUE,(Skills!L7/10)*(E2358/1000),Skills!L7/10)+Skills!O7</f>
        <v/>
      </c>
      <c r="G2358">
        <f>Skills!G7*IF(Skills!H7&gt;0,Skills!I7/Skills!H7,1)</f>
        <v/>
      </c>
      <c r="H2358">
        <f>1-(1-Skills!J7/100)^Skills!K7</f>
        <v/>
      </c>
      <c r="I2358" t="inlineStr">
        <is>
          <t>1</t>
        </is>
      </c>
      <c r="J2358">
        <f>((Inputs!$B$6*(1+Inputs!$B$7/100))+(((Inputs!$B$12*(1+Inputs!$B$13/100))-(Inputs!$B$12*(1+Inputs!$B$13/100)))+0.25*(Inputs!$B$14-Inputs!$B$14))*(1+Inputs!$B$7/100))*(F2358/100)</f>
        <v/>
      </c>
      <c r="K2358">
        <f>J2358*(1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2358)</f>
        <v/>
      </c>
      <c r="L2358">
        <f>K2358*(MIN(Inputs!$B$22+((C2371=TRUE)*(F2371-Calc!F20)),(Inputs!$B$23+0+(IF(ArtifactsInput!$M$15,CHOOSE(ArtifactsInput!$N$15+1,25,30,35,40,45,50)/100*(Inputs!$B$11-Inputs!$B$11),0))))/100+(Inputs!$B$23+0+(IF(ArtifactsInput!$M$15,CHOOSE(ArtifactsInput!$N$15+1,25,30,35,40,45,50)/100*(Inputs!$B$11-Inputs!$B$11),0)))/100)/2</f>
        <v/>
      </c>
      <c r="M2358">
        <f>L2358*(1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8">
        <f>L2358*(1-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2358*(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8">
        <f>(1-Summary!$B$11)*T2358+Summary!$B$11*V2358</f>
        <v/>
      </c>
      <c r="P2358">
        <f>IF(B2386=0,0,O2358/B2386)</f>
        <v/>
      </c>
      <c r="Q2358">
        <f>IFERROR(1/(IF(Inputs!$B$38="pvp",15,MAX(0.1,Skills!D7-IF(Skills!E7=TRUE,Inputs!$B$32,0)))*(1-IF(AND(ArtifactsInput!$M$27,Inputs!$B$4="Chapter Hunt"),CHOOSE(ArtifactsInput!$N$27+1,20,24,28,32,36,40),0)/100)),0)</f>
        <v/>
      </c>
      <c r="R2358">
        <f>IF(AND(Inputs!$B$38&lt;&gt;"pvp",Inputs!$B$43&gt;0),IF(MAX(0,Inputs!$B$43-B2383)&lt;=0,0,(INT(MAX(0,Inputs!$B$43-B2383)/(IF(Inputs!$B$38="pvp",15,MAX(0.1,Skills!D7-IF(Skills!E7=TRUE,Inputs!$B$32,0)))*(1-IF(AND(ArtifactsInput!$M$27,Inputs!$B$4="Chapter Hunt"),CHOOSE(ArtifactsInput!$N$27+1,20,24,28,32,36,40),0)/100)))+1)),0)</f>
        <v/>
      </c>
      <c r="S2358">
        <f>IFERROR(O2358/N2358,0)</f>
        <v/>
      </c>
      <c r="T2358">
        <f>IF(C2358,(H2358*N2358*IF(AND(Inputs!$B$38&lt;&gt;"pvp",Inputs!$B$43&gt;0),((Skills!G7*((R2358-1)*IF(Skills!H7&gt;0,Skills!I7/Skills!H7,1)+IF(Skills!H7&gt;0,MIN(Skills!I7,MAX(0,MAX(0,Inputs!$B$43-B2383)-((R2358-1)*(IF(Inputs!$B$38="pvp",15,MAX(0.1,Skills!D7-IF(Skills!E7=TRUE,Inputs!$B$32,0)))*(1-IF(AND(ArtifactsInput!$M$27,Inputs!$B$4="Chapter Hunt"),CHOOSE(ArtifactsInput!$N$27+1,20,24,28,32,36,40),0)/100)))))/Skills!H7,1)))/Inputs!$B$43),G2358*Q2358)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2358*(1-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2358*(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2358*(1-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2358*(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8">
        <f>IF(C2358,(H2358*N2358*IF(AND(Inputs!$B$38&lt;&gt;"pvp",Inputs!$B$43&gt;0),((Skills!G7*((R2358-1)*IF(Skills!H7&gt;0,Skills!I7/Skills!H7,1)+IF(Skills!H7&gt;0,MIN(Skills!I7,MAX(0,MAX(0,Inputs!$B$43-B2383)-((R2358-1)*(IF(Inputs!$B$38="pvp",15,MAX(0.1,Skills!D7-IF(Skills!E7=TRUE,Inputs!$B$32,0)))*(1-IF(AND(ArtifactsInput!$M$27,Inputs!$B$4="Chapter Hunt"),CHOOSE(ArtifactsInput!$N$27+1,20,24,28,32,36,40),0)/100)))))/Skills!H7,1)))/Inputs!$B$43),G2358*Q2358))*IF(Inputs!$B$38="pvp",1,(1+(Inputs!$B$21+Skills!Q7+(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9">
      <c r="A2359">
        <f>Skills!A8</f>
        <v/>
      </c>
      <c r="B2359">
        <f>Skills!B8</f>
        <v/>
      </c>
      <c r="C2359">
        <f>Inputs!$B$3&gt;=110</f>
        <v/>
      </c>
      <c r="D2359">
        <f>IF(Skills!C8=1,60+Inputs!$B$25+Inputs!$B$29,IF(Skills!C8=2,90+Inputs!$B$26+Inputs!$B$29,IF(Skills!C8=3,120+Inputs!$B$27+Inputs!$B$29,MAX(0,(Inputs!$B$3-100)*3)+Inputs!$B$28+Inputs!$B$29)))</f>
        <v/>
      </c>
      <c r="E2359">
        <f>INDEX(FactorTable!$B$2:$Y$301, MATCH(ROUND(MIN(300,MAX(1,D2359)),0), FactorTable!$A$2:$A$301,0), Skills!M8+1)</f>
        <v/>
      </c>
      <c r="F2359">
        <f>IF(Skills!N8=TRUE,(Skills!L8/10)*(E2359/1000),Skills!L8/10)+Skills!O8</f>
        <v/>
      </c>
      <c r="G2359">
        <f>Skills!G8*IF(Skills!H8&gt;0,Skills!I8/Skills!H8,1)</f>
        <v/>
      </c>
      <c r="H2359">
        <f>1-(1-Skills!J8/100)^Skills!K8</f>
        <v/>
      </c>
      <c r="I2359" t="inlineStr">
        <is>
          <t>1</t>
        </is>
      </c>
      <c r="J2359">
        <f>((Inputs!$B$6*(1+Inputs!$B$7/100))+(((Inputs!$B$12*(1+Inputs!$B$13/100))-(Inputs!$B$12*(1+Inputs!$B$13/100)))+0.25*(Inputs!$B$14-Inputs!$B$14))*(1+Inputs!$B$7/100))*(F2359/100)</f>
        <v/>
      </c>
      <c r="K2359">
        <f>J2359*(1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2359)</f>
        <v/>
      </c>
      <c r="L2359">
        <f>K2359*(MIN(Inputs!$B$22+((C2371=TRUE)*(F2371-Calc!F20)),(Inputs!$B$23+0+(IF(ArtifactsInput!$M$15,CHOOSE(ArtifactsInput!$N$15+1,25,30,35,40,45,50)/100*(Inputs!$B$11-Inputs!$B$11),0))))/100+(Inputs!$B$23+0+(IF(ArtifactsInput!$M$15,CHOOSE(ArtifactsInput!$N$15+1,25,30,35,40,45,50)/100*(Inputs!$B$11-Inputs!$B$11),0)))/100)/2</f>
        <v/>
      </c>
      <c r="M2359">
        <f>L2359*(1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9">
        <f>L2359*(1-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2359*(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9">
        <f>(1-Summary!$B$11)*T2359+Summary!$B$11*V2359</f>
        <v/>
      </c>
      <c r="P2359">
        <f>IF(B2386=0,0,O2359/B2386)</f>
        <v/>
      </c>
      <c r="Q2359">
        <f>IFERROR(1/(IF(Inputs!$B$38="pvp",15,MAX(0.1,Skills!D8-IF(Skills!E8=TRUE,Inputs!$B$32,0)))*(1-IF(AND(ArtifactsInput!$M$27,Inputs!$B$4="Chapter Hunt"),CHOOSE(ArtifactsInput!$N$27+1,20,24,28,32,36,40),0)/100)),0)</f>
        <v/>
      </c>
      <c r="R2359">
        <f>IF(AND(Inputs!$B$38&lt;&gt;"pvp",Inputs!$B$43&gt;0),IF(MAX(0,Inputs!$B$43-B2383)&lt;=0,0,(INT(MAX(0,Inputs!$B$43-B2383)/(IF(Inputs!$B$38="pvp",15,MAX(0.1,Skills!D8-IF(Skills!E8=TRUE,Inputs!$B$32,0)))*(1-IF(AND(ArtifactsInput!$M$27,Inputs!$B$4="Chapter Hunt"),CHOOSE(ArtifactsInput!$N$27+1,20,24,28,32,36,40),0)/100)))+1)),0)</f>
        <v/>
      </c>
      <c r="S2359">
        <f>IFERROR(O2359/N2359,0)</f>
        <v/>
      </c>
      <c r="T2359">
        <f>IF(C2359,(H2359*N2359*IF(AND(Inputs!$B$38&lt;&gt;"pvp",Inputs!$B$43&gt;0),((Skills!G8*((R2359-1)*IF(Skills!H8&gt;0,Skills!I8/Skills!H8,1)+IF(Skills!H8&gt;0,MIN(Skills!I8,MAX(0,MAX(0,Inputs!$B$43-B2383)-((R2359-1)*(IF(Inputs!$B$38="pvp",15,MAX(0.1,Skills!D8-IF(Skills!E8=TRUE,Inputs!$B$32,0)))*(1-IF(AND(ArtifactsInput!$M$27,Inputs!$B$4="Chapter Hunt"),CHOOSE(ArtifactsInput!$N$27+1,20,24,28,32,36,40),0)/100)))))/Skills!H8,1)))/Inputs!$B$43),G2359*Q2359)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2359*(1-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2359*(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2359*(1-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2359*(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9">
        <f>IF(C2359,(H2359*N2359*IF(AND(Inputs!$B$38&lt;&gt;"pvp",Inputs!$B$43&gt;0),((Skills!G8*((R2359-1)*IF(Skills!H8&gt;0,Skills!I8/Skills!H8,1)+IF(Skills!H8&gt;0,MIN(Skills!I8,MAX(0,MAX(0,Inputs!$B$43-B2383)-((R2359-1)*(IF(Inputs!$B$38="pvp",15,MAX(0.1,Skills!D8-IF(Skills!E8=TRUE,Inputs!$B$32,0)))*(1-IF(AND(ArtifactsInput!$M$27,Inputs!$B$4="Chapter Hunt"),CHOOSE(ArtifactsInput!$N$27+1,20,24,28,32,36,40),0)/100)))))/Skills!H8,1)))/Inputs!$B$43),G2359*Q2359))*IF(Inputs!$B$38="pvp",1,(1+(Inputs!$B$21+Skills!Q8+(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0">
      <c r="A2360">
        <f>Skills!A9</f>
        <v/>
      </c>
      <c r="B2360">
        <f>Skills!B9</f>
        <v/>
      </c>
      <c r="C2360">
        <f>Inputs!$B$3&gt;=110</f>
        <v/>
      </c>
      <c r="D2360">
        <f>IF(Skills!C9=1,60+Inputs!$B$25+Inputs!$B$29,IF(Skills!C9=2,90+Inputs!$B$26+Inputs!$B$29,IF(Skills!C9=3,120+Inputs!$B$27+Inputs!$B$29,MAX(0,(Inputs!$B$3-100)*3)+Inputs!$B$28+Inputs!$B$29)))</f>
        <v/>
      </c>
      <c r="E2360">
        <f>INDEX(FactorTable!$B$2:$Y$301, MATCH(ROUND(MIN(300,MAX(1,D2360)),0), FactorTable!$A$2:$A$301,0), Skills!M9+1)</f>
        <v/>
      </c>
      <c r="F2360">
        <f>IF(Skills!N9=TRUE,(Skills!L9/10)*(E2360/1000),Skills!L9/10)+Skills!O9</f>
        <v/>
      </c>
      <c r="G2360">
        <f>Skills!G9*IF(Skills!H9&gt;0,Skills!I9/Skills!H9,1)</f>
        <v/>
      </c>
      <c r="H2360">
        <f>1-(1-Skills!J9/100)^Skills!K9</f>
        <v/>
      </c>
      <c r="I2360" t="inlineStr">
        <is>
          <t>1</t>
        </is>
      </c>
      <c r="J2360">
        <f>((Inputs!$B$6*(1+Inputs!$B$7/100))+(((Inputs!$B$12*(1+Inputs!$B$13/100))-(Inputs!$B$12*(1+Inputs!$B$13/100)))+0.25*(Inputs!$B$14-Inputs!$B$14))*(1+Inputs!$B$7/100))*(F2360/100)</f>
        <v/>
      </c>
      <c r="K2360">
        <f>J2360*(1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C2371=TRUE)*(F2371-Calc!F20)),(Inputs!$B$23+0+(IF(ArtifactsInput!$M$15,CHOOSE(ArtifactsInput!$N$15+1,25,30,35,40,45,50)/100*(Inputs!$B$11-Inputs!$B$11),0))))/100+(Inputs!$B$23+0+(IF(ArtifactsInput!$M$15,CHOOSE(ArtifactsInput!$N$15+1,25,30,35,40,45,50)/100*(Inputs!$B$11-Inputs!$B$11),0)))/100)/2</f>
        <v/>
      </c>
      <c r="M2360">
        <f>L2360*(1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(1-Summary!$B$11)*T2360+Summary!$B$11*V2360</f>
        <v/>
      </c>
      <c r="P2360">
        <f>IF(B2386=0,0,O2360/B2386)</f>
        <v/>
      </c>
      <c r="Q2360">
        <f>IFERROR(1/(IF(Inputs!$B$38="pvp",15,MAX(0.1,Skills!D9-IF(Skills!E9=TRUE,Inputs!$B$32,0)))*(1-IF(AND(ArtifactsInput!$M$27,Inputs!$B$4="Chapter Hunt"),CHOOSE(ArtifactsInput!$N$27+1,20,24,28,32,36,40),0)/100)),0)</f>
        <v/>
      </c>
      <c r="R2360">
        <f>IF(AND(Inputs!$B$38&lt;&gt;"pvp",Inputs!$B$43&gt;0),IF(MAX(0,Inputs!$B$43-B2383)&lt;=0,0,(INT(MAX(0,Inputs!$B$43-B2383)/(IF(Inputs!$B$38="pvp",15,MAX(0.1,Skills!D9-IF(Skills!E9=TRUE,Inputs!$B$32,0)))*(1-IF(AND(ArtifactsInput!$M$27,Inputs!$B$4="Chapter Hunt"),CHOOSE(ArtifactsInput!$N$27+1,20,24,28,32,36,40),0)/100)))+1)),0)</f>
        <v/>
      </c>
      <c r="S2360">
        <f>IFERROR(O2360/N2360,0)</f>
        <v/>
      </c>
      <c r="T2360">
        <f>IF(C2360,(H2360*N2360*IF(AND(Inputs!$B$38&lt;&gt;"pvp",Inputs!$B$43&gt;0),((Skills!G9*((R2360-1)*IF(Skills!H9&gt;0,Skills!I9/Skills!H9,1)+IF(Skills!H9&gt;0,MIN(Skills!I9,MAX(0,MAX(0,Inputs!$B$43-B2383)-((R2360-1)*(IF(Inputs!$B$38="pvp",15,MAX(0.1,Skills!D9-IF(Skills!E9=TRUE,Inputs!$B$32,0)))*(1-IF(AND(ArtifactsInput!$M$27,Inputs!$B$4="Chapter Hunt"),CHOOSE(ArtifactsInput!$N$27+1,20,24,28,32,36,40),0)/100)))))/Skills!H9,1)))/Inputs!$B$43),G2360*Q2360)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2360*(1-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0">
        <f>IF(C2360,(H2360*N2360*IF(AND(Inputs!$B$38&lt;&gt;"pvp",Inputs!$B$43&gt;0),((Skills!G9*((R2360-1)*IF(Skills!H9&gt;0,Skills!I9/Skills!H9,1)+IF(Skills!H9&gt;0,MIN(Skills!I9,MAX(0,MAX(0,Inputs!$B$43-B2383)-((R2360-1)*(IF(Inputs!$B$38="pvp",15,MAX(0.1,Skills!D9-IF(Skills!E9=TRUE,Inputs!$B$32,0)))*(1-IF(AND(ArtifactsInput!$M$27,Inputs!$B$4="Chapter Hunt"),CHOOSE(ArtifactsInput!$N$27+1,20,24,28,32,36,40),0)/100)))))/Skills!H9,1)))/Inputs!$B$43),G2360*Q2360))*IF(Inputs!$B$38="pvp",1,(1+(Inputs!$B$21+Skills!Q9+(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1">
      <c r="A2361">
        <f>Skills!A10</f>
        <v/>
      </c>
      <c r="B2361">
        <f>Skills!B10</f>
        <v/>
      </c>
      <c r="C2361">
        <f>Inputs!$B$3&gt;=103</f>
        <v/>
      </c>
      <c r="D2361">
        <f>IF(Skills!C10=1,60+Inputs!$B$25+Inputs!$B$29,IF(Skills!C10=2,90+Inputs!$B$26+Inputs!$B$29,IF(Skills!C10=3,120+Inputs!$B$27+Inputs!$B$29,MAX(0,(Inputs!$B$3-100)*3)+Inputs!$B$28+Inputs!$B$29)))</f>
        <v/>
      </c>
      <c r="E2361">
        <f>INDEX(FactorTable!$B$2:$Y$301, MATCH(ROUND(MIN(300,MAX(1,D2361)),0), FactorTable!$A$2:$A$301,0), Skills!M10+1)</f>
        <v/>
      </c>
      <c r="F2361">
        <f>IF(Skills!N10=TRUE,(Skills!L10/10)*(E2361/1000),Skills!L10/10)+Skills!O10</f>
        <v/>
      </c>
      <c r="G2361">
        <f>Skills!G10*IF(Skills!H10&gt;0,Skills!I10/Skills!H10,1)</f>
        <v/>
      </c>
      <c r="H2361">
        <f>1-(1-Skills!J10/100)^Skills!K10</f>
        <v/>
      </c>
      <c r="I2361" t="inlineStr">
        <is>
          <t>1</t>
        </is>
      </c>
      <c r="J2361">
        <f>((Inputs!$B$6*(1+Inputs!$B$7/100))+(((Inputs!$B$12*(1+Inputs!$B$13/100))-(Inputs!$B$12*(1+Inputs!$B$13/100)))+0.25*(Inputs!$B$14-Inputs!$B$14))*(1+Inputs!$B$7/100))*(F2361/100)</f>
        <v/>
      </c>
      <c r="K2361">
        <f>J2361*(1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C2371=TRUE)*(F2371-Calc!F20)),(Inputs!$B$23+0+(IF(ArtifactsInput!$M$15,CHOOSE(ArtifactsInput!$N$15+1,25,30,35,40,45,50)/100*(Inputs!$B$11-Inputs!$B$11),0))))/100+(Inputs!$B$23+0+(IF(ArtifactsInput!$M$15,CHOOSE(ArtifactsInput!$N$15+1,25,30,35,40,45,50)/100*(Inputs!$B$11-Inputs!$B$11),0)))/100)/2</f>
        <v/>
      </c>
      <c r="M2361">
        <f>L2361*(1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(1-Summary!$B$11)*T2361+Summary!$B$11*V2361</f>
        <v/>
      </c>
      <c r="P2361">
        <f>IF(B2386=0,0,O2361/B2386)</f>
        <v/>
      </c>
      <c r="Q2361">
        <f>IFERROR(1/(IF(Inputs!$B$38="pvp",15,MAX(0.1,Skills!D10-IF(Skills!E10=TRUE,Inputs!$B$32,0)))*(1-IF(AND(ArtifactsInput!$M$27,Inputs!$B$4="Chapter Hunt"),CHOOSE(ArtifactsInput!$N$27+1,20,24,28,32,36,40),0)/100)),0)</f>
        <v/>
      </c>
      <c r="R2361">
        <f>IF(AND(Inputs!$B$38&lt;&gt;"pvp",Inputs!$B$43&gt;0),IF(MAX(0,Inputs!$B$43-B2383)&lt;=0,0,(INT(MAX(0,Inputs!$B$43-B2383)/(IF(Inputs!$B$38="pvp",15,MAX(0.1,Skills!D10-IF(Skills!E10=TRUE,Inputs!$B$32,0)))*(1-IF(AND(ArtifactsInput!$M$27,Inputs!$B$4="Chapter Hunt"),CHOOSE(ArtifactsInput!$N$27+1,20,24,28,32,36,40),0)/100)))+1)),0)</f>
        <v/>
      </c>
      <c r="S2361">
        <f>IFERROR(O2361/N2361,0)</f>
        <v/>
      </c>
      <c r="T2361">
        <f>IF(C2361,(H2361*N2361*IF(AND(Inputs!$B$38&lt;&gt;"pvp",Inputs!$B$43&gt;0),((Skills!G10*((R2361-1)*IF(Skills!H10&gt;0,Skills!I10/Skills!H10,1)+IF(Skills!H10&gt;0,MIN(Skills!I10,MAX(0,MAX(0,Inputs!$B$43-B2383)-((R2361-1)*(IF(Inputs!$B$38="pvp",15,MAX(0.1,Skills!D10-IF(Skills!E10=TRUE,Inputs!$B$32,0)))*(1-IF(AND(ArtifactsInput!$M$27,Inputs!$B$4="Chapter Hunt"),CHOOSE(ArtifactsInput!$N$27+1,20,24,28,32,36,40),0)/100)))))/Skills!H10,1)))/Inputs!$B$43),G2361*Q2361)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1">
        <f>IF(C2361,(H2361*N2361*IF(AND(Inputs!$B$38&lt;&gt;"pvp",Inputs!$B$43&gt;0),((Skills!G10*((R2361-1)*IF(Skills!H10&gt;0,Skills!I10/Skills!H10,1)+IF(Skills!H10&gt;0,MIN(Skills!I10,MAX(0,MAX(0,Inputs!$B$43-B2383)-((R2361-1)*(IF(Inputs!$B$38="pvp",15,MAX(0.1,Skills!D10-IF(Skills!E10=TRUE,Inputs!$B$32,0)))*(1-IF(AND(ArtifactsInput!$M$27,Inputs!$B$4="Chapter Hunt"),CHOOSE(ArtifactsInput!$N$27+1,20,24,28,32,36,40),0)/100)))))/Skills!H10,1)))/Inputs!$B$43),G2361*Q2361))*IF(Inputs!$B$38="pvp",1,(1+(Inputs!$B$21+Skills!Q10+(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Skills!A11</f>
        <v/>
      </c>
      <c r="B2362">
        <f>Skills!B11</f>
        <v/>
      </c>
      <c r="C2362">
        <f>Inputs!$B$3&gt;=113</f>
        <v/>
      </c>
      <c r="D2362">
        <f>IF(Skills!C11=1,60+Inputs!$B$25+Inputs!$B$29,IF(Skills!C11=2,90+Inputs!$B$26+Inputs!$B$29,IF(Skills!C11=3,120+Inputs!$B$27+Inputs!$B$29,MAX(0,(Inputs!$B$3-100)*3)+Inputs!$B$28+Inputs!$B$29)))</f>
        <v/>
      </c>
      <c r="E2362">
        <f>INDEX(FactorTable!$B$2:$Y$301, MATCH(ROUND(MIN(300,MAX(1,D2362)),0), FactorTable!$A$2:$A$301,0), Skills!M11+1)</f>
        <v/>
      </c>
      <c r="F2362">
        <f>IF(Skills!N11=TRUE,(Skills!L11/10)*(E2362/1000),Skills!L11/10)+Skills!O11</f>
        <v/>
      </c>
      <c r="G2362">
        <f>Skills!G11*IF(Skills!H11&gt;0,Skills!I11/Skills!H11,1)</f>
        <v/>
      </c>
      <c r="H2362">
        <f>1-(1-Skills!J11/100)^Skills!K11</f>
        <v/>
      </c>
      <c r="I2362" t="inlineStr">
        <is>
          <t>1</t>
        </is>
      </c>
      <c r="J2362">
        <f>((Inputs!$B$6*(1+Inputs!$B$7/100))+(((Inputs!$B$12*(1+Inputs!$B$13/100))-(Inputs!$B$12*(1+Inputs!$B$13/100)))+0.25*(Inputs!$B$14-Inputs!$B$14))*(1+Inputs!$B$7/100))*(F2362/100)</f>
        <v/>
      </c>
      <c r="K2362">
        <f>J2362*(1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C2371=TRUE)*(F2371-Calc!F20)),(Inputs!$B$23+0+(IF(ArtifactsInput!$M$15,CHOOSE(ArtifactsInput!$N$15+1,25,30,35,40,45,50)/100*(Inputs!$B$11-Inputs!$B$11),0))))/100+(Inputs!$B$23+0+(IF(ArtifactsInput!$M$15,CHOOSE(ArtifactsInput!$N$15+1,25,30,35,40,45,50)/100*(Inputs!$B$11-Inputs!$B$11),0)))/100)/2</f>
        <v/>
      </c>
      <c r="M2362">
        <f>L2362*(1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(1-Summary!$B$11)*T2362+Summary!$B$11*V2362</f>
        <v/>
      </c>
      <c r="P2362">
        <f>IF(B2386=0,0,O2362/B2386)</f>
        <v/>
      </c>
      <c r="Q2362">
        <f>IFERROR(1/(IF(Inputs!$B$38="pvp",15,MAX(0.1,Skills!D11-IF(Skills!E11=TRUE,Inputs!$B$32,0)))*(1-IF(AND(ArtifactsInput!$M$27,Inputs!$B$4="Chapter Hunt"),CHOOSE(ArtifactsInput!$N$27+1,20,24,28,32,36,40),0)/100)),0)</f>
        <v/>
      </c>
      <c r="R2362">
        <f>IF(AND(Inputs!$B$38&lt;&gt;"pvp",Inputs!$B$43&gt;0),IF(MAX(0,Inputs!$B$43-B2383)&lt;=0,0,(INT(MAX(0,Inputs!$B$43-B2383)/(IF(Inputs!$B$38="pvp",15,MAX(0.1,Skills!D11-IF(Skills!E11=TRUE,Inputs!$B$32,0)))*(1-IF(AND(ArtifactsInput!$M$27,Inputs!$B$4="Chapter Hunt"),CHOOSE(ArtifactsInput!$N$27+1,20,24,28,32,36,40),0)/100)))+1)),0)</f>
        <v/>
      </c>
      <c r="S2362">
        <f>IFERROR(O2362/N2362,0)</f>
        <v/>
      </c>
      <c r="T2362">
        <f>IF(C2362,(H2362*N2362*IF(AND(Inputs!$B$38&lt;&gt;"pvp",Inputs!$B$43&gt;0),((Skills!G11*((R2362-1)*IF(Skills!H11&gt;0,Skills!I11/Skills!H11,1)+IF(Skills!H11&gt;0,MIN(Skills!I11,MAX(0,MAX(0,Inputs!$B$43-B2383)-((R2362-1)*(IF(Inputs!$B$38="pvp",15,MAX(0.1,Skills!D11-IF(Skills!E11=TRUE,Inputs!$B$32,0)))*(1-IF(AND(ArtifactsInput!$M$27,Inputs!$B$4="Chapter Hunt"),CHOOSE(ArtifactsInput!$N$27+1,20,24,28,32,36,40),0)/100)))))/Skills!H11,1)))/Inputs!$B$43),G2362*Q2362)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2362*(1-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2">
        <f>IF(C2362,(H2362*N2362*IF(AND(Inputs!$B$38&lt;&gt;"pvp",Inputs!$B$43&gt;0),((Skills!G11*((R2362-1)*IF(Skills!H11&gt;0,Skills!I11/Skills!H11,1)+IF(Skills!H11&gt;0,MIN(Skills!I11,MAX(0,MAX(0,Inputs!$B$43-B2383)-((R2362-1)*(IF(Inputs!$B$38="pvp",15,MAX(0.1,Skills!D11-IF(Skills!E11=TRUE,Inputs!$B$32,0)))*(1-IF(AND(ArtifactsInput!$M$27,Inputs!$B$4="Chapter Hunt"),CHOOSE(ArtifactsInput!$N$27+1,20,24,28,32,36,40),0)/100)))))/Skills!H11,1)))/Inputs!$B$43),G2362*Q2362))*IF(Inputs!$B$38="pvp",1,(1+(Inputs!$B$21+Skills!Q11+(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Skills!A12</f>
        <v/>
      </c>
      <c r="B2363">
        <f>Skills!B12</f>
        <v/>
      </c>
      <c r="C2363">
        <f>Inputs!$B$3&gt;=100</f>
        <v/>
      </c>
      <c r="D2363">
        <f>IF(Skills!C12=1,60+Inputs!$B$25+Inputs!$B$29,IF(Skills!C12=2,90+Inputs!$B$26+Inputs!$B$29,IF(Skills!C12=3,120+Inputs!$B$27+Inputs!$B$29,MAX(0,(Inputs!$B$3-100)*3)+Inputs!$B$28+Inputs!$B$29)))</f>
        <v/>
      </c>
      <c r="E2363">
        <f>INDEX(FactorTable!$B$2:$Y$301, MATCH(ROUND(MIN(300,MAX(1,D2363)),0), FactorTable!$A$2:$A$301,0), Skills!M12+1)</f>
        <v/>
      </c>
      <c r="F2363">
        <f>IF(Skills!N12=TRUE,(Skills!L12/10)*(E2363/1000),Skills!L12/10)+Skills!O12</f>
        <v/>
      </c>
      <c r="G2363" t="inlineStr"/>
      <c r="H2363" t="inlineStr"/>
      <c r="I2363" t="inlineStr">
        <is>
          <t>1</t>
        </is>
      </c>
      <c r="J2363" t="inlineStr"/>
      <c r="K2363" t="inlineStr"/>
      <c r="L2363" t="inlineStr"/>
      <c r="M2363" t="inlineStr"/>
      <c r="N2363" t="inlineStr"/>
      <c r="O2363" t="inlineStr"/>
      <c r="P2363" t="inlineStr"/>
      <c r="Q2363" t="inlineStr"/>
      <c r="R2363" t="inlineStr"/>
      <c r="S2363" t="inlineStr"/>
      <c r="T2363" t="inlineStr"/>
      <c r="V2363" t="inlineStr"/>
    </row>
    <row r="2364">
      <c r="A2364">
        <f>Skills!A13</f>
        <v/>
      </c>
      <c r="B2364">
        <f>Skills!B13</f>
        <v/>
      </c>
      <c r="C2364">
        <f>Inputs!$B$3&gt;=66</f>
        <v/>
      </c>
      <c r="D2364">
        <f>IF(Skills!C13=1,60+Inputs!$B$25+Inputs!$B$29,IF(Skills!C13=2,90+Inputs!$B$26+Inputs!$B$29,IF(Skills!C13=3,120+Inputs!$B$27+Inputs!$B$29,MAX(0,(Inputs!$B$3-100)*3)+Inputs!$B$28+Inputs!$B$29)))</f>
        <v/>
      </c>
      <c r="E2364">
        <f>INDEX(FactorTable!$B$2:$Y$301, MATCH(ROUND(MIN(300,MAX(1,D2364)),0), FactorTable!$A$2:$A$301,0), Skills!M13+1)</f>
        <v/>
      </c>
      <c r="F2364">
        <f>IF(Skills!N13=TRUE,(Skills!L13/10)*(E2364/1000),Skills!L13/10)+Skills!O13</f>
        <v/>
      </c>
      <c r="G2364">
        <f>Skills!G13*IF(Skills!H13&gt;0,Skills!I13/Skills!H13,1)</f>
        <v/>
      </c>
      <c r="H2364">
        <f>1-(1-Skills!J13/100)^Skills!K13</f>
        <v/>
      </c>
      <c r="I2364" t="inlineStr">
        <is>
          <t>1</t>
        </is>
      </c>
      <c r="J2364" t="inlineStr"/>
      <c r="K2364" t="inlineStr"/>
      <c r="L2364" t="inlineStr"/>
      <c r="M2364" t="inlineStr"/>
      <c r="N2364" t="inlineStr"/>
      <c r="O2364">
        <f>(1-Summary!$B$11)*T2364+Summary!$B$11*V2364</f>
        <v/>
      </c>
      <c r="P2364">
        <f>IF(B2386=0,0,O2364/B2386)</f>
        <v/>
      </c>
      <c r="Q2364" t="n">
        <v>0</v>
      </c>
      <c r="R2364" t="n">
        <v>0</v>
      </c>
      <c r="S2364">
        <f>IFERROR(O2364/N2364,0)</f>
        <v/>
      </c>
      <c r="T2364" t="n">
        <v>0</v>
      </c>
      <c r="V2364" t="n">
        <v>0</v>
      </c>
    </row>
    <row r="2365">
      <c r="A2365">
        <f>Skills!A14</f>
        <v/>
      </c>
      <c r="B2365">
        <f>Skills!B14</f>
        <v/>
      </c>
      <c r="C2365">
        <f>Inputs!$B$3&gt;=107</f>
        <v/>
      </c>
      <c r="D2365">
        <f>IF(Skills!C14=1,60+Inputs!$B$25+Inputs!$B$29,IF(Skills!C14=2,90+Inputs!$B$26+Inputs!$B$29,IF(Skills!C14=3,120+Inputs!$B$27+Inputs!$B$29,MAX(0,(Inputs!$B$3-100)*3)+Inputs!$B$28+Inputs!$B$29)))</f>
        <v/>
      </c>
      <c r="E2365">
        <f>INDEX(FactorTable!$B$2:$Y$301, MATCH(ROUND(MIN(300,MAX(1,D2365)),0), FactorTable!$A$2:$A$301,0), Skills!M14+1)</f>
        <v/>
      </c>
      <c r="F2365">
        <f>IF(Skills!N14=TRUE,(Skills!L14/10)*(E2365/1000),Skills!L14/10)+Skills!O14</f>
        <v/>
      </c>
      <c r="G2365">
        <f>Skills!G14*IF(Skills!H14&gt;0,Skills!I14/Skills!H14,1)</f>
        <v/>
      </c>
      <c r="H2365">
        <f>1-(1-Skills!J14/100)^Skills!K14</f>
        <v/>
      </c>
      <c r="I2365" t="inlineStr">
        <is>
          <t>1</t>
        </is>
      </c>
      <c r="J2365" t="inlineStr"/>
      <c r="K2365" t="inlineStr"/>
      <c r="L2365" t="inlineStr"/>
      <c r="M2365" t="inlineStr"/>
      <c r="N2365" t="inlineStr"/>
      <c r="O2365">
        <f>(1-Summary!$B$11)*T2365+Summary!$B$11*V2365</f>
        <v/>
      </c>
      <c r="P2365">
        <f>IF(B2386=0,0,O2365/B2386)</f>
        <v/>
      </c>
      <c r="Q2365" t="n">
        <v>0</v>
      </c>
      <c r="R2365" t="n">
        <v>0</v>
      </c>
      <c r="S2365">
        <f>IFERROR(O2365/N2365,0)</f>
        <v/>
      </c>
      <c r="T2365" t="n">
        <v>0</v>
      </c>
      <c r="V2365" t="n">
        <v>0</v>
      </c>
    </row>
    <row r="2366">
      <c r="A2366">
        <f>Skills!A15</f>
        <v/>
      </c>
      <c r="B2366">
        <f>Skills!B15</f>
        <v/>
      </c>
      <c r="C2366">
        <f>Inputs!$B$3&gt;=115</f>
        <v/>
      </c>
      <c r="D2366">
        <f>IF(Skills!C15=1,60+Inputs!$B$25+Inputs!$B$29,IF(Skills!C15=2,90+Inputs!$B$26+Inputs!$B$29,IF(Skills!C15=3,120+Inputs!$B$27+Inputs!$B$29,MAX(0,(Inputs!$B$3-100)*3)+Inputs!$B$28+Inputs!$B$29)))</f>
        <v/>
      </c>
      <c r="E2366">
        <f>INDEX(FactorTable!$B$2:$Y$301, MATCH(ROUND(MIN(300,MAX(1,D2366)),0), FactorTable!$A$2:$A$301,0), Skills!M15+1)</f>
        <v/>
      </c>
      <c r="F2366">
        <f>IF(Skills!N15=TRUE,(Skills!L15/10)*(E2366/1000),Skills!L15/10)+Skills!O15</f>
        <v/>
      </c>
      <c r="G2366">
        <f>Skills!G15*IF(Skills!H15&gt;0,Skills!I15/Skills!H15,1)</f>
        <v/>
      </c>
      <c r="H2366">
        <f>1-(1-Skills!J15/100)^Skills!K15</f>
        <v/>
      </c>
      <c r="I2366" t="inlineStr">
        <is>
          <t>1</t>
        </is>
      </c>
      <c r="J2366" t="inlineStr"/>
      <c r="K2366" t="inlineStr"/>
      <c r="L2366" t="inlineStr"/>
      <c r="M2366" t="inlineStr"/>
      <c r="N2366" t="inlineStr"/>
      <c r="O2366">
        <f>(1-Summary!$B$11)*T2366+Summary!$B$11*V2366</f>
        <v/>
      </c>
      <c r="P2366">
        <f>IF(B2386=0,0,O2366/B2386)</f>
        <v/>
      </c>
      <c r="Q2366" t="n">
        <v>0</v>
      </c>
      <c r="R2366" t="n">
        <v>0</v>
      </c>
      <c r="S2366">
        <f>IFERROR(O2366/N2366,0)</f>
        <v/>
      </c>
      <c r="T2366" t="n">
        <v>0</v>
      </c>
      <c r="V2366" t="n">
        <v>0</v>
      </c>
    </row>
    <row r="2367">
      <c r="A2367">
        <f>Skills!A16</f>
        <v/>
      </c>
      <c r="B2367">
        <f>Skills!B16</f>
        <v/>
      </c>
      <c r="C2367">
        <f>Inputs!$B$3&gt;=15</f>
        <v/>
      </c>
      <c r="D2367">
        <f>IF(Skills!C16=1,60+Inputs!$B$25+Inputs!$B$29,IF(Skills!C16=2,90+Inputs!$B$26+Inputs!$B$29,IF(Skills!C16=3,120+Inputs!$B$27+Inputs!$B$29,MAX(0,(Inputs!$B$3-100)*3)+Inputs!$B$28+Inputs!$B$29)))</f>
        <v/>
      </c>
      <c r="E2367">
        <f>INDEX(FactorTable!$B$2:$Y$301, MATCH(ROUND(MIN(300,MAX(1,D2367)),0), FactorTable!$A$2:$A$301,0), Skills!M16+1)</f>
        <v/>
      </c>
      <c r="F2367">
        <f>IF(Skills!N16=TRUE,(Skills!L16/10)*(E2367/1000),Skills!L16/10)+Skills!O16</f>
        <v/>
      </c>
      <c r="G2367">
        <f>Skills!G16*IF(Skills!H16&gt;0,Skills!I16/Skills!H16,1)</f>
        <v/>
      </c>
      <c r="H2367">
        <f>1-(1-Skills!J16/100)^Skills!K16</f>
        <v/>
      </c>
      <c r="I2367" t="inlineStr">
        <is>
          <t>1</t>
        </is>
      </c>
      <c r="J2367" t="inlineStr"/>
      <c r="K2367" t="inlineStr"/>
      <c r="L2367" t="inlineStr"/>
      <c r="M2367" t="inlineStr"/>
      <c r="N2367" t="inlineStr"/>
      <c r="O2367">
        <f>(1-Summary!$B$11)*T2367+Summary!$B$11*V2367</f>
        <v/>
      </c>
      <c r="P2367">
        <f>IF(B2386=0,0,O2367/B2386)</f>
        <v/>
      </c>
      <c r="Q2367" t="n">
        <v>0</v>
      </c>
      <c r="R2367" t="n">
        <v>0</v>
      </c>
      <c r="S2367">
        <f>IFERROR(O2367/N2367,0)</f>
        <v/>
      </c>
      <c r="T2367" t="n">
        <v>0</v>
      </c>
      <c r="V2367" t="n">
        <v>0</v>
      </c>
    </row>
    <row r="2368">
      <c r="A2368">
        <f>Skills!A17</f>
        <v/>
      </c>
      <c r="B2368">
        <f>Skills!B17</f>
        <v/>
      </c>
      <c r="C2368">
        <f>Inputs!$B$3&gt;=10</f>
        <v/>
      </c>
      <c r="D2368">
        <f>IF(Skills!C17=1,60+Inputs!$B$25+Inputs!$B$29,IF(Skills!C17=2,90+Inputs!$B$26+Inputs!$B$29,IF(Skills!C17=3,120+Inputs!$B$27+Inputs!$B$29,MAX(0,(Inputs!$B$3-100)*3)+Inputs!$B$28+Inputs!$B$29)))</f>
        <v/>
      </c>
      <c r="E2368">
        <f>INDEX(FactorTable!$B$2:$Y$301, MATCH(ROUND(MIN(300,MAX(1,D2368)),0), FactorTable!$A$2:$A$301,0), Skills!M17+1)</f>
        <v/>
      </c>
      <c r="F2368">
        <f>IF(Skills!N17=TRUE,(Skills!L17/10)*(E2368/1000),Skills!L17/10)+Skills!O17</f>
        <v/>
      </c>
      <c r="G2368">
        <f>Skills!G17*IF(Skills!H17&gt;0,Skills!I17/Skills!H17,1)</f>
        <v/>
      </c>
      <c r="H2368">
        <f>1-(1-Skills!J17/100)^Skills!K17</f>
        <v/>
      </c>
      <c r="I2368" t="inlineStr">
        <is>
          <t>1</t>
        </is>
      </c>
      <c r="J2368" t="inlineStr"/>
      <c r="K2368" t="inlineStr"/>
      <c r="L2368" t="inlineStr"/>
      <c r="M2368" t="inlineStr"/>
      <c r="N2368" t="inlineStr"/>
      <c r="O2368">
        <f>(1-Summary!$B$11)*T2368+Summary!$B$11*V2368</f>
        <v/>
      </c>
      <c r="P2368">
        <f>IF(B2386=0,0,O2368/B2386)</f>
        <v/>
      </c>
      <c r="Q2368" t="n">
        <v>0</v>
      </c>
      <c r="R2368" t="n">
        <v>0</v>
      </c>
      <c r="S2368">
        <f>IFERROR(O2368/N2368,0)</f>
        <v/>
      </c>
      <c r="T2368" t="n">
        <v>0</v>
      </c>
      <c r="V2368" t="n">
        <v>0</v>
      </c>
    </row>
    <row r="2369">
      <c r="A2369">
        <f>Skills!A18</f>
        <v/>
      </c>
      <c r="B2369">
        <f>Skills!B18</f>
        <v/>
      </c>
      <c r="C2369">
        <f>Inputs!$B$3&gt;=33</f>
        <v/>
      </c>
      <c r="D2369">
        <f>IF(Skills!C18=1,60+Inputs!$B$25+Inputs!$B$29,IF(Skills!C18=2,90+Inputs!$B$26+Inputs!$B$29,IF(Skills!C18=3,120+Inputs!$B$27+Inputs!$B$29,MAX(0,(Inputs!$B$3-100)*3)+Inputs!$B$28+Inputs!$B$29)))</f>
        <v/>
      </c>
      <c r="E2369">
        <f>INDEX(FactorTable!$B$2:$Y$301, MATCH(ROUND(MIN(300,MAX(1,D2369)),0), FactorTable!$A$2:$A$301,0), Skills!M18+1)</f>
        <v/>
      </c>
      <c r="F2369">
        <f>IF(Skills!N18=TRUE,(Skills!L18/10)*(E2369/1000),Skills!L18/10)+Skills!O18</f>
        <v/>
      </c>
      <c r="G2369">
        <f>Skills!G18*IF(Skills!H18&gt;0,Skills!I18/Skills!H18,1)</f>
        <v/>
      </c>
      <c r="H2369">
        <f>1-(1-Skills!J18/100)^Skills!K18</f>
        <v/>
      </c>
      <c r="I2369" t="inlineStr">
        <is>
          <t>1</t>
        </is>
      </c>
      <c r="J2369" t="inlineStr"/>
      <c r="K2369" t="inlineStr"/>
      <c r="L2369" t="inlineStr"/>
      <c r="M2369" t="inlineStr"/>
      <c r="N2369" t="inlineStr"/>
      <c r="O2369">
        <f>(1-Summary!$B$11)*T2369+Summary!$B$11*V2369</f>
        <v/>
      </c>
      <c r="P2369">
        <f>IF(B2386=0,0,O2369/B2386)</f>
        <v/>
      </c>
      <c r="Q2369" t="n">
        <v>0</v>
      </c>
      <c r="R2369" t="n">
        <v>0</v>
      </c>
      <c r="S2369">
        <f>IFERROR(O2369/N2369,0)</f>
        <v/>
      </c>
      <c r="T2369" t="n">
        <v>0</v>
      </c>
      <c r="V2369" t="n">
        <v>0</v>
      </c>
    </row>
    <row r="2370">
      <c r="A2370">
        <f>Skills!A19</f>
        <v/>
      </c>
      <c r="B2370">
        <f>Skills!B19</f>
        <v/>
      </c>
      <c r="C2370">
        <f>Inputs!$B$3&gt;=40</f>
        <v/>
      </c>
      <c r="D2370">
        <f>IF(Skills!C19=1,60+Inputs!$B$25+Inputs!$B$29,IF(Skills!C19=2,90+Inputs!$B$26+Inputs!$B$29,IF(Skills!C19=3,120+Inputs!$B$27+Inputs!$B$29,MAX(0,(Inputs!$B$3-100)*3)+Inputs!$B$28+Inputs!$B$29)))</f>
        <v/>
      </c>
      <c r="E2370">
        <f>INDEX(FactorTable!$B$2:$Y$301, MATCH(ROUND(MIN(300,MAX(1,D2370)),0), FactorTable!$A$2:$A$301,0), Skills!M19+1)</f>
        <v/>
      </c>
      <c r="F2370">
        <f>IF(Skills!N19=TRUE,(Skills!L19/10)*(E2370/1000),Skills!L19/10)+Skills!O19</f>
        <v/>
      </c>
      <c r="G2370">
        <f>Skills!G19*IF(Skills!H19&gt;0,Skills!I19/Skills!H19,1)</f>
        <v/>
      </c>
      <c r="H2370">
        <f>1-(1-Skills!J19/100)^Skills!K19</f>
        <v/>
      </c>
      <c r="I2370" t="inlineStr">
        <is>
          <t>1</t>
        </is>
      </c>
      <c r="J2370" t="inlineStr"/>
      <c r="K2370" t="inlineStr"/>
      <c r="L2370" t="inlineStr"/>
      <c r="M2370" t="inlineStr"/>
      <c r="N2370" t="inlineStr"/>
      <c r="O2370">
        <f>(1-Summary!$B$11)*T2370+Summary!$B$11*V2370</f>
        <v/>
      </c>
      <c r="P2370">
        <f>IF(B2386=0,0,O2370/B2386)</f>
        <v/>
      </c>
      <c r="Q2370" t="n">
        <v>0</v>
      </c>
      <c r="R2370" t="n">
        <v>0</v>
      </c>
      <c r="S2370">
        <f>IFERROR(O2370/N2370,0)</f>
        <v/>
      </c>
      <c r="T2370" t="n">
        <v>0</v>
      </c>
      <c r="V2370" t="n">
        <v>0</v>
      </c>
    </row>
    <row r="2371">
      <c r="A2371">
        <f>Skills!A20</f>
        <v/>
      </c>
      <c r="B2371">
        <f>Skills!B20</f>
        <v/>
      </c>
      <c r="C2371">
        <f>Inputs!$B$3&gt;=43</f>
        <v/>
      </c>
      <c r="D2371">
        <f>IF(Skills!C20=1,60+Inputs!$B$25+Inputs!$B$29,IF(Skills!C20=2,90+Inputs!$B$26+Inputs!$B$29,IF(Skills!C20=3,120+Inputs!$B$27+Inputs!$B$29,MAX(0,(Inputs!$B$3-100)*3)+Inputs!$B$28+Inputs!$B$29)))</f>
        <v/>
      </c>
      <c r="E2371">
        <f>INDEX(FactorTable!$B$2:$Y$301, MATCH(ROUND(MIN(300,MAX(1,D2371)),0), FactorTable!$A$2:$A$301,0), Skills!M20+1)</f>
        <v/>
      </c>
      <c r="F2371">
        <f>IF(Skills!N20=TRUE,(Skills!L20/10)*(E2371/1000),Skills!L20/10)+Skills!O20</f>
        <v/>
      </c>
      <c r="G2371">
        <f>Skills!G20*IF(Skills!H20&gt;0,Skills!I20/Skills!H20,1)</f>
        <v/>
      </c>
      <c r="H2371">
        <f>1-(1-Skills!J20/100)^Skills!K20</f>
        <v/>
      </c>
      <c r="I2371" t="inlineStr">
        <is>
          <t>1</t>
        </is>
      </c>
      <c r="J2371" t="inlineStr"/>
      <c r="K2371" t="inlineStr"/>
      <c r="L2371" t="inlineStr"/>
      <c r="M2371" t="inlineStr"/>
      <c r="N2371" t="inlineStr"/>
      <c r="O2371">
        <f>(1-Summary!$B$11)*T2371+Summary!$B$11*V2371</f>
        <v/>
      </c>
      <c r="P2371">
        <f>IF(B2386=0,0,O2371/B2386)</f>
        <v/>
      </c>
      <c r="Q2371" t="n">
        <v>0</v>
      </c>
      <c r="R2371" t="n">
        <v>0</v>
      </c>
      <c r="S2371">
        <f>IFERROR(O2371/N2371,0)</f>
        <v/>
      </c>
      <c r="T2371" t="n">
        <v>0</v>
      </c>
      <c r="V2371" t="n">
        <v>0</v>
      </c>
    </row>
    <row r="2372">
      <c r="A2372">
        <f>Skills!A21</f>
        <v/>
      </c>
      <c r="B2372">
        <f>Skills!B21</f>
        <v/>
      </c>
      <c r="C2372">
        <f>Inputs!$B$3&gt;=38</f>
        <v/>
      </c>
      <c r="D2372">
        <f>IF(Skills!C21=1,60+Inputs!$B$25+Inputs!$B$29,IF(Skills!C21=2,90+Inputs!$B$26+Inputs!$B$29,IF(Skills!C21=3,120+Inputs!$B$27+Inputs!$B$29,MAX(0,(Inputs!$B$3-100)*3)+Inputs!$B$28+Inputs!$B$29)))</f>
        <v/>
      </c>
      <c r="E2372">
        <f>INDEX(FactorTable!$B$2:$Y$301, MATCH(ROUND(MIN(300,MAX(1,D2372)),0), FactorTable!$A$2:$A$301,0), Skills!M21+1)</f>
        <v/>
      </c>
      <c r="F2372">
        <f>IF(Skills!N21=TRUE,(Skills!L21/10)*(E2372/1000),Skills!L21/10)+Skills!O21</f>
        <v/>
      </c>
      <c r="G2372">
        <f>Skills!G21*IF(Skills!H21&gt;0,Skills!I21/Skills!H21,1)</f>
        <v/>
      </c>
      <c r="H2372">
        <f>1-(1-Skills!J21/100)^Skills!K21</f>
        <v/>
      </c>
      <c r="I2372" t="inlineStr">
        <is>
          <t>1</t>
        </is>
      </c>
      <c r="J2372" t="inlineStr"/>
      <c r="K2372" t="inlineStr"/>
      <c r="L2372" t="inlineStr"/>
      <c r="M2372" t="inlineStr"/>
      <c r="N2372" t="inlineStr"/>
      <c r="O2372">
        <f>(1-Summary!$B$11)*T2372+Summary!$B$11*V2372</f>
        <v/>
      </c>
      <c r="P2372">
        <f>IF(B2386=0,0,O2372/B2386)</f>
        <v/>
      </c>
      <c r="Q2372" t="n">
        <v>0</v>
      </c>
      <c r="R2372" t="n">
        <v>0</v>
      </c>
      <c r="S2372">
        <f>IFERROR(O2372/N2372,0)</f>
        <v/>
      </c>
      <c r="T2372" t="n">
        <v>0</v>
      </c>
      <c r="V2372" t="n">
        <v>0</v>
      </c>
    </row>
    <row r="2373">
      <c r="A2373">
        <f>Skills!A22</f>
        <v/>
      </c>
      <c r="B2373">
        <f>Skills!B22</f>
        <v/>
      </c>
      <c r="C2373">
        <f>Inputs!$B$3&gt;=75</f>
        <v/>
      </c>
      <c r="D2373">
        <f>IF(Skills!C22=1,60+Inputs!$B$25+Inputs!$B$29,IF(Skills!C22=2,90+Inputs!$B$26+Inputs!$B$29,IF(Skills!C22=3,120+Inputs!$B$27+Inputs!$B$29,MAX(0,(Inputs!$B$3-100)*3)+Inputs!$B$28+Inputs!$B$29)))</f>
        <v/>
      </c>
      <c r="E2373">
        <f>INDEX(FactorTable!$B$2:$Y$301, MATCH(ROUND(MIN(300,MAX(1,D2373)),0), FactorTable!$A$2:$A$301,0), Skills!M22+1)</f>
        <v/>
      </c>
      <c r="F2373">
        <f>IF(Skills!N22=TRUE,(Skills!L22/10)*(E2373/1000),Skills!L22/10)+Skills!O22</f>
        <v/>
      </c>
      <c r="G2373">
        <f>Skills!G22*IF(Skills!H22&gt;0,Skills!I22/Skills!H22,1)</f>
        <v/>
      </c>
      <c r="H2373">
        <f>1-(1-Skills!J22/100)^Skills!K22</f>
        <v/>
      </c>
      <c r="I2373" t="inlineStr">
        <is>
          <t>1</t>
        </is>
      </c>
      <c r="J2373" t="inlineStr"/>
      <c r="K2373" t="inlineStr"/>
      <c r="L2373" t="inlineStr"/>
      <c r="M2373" t="inlineStr"/>
      <c r="N2373" t="inlineStr"/>
      <c r="O2373">
        <f>(1-Summary!$B$11)*T2373+Summary!$B$11*V2373</f>
        <v/>
      </c>
      <c r="P2373">
        <f>IF(B2386=0,0,O2373/B2386)</f>
        <v/>
      </c>
      <c r="Q2373" t="n">
        <v>0</v>
      </c>
      <c r="R2373" t="n">
        <v>0</v>
      </c>
      <c r="S2373">
        <f>IFERROR(O2373/N2373,0)</f>
        <v/>
      </c>
      <c r="T2373" t="n">
        <v>0</v>
      </c>
      <c r="V2373" t="n">
        <v>0</v>
      </c>
    </row>
    <row r="2375">
      <c r="A2375" t="inlineStr">
        <is>
          <t>Attack% Bucket Multiplier</t>
        </is>
      </c>
      <c r="B2375">
        <f>(1+(((C2364=TRUE)*F2364)+((C2370=TRUE)*(F2370-Calc!F19))+(IF(ArtifactsInput!$M$21,CHOOSE(ArtifactsInput!$N$21+1,25,30,35,40,45,50)*(IF(OR(Inputs!$B$4="Chapter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76">
      <c r="A2376" t="inlineStr">
        <is>
          <t>Global Crit Rate Bonus %</t>
        </is>
      </c>
      <c r="B2376" t="n">
        <v>0</v>
      </c>
    </row>
    <row r="2377">
      <c r="A2377" t="inlineStr">
        <is>
          <t>Attack Speed Buff Bonus % (unused)</t>
        </is>
      </c>
      <c r="B2377" t="n">
        <v>0</v>
      </c>
    </row>
    <row r="2378">
      <c r="A2378" t="inlineStr">
        <is>
          <t>Actions Per Second</t>
        </is>
      </c>
      <c r="B2378">
        <f>1+MIN(150,150*(1-(1-(Inputs!$B$11+((C2368=TRUE)*(F2368-Calc!F17))+((C2369=TRUE)*(F2369-Calc!F18)))/150)*(1-B2377/150)))/100</f>
        <v/>
      </c>
    </row>
    <row r="2379">
      <c r="A2379" t="inlineStr">
        <is>
          <t>Skill + Buff Cast Rate</t>
        </is>
      </c>
      <c r="B2379">
        <f>IF(AND(Inputs!$B$38&lt;&gt;"pvp",Inputs!$B$43&gt;0),SUMPRODUCT((Skills!E2:E22=TRUE)*(C2353:C2373=TRUE)*R2353:R2373*Skills!F2:F22)/Inputs!$B$43,SUMPRODUCT((Skills!E2:E22=TRUE)*(C2353:C2373=TRUE)*Q2353:Q2373*Skills!F2:F22))</f>
        <v/>
      </c>
    </row>
    <row r="2380">
      <c r="A2380" t="inlineStr">
        <is>
          <t>Hook Bomber Casts Per Second</t>
        </is>
      </c>
      <c r="B2380">
        <f>MAX(0,B2378-B2379)</f>
        <v/>
      </c>
    </row>
    <row r="2381">
      <c r="A2381" t="inlineStr">
        <is>
          <t>Global Critical Damage Bonus % (unused)</t>
        </is>
      </c>
      <c r="B2381" t="n">
        <v>0</v>
      </c>
    </row>
    <row r="2382">
      <c r="A2382" t="inlineStr">
        <is>
          <t>Global Final Damage Bonus % (Serpent Scale + Crossbones + Time Leap + Speed Infusion)</t>
        </is>
      </c>
      <c r="B2382">
        <f>((C2356=TRUE)*F2356*((10+IF(Inputs!$B$3&gt;=94,5,0))/((10+IF(Inputs!$B$3&gt;=94,5,0))+5/(B2380*(1+IF(Inputs!$B$3&gt;=104,1,0))))))+((C2365=TRUE)*F2365)+((C2366=TRUE)*F2366)+((Inputs!$B$3&gt;=110)*20*(B2378-1))</f>
        <v/>
      </c>
    </row>
    <row r="2383">
      <c r="A2383" t="inlineStr">
        <is>
          <t>Buff-Casting Startup Delay (s, fixed-duration only)</t>
        </is>
      </c>
      <c r="B2383">
        <f>IF(AND(Inputs!$B$38&lt;&gt;"pvp",Inputs!$B$43&gt;0),SUMPRODUCT((Skills!T2:T22&gt;0)*(Skills!E2:E22=TRUE)*(C2353:C2373=TRUE))/B2378,0)</f>
        <v/>
      </c>
    </row>
    <row r="2384">
      <c r="A2384" t="inlineStr">
        <is>
          <t>Boss-Only Total DPS (this block's swept value)</t>
        </is>
      </c>
      <c r="B2384">
        <f>SUM(T2353:T2373)</f>
        <v/>
      </c>
    </row>
    <row r="2385">
      <c r="A2385" t="inlineStr">
        <is>
          <t>Normal-Only Total DPS (this block's swept value)</t>
        </is>
      </c>
      <c r="B2385">
        <f>SUM(V2353:V2373)</f>
        <v/>
      </c>
    </row>
    <row r="2386">
      <c r="A2386" s="6" t="inlineStr">
        <is>
          <t>TOTAL DPS</t>
        </is>
      </c>
      <c r="B2386" s="6">
        <f>SUM(O2353:O2373)</f>
        <v/>
      </c>
    </row>
    <row r="2389">
      <c r="A2389" s="6" t="inlineStr">
        <is>
          <t>Stat: Ring of Cycles (Equip)</t>
        </is>
      </c>
    </row>
    <row r="2390">
      <c r="A2390" s="5" t="inlineStr">
        <is>
          <t>Key</t>
        </is>
      </c>
      <c r="B2390" s="5" t="inlineStr">
        <is>
          <t>Name</t>
        </is>
      </c>
      <c r="C2390" s="5" t="inlineStr">
        <is>
          <t>Unlocked</t>
        </is>
      </c>
      <c r="D2390" s="5" t="inlineStr">
        <is>
          <t>InputLevel</t>
        </is>
      </c>
      <c r="E2390" s="5" t="inlineStr">
        <is>
          <t>Factor</t>
        </is>
      </c>
      <c r="F2390" s="5" t="inlineStr">
        <is>
          <t>CoefficientPercent</t>
        </is>
      </c>
      <c r="G2390" s="5" t="inlineStr">
        <is>
          <t>EffectiveHits</t>
        </is>
      </c>
      <c r="H2390" s="5" t="inlineStr">
        <is>
          <t>ProcProbability</t>
        </is>
      </c>
      <c r="I2390" s="5" t="inlineStr">
        <is>
          <t>MapleHeroMultiplier</t>
        </is>
      </c>
      <c r="J2390" s="5" t="inlineStr">
        <is>
          <t>BaseDamage</t>
        </is>
      </c>
      <c r="K2390" s="5" t="inlineStr">
        <is>
          <t>BaseHitDamage</t>
        </is>
      </c>
      <c r="L2390" s="5" t="inlineStr">
        <is>
          <t>NonCritAvg</t>
        </is>
      </c>
      <c r="M2390" s="5" t="inlineStr">
        <is>
          <t>CritAvg</t>
        </is>
      </c>
      <c r="N2390" s="5" t="inlineStr">
        <is>
          <t>ExpectedDamage(perHit)</t>
        </is>
      </c>
      <c r="O2390" s="5" t="inlineStr">
        <is>
          <t>DPS</t>
        </is>
      </c>
      <c r="P2390" s="5" t="inlineStr">
        <is>
          <t>% of Total</t>
        </is>
      </c>
      <c r="Q2390" s="5" t="inlineStr">
        <is>
          <t>InvCooldown</t>
        </is>
      </c>
      <c r="R2390" s="5" t="inlineStr">
        <is>
          <t>CastsInFight</t>
        </is>
      </c>
      <c r="S2390" s="5" t="inlineStr">
        <is>
          <t>HitRate(perSec)</t>
        </is>
      </c>
      <c r="U2390" t="inlineStr">
        <is>
          <t>helpers</t>
        </is>
      </c>
    </row>
    <row r="2391">
      <c r="A2391">
        <f>Skills!A2</f>
        <v/>
      </c>
      <c r="B2391">
        <f>Skills!B2</f>
        <v/>
      </c>
      <c r="C2391">
        <f>Inputs!$B$3&gt;=100</f>
        <v/>
      </c>
      <c r="D2391" t="inlineStr"/>
      <c r="E2391" t="inlineStr"/>
      <c r="F2391">
        <f>U2393+Skills!O2</f>
        <v/>
      </c>
      <c r="G2391">
        <f>Skills!G2*IF(Skills!H2&gt;0,Skills!I2/Skills!H2,1)</f>
        <v/>
      </c>
      <c r="H2391">
        <f>1-(1-Skills!J2/100)^Skills!K2</f>
        <v/>
      </c>
      <c r="I2391" t="inlineStr">
        <is>
          <t>1</t>
        </is>
      </c>
      <c r="J2391">
        <f>((Inputs!$B$6*(1+Inputs!$B$7/100))+(((Inputs!$B$12*(1+Inputs!$B$13/100))-(Inputs!$B$12*(1+Inputs!$B$13/100)))+0.25*(Inputs!$B$14-Inputs!$B$14))*(1+Inputs!$B$7/100))*(F2391/100)</f>
        <v/>
      </c>
      <c r="K2391">
        <f>J2391*(1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2391)</f>
        <v/>
      </c>
      <c r="L2391">
        <f>K2391*(MIN(Inputs!$B$22+((C2409=TRUE)*(F2409-Calc!F20)),(Inputs!$B$23+0+(IF(ArtifactsInput!$M$15,CHOOSE(ArtifactsInput!$N$15+1,25,30,35,40,45,50)/100*(Inputs!$B$11-Inputs!$B$11),0))))/100+(Inputs!$B$23+0+(IF(ArtifactsInput!$M$15,CHOOSE(ArtifactsInput!$N$15+1,25,30,35,40,45,50)/100*(Inputs!$B$11-Inputs!$B$11),0)))/100)/2</f>
        <v/>
      </c>
      <c r="M2391">
        <f>L2391*(1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1">
        <f>L2391*(1-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1">
        <f>(1-Summary!$B$11)*T2391+Summary!$B$11*V2391</f>
        <v/>
      </c>
      <c r="P2391">
        <f>IF(B2424=0,0,O2391/B2424)</f>
        <v/>
      </c>
      <c r="Q2391" t="n">
        <v>0</v>
      </c>
      <c r="R2391" t="n">
        <v>0</v>
      </c>
      <c r="S2391">
        <f>IFERROR(O2391/N2391,0)</f>
        <v/>
      </c>
      <c r="T2391">
        <f>IF(C2391,(Skills!G2*N2391*B2418)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2391*(1-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1">
        <f>MAX(0,(Inputs!$B$3-100)*3)+Inputs!$B$28+Inputs!$B$29</f>
        <v/>
      </c>
      <c r="V2391">
        <f>IF(C2391,(Skills!G2*N2391*B2418)*IF(Inputs!$B$38="pvp",1,(1+(Inputs!$B$21+Skills!Q2+(IF(ArtifactsInput!$M$33,CHOOSE(ArtifactsInput!$N$33+1,30,36,42,48,54,60),0))+(IF(AND(ArtifactsInput!$M$35,Inputs!$B$4&lt;&gt;"Chapter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2">
      <c r="A2392">
        <f>Skills!A3</f>
        <v/>
      </c>
      <c r="B2392">
        <f>Skills!B3</f>
        <v/>
      </c>
      <c r="C2392">
        <f>Inputs!$B$3&gt;=35</f>
        <v/>
      </c>
      <c r="D2392">
        <f>IF(Skills!C3=1,60+Inputs!$B$25+Inputs!$B$29,IF(Skills!C3=2,90+Inputs!$B$26+Inputs!$B$29,IF(Skills!C3=3,120+Inputs!$B$27+Inputs!$B$29,MAX(0,(Inputs!$B$3-100)*3)+Inputs!$B$28+Inputs!$B$29)))</f>
        <v/>
      </c>
      <c r="E2392">
        <f>INDEX(FactorTable!$B$2:$Y$301, MATCH(ROUND(MIN(300,MAX(1,D2392)),0), FactorTable!$A$2:$A$301,0), Skills!M3+1)</f>
        <v/>
      </c>
      <c r="F2392">
        <f>IF(Skills!N3=TRUE,(Skills!L3/10)*(E2392/1000),Skills!L3/10)+Skills!O3</f>
        <v/>
      </c>
      <c r="G2392">
        <f>Skills!G3*IF(Skills!H3&gt;0,Skills!I3/Skills!H3,1)</f>
        <v/>
      </c>
      <c r="H2392">
        <f>1-(1-Skills!J3/100)^Skills!K3</f>
        <v/>
      </c>
      <c r="I2392" t="inlineStr">
        <is>
          <t>1</t>
        </is>
      </c>
      <c r="J2392">
        <f>((Inputs!$B$6*(1+Inputs!$B$7/100))+(((Inputs!$B$12*(1+Inputs!$B$13/100))-(Inputs!$B$12*(1+Inputs!$B$13/100)))+0.25*(Inputs!$B$14-Inputs!$B$14))*(1+Inputs!$B$7/100))*(F2392/100)</f>
        <v/>
      </c>
      <c r="K2392">
        <f>J2392*(1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2392)</f>
        <v/>
      </c>
      <c r="L2392">
        <f>K2392*(MIN(Inputs!$B$22+((C2409=TRUE)*(F2409-Calc!F20)),(Inputs!$B$23+0+(IF(ArtifactsInput!$M$15,CHOOSE(ArtifactsInput!$N$15+1,25,30,35,40,45,50)/100*(Inputs!$B$11-Inputs!$B$11),0))))/100+(Inputs!$B$23+0+(IF(ArtifactsInput!$M$15,CHOOSE(ArtifactsInput!$N$15+1,25,30,35,40,45,50)/100*(Inputs!$B$11-Inputs!$B$11),0)))/100)/2</f>
        <v/>
      </c>
      <c r="M2392">
        <f>L2392*(1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(1-Summary!$B$11)*T2392+Summary!$B$11*V2392</f>
        <v/>
      </c>
      <c r="P2392">
        <f>IF(B2424=0,0,O2392/B2424)</f>
        <v/>
      </c>
      <c r="Q2392" t="n">
        <v>0</v>
      </c>
      <c r="R2392" t="n">
        <v>0</v>
      </c>
      <c r="S2392">
        <f>IFERROR(O2392/N2392,0)</f>
        <v/>
      </c>
      <c r="T2392">
        <f>IF(C2392,(Skills!G3*H2392*N2392*B2418)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2392*(1-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2">
        <f>INDEX(FactorTable!$B$2:$Y$301, MATCH(ROUND(MIN(300,MAX(1,U2391)),0), FactorTable!$A$2:$A$301,0), 22)</f>
        <v/>
      </c>
      <c r="V2392">
        <f>IF(C2392,(Skills!G3*H2392*N2392*B2418)*IF(Inputs!$B$38="pvp",1,(1+(Inputs!$B$21+Skills!Q3+(IF(ArtifactsInput!$M$33,CHOOSE(ArtifactsInput!$N$33+1,30,36,42,48,54,60),0))+(IF(AND(ArtifactsInput!$M$35,Inputs!$B$4&lt;&gt;"Chapter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3">
      <c r="A2393">
        <f>Skills!A4</f>
        <v/>
      </c>
      <c r="B2393">
        <f>Skills!B4</f>
        <v/>
      </c>
      <c r="C2393">
        <f>Inputs!$B$3&gt;=60</f>
        <v/>
      </c>
      <c r="D2393">
        <f>IF(Skills!C4=1,60+Inputs!$B$25+Inputs!$B$29,IF(Skills!C4=2,90+Inputs!$B$26+Inputs!$B$29,IF(Skills!C4=3,120+Inputs!$B$27+Inputs!$B$29,MAX(0,(Inputs!$B$3-100)*3)+Inputs!$B$28+Inputs!$B$29)))</f>
        <v/>
      </c>
      <c r="E2393">
        <f>INDEX(FactorTable!$B$2:$Y$301, MATCH(ROUND(MIN(300,MAX(1,D2393)),0), FactorTable!$A$2:$A$301,0), Skills!M4+1)</f>
        <v/>
      </c>
      <c r="F2393">
        <f>IF(Skills!N4=TRUE,(Skills!L4/10)*(E2393/1000),Skills!L4/10)+Skills!O4</f>
        <v/>
      </c>
      <c r="G2393">
        <f>Skills!G4*IF(Skills!H4&gt;0,Skills!I4/Skills!H4,1)</f>
        <v/>
      </c>
      <c r="H2393">
        <f>1-(1-Skills!J4/100)^Skills!K4</f>
        <v/>
      </c>
      <c r="I2393" t="inlineStr">
        <is>
          <t>1</t>
        </is>
      </c>
      <c r="J2393">
        <f>((Inputs!$B$6*(1+Inputs!$B$7/100))+(((Inputs!$B$12*(1+Inputs!$B$13/100))-(Inputs!$B$12*(1+Inputs!$B$13/100)))+0.25*(Inputs!$B$14-Inputs!$B$14))*(1+Inputs!$B$7/100))*(F2393/100)</f>
        <v/>
      </c>
      <c r="K2393">
        <f>J2393*(1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2401=TRUE,F2401,0)/100)*(1+(IF(Skills!A4="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2393)</f>
        <v/>
      </c>
      <c r="L2393">
        <f>K2393*(MIN(Inputs!$B$22+((C2409=TRUE)*(F2409-Calc!F20)),(Inputs!$B$23+0+(IF(ArtifactsInput!$M$15,CHOOSE(ArtifactsInput!$N$15+1,25,30,35,40,45,50)/100*(Inputs!$B$11-Inputs!$B$11),0))))/100+(Inputs!$B$23+0+(IF(ArtifactsInput!$M$15,CHOOSE(ArtifactsInput!$N$15+1,25,30,35,40,45,50)/100*(Inputs!$B$11-Inputs!$B$11),0)))/100)/2</f>
        <v/>
      </c>
      <c r="M2393">
        <f>L2393*(1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3">
        <f>L2393*(1-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2393*(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3">
        <f>(1-Summary!$B$11)*T2393+Summary!$B$11*V2393</f>
        <v/>
      </c>
      <c r="P2393">
        <f>IF(B2424=0,0,O2393/B2424)</f>
        <v/>
      </c>
      <c r="Q2393" t="n">
        <v>0</v>
      </c>
      <c r="R2393" t="n">
        <v>0</v>
      </c>
      <c r="S2393">
        <f>IFERROR(O2393/N2393,0)</f>
        <v/>
      </c>
      <c r="T2393">
        <f>IF(C2393,(Skills!G4*H2393*N2393*B2418)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2393*(1-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2393*(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2393*(1-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2393*(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3">
        <f>290*U2392/1000</f>
        <v/>
      </c>
      <c r="V2393">
        <f>IF(C2393,(Skills!G4*H2393*N2393*B2418)*IF(Inputs!$B$38="pvp",1,(1+(Inputs!$B$21+Skills!Q4+(IF(ArtifactsInput!$M$33,CHOOSE(ArtifactsInput!$N$33+1,30,36,42,48,54,60),0))+(IF(AND(ArtifactsInput!$M$35,Inputs!$B$4&lt;&gt;"Chapter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4">
      <c r="A2394">
        <f>Skills!A5</f>
        <v/>
      </c>
      <c r="B2394">
        <f>Skills!B5</f>
        <v/>
      </c>
      <c r="C2394">
        <f>Inputs!$B$3&gt;=60</f>
        <v/>
      </c>
      <c r="D2394">
        <f>IF(Skills!C5=1,60+Inputs!$B$25+Inputs!$B$29,IF(Skills!C5=2,90+Inputs!$B$26+Inputs!$B$29,IF(Skills!C5=3,120+Inputs!$B$27+Inputs!$B$29,MAX(0,(Inputs!$B$3-100)*3)+Inputs!$B$28+Inputs!$B$29)))</f>
        <v/>
      </c>
      <c r="E2394">
        <f>INDEX(FactorTable!$B$2:$Y$301, MATCH(ROUND(MIN(300,MAX(1,D2394)),0), FactorTable!$A$2:$A$301,0), Skills!M5+1)</f>
        <v/>
      </c>
      <c r="F2394">
        <f>IF(Skills!N5=TRUE,(Skills!L5/10)*(E2394/1000),Skills!L5/10)+Skills!O5</f>
        <v/>
      </c>
      <c r="G2394">
        <f>Skills!G5*IF(Skills!H5&gt;0,Skills!I5/Skills!H5,1)</f>
        <v/>
      </c>
      <c r="H2394">
        <f>1-(1-Skills!J5/100)^Skills!K5</f>
        <v/>
      </c>
      <c r="I2394" t="inlineStr">
        <is>
          <t>1</t>
        </is>
      </c>
      <c r="J2394" t="inlineStr"/>
      <c r="K2394" t="inlineStr"/>
      <c r="L2394" t="inlineStr"/>
      <c r="M2394" t="inlineStr"/>
      <c r="N2394" t="inlineStr"/>
      <c r="O2394">
        <f>(1-Summary!$B$11)*T2394+Summary!$B$11*V2394</f>
        <v/>
      </c>
      <c r="P2394">
        <f>IF(B2424=0,0,O2394/B2424)</f>
        <v/>
      </c>
      <c r="Q2394" t="n">
        <v>0</v>
      </c>
      <c r="R2394" t="n">
        <v>0</v>
      </c>
      <c r="S2394">
        <f>IFERROR(O2394/N2394,0)</f>
        <v/>
      </c>
      <c r="T2394" t="n">
        <v>0</v>
      </c>
      <c r="V2394" t="n">
        <v>0</v>
      </c>
    </row>
    <row r="2395">
      <c r="A2395">
        <f>Skills!A6</f>
        <v/>
      </c>
      <c r="B2395">
        <f>Skills!B6</f>
        <v/>
      </c>
      <c r="C2395">
        <f>Inputs!$B$3&gt;=63</f>
        <v/>
      </c>
      <c r="D2395">
        <f>IF(Skills!C6=1,60+Inputs!$B$25+Inputs!$B$29,IF(Skills!C6=2,90+Inputs!$B$26+Inputs!$B$29,IF(Skills!C6=3,120+Inputs!$B$27+Inputs!$B$29,MAX(0,(Inputs!$B$3-100)*3)+Inputs!$B$28+Inputs!$B$29)))</f>
        <v/>
      </c>
      <c r="E2395">
        <f>INDEX(FactorTable!$B$2:$Y$301, MATCH(ROUND(MIN(300,MAX(1,D2395)),0), FactorTable!$A$2:$A$301,0), Skills!M6+1)</f>
        <v/>
      </c>
      <c r="F2395">
        <f>IF(Skills!N6=TRUE,(Skills!L6/10)*(E2395/1000),Skills!L6/10)+Skills!O6</f>
        <v/>
      </c>
      <c r="G2395">
        <f>Skills!G6*IF(Skills!H6&gt;0,Skills!I6/Skills!H6,1)</f>
        <v/>
      </c>
      <c r="H2395">
        <f>1-(1-Skills!J6/100)^Skills!K6</f>
        <v/>
      </c>
      <c r="I2395" t="inlineStr">
        <is>
          <t>1</t>
        </is>
      </c>
      <c r="J2395">
        <f>((Inputs!$B$6*(1+Inputs!$B$7/100))+(((Inputs!$B$12*(1+Inputs!$B$13/100))-(Inputs!$B$12*(1+Inputs!$B$13/100)))+0.25*(Inputs!$B$14-Inputs!$B$14))*(1+Inputs!$B$7/100))*(F2395/100)</f>
        <v/>
      </c>
      <c r="K2395">
        <f>J2395*(1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2395)</f>
        <v/>
      </c>
      <c r="L2395">
        <f>K2395*(MIN(Inputs!$B$22+((C2409=TRUE)*(F2409-Calc!F20)),(Inputs!$B$23+0+(IF(ArtifactsInput!$M$15,CHOOSE(ArtifactsInput!$N$15+1,25,30,35,40,45,50)/100*(Inputs!$B$11-Inputs!$B$11),0))))/100+(Inputs!$B$23+0+(IF(ArtifactsInput!$M$15,CHOOSE(ArtifactsInput!$N$15+1,25,30,35,40,45,50)/100*(Inputs!$B$11-Inputs!$B$11),0)))/100)/2</f>
        <v/>
      </c>
      <c r="M2395">
        <f>L2395*(1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5">
        <f>L2395*(1-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2395*(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5">
        <f>(1-Summary!$B$11)*T2395+Summary!$B$11*V2395</f>
        <v/>
      </c>
      <c r="P2395">
        <f>IF(B2424=0,0,O2395/B2424)</f>
        <v/>
      </c>
      <c r="Q2395">
        <f>IFERROR(1/(IF(Inputs!$B$38="pvp",15,MAX(0.1,Skills!D6-IF(Skills!E6=TRUE,Inputs!$B$32,0)))*(1-IF(AND(ArtifactsInput!$M$27,Inputs!$B$4="Chapter Hunt"),CHOOSE(ArtifactsInput!$N$27+1,20,24,28,32,36,40),0)/100)),0)</f>
        <v/>
      </c>
      <c r="R2395">
        <f>IF(AND(Inputs!$B$38&lt;&gt;"pvp",Inputs!$B$43&gt;0),IF(MAX(0,Inputs!$B$43-B2421)&lt;=0,0,(INT(MAX(0,Inputs!$B$43-B2421)/(IF(Inputs!$B$38="pvp",15,MAX(0.1,Skills!D6-IF(Skills!E6=TRUE,Inputs!$B$32,0)))*(1-IF(AND(ArtifactsInput!$M$27,Inputs!$B$4="Chapter Hunt"),CHOOSE(ArtifactsInput!$N$27+1,20,24,28,32,36,40),0)/100)))+1)),0)</f>
        <v/>
      </c>
      <c r="S2395">
        <f>IFERROR(O2395/N2395,0)</f>
        <v/>
      </c>
      <c r="T2395">
        <f>IF(C2395,(H2395*N2395*IF(AND(Inputs!$B$38&lt;&gt;"pvp",Inputs!$B$43&gt;0),((Skills!G6*((R2395-1)*IF(Skills!H6&gt;0,Skills!I6/Skills!H6,1)+IF(Skills!H6&gt;0,MIN(Skills!I6,MAX(0,MAX(0,Inputs!$B$43-B2421)-((R2395-1)*(IF(Inputs!$B$38="pvp",15,MAX(0.1,Skills!D6-IF(Skills!E6=TRUE,Inputs!$B$32,0)))*(1-IF(AND(ArtifactsInput!$M$27,Inputs!$B$4="Chapter Hunt"),CHOOSE(ArtifactsInput!$N$27+1,20,24,28,32,36,40),0)/100)))))/Skills!H6,1)))/Inputs!$B$43),G2395*Q2395)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2395*(1-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2395*(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2395*(1-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2395*(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5">
        <f>IF(C2395,(H2395*N2395*IF(AND(Inputs!$B$38&lt;&gt;"pvp",Inputs!$B$43&gt;0),((Skills!G6*((R2395-1)*IF(Skills!H6&gt;0,Skills!I6/Skills!H6,1)+IF(Skills!H6&gt;0,MIN(Skills!I6,MAX(0,MAX(0,Inputs!$B$43-B2421)-((R2395-1)*(IF(Inputs!$B$38="pvp",15,MAX(0.1,Skills!D6-IF(Skills!E6=TRUE,Inputs!$B$32,0)))*(1-IF(AND(ArtifactsInput!$M$27,Inputs!$B$4="Chapter Hunt"),CHOOSE(ArtifactsInput!$N$27+1,20,24,28,32,36,40),0)/100)))))/Skills!H6,1)))/Inputs!$B$43),G2395*Q2395))*IF(Inputs!$B$38="pvp",1,(1+(Inputs!$B$21+Skills!Q6+(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6">
      <c r="A2396">
        <f>Skills!A7</f>
        <v/>
      </c>
      <c r="B2396">
        <f>Skills!B7</f>
        <v/>
      </c>
      <c r="C2396">
        <f>Inputs!$B$3&gt;=100</f>
        <v/>
      </c>
      <c r="D2396">
        <f>IF(Skills!C7=1,60+Inputs!$B$25+Inputs!$B$29,IF(Skills!C7=2,90+Inputs!$B$26+Inputs!$B$29,IF(Skills!C7=3,120+Inputs!$B$27+Inputs!$B$29,MAX(0,(Inputs!$B$3-100)*3)+Inputs!$B$28+Inputs!$B$29)))</f>
        <v/>
      </c>
      <c r="E2396">
        <f>INDEX(FactorTable!$B$2:$Y$301, MATCH(ROUND(MIN(300,MAX(1,D2396)),0), FactorTable!$A$2:$A$301,0), Skills!M7+1)</f>
        <v/>
      </c>
      <c r="F2396">
        <f>IF(Skills!N7=TRUE,(Skills!L7/10)*(E2396/1000),Skills!L7/10)+Skills!O7</f>
        <v/>
      </c>
      <c r="G2396">
        <f>Skills!G7*IF(Skills!H7&gt;0,Skills!I7/Skills!H7,1)</f>
        <v/>
      </c>
      <c r="H2396">
        <f>1-(1-Skills!J7/100)^Skills!K7</f>
        <v/>
      </c>
      <c r="I2396" t="inlineStr">
        <is>
          <t>1</t>
        </is>
      </c>
      <c r="J2396">
        <f>((Inputs!$B$6*(1+Inputs!$B$7/100))+(((Inputs!$B$12*(1+Inputs!$B$13/100))-(Inputs!$B$12*(1+Inputs!$B$13/100)))+0.25*(Inputs!$B$14-Inputs!$B$14))*(1+Inputs!$B$7/100))*(F2396/100)</f>
        <v/>
      </c>
      <c r="K2396">
        <f>J2396*(1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2396)</f>
        <v/>
      </c>
      <c r="L2396">
        <f>K2396*(MIN(Inputs!$B$22+((C2409=TRUE)*(F2409-Calc!F20)),(Inputs!$B$23+0+(IF(ArtifactsInput!$M$15,CHOOSE(ArtifactsInput!$N$15+1,25,30,35,40,45,50)/100*(Inputs!$B$11-Inputs!$B$11),0))))/100+(Inputs!$B$23+0+(IF(ArtifactsInput!$M$15,CHOOSE(ArtifactsInput!$N$15+1,25,30,35,40,45,50)/100*(Inputs!$B$11-Inputs!$B$11),0)))/100)/2</f>
        <v/>
      </c>
      <c r="M2396">
        <f>L2396*(1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6">
        <f>L2396*(1-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2396*(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6">
        <f>(1-Summary!$B$11)*T2396+Summary!$B$11*V2396</f>
        <v/>
      </c>
      <c r="P2396">
        <f>IF(B2424=0,0,O2396/B2424)</f>
        <v/>
      </c>
      <c r="Q2396">
        <f>IFERROR(1/(IF(Inputs!$B$38="pvp",15,MAX(0.1,Skills!D7-IF(Skills!E7=TRUE,Inputs!$B$32,0)))*(1-IF(AND(ArtifactsInput!$M$27,Inputs!$B$4="Chapter Hunt"),CHOOSE(ArtifactsInput!$N$27+1,20,24,28,32,36,40),0)/100)),0)</f>
        <v/>
      </c>
      <c r="R2396">
        <f>IF(AND(Inputs!$B$38&lt;&gt;"pvp",Inputs!$B$43&gt;0),IF(MAX(0,Inputs!$B$43-B2421)&lt;=0,0,(INT(MAX(0,Inputs!$B$43-B2421)/(IF(Inputs!$B$38="pvp",15,MAX(0.1,Skills!D7-IF(Skills!E7=TRUE,Inputs!$B$32,0)))*(1-IF(AND(ArtifactsInput!$M$27,Inputs!$B$4="Chapter Hunt"),CHOOSE(ArtifactsInput!$N$27+1,20,24,28,32,36,40),0)/100)))+1)),0)</f>
        <v/>
      </c>
      <c r="S2396">
        <f>IFERROR(O2396/N2396,0)</f>
        <v/>
      </c>
      <c r="T2396">
        <f>IF(C2396,(H2396*N2396*IF(AND(Inputs!$B$38&lt;&gt;"pvp",Inputs!$B$43&gt;0),((Skills!G7*((R2396-1)*IF(Skills!H7&gt;0,Skills!I7/Skills!H7,1)+IF(Skills!H7&gt;0,MIN(Skills!I7,MAX(0,MAX(0,Inputs!$B$43-B2421)-((R2396-1)*(IF(Inputs!$B$38="pvp",15,MAX(0.1,Skills!D7-IF(Skills!E7=TRUE,Inputs!$B$32,0)))*(1-IF(AND(ArtifactsInput!$M$27,Inputs!$B$4="Chapter Hunt"),CHOOSE(ArtifactsInput!$N$27+1,20,24,28,32,36,40),0)/100)))))/Skills!H7,1)))/Inputs!$B$43),G2396*Q2396)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2396*(1-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2396*(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2396*(1-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2396*(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6">
        <f>IF(C2396,(H2396*N2396*IF(AND(Inputs!$B$38&lt;&gt;"pvp",Inputs!$B$43&gt;0),((Skills!G7*((R2396-1)*IF(Skills!H7&gt;0,Skills!I7/Skills!H7,1)+IF(Skills!H7&gt;0,MIN(Skills!I7,MAX(0,MAX(0,Inputs!$B$43-B2421)-((R2396-1)*(IF(Inputs!$B$38="pvp",15,MAX(0.1,Skills!D7-IF(Skills!E7=TRUE,Inputs!$B$32,0)))*(1-IF(AND(ArtifactsInput!$M$27,Inputs!$B$4="Chapter Hunt"),CHOOSE(ArtifactsInput!$N$27+1,20,24,28,32,36,40),0)/100)))))/Skills!H7,1)))/Inputs!$B$43),G2396*Q2396))*IF(Inputs!$B$38="pvp",1,(1+(Inputs!$B$21+Skills!Q7+(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7">
      <c r="A2397">
        <f>Skills!A8</f>
        <v/>
      </c>
      <c r="B2397">
        <f>Skills!B8</f>
        <v/>
      </c>
      <c r="C2397">
        <f>Inputs!$B$3&gt;=110</f>
        <v/>
      </c>
      <c r="D2397">
        <f>IF(Skills!C8=1,60+Inputs!$B$25+Inputs!$B$29,IF(Skills!C8=2,90+Inputs!$B$26+Inputs!$B$29,IF(Skills!C8=3,120+Inputs!$B$27+Inputs!$B$29,MAX(0,(Inputs!$B$3-100)*3)+Inputs!$B$28+Inputs!$B$29)))</f>
        <v/>
      </c>
      <c r="E2397">
        <f>INDEX(FactorTable!$B$2:$Y$301, MATCH(ROUND(MIN(300,MAX(1,D2397)),0), FactorTable!$A$2:$A$301,0), Skills!M8+1)</f>
        <v/>
      </c>
      <c r="F2397">
        <f>IF(Skills!N8=TRUE,(Skills!L8/10)*(E2397/1000),Skills!L8/10)+Skills!O8</f>
        <v/>
      </c>
      <c r="G2397">
        <f>Skills!G8*IF(Skills!H8&gt;0,Skills!I8/Skills!H8,1)</f>
        <v/>
      </c>
      <c r="H2397">
        <f>1-(1-Skills!J8/100)^Skills!K8</f>
        <v/>
      </c>
      <c r="I2397" t="inlineStr">
        <is>
          <t>1</t>
        </is>
      </c>
      <c r="J2397">
        <f>((Inputs!$B$6*(1+Inputs!$B$7/100))+(((Inputs!$B$12*(1+Inputs!$B$13/100))-(Inputs!$B$12*(1+Inputs!$B$13/100)))+0.25*(Inputs!$B$14-Inputs!$B$14))*(1+Inputs!$B$7/100))*(F2397/100)</f>
        <v/>
      </c>
      <c r="K2397">
        <f>J2397*(1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2397)</f>
        <v/>
      </c>
      <c r="L2397">
        <f>K2397*(MIN(Inputs!$B$22+((C2409=TRUE)*(F2409-Calc!F20)),(Inputs!$B$23+0+(IF(ArtifactsInput!$M$15,CHOOSE(ArtifactsInput!$N$15+1,25,30,35,40,45,50)/100*(Inputs!$B$11-Inputs!$B$11),0))))/100+(Inputs!$B$23+0+(IF(ArtifactsInput!$M$15,CHOOSE(ArtifactsInput!$N$15+1,25,30,35,40,45,50)/100*(Inputs!$B$11-Inputs!$B$11),0)))/100)/2</f>
        <v/>
      </c>
      <c r="M2397">
        <f>L2397*(1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7">
        <f>L2397*(1-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2397*(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7">
        <f>(1-Summary!$B$11)*T2397+Summary!$B$11*V2397</f>
        <v/>
      </c>
      <c r="P2397">
        <f>IF(B2424=0,0,O2397/B2424)</f>
        <v/>
      </c>
      <c r="Q2397">
        <f>IFERROR(1/(IF(Inputs!$B$38="pvp",15,MAX(0.1,Skills!D8-IF(Skills!E8=TRUE,Inputs!$B$32,0)))*(1-IF(AND(ArtifactsInput!$M$27,Inputs!$B$4="Chapter Hunt"),CHOOSE(ArtifactsInput!$N$27+1,20,24,28,32,36,40),0)/100)),0)</f>
        <v/>
      </c>
      <c r="R2397">
        <f>IF(AND(Inputs!$B$38&lt;&gt;"pvp",Inputs!$B$43&gt;0),IF(MAX(0,Inputs!$B$43-B2421)&lt;=0,0,(INT(MAX(0,Inputs!$B$43-B2421)/(IF(Inputs!$B$38="pvp",15,MAX(0.1,Skills!D8-IF(Skills!E8=TRUE,Inputs!$B$32,0)))*(1-IF(AND(ArtifactsInput!$M$27,Inputs!$B$4="Chapter Hunt"),CHOOSE(ArtifactsInput!$N$27+1,20,24,28,32,36,40),0)/100)))+1)),0)</f>
        <v/>
      </c>
      <c r="S2397">
        <f>IFERROR(O2397/N2397,0)</f>
        <v/>
      </c>
      <c r="T2397">
        <f>IF(C2397,(H2397*N2397*IF(AND(Inputs!$B$38&lt;&gt;"pvp",Inputs!$B$43&gt;0),((Skills!G8*((R2397-1)*IF(Skills!H8&gt;0,Skills!I8/Skills!H8,1)+IF(Skills!H8&gt;0,MIN(Skills!I8,MAX(0,MAX(0,Inputs!$B$43-B2421)-((R2397-1)*(IF(Inputs!$B$38="pvp",15,MAX(0.1,Skills!D8-IF(Skills!E8=TRUE,Inputs!$B$32,0)))*(1-IF(AND(ArtifactsInput!$M$27,Inputs!$B$4="Chapter Hunt"),CHOOSE(ArtifactsInput!$N$27+1,20,24,28,32,36,40),0)/100)))))/Skills!H8,1)))/Inputs!$B$43),G2397*Q2397)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2397*(1-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2397*(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2397*(1-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2397*(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7">
        <f>IF(C2397,(H2397*N2397*IF(AND(Inputs!$B$38&lt;&gt;"pvp",Inputs!$B$43&gt;0),((Skills!G8*((R2397-1)*IF(Skills!H8&gt;0,Skills!I8/Skills!H8,1)+IF(Skills!H8&gt;0,MIN(Skills!I8,MAX(0,MAX(0,Inputs!$B$43-B2421)-((R2397-1)*(IF(Inputs!$B$38="pvp",15,MAX(0.1,Skills!D8-IF(Skills!E8=TRUE,Inputs!$B$32,0)))*(1-IF(AND(ArtifactsInput!$M$27,Inputs!$B$4="Chapter Hunt"),CHOOSE(ArtifactsInput!$N$27+1,20,24,28,32,36,40),0)/100)))))/Skills!H8,1)))/Inputs!$B$43),G2397*Q2397))*IF(Inputs!$B$38="pvp",1,(1+(Inputs!$B$21+Skills!Q8+(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8">
      <c r="A2398">
        <f>Skills!A9</f>
        <v/>
      </c>
      <c r="B2398">
        <f>Skills!B9</f>
        <v/>
      </c>
      <c r="C2398">
        <f>Inputs!$B$3&gt;=110</f>
        <v/>
      </c>
      <c r="D2398">
        <f>IF(Skills!C9=1,60+Inputs!$B$25+Inputs!$B$29,IF(Skills!C9=2,90+Inputs!$B$26+Inputs!$B$29,IF(Skills!C9=3,120+Inputs!$B$27+Inputs!$B$29,MAX(0,(Inputs!$B$3-100)*3)+Inputs!$B$28+Inputs!$B$29)))</f>
        <v/>
      </c>
      <c r="E2398">
        <f>INDEX(FactorTable!$B$2:$Y$301, MATCH(ROUND(MIN(300,MAX(1,D2398)),0), FactorTable!$A$2:$A$301,0), Skills!M9+1)</f>
        <v/>
      </c>
      <c r="F2398">
        <f>IF(Skills!N9=TRUE,(Skills!L9/10)*(E2398/1000),Skills!L9/10)+Skills!O9</f>
        <v/>
      </c>
      <c r="G2398">
        <f>Skills!G9*IF(Skills!H9&gt;0,Skills!I9/Skills!H9,1)</f>
        <v/>
      </c>
      <c r="H2398">
        <f>1-(1-Skills!J9/100)^Skills!K9</f>
        <v/>
      </c>
      <c r="I2398" t="inlineStr">
        <is>
          <t>1</t>
        </is>
      </c>
      <c r="J2398">
        <f>((Inputs!$B$6*(1+Inputs!$B$7/100))+(((Inputs!$B$12*(1+Inputs!$B$13/100))-(Inputs!$B$12*(1+Inputs!$B$13/100)))+0.25*(Inputs!$B$14-Inputs!$B$14))*(1+Inputs!$B$7/100))*(F2398/100)</f>
        <v/>
      </c>
      <c r="K2398">
        <f>J2398*(1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2398)</f>
        <v/>
      </c>
      <c r="L2398">
        <f>K2398*(MIN(Inputs!$B$22+((C2409=TRUE)*(F2409-Calc!F20)),(Inputs!$B$23+0+(IF(ArtifactsInput!$M$15,CHOOSE(ArtifactsInput!$N$15+1,25,30,35,40,45,50)/100*(Inputs!$B$11-Inputs!$B$11),0))))/100+(Inputs!$B$23+0+(IF(ArtifactsInput!$M$15,CHOOSE(ArtifactsInput!$N$15+1,25,30,35,40,45,50)/100*(Inputs!$B$11-Inputs!$B$11),0)))/100)/2</f>
        <v/>
      </c>
      <c r="M2398">
        <f>L2398*(1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8">
        <f>L2398*(1-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2398*(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8">
        <f>(1-Summary!$B$11)*T2398+Summary!$B$11*V2398</f>
        <v/>
      </c>
      <c r="P2398">
        <f>IF(B2424=0,0,O2398/B2424)</f>
        <v/>
      </c>
      <c r="Q2398">
        <f>IFERROR(1/(IF(Inputs!$B$38="pvp",15,MAX(0.1,Skills!D9-IF(Skills!E9=TRUE,Inputs!$B$32,0)))*(1-IF(AND(ArtifactsInput!$M$27,Inputs!$B$4="Chapter Hunt"),CHOOSE(ArtifactsInput!$N$27+1,20,24,28,32,36,40),0)/100)),0)</f>
        <v/>
      </c>
      <c r="R2398">
        <f>IF(AND(Inputs!$B$38&lt;&gt;"pvp",Inputs!$B$43&gt;0),IF(MAX(0,Inputs!$B$43-B2421)&lt;=0,0,(INT(MAX(0,Inputs!$B$43-B2421)/(IF(Inputs!$B$38="pvp",15,MAX(0.1,Skills!D9-IF(Skills!E9=TRUE,Inputs!$B$32,0)))*(1-IF(AND(ArtifactsInput!$M$27,Inputs!$B$4="Chapter Hunt"),CHOOSE(ArtifactsInput!$N$27+1,20,24,28,32,36,40),0)/100)))+1)),0)</f>
        <v/>
      </c>
      <c r="S2398">
        <f>IFERROR(O2398/N2398,0)</f>
        <v/>
      </c>
      <c r="T2398">
        <f>IF(C2398,(H2398*N2398*IF(AND(Inputs!$B$38&lt;&gt;"pvp",Inputs!$B$43&gt;0),((Skills!G9*((R2398-1)*IF(Skills!H9&gt;0,Skills!I9/Skills!H9,1)+IF(Skills!H9&gt;0,MIN(Skills!I9,MAX(0,MAX(0,Inputs!$B$43-B2421)-((R2398-1)*(IF(Inputs!$B$38="pvp",15,MAX(0.1,Skills!D9-IF(Skills!E9=TRUE,Inputs!$B$32,0)))*(1-IF(AND(ArtifactsInput!$M$27,Inputs!$B$4="Chapter Hunt"),CHOOSE(ArtifactsInput!$N$27+1,20,24,28,32,36,40),0)/100)))))/Skills!H9,1)))/Inputs!$B$43),G2398*Q2398)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2398*(1-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2398*(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2398*(1-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2398*(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8">
        <f>IF(C2398,(H2398*N2398*IF(AND(Inputs!$B$38&lt;&gt;"pvp",Inputs!$B$43&gt;0),((Skills!G9*((R2398-1)*IF(Skills!H9&gt;0,Skills!I9/Skills!H9,1)+IF(Skills!H9&gt;0,MIN(Skills!I9,MAX(0,MAX(0,Inputs!$B$43-B2421)-((R2398-1)*(IF(Inputs!$B$38="pvp",15,MAX(0.1,Skills!D9-IF(Skills!E9=TRUE,Inputs!$B$32,0)))*(1-IF(AND(ArtifactsInput!$M$27,Inputs!$B$4="Chapter Hunt"),CHOOSE(ArtifactsInput!$N$27+1,20,24,28,32,36,40),0)/100)))))/Skills!H9,1)))/Inputs!$B$43),G2398*Q2398))*IF(Inputs!$B$38="pvp",1,(1+(Inputs!$B$21+Skills!Q9+(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9">
      <c r="A2399">
        <f>Skills!A10</f>
        <v/>
      </c>
      <c r="B2399">
        <f>Skills!B10</f>
        <v/>
      </c>
      <c r="C2399">
        <f>Inputs!$B$3&gt;=103</f>
        <v/>
      </c>
      <c r="D2399">
        <f>IF(Skills!C10=1,60+Inputs!$B$25+Inputs!$B$29,IF(Skills!C10=2,90+Inputs!$B$26+Inputs!$B$29,IF(Skills!C10=3,120+Inputs!$B$27+Inputs!$B$29,MAX(0,(Inputs!$B$3-100)*3)+Inputs!$B$28+Inputs!$B$29)))</f>
        <v/>
      </c>
      <c r="E2399">
        <f>INDEX(FactorTable!$B$2:$Y$301, MATCH(ROUND(MIN(300,MAX(1,D2399)),0), FactorTable!$A$2:$A$301,0), Skills!M10+1)</f>
        <v/>
      </c>
      <c r="F2399">
        <f>IF(Skills!N10=TRUE,(Skills!L10/10)*(E2399/1000),Skills!L10/10)+Skills!O10</f>
        <v/>
      </c>
      <c r="G2399">
        <f>Skills!G10*IF(Skills!H10&gt;0,Skills!I10/Skills!H10,1)</f>
        <v/>
      </c>
      <c r="H2399">
        <f>1-(1-Skills!J10/100)^Skills!K10</f>
        <v/>
      </c>
      <c r="I2399" t="inlineStr">
        <is>
          <t>1</t>
        </is>
      </c>
      <c r="J2399">
        <f>((Inputs!$B$6*(1+Inputs!$B$7/100))+(((Inputs!$B$12*(1+Inputs!$B$13/100))-(Inputs!$B$12*(1+Inputs!$B$13/100)))+0.25*(Inputs!$B$14-Inputs!$B$14))*(1+Inputs!$B$7/100))*(F2399/100)</f>
        <v/>
      </c>
      <c r="K2399">
        <f>J2399*(1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2399)</f>
        <v/>
      </c>
      <c r="L2399">
        <f>K2399*(MIN(Inputs!$B$22+((C2409=TRUE)*(F2409-Calc!F20)),(Inputs!$B$23+0+(IF(ArtifactsInput!$M$15,CHOOSE(ArtifactsInput!$N$15+1,25,30,35,40,45,50)/100*(Inputs!$B$11-Inputs!$B$11),0))))/100+(Inputs!$B$23+0+(IF(ArtifactsInput!$M$15,CHOOSE(ArtifactsInput!$N$15+1,25,30,35,40,45,50)/100*(Inputs!$B$11-Inputs!$B$11),0)))/100)/2</f>
        <v/>
      </c>
      <c r="M2399">
        <f>L2399*(1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9">
        <f>L2399*(1-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2399*(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9">
        <f>(1-Summary!$B$11)*T2399+Summary!$B$11*V2399</f>
        <v/>
      </c>
      <c r="P2399">
        <f>IF(B2424=0,0,O2399/B2424)</f>
        <v/>
      </c>
      <c r="Q2399">
        <f>IFERROR(1/(IF(Inputs!$B$38="pvp",15,MAX(0.1,Skills!D10-IF(Skills!E10=TRUE,Inputs!$B$32,0)))*(1-IF(AND(ArtifactsInput!$M$27,Inputs!$B$4="Chapter Hunt"),CHOOSE(ArtifactsInput!$N$27+1,20,24,28,32,36,40),0)/100)),0)</f>
        <v/>
      </c>
      <c r="R2399">
        <f>IF(AND(Inputs!$B$38&lt;&gt;"pvp",Inputs!$B$43&gt;0),IF(MAX(0,Inputs!$B$43-B2421)&lt;=0,0,(INT(MAX(0,Inputs!$B$43-B2421)/(IF(Inputs!$B$38="pvp",15,MAX(0.1,Skills!D10-IF(Skills!E10=TRUE,Inputs!$B$32,0)))*(1-IF(AND(ArtifactsInput!$M$27,Inputs!$B$4="Chapter Hunt"),CHOOSE(ArtifactsInput!$N$27+1,20,24,28,32,36,40),0)/100)))+1)),0)</f>
        <v/>
      </c>
      <c r="S2399">
        <f>IFERROR(O2399/N2399,0)</f>
        <v/>
      </c>
      <c r="T2399">
        <f>IF(C2399,(H2399*N2399*IF(AND(Inputs!$B$38&lt;&gt;"pvp",Inputs!$B$43&gt;0),((Skills!G10*((R2399-1)*IF(Skills!H10&gt;0,Skills!I10/Skills!H10,1)+IF(Skills!H10&gt;0,MIN(Skills!I10,MAX(0,MAX(0,Inputs!$B$43-B2421)-((R2399-1)*(IF(Inputs!$B$38="pvp",15,MAX(0.1,Skills!D10-IF(Skills!E10=TRUE,Inputs!$B$32,0)))*(1-IF(AND(ArtifactsInput!$M$27,Inputs!$B$4="Chapter Hunt"),CHOOSE(ArtifactsInput!$N$27+1,20,24,28,32,36,40),0)/100)))))/Skills!H10,1)))/Inputs!$B$43),G2399*Q2399)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2399*(1-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2399*(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2399*(1-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2399*(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9">
        <f>IF(C2399,(H2399*N2399*IF(AND(Inputs!$B$38&lt;&gt;"pvp",Inputs!$B$43&gt;0),((Skills!G10*((R2399-1)*IF(Skills!H10&gt;0,Skills!I10/Skills!H10,1)+IF(Skills!H10&gt;0,MIN(Skills!I10,MAX(0,MAX(0,Inputs!$B$43-B2421)-((R2399-1)*(IF(Inputs!$B$38="pvp",15,MAX(0.1,Skills!D10-IF(Skills!E10=TRUE,Inputs!$B$32,0)))*(1-IF(AND(ArtifactsInput!$M$27,Inputs!$B$4="Chapter Hunt"),CHOOSE(ArtifactsInput!$N$27+1,20,24,28,32,36,40),0)/100)))))/Skills!H10,1)))/Inputs!$B$43),G2399*Q2399))*IF(Inputs!$B$38="pvp",1,(1+(Inputs!$B$21+Skills!Q10+(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0">
      <c r="A2400">
        <f>Skills!A11</f>
        <v/>
      </c>
      <c r="B2400">
        <f>Skills!B11</f>
        <v/>
      </c>
      <c r="C2400">
        <f>Inputs!$B$3&gt;=113</f>
        <v/>
      </c>
      <c r="D2400">
        <f>IF(Skills!C11=1,60+Inputs!$B$25+Inputs!$B$29,IF(Skills!C11=2,90+Inputs!$B$26+Inputs!$B$29,IF(Skills!C11=3,120+Inputs!$B$27+Inputs!$B$29,MAX(0,(Inputs!$B$3-100)*3)+Inputs!$B$28+Inputs!$B$29)))</f>
        <v/>
      </c>
      <c r="E2400">
        <f>INDEX(FactorTable!$B$2:$Y$301, MATCH(ROUND(MIN(300,MAX(1,D2400)),0), FactorTable!$A$2:$A$301,0), Skills!M11+1)</f>
        <v/>
      </c>
      <c r="F2400">
        <f>IF(Skills!N11=TRUE,(Skills!L11/10)*(E2400/1000),Skills!L11/10)+Skills!O11</f>
        <v/>
      </c>
      <c r="G2400">
        <f>Skills!G11*IF(Skills!H11&gt;0,Skills!I11/Skills!H11,1)</f>
        <v/>
      </c>
      <c r="H2400">
        <f>1-(1-Skills!J11/100)^Skills!K11</f>
        <v/>
      </c>
      <c r="I2400" t="inlineStr">
        <is>
          <t>1</t>
        </is>
      </c>
      <c r="J2400">
        <f>((Inputs!$B$6*(1+Inputs!$B$7/100))+(((Inputs!$B$12*(1+Inputs!$B$13/100))-(Inputs!$B$12*(1+Inputs!$B$13/100)))+0.25*(Inputs!$B$14-Inputs!$B$14))*(1+Inputs!$B$7/100))*(F2400/100)</f>
        <v/>
      </c>
      <c r="K2400">
        <f>J2400*(1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2400)</f>
        <v/>
      </c>
      <c r="L2400">
        <f>K2400*(MIN(Inputs!$B$22+((C2409=TRUE)*(F2409-Calc!F20)),(Inputs!$B$23+0+(IF(ArtifactsInput!$M$15,CHOOSE(ArtifactsInput!$N$15+1,25,30,35,40,45,50)/100*(Inputs!$B$11-Inputs!$B$11),0))))/100+(Inputs!$B$23+0+(IF(ArtifactsInput!$M$15,CHOOSE(ArtifactsInput!$N$15+1,25,30,35,40,45,50)/100*(Inputs!$B$11-Inputs!$B$11),0)))/100)/2</f>
        <v/>
      </c>
      <c r="M2400">
        <f>L2400*(1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0">
        <f>L2400*(1-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2400*(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0">
        <f>(1-Summary!$B$11)*T2400+Summary!$B$11*V2400</f>
        <v/>
      </c>
      <c r="P2400">
        <f>IF(B2424=0,0,O2400/B2424)</f>
        <v/>
      </c>
      <c r="Q2400">
        <f>IFERROR(1/(IF(Inputs!$B$38="pvp",15,MAX(0.1,Skills!D11-IF(Skills!E11=TRUE,Inputs!$B$32,0)))*(1-IF(AND(ArtifactsInput!$M$27,Inputs!$B$4="Chapter Hunt"),CHOOSE(ArtifactsInput!$N$27+1,20,24,28,32,36,40),0)/100)),0)</f>
        <v/>
      </c>
      <c r="R2400">
        <f>IF(AND(Inputs!$B$38&lt;&gt;"pvp",Inputs!$B$43&gt;0),IF(MAX(0,Inputs!$B$43-B2421)&lt;=0,0,(INT(MAX(0,Inputs!$B$43-B2421)/(IF(Inputs!$B$38="pvp",15,MAX(0.1,Skills!D11-IF(Skills!E11=TRUE,Inputs!$B$32,0)))*(1-IF(AND(ArtifactsInput!$M$27,Inputs!$B$4="Chapter Hunt"),CHOOSE(ArtifactsInput!$N$27+1,20,24,28,32,36,40),0)/100)))+1)),0)</f>
        <v/>
      </c>
      <c r="S2400">
        <f>IFERROR(O2400/N2400,0)</f>
        <v/>
      </c>
      <c r="T2400">
        <f>IF(C2400,(H2400*N2400*IF(AND(Inputs!$B$38&lt;&gt;"pvp",Inputs!$B$43&gt;0),((Skills!G11*((R2400-1)*IF(Skills!H11&gt;0,Skills!I11/Skills!H11,1)+IF(Skills!H11&gt;0,MIN(Skills!I11,MAX(0,MAX(0,Inputs!$B$43-B2421)-((R2400-1)*(IF(Inputs!$B$38="pvp",15,MAX(0.1,Skills!D11-IF(Skills!E11=TRUE,Inputs!$B$32,0)))*(1-IF(AND(ArtifactsInput!$M$27,Inputs!$B$4="Chapter Hunt"),CHOOSE(ArtifactsInput!$N$27+1,20,24,28,32,36,40),0)/100)))))/Skills!H11,1)))/Inputs!$B$43),G2400*Q2400)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2400*(1-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2400*(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2400*(1-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2400*(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0">
        <f>IF(C2400,(H2400*N2400*IF(AND(Inputs!$B$38&lt;&gt;"pvp",Inputs!$B$43&gt;0),((Skills!G11*((R2400-1)*IF(Skills!H11&gt;0,Skills!I11/Skills!H11,1)+IF(Skills!H11&gt;0,MIN(Skills!I11,MAX(0,MAX(0,Inputs!$B$43-B2421)-((R2400-1)*(IF(Inputs!$B$38="pvp",15,MAX(0.1,Skills!D11-IF(Skills!E11=TRUE,Inputs!$B$32,0)))*(1-IF(AND(ArtifactsInput!$M$27,Inputs!$B$4="Chapter Hunt"),CHOOSE(ArtifactsInput!$N$27+1,20,24,28,32,36,40),0)/100)))))/Skills!H11,1)))/Inputs!$B$43),G2400*Q2400))*IF(Inputs!$B$38="pvp",1,(1+(Inputs!$B$21+Skills!Q11+(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1">
      <c r="A2401">
        <f>Skills!A12</f>
        <v/>
      </c>
      <c r="B2401">
        <f>Skills!B12</f>
        <v/>
      </c>
      <c r="C2401">
        <f>Inputs!$B$3&gt;=100</f>
        <v/>
      </c>
      <c r="D2401">
        <f>IF(Skills!C12=1,60+Inputs!$B$25+Inputs!$B$29,IF(Skills!C12=2,90+Inputs!$B$26+Inputs!$B$29,IF(Skills!C12=3,120+Inputs!$B$27+Inputs!$B$29,MAX(0,(Inputs!$B$3-100)*3)+Inputs!$B$28+Inputs!$B$29)))</f>
        <v/>
      </c>
      <c r="E2401">
        <f>INDEX(FactorTable!$B$2:$Y$301, MATCH(ROUND(MIN(300,MAX(1,D2401)),0), FactorTable!$A$2:$A$301,0), Skills!M12+1)</f>
        <v/>
      </c>
      <c r="F2401">
        <f>IF(Skills!N12=TRUE,(Skills!L12/10)*(E2401/1000),Skills!L12/10)+Skills!O12</f>
        <v/>
      </c>
      <c r="G2401" t="inlineStr"/>
      <c r="H2401" t="inlineStr"/>
      <c r="I2401" t="inlineStr">
        <is>
          <t>1</t>
        </is>
      </c>
      <c r="J2401" t="inlineStr"/>
      <c r="K2401" t="inlineStr"/>
      <c r="L2401" t="inlineStr"/>
      <c r="M2401" t="inlineStr"/>
      <c r="N2401" t="inlineStr"/>
      <c r="O2401" t="inlineStr"/>
      <c r="P2401" t="inlineStr"/>
      <c r="Q2401" t="inlineStr"/>
      <c r="R2401" t="inlineStr"/>
      <c r="S2401" t="inlineStr"/>
      <c r="T2401" t="inlineStr"/>
      <c r="V2401" t="inlineStr"/>
    </row>
    <row r="2402">
      <c r="A2402">
        <f>Skills!A13</f>
        <v/>
      </c>
      <c r="B2402">
        <f>Skills!B13</f>
        <v/>
      </c>
      <c r="C2402">
        <f>Inputs!$B$3&gt;=66</f>
        <v/>
      </c>
      <c r="D2402">
        <f>IF(Skills!C13=1,60+Inputs!$B$25+Inputs!$B$29,IF(Skills!C13=2,90+Inputs!$B$26+Inputs!$B$29,IF(Skills!C13=3,120+Inputs!$B$27+Inputs!$B$29,MAX(0,(Inputs!$B$3-100)*3)+Inputs!$B$28+Inputs!$B$29)))</f>
        <v/>
      </c>
      <c r="E2402">
        <f>INDEX(FactorTable!$B$2:$Y$301, MATCH(ROUND(MIN(300,MAX(1,D2402)),0), FactorTable!$A$2:$A$301,0), Skills!M13+1)</f>
        <v/>
      </c>
      <c r="F2402">
        <f>IF(Skills!N13=TRUE,(Skills!L13/10)*(E2402/1000),Skills!L13/10)+Skills!O13</f>
        <v/>
      </c>
      <c r="G2402">
        <f>Skills!G13*IF(Skills!H13&gt;0,Skills!I13/Skills!H13,1)</f>
        <v/>
      </c>
      <c r="H2402">
        <f>1-(1-Skills!J13/100)^Skills!K13</f>
        <v/>
      </c>
      <c r="I2402" t="inlineStr">
        <is>
          <t>1</t>
        </is>
      </c>
      <c r="J2402" t="inlineStr"/>
      <c r="K2402" t="inlineStr"/>
      <c r="L2402" t="inlineStr"/>
      <c r="M2402" t="inlineStr"/>
      <c r="N2402" t="inlineStr"/>
      <c r="O2402">
        <f>(1-Summary!$B$11)*T2402+Summary!$B$11*V2402</f>
        <v/>
      </c>
      <c r="P2402">
        <f>IF(B2424=0,0,O2402/B2424)</f>
        <v/>
      </c>
      <c r="Q2402" t="n">
        <v>0</v>
      </c>
      <c r="R2402" t="n">
        <v>0</v>
      </c>
      <c r="S2402">
        <f>IFERROR(O2402/N2402,0)</f>
        <v/>
      </c>
      <c r="T2402" t="n">
        <v>0</v>
      </c>
      <c r="V2402" t="n">
        <v>0</v>
      </c>
    </row>
    <row r="2403">
      <c r="A2403">
        <f>Skills!A14</f>
        <v/>
      </c>
      <c r="B2403">
        <f>Skills!B14</f>
        <v/>
      </c>
      <c r="C2403">
        <f>Inputs!$B$3&gt;=107</f>
        <v/>
      </c>
      <c r="D2403">
        <f>IF(Skills!C14=1,60+Inputs!$B$25+Inputs!$B$29,IF(Skills!C14=2,90+Inputs!$B$26+Inputs!$B$29,IF(Skills!C14=3,120+Inputs!$B$27+Inputs!$B$29,MAX(0,(Inputs!$B$3-100)*3)+Inputs!$B$28+Inputs!$B$29)))</f>
        <v/>
      </c>
      <c r="E2403">
        <f>INDEX(FactorTable!$B$2:$Y$301, MATCH(ROUND(MIN(300,MAX(1,D2403)),0), FactorTable!$A$2:$A$301,0), Skills!M14+1)</f>
        <v/>
      </c>
      <c r="F2403">
        <f>IF(Skills!N14=TRUE,(Skills!L14/10)*(E2403/1000),Skills!L14/10)+Skills!O14</f>
        <v/>
      </c>
      <c r="G2403">
        <f>Skills!G14*IF(Skills!H14&gt;0,Skills!I14/Skills!H14,1)</f>
        <v/>
      </c>
      <c r="H2403">
        <f>1-(1-Skills!J14/100)^Skills!K14</f>
        <v/>
      </c>
      <c r="I2403" t="inlineStr">
        <is>
          <t>1</t>
        </is>
      </c>
      <c r="J2403" t="inlineStr"/>
      <c r="K2403" t="inlineStr"/>
      <c r="L2403" t="inlineStr"/>
      <c r="M2403" t="inlineStr"/>
      <c r="N2403" t="inlineStr"/>
      <c r="O2403">
        <f>(1-Summary!$B$11)*T2403+Summary!$B$11*V2403</f>
        <v/>
      </c>
      <c r="P2403">
        <f>IF(B2424=0,0,O2403/B2424)</f>
        <v/>
      </c>
      <c r="Q2403" t="n">
        <v>0</v>
      </c>
      <c r="R2403" t="n">
        <v>0</v>
      </c>
      <c r="S2403">
        <f>IFERROR(O2403/N2403,0)</f>
        <v/>
      </c>
      <c r="T2403" t="n">
        <v>0</v>
      </c>
      <c r="V2403" t="n">
        <v>0</v>
      </c>
    </row>
    <row r="2404">
      <c r="A2404">
        <f>Skills!A15</f>
        <v/>
      </c>
      <c r="B2404">
        <f>Skills!B15</f>
        <v/>
      </c>
      <c r="C2404">
        <f>Inputs!$B$3&gt;=115</f>
        <v/>
      </c>
      <c r="D2404">
        <f>IF(Skills!C15=1,60+Inputs!$B$25+Inputs!$B$29,IF(Skills!C15=2,90+Inputs!$B$26+Inputs!$B$29,IF(Skills!C15=3,120+Inputs!$B$27+Inputs!$B$29,MAX(0,(Inputs!$B$3-100)*3)+Inputs!$B$28+Inputs!$B$29)))</f>
        <v/>
      </c>
      <c r="E2404">
        <f>INDEX(FactorTable!$B$2:$Y$301, MATCH(ROUND(MIN(300,MAX(1,D2404)),0), FactorTable!$A$2:$A$301,0), Skills!M15+1)</f>
        <v/>
      </c>
      <c r="F2404">
        <f>IF(Skills!N15=TRUE,(Skills!L15/10)*(E2404/1000),Skills!L15/10)+Skills!O15</f>
        <v/>
      </c>
      <c r="G2404">
        <f>Skills!G15*IF(Skills!H15&gt;0,Skills!I15/Skills!H15,1)</f>
        <v/>
      </c>
      <c r="H2404">
        <f>1-(1-Skills!J15/100)^Skills!K15</f>
        <v/>
      </c>
      <c r="I2404" t="inlineStr">
        <is>
          <t>1</t>
        </is>
      </c>
      <c r="J2404" t="inlineStr"/>
      <c r="K2404" t="inlineStr"/>
      <c r="L2404" t="inlineStr"/>
      <c r="M2404" t="inlineStr"/>
      <c r="N2404" t="inlineStr"/>
      <c r="O2404">
        <f>(1-Summary!$B$11)*T2404+Summary!$B$11*V2404</f>
        <v/>
      </c>
      <c r="P2404">
        <f>IF(B2424=0,0,O2404/B2424)</f>
        <v/>
      </c>
      <c r="Q2404" t="n">
        <v>0</v>
      </c>
      <c r="R2404" t="n">
        <v>0</v>
      </c>
      <c r="S2404">
        <f>IFERROR(O2404/N2404,0)</f>
        <v/>
      </c>
      <c r="T2404" t="n">
        <v>0</v>
      </c>
      <c r="V2404" t="n">
        <v>0</v>
      </c>
    </row>
    <row r="2405">
      <c r="A2405">
        <f>Skills!A16</f>
        <v/>
      </c>
      <c r="B2405">
        <f>Skills!B16</f>
        <v/>
      </c>
      <c r="C2405">
        <f>Inputs!$B$3&gt;=15</f>
        <v/>
      </c>
      <c r="D2405">
        <f>IF(Skills!C16=1,60+Inputs!$B$25+Inputs!$B$29,IF(Skills!C16=2,90+Inputs!$B$26+Inputs!$B$29,IF(Skills!C16=3,120+Inputs!$B$27+Inputs!$B$29,MAX(0,(Inputs!$B$3-100)*3)+Inputs!$B$28+Inputs!$B$29)))</f>
        <v/>
      </c>
      <c r="E2405">
        <f>INDEX(FactorTable!$B$2:$Y$301, MATCH(ROUND(MIN(300,MAX(1,D2405)),0), FactorTable!$A$2:$A$301,0), Skills!M16+1)</f>
        <v/>
      </c>
      <c r="F2405">
        <f>IF(Skills!N16=TRUE,(Skills!L16/10)*(E2405/1000),Skills!L16/10)+Skills!O16</f>
        <v/>
      </c>
      <c r="G2405">
        <f>Skills!G16*IF(Skills!H16&gt;0,Skills!I16/Skills!H16,1)</f>
        <v/>
      </c>
      <c r="H2405">
        <f>1-(1-Skills!J16/100)^Skills!K16</f>
        <v/>
      </c>
      <c r="I2405" t="inlineStr">
        <is>
          <t>1</t>
        </is>
      </c>
      <c r="J2405" t="inlineStr"/>
      <c r="K2405" t="inlineStr"/>
      <c r="L2405" t="inlineStr"/>
      <c r="M2405" t="inlineStr"/>
      <c r="N2405" t="inlineStr"/>
      <c r="O2405">
        <f>(1-Summary!$B$11)*T2405+Summary!$B$11*V2405</f>
        <v/>
      </c>
      <c r="P2405">
        <f>IF(B2424=0,0,O2405/B2424)</f>
        <v/>
      </c>
      <c r="Q2405" t="n">
        <v>0</v>
      </c>
      <c r="R2405" t="n">
        <v>0</v>
      </c>
      <c r="S2405">
        <f>IFERROR(O2405/N2405,0)</f>
        <v/>
      </c>
      <c r="T2405" t="n">
        <v>0</v>
      </c>
      <c r="V2405" t="n">
        <v>0</v>
      </c>
    </row>
    <row r="2406">
      <c r="A2406">
        <f>Skills!A17</f>
        <v/>
      </c>
      <c r="B2406">
        <f>Skills!B17</f>
        <v/>
      </c>
      <c r="C2406">
        <f>Inputs!$B$3&gt;=10</f>
        <v/>
      </c>
      <c r="D2406">
        <f>IF(Skills!C17=1,60+Inputs!$B$25+Inputs!$B$29,IF(Skills!C17=2,90+Inputs!$B$26+Inputs!$B$29,IF(Skills!C17=3,120+Inputs!$B$27+Inputs!$B$29,MAX(0,(Inputs!$B$3-100)*3)+Inputs!$B$28+Inputs!$B$29)))</f>
        <v/>
      </c>
      <c r="E2406">
        <f>INDEX(FactorTable!$B$2:$Y$301, MATCH(ROUND(MIN(300,MAX(1,D2406)),0), FactorTable!$A$2:$A$301,0), Skills!M17+1)</f>
        <v/>
      </c>
      <c r="F2406">
        <f>IF(Skills!N17=TRUE,(Skills!L17/10)*(E2406/1000),Skills!L17/10)+Skills!O17</f>
        <v/>
      </c>
      <c r="G2406">
        <f>Skills!G17*IF(Skills!H17&gt;0,Skills!I17/Skills!H17,1)</f>
        <v/>
      </c>
      <c r="H2406">
        <f>1-(1-Skills!J17/100)^Skills!K17</f>
        <v/>
      </c>
      <c r="I2406" t="inlineStr">
        <is>
          <t>1</t>
        </is>
      </c>
      <c r="J2406" t="inlineStr"/>
      <c r="K2406" t="inlineStr"/>
      <c r="L2406" t="inlineStr"/>
      <c r="M2406" t="inlineStr"/>
      <c r="N2406" t="inlineStr"/>
      <c r="O2406">
        <f>(1-Summary!$B$11)*T2406+Summary!$B$11*V2406</f>
        <v/>
      </c>
      <c r="P2406">
        <f>IF(B2424=0,0,O2406/B2424)</f>
        <v/>
      </c>
      <c r="Q2406" t="n">
        <v>0</v>
      </c>
      <c r="R2406" t="n">
        <v>0</v>
      </c>
      <c r="S2406">
        <f>IFERROR(O2406/N2406,0)</f>
        <v/>
      </c>
      <c r="T2406" t="n">
        <v>0</v>
      </c>
      <c r="V2406" t="n">
        <v>0</v>
      </c>
    </row>
    <row r="2407">
      <c r="A2407">
        <f>Skills!A18</f>
        <v/>
      </c>
      <c r="B2407">
        <f>Skills!B18</f>
        <v/>
      </c>
      <c r="C2407">
        <f>Inputs!$B$3&gt;=33</f>
        <v/>
      </c>
      <c r="D2407">
        <f>IF(Skills!C18=1,60+Inputs!$B$25+Inputs!$B$29,IF(Skills!C18=2,90+Inputs!$B$26+Inputs!$B$29,IF(Skills!C18=3,120+Inputs!$B$27+Inputs!$B$29,MAX(0,(Inputs!$B$3-100)*3)+Inputs!$B$28+Inputs!$B$29)))</f>
        <v/>
      </c>
      <c r="E2407">
        <f>INDEX(FactorTable!$B$2:$Y$301, MATCH(ROUND(MIN(300,MAX(1,D2407)),0), FactorTable!$A$2:$A$301,0), Skills!M18+1)</f>
        <v/>
      </c>
      <c r="F2407">
        <f>IF(Skills!N18=TRUE,(Skills!L18/10)*(E2407/1000),Skills!L18/10)+Skills!O18</f>
        <v/>
      </c>
      <c r="G2407">
        <f>Skills!G18*IF(Skills!H18&gt;0,Skills!I18/Skills!H18,1)</f>
        <v/>
      </c>
      <c r="H2407">
        <f>1-(1-Skills!J18/100)^Skills!K18</f>
        <v/>
      </c>
      <c r="I2407" t="inlineStr">
        <is>
          <t>1</t>
        </is>
      </c>
      <c r="J2407" t="inlineStr"/>
      <c r="K2407" t="inlineStr"/>
      <c r="L2407" t="inlineStr"/>
      <c r="M2407" t="inlineStr"/>
      <c r="N2407" t="inlineStr"/>
      <c r="O2407">
        <f>(1-Summary!$B$11)*T2407+Summary!$B$11*V2407</f>
        <v/>
      </c>
      <c r="P2407">
        <f>IF(B2424=0,0,O2407/B2424)</f>
        <v/>
      </c>
      <c r="Q2407" t="n">
        <v>0</v>
      </c>
      <c r="R2407" t="n">
        <v>0</v>
      </c>
      <c r="S2407">
        <f>IFERROR(O2407/N2407,0)</f>
        <v/>
      </c>
      <c r="T2407" t="n">
        <v>0</v>
      </c>
      <c r="V2407" t="n">
        <v>0</v>
      </c>
    </row>
    <row r="2408">
      <c r="A2408">
        <f>Skills!A19</f>
        <v/>
      </c>
      <c r="B2408">
        <f>Skills!B19</f>
        <v/>
      </c>
      <c r="C2408">
        <f>Inputs!$B$3&gt;=40</f>
        <v/>
      </c>
      <c r="D2408">
        <f>IF(Skills!C19=1,60+Inputs!$B$25+Inputs!$B$29,IF(Skills!C19=2,90+Inputs!$B$26+Inputs!$B$29,IF(Skills!C19=3,120+Inputs!$B$27+Inputs!$B$29,MAX(0,(Inputs!$B$3-100)*3)+Inputs!$B$28+Inputs!$B$29)))</f>
        <v/>
      </c>
      <c r="E2408">
        <f>INDEX(FactorTable!$B$2:$Y$301, MATCH(ROUND(MIN(300,MAX(1,D2408)),0), FactorTable!$A$2:$A$301,0), Skills!M19+1)</f>
        <v/>
      </c>
      <c r="F2408">
        <f>IF(Skills!N19=TRUE,(Skills!L19/10)*(E2408/1000),Skills!L19/10)+Skills!O19</f>
        <v/>
      </c>
      <c r="G2408">
        <f>Skills!G19*IF(Skills!H19&gt;0,Skills!I19/Skills!H19,1)</f>
        <v/>
      </c>
      <c r="H2408">
        <f>1-(1-Skills!J19/100)^Skills!K19</f>
        <v/>
      </c>
      <c r="I2408" t="inlineStr">
        <is>
          <t>1</t>
        </is>
      </c>
      <c r="J2408" t="inlineStr"/>
      <c r="K2408" t="inlineStr"/>
      <c r="L2408" t="inlineStr"/>
      <c r="M2408" t="inlineStr"/>
      <c r="N2408" t="inlineStr"/>
      <c r="O2408">
        <f>(1-Summary!$B$11)*T2408+Summary!$B$11*V2408</f>
        <v/>
      </c>
      <c r="P2408">
        <f>IF(B2424=0,0,O2408/B2424)</f>
        <v/>
      </c>
      <c r="Q2408" t="n">
        <v>0</v>
      </c>
      <c r="R2408" t="n">
        <v>0</v>
      </c>
      <c r="S2408">
        <f>IFERROR(O2408/N2408,0)</f>
        <v/>
      </c>
      <c r="T2408" t="n">
        <v>0</v>
      </c>
      <c r="V2408" t="n">
        <v>0</v>
      </c>
    </row>
    <row r="2409">
      <c r="A2409">
        <f>Skills!A20</f>
        <v/>
      </c>
      <c r="B2409">
        <f>Skills!B20</f>
        <v/>
      </c>
      <c r="C2409">
        <f>Inputs!$B$3&gt;=43</f>
        <v/>
      </c>
      <c r="D2409">
        <f>IF(Skills!C20=1,60+Inputs!$B$25+Inputs!$B$29,IF(Skills!C20=2,90+Inputs!$B$26+Inputs!$B$29,IF(Skills!C20=3,120+Inputs!$B$27+Inputs!$B$29,MAX(0,(Inputs!$B$3-100)*3)+Inputs!$B$28+Inputs!$B$29)))</f>
        <v/>
      </c>
      <c r="E2409">
        <f>INDEX(FactorTable!$B$2:$Y$301, MATCH(ROUND(MIN(300,MAX(1,D2409)),0), FactorTable!$A$2:$A$301,0), Skills!M20+1)</f>
        <v/>
      </c>
      <c r="F2409">
        <f>IF(Skills!N20=TRUE,(Skills!L20/10)*(E2409/1000),Skills!L20/10)+Skills!O20</f>
        <v/>
      </c>
      <c r="G2409">
        <f>Skills!G20*IF(Skills!H20&gt;0,Skills!I20/Skills!H20,1)</f>
        <v/>
      </c>
      <c r="H2409">
        <f>1-(1-Skills!J20/100)^Skills!K20</f>
        <v/>
      </c>
      <c r="I2409" t="inlineStr">
        <is>
          <t>1</t>
        </is>
      </c>
      <c r="J2409" t="inlineStr"/>
      <c r="K2409" t="inlineStr"/>
      <c r="L2409" t="inlineStr"/>
      <c r="M2409" t="inlineStr"/>
      <c r="N2409" t="inlineStr"/>
      <c r="O2409">
        <f>(1-Summary!$B$11)*T2409+Summary!$B$11*V2409</f>
        <v/>
      </c>
      <c r="P2409">
        <f>IF(B2424=0,0,O2409/B2424)</f>
        <v/>
      </c>
      <c r="Q2409" t="n">
        <v>0</v>
      </c>
      <c r="R2409" t="n">
        <v>0</v>
      </c>
      <c r="S2409">
        <f>IFERROR(O2409/N2409,0)</f>
        <v/>
      </c>
      <c r="T2409" t="n">
        <v>0</v>
      </c>
      <c r="V2409" t="n">
        <v>0</v>
      </c>
    </row>
    <row r="2410">
      <c r="A2410">
        <f>Skills!A21</f>
        <v/>
      </c>
      <c r="B2410">
        <f>Skills!B21</f>
        <v/>
      </c>
      <c r="C2410">
        <f>Inputs!$B$3&gt;=38</f>
        <v/>
      </c>
      <c r="D2410">
        <f>IF(Skills!C21=1,60+Inputs!$B$25+Inputs!$B$29,IF(Skills!C21=2,90+Inputs!$B$26+Inputs!$B$29,IF(Skills!C21=3,120+Inputs!$B$27+Inputs!$B$29,MAX(0,(Inputs!$B$3-100)*3)+Inputs!$B$28+Inputs!$B$29)))</f>
        <v/>
      </c>
      <c r="E2410">
        <f>INDEX(FactorTable!$B$2:$Y$301, MATCH(ROUND(MIN(300,MAX(1,D2410)),0), FactorTable!$A$2:$A$301,0), Skills!M21+1)</f>
        <v/>
      </c>
      <c r="F2410">
        <f>IF(Skills!N21=TRUE,(Skills!L21/10)*(E2410/1000),Skills!L21/10)+Skills!O21</f>
        <v/>
      </c>
      <c r="G2410">
        <f>Skills!G21*IF(Skills!H21&gt;0,Skills!I21/Skills!H21,1)</f>
        <v/>
      </c>
      <c r="H2410">
        <f>1-(1-Skills!J21/100)^Skills!K21</f>
        <v/>
      </c>
      <c r="I2410" t="inlineStr">
        <is>
          <t>1</t>
        </is>
      </c>
      <c r="J2410" t="inlineStr"/>
      <c r="K2410" t="inlineStr"/>
      <c r="L2410" t="inlineStr"/>
      <c r="M2410" t="inlineStr"/>
      <c r="N2410" t="inlineStr"/>
      <c r="O2410">
        <f>(1-Summary!$B$11)*T2410+Summary!$B$11*V2410</f>
        <v/>
      </c>
      <c r="P2410">
        <f>IF(B2424=0,0,O2410/B2424)</f>
        <v/>
      </c>
      <c r="Q2410" t="n">
        <v>0</v>
      </c>
      <c r="R2410" t="n">
        <v>0</v>
      </c>
      <c r="S2410">
        <f>IFERROR(O2410/N2410,0)</f>
        <v/>
      </c>
      <c r="T2410" t="n">
        <v>0</v>
      </c>
      <c r="V2410" t="n">
        <v>0</v>
      </c>
    </row>
    <row r="2411">
      <c r="A2411">
        <f>Skills!A22</f>
        <v/>
      </c>
      <c r="B2411">
        <f>Skills!B22</f>
        <v/>
      </c>
      <c r="C2411">
        <f>Inputs!$B$3&gt;=75</f>
        <v/>
      </c>
      <c r="D2411">
        <f>IF(Skills!C22=1,60+Inputs!$B$25+Inputs!$B$29,IF(Skills!C22=2,90+Inputs!$B$26+Inputs!$B$29,IF(Skills!C22=3,120+Inputs!$B$27+Inputs!$B$29,MAX(0,(Inputs!$B$3-100)*3)+Inputs!$B$28+Inputs!$B$29)))</f>
        <v/>
      </c>
      <c r="E2411">
        <f>INDEX(FactorTable!$B$2:$Y$301, MATCH(ROUND(MIN(300,MAX(1,D2411)),0), FactorTable!$A$2:$A$301,0), Skills!M22+1)</f>
        <v/>
      </c>
      <c r="F2411">
        <f>IF(Skills!N22=TRUE,(Skills!L22/10)*(E2411/1000),Skills!L22/10)+Skills!O22</f>
        <v/>
      </c>
      <c r="G2411">
        <f>Skills!G22*IF(Skills!H22&gt;0,Skills!I22/Skills!H22,1)</f>
        <v/>
      </c>
      <c r="H2411">
        <f>1-(1-Skills!J22/100)^Skills!K22</f>
        <v/>
      </c>
      <c r="I2411" t="inlineStr">
        <is>
          <t>1</t>
        </is>
      </c>
      <c r="J2411" t="inlineStr"/>
      <c r="K2411" t="inlineStr"/>
      <c r="L2411" t="inlineStr"/>
      <c r="M2411" t="inlineStr"/>
      <c r="N2411" t="inlineStr"/>
      <c r="O2411">
        <f>(1-Summary!$B$11)*T2411+Summary!$B$11*V2411</f>
        <v/>
      </c>
      <c r="P2411">
        <f>IF(B2424=0,0,O2411/B2424)</f>
        <v/>
      </c>
      <c r="Q2411" t="n">
        <v>0</v>
      </c>
      <c r="R2411" t="n">
        <v>0</v>
      </c>
      <c r="S2411">
        <f>IFERROR(O2411/N2411,0)</f>
        <v/>
      </c>
      <c r="T2411" t="n">
        <v>0</v>
      </c>
      <c r="V2411" t="n">
        <v>0</v>
      </c>
    </row>
    <row r="2413">
      <c r="A2413" t="inlineStr">
        <is>
          <t>Attack% Bucket Multiplier</t>
        </is>
      </c>
      <c r="B2413">
        <f>(1+(((C2402=TRUE)*F2402)+((C2408=TRUE)*(F2408-Calc!F19))+(IF(ArtifactsInput!$M$21,CHOOSE(ArtifactsInput!$N$21+1,25,30,35,40,45,50)*(IF(OR(Inputs!$B$4="Chapter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4">
      <c r="A2414" t="inlineStr">
        <is>
          <t>Global Crit Rate Bonus %</t>
        </is>
      </c>
      <c r="B2414" t="n">
        <v>0</v>
      </c>
    </row>
    <row r="2415">
      <c r="A2415" t="inlineStr">
        <is>
          <t>Attack Speed Buff Bonus % (unused)</t>
        </is>
      </c>
      <c r="B2415" t="n">
        <v>0</v>
      </c>
    </row>
    <row r="2416">
      <c r="A2416" t="inlineStr">
        <is>
          <t>Actions Per Second</t>
        </is>
      </c>
      <c r="B2416">
        <f>1+MIN(150,150*(1-(1-(Inputs!$B$11+((C2406=TRUE)*(F2406-Calc!F17))+((C2407=TRUE)*(F2407-Calc!F18)))/150)*(1-B2415/150)))/100</f>
        <v/>
      </c>
    </row>
    <row r="2417">
      <c r="A2417" t="inlineStr">
        <is>
          <t>Skill + Buff Cast Rate</t>
        </is>
      </c>
      <c r="B2417">
        <f>IF(AND(Inputs!$B$38&lt;&gt;"pvp",Inputs!$B$43&gt;0),SUMPRODUCT((Skills!E2:E22=TRUE)*(C2391:C2411=TRUE)*R2391:R2411*Skills!F2:F22)/Inputs!$B$43,SUMPRODUCT((Skills!E2:E22=TRUE)*(C2391:C2411=TRUE)*Q2391:Q2411*Skills!F2:F22))</f>
        <v/>
      </c>
    </row>
    <row r="2418">
      <c r="A2418" t="inlineStr">
        <is>
          <t>Hook Bomber Casts Per Second</t>
        </is>
      </c>
      <c r="B2418">
        <f>MAX(0,B2416-B2417)</f>
        <v/>
      </c>
    </row>
    <row r="2419">
      <c r="A2419" t="inlineStr">
        <is>
          <t>Global Critical Damage Bonus % (unused)</t>
        </is>
      </c>
      <c r="B2419" t="n">
        <v>0</v>
      </c>
    </row>
    <row r="2420">
      <c r="A2420" t="inlineStr">
        <is>
          <t>Global Final Damage Bonus % (Serpent Scale + Crossbones + Time Leap + Speed Infusion)</t>
        </is>
      </c>
      <c r="B2420">
        <f>((C2394=TRUE)*F2394*((10+IF(Inputs!$B$3&gt;=94,5,0))/((10+IF(Inputs!$B$3&gt;=94,5,0))+5/(B2418*(1+IF(Inputs!$B$3&gt;=104,1,0))))))+((C2403=TRUE)*F2403)+((C2404=TRUE)*F2404)+((Inputs!$B$3&gt;=110)*20*(B2416-1))</f>
        <v/>
      </c>
    </row>
    <row r="2421">
      <c r="A2421" t="inlineStr">
        <is>
          <t>Buff-Casting Startup Delay (s, fixed-duration only)</t>
        </is>
      </c>
      <c r="B2421">
        <f>IF(AND(Inputs!$B$38&lt;&gt;"pvp",Inputs!$B$43&gt;0),SUMPRODUCT((Skills!T2:T22&gt;0)*(Skills!E2:E22=TRUE)*(C2391:C2411=TRUE))/B2416,0)</f>
        <v/>
      </c>
    </row>
    <row r="2422">
      <c r="A2422" t="inlineStr">
        <is>
          <t>Boss-Only Total DPS (this block's swept value)</t>
        </is>
      </c>
      <c r="B2422">
        <f>SUM(T2391:T2411)</f>
        <v/>
      </c>
    </row>
    <row r="2423">
      <c r="A2423" t="inlineStr">
        <is>
          <t>Normal-Only Total DPS (this block's swept value)</t>
        </is>
      </c>
      <c r="B2423">
        <f>SUM(V2391:V2411)</f>
        <v/>
      </c>
    </row>
    <row r="2424">
      <c r="A2424" s="6" t="inlineStr">
        <is>
          <t>TOTAL DPS</t>
        </is>
      </c>
      <c r="B2424" s="6">
        <f>SUM(O2391:O2411)</f>
        <v/>
      </c>
    </row>
    <row r="2427">
      <c r="A2427" s="9" t="inlineStr">
        <is>
          <t>Cooldown Reduction Milestone Sweep (absolute CDR seconds, fixed-duration content only)</t>
        </is>
      </c>
    </row>
    <row r="2428">
      <c r="A2428" s="5" t="inlineStr">
        <is>
          <t>CDR (s)</t>
        </is>
      </c>
      <c r="B2428" s="5" t="inlineStr">
        <is>
          <t>Total DPS</t>
        </is>
      </c>
      <c r="C2428" s="5" t="inlineStr">
        <is>
          <t>DPS Gain (vs prior step)</t>
        </is>
      </c>
      <c r="D2428" s="5" t="inlineStr">
        <is>
          <t>% Gain (vs current CDR)</t>
        </is>
      </c>
    </row>
    <row r="2429">
      <c r="A2429" t="n">
        <v>0.5</v>
      </c>
      <c r="B2429">
        <f>B2476</f>
        <v/>
      </c>
      <c r="C2429" t="n">
        <v>0</v>
      </c>
      <c r="D2429">
        <f>IF(Summary!$B$3=0,0,(B2429-Summary!$B$3)/Summary!$B$3*100)</f>
        <v/>
      </c>
    </row>
    <row r="2430">
      <c r="A2430" t="n">
        <v>1</v>
      </c>
      <c r="B2430">
        <f>B2514</f>
        <v/>
      </c>
      <c r="C2430">
        <f>B2430-B2429</f>
        <v/>
      </c>
      <c r="D2430">
        <f>IF(Summary!$B$3=0,0,(B2430-Summary!$B$3)/Summary!$B$3*100)</f>
        <v/>
      </c>
    </row>
    <row r="2431">
      <c r="A2431" t="n">
        <v>1.5</v>
      </c>
      <c r="B2431">
        <f>B2552</f>
        <v/>
      </c>
      <c r="C2431">
        <f>B2431-B2430</f>
        <v/>
      </c>
      <c r="D2431">
        <f>IF(Summary!$B$3=0,0,(B2431-Summary!$B$3)/Summary!$B$3*100)</f>
        <v/>
      </c>
    </row>
    <row r="2432">
      <c r="A2432" t="n">
        <v>2</v>
      </c>
      <c r="B2432">
        <f>B2590</f>
        <v/>
      </c>
      <c r="C2432">
        <f>B2432-B2431</f>
        <v/>
      </c>
      <c r="D2432">
        <f>IF(Summary!$B$3=0,0,(B2432-Summary!$B$3)/Summary!$B$3*100)</f>
        <v/>
      </c>
    </row>
    <row r="2433">
      <c r="A2433" t="n">
        <v>2.5</v>
      </c>
      <c r="B2433">
        <f>B2628</f>
        <v/>
      </c>
      <c r="C2433">
        <f>B2433-B2432</f>
        <v/>
      </c>
      <c r="D2433">
        <f>IF(Summary!$B$3=0,0,(B2433-Summary!$B$3)/Summary!$B$3*100)</f>
        <v/>
      </c>
    </row>
    <row r="2434">
      <c r="A2434" t="n">
        <v>3</v>
      </c>
      <c r="B2434">
        <f>B2666</f>
        <v/>
      </c>
      <c r="C2434">
        <f>B2434-B2433</f>
        <v/>
      </c>
      <c r="D2434">
        <f>IF(Summary!$B$3=0,0,(B2434-Summary!$B$3)/Summary!$B$3*100)</f>
        <v/>
      </c>
    </row>
    <row r="2435">
      <c r="A2435" t="n">
        <v>3.5</v>
      </c>
      <c r="B2435">
        <f>B2704</f>
        <v/>
      </c>
      <c r="C2435">
        <f>B2435-B2434</f>
        <v/>
      </c>
      <c r="D2435">
        <f>IF(Summary!$B$3=0,0,(B2435-Summary!$B$3)/Summary!$B$3*100)</f>
        <v/>
      </c>
    </row>
    <row r="2436">
      <c r="A2436" t="n">
        <v>4</v>
      </c>
      <c r="B2436">
        <f>B2742</f>
        <v/>
      </c>
      <c r="C2436">
        <f>B2436-B2435</f>
        <v/>
      </c>
      <c r="D2436">
        <f>IF(Summary!$B$3=0,0,(B2436-Summary!$B$3)/Summary!$B$3*100)</f>
        <v/>
      </c>
    </row>
    <row r="2437">
      <c r="A2437" t="n">
        <v>4.5</v>
      </c>
      <c r="B2437">
        <f>B2780</f>
        <v/>
      </c>
      <c r="C2437">
        <f>B2437-B2436</f>
        <v/>
      </c>
      <c r="D2437">
        <f>IF(Summary!$B$3=0,0,(B2437-Summary!$B$3)/Summary!$B$3*100)</f>
        <v/>
      </c>
    </row>
    <row r="2438">
      <c r="A2438" t="n">
        <v>5</v>
      </c>
      <c r="B2438">
        <f>B2818</f>
        <v/>
      </c>
      <c r="C2438">
        <f>B2438-B2437</f>
        <v/>
      </c>
      <c r="D2438">
        <f>IF(Summary!$B$3=0,0,(B2438-Summary!$B$3)/Summary!$B$3*100)</f>
        <v/>
      </c>
    </row>
    <row r="2441">
      <c r="A2441" s="6" t="inlineStr">
        <is>
          <t>Stat: CDR = 0.5s</t>
        </is>
      </c>
    </row>
    <row r="2442">
      <c r="A2442" s="5" t="inlineStr">
        <is>
          <t>Key</t>
        </is>
      </c>
      <c r="B2442" s="5" t="inlineStr">
        <is>
          <t>Name</t>
        </is>
      </c>
      <c r="C2442" s="5" t="inlineStr">
        <is>
          <t>Unlocked</t>
        </is>
      </c>
      <c r="D2442" s="5" t="inlineStr">
        <is>
          <t>InputLevel</t>
        </is>
      </c>
      <c r="E2442" s="5" t="inlineStr">
        <is>
          <t>Factor</t>
        </is>
      </c>
      <c r="F2442" s="5" t="inlineStr">
        <is>
          <t>CoefficientPercent</t>
        </is>
      </c>
      <c r="G2442" s="5" t="inlineStr">
        <is>
          <t>EffectiveHits</t>
        </is>
      </c>
      <c r="H2442" s="5" t="inlineStr">
        <is>
          <t>ProcProbability</t>
        </is>
      </c>
      <c r="I2442" s="5" t="inlineStr">
        <is>
          <t>MapleHeroMultiplier</t>
        </is>
      </c>
      <c r="J2442" s="5" t="inlineStr">
        <is>
          <t>BaseDamage</t>
        </is>
      </c>
      <c r="K2442" s="5" t="inlineStr">
        <is>
          <t>BaseHitDamage</t>
        </is>
      </c>
      <c r="L2442" s="5" t="inlineStr">
        <is>
          <t>NonCritAvg</t>
        </is>
      </c>
      <c r="M2442" s="5" t="inlineStr">
        <is>
          <t>CritAvg</t>
        </is>
      </c>
      <c r="N2442" s="5" t="inlineStr">
        <is>
          <t>ExpectedDamage(perHit)</t>
        </is>
      </c>
      <c r="O2442" s="5" t="inlineStr">
        <is>
          <t>DPS</t>
        </is>
      </c>
      <c r="P2442" s="5" t="inlineStr">
        <is>
          <t>% of Total</t>
        </is>
      </c>
      <c r="Q2442" s="5" t="inlineStr">
        <is>
          <t>InvCooldown</t>
        </is>
      </c>
      <c r="R2442" s="5" t="inlineStr">
        <is>
          <t>CastsInFight</t>
        </is>
      </c>
      <c r="S2442" s="5" t="inlineStr">
        <is>
          <t>HitRate(perSec)</t>
        </is>
      </c>
      <c r="U2442" t="inlineStr">
        <is>
          <t>helpers</t>
        </is>
      </c>
    </row>
    <row r="2443">
      <c r="A2443">
        <f>Skills!A2</f>
        <v/>
      </c>
      <c r="B2443">
        <f>Skills!B2</f>
        <v/>
      </c>
      <c r="C2443">
        <f>Inputs!$B$3&gt;=100</f>
        <v/>
      </c>
      <c r="D2443" t="inlineStr"/>
      <c r="E2443" t="inlineStr"/>
      <c r="F2443">
        <f>U2445+Skills!O2</f>
        <v/>
      </c>
      <c r="G2443">
        <f>Skills!G2*IF(Skills!H2&gt;0,Skills!I2/Skills!H2,1)</f>
        <v/>
      </c>
      <c r="H2443">
        <f>1-(1-Skills!J2/100)^Skills!K2</f>
        <v/>
      </c>
      <c r="I2443" t="inlineStr">
        <is>
          <t>1</t>
        </is>
      </c>
      <c r="J2443">
        <f>((Inputs!$B$6*(1+Inputs!$B$7/100))+(((Inputs!$B$12*(1+Inputs!$B$13/100))-(Inputs!$B$12*(1+Inputs!$B$13/100)))+0.25*(Inputs!$B$14-Inputs!$B$14))*(1+Inputs!$B$7/100))*(F2443/100)</f>
        <v/>
      </c>
      <c r="K2443">
        <f>J2443*(1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2443)</f>
        <v/>
      </c>
      <c r="L2443">
        <f>K2443*(MIN(Inputs!$B$22+((C2461=TRUE)*(F2461-Calc!F20)),(Inputs!$B$23+0+(IF(ArtifactsInput!$M$15,CHOOSE(ArtifactsInput!$N$15+1,25,30,35,40,45,50)/100*(Inputs!$B$11-Inputs!$B$11),0))))/100+(Inputs!$B$23+0+(IF(ArtifactsInput!$M$15,CHOOSE(ArtifactsInput!$N$15+1,25,30,35,40,45,50)/100*(Inputs!$B$11-Inputs!$B$11),0)))/100)/2</f>
        <v/>
      </c>
      <c r="M2443">
        <f>L2443*(1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3">
        <f>L2443*(1-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2443*(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3">
        <f>(1-Summary!$B$11)*T2443+Summary!$B$11*V2443</f>
        <v/>
      </c>
      <c r="P2443">
        <f>IF(B2476=0,0,O2443/B2476)</f>
        <v/>
      </c>
      <c r="Q2443" t="n">
        <v>0</v>
      </c>
      <c r="R2443" t="n">
        <v>0</v>
      </c>
      <c r="S2443">
        <f>IFERROR(O2443/N2443,0)</f>
        <v/>
      </c>
      <c r="T2443">
        <f>IF(C2443,(Skills!G2*N2443*B2470)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2443*(1-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2443*(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2443*(1-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2443*(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3">
        <f>MAX(0,(Inputs!$B$3-100)*3)+Inputs!$B$28+Inputs!$B$29</f>
        <v/>
      </c>
      <c r="V2443">
        <f>IF(C2443,(Skills!G2*N2443*B2470)*IF(Inputs!$B$38="pvp",1,(1+(Inputs!$B$21+Skills!Q2+(IF(ArtifactsInput!$M$33,CHOOSE(ArtifactsInput!$N$33+1,30,36,42,48,54,60),0))+(IF(AND(ArtifactsInput!$M$35,Inputs!$B$4&lt;&gt;"Chapter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4">
      <c r="A2444">
        <f>Skills!A3</f>
        <v/>
      </c>
      <c r="B2444">
        <f>Skills!B3</f>
        <v/>
      </c>
      <c r="C2444">
        <f>Inputs!$B$3&gt;=35</f>
        <v/>
      </c>
      <c r="D2444">
        <f>IF(Skills!C3=1,60+Inputs!$B$25+Inputs!$B$29,IF(Skills!C3=2,90+Inputs!$B$26+Inputs!$B$29,IF(Skills!C3=3,120+Inputs!$B$27+Inputs!$B$29,MAX(0,(Inputs!$B$3-100)*3)+Inputs!$B$28+Inputs!$B$29)))</f>
        <v/>
      </c>
      <c r="E2444">
        <f>INDEX(FactorTable!$B$2:$Y$301, MATCH(ROUND(MIN(300,MAX(1,D2444)),0), FactorTable!$A$2:$A$301,0), Skills!M3+1)</f>
        <v/>
      </c>
      <c r="F2444">
        <f>IF(Skills!N3=TRUE,(Skills!L3/10)*(E2444/1000),Skills!L3/10)+Skills!O3</f>
        <v/>
      </c>
      <c r="G2444">
        <f>Skills!G3*IF(Skills!H3&gt;0,Skills!I3/Skills!H3,1)</f>
        <v/>
      </c>
      <c r="H2444">
        <f>1-(1-Skills!J3/100)^Skills!K3</f>
        <v/>
      </c>
      <c r="I2444" t="inlineStr">
        <is>
          <t>1</t>
        </is>
      </c>
      <c r="J2444">
        <f>((Inputs!$B$6*(1+Inputs!$B$7/100))+(((Inputs!$B$12*(1+Inputs!$B$13/100))-(Inputs!$B$12*(1+Inputs!$B$13/100)))+0.25*(Inputs!$B$14-Inputs!$B$14))*(1+Inputs!$B$7/100))*(F2444/100)</f>
        <v/>
      </c>
      <c r="K2444">
        <f>J2444*(1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2444)</f>
        <v/>
      </c>
      <c r="L2444">
        <f>K2444*(MIN(Inputs!$B$22+((C2461=TRUE)*(F2461-Calc!F20)),(Inputs!$B$23+0+(IF(ArtifactsInput!$M$15,CHOOSE(ArtifactsInput!$N$15+1,25,30,35,40,45,50)/100*(Inputs!$B$11-Inputs!$B$11),0))))/100+(Inputs!$B$23+0+(IF(ArtifactsInput!$M$15,CHOOSE(ArtifactsInput!$N$15+1,25,30,35,40,45,50)/100*(Inputs!$B$11-Inputs!$B$11),0)))/100)/2</f>
        <v/>
      </c>
      <c r="M2444">
        <f>L2444*(1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4">
        <f>L2444*(1-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2444*(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4">
        <f>(1-Summary!$B$11)*T2444+Summary!$B$11*V2444</f>
        <v/>
      </c>
      <c r="P2444">
        <f>IF(B2476=0,0,O2444/B2476)</f>
        <v/>
      </c>
      <c r="Q2444" t="n">
        <v>0</v>
      </c>
      <c r="R2444" t="n">
        <v>0</v>
      </c>
      <c r="S2444">
        <f>IFERROR(O2444/N2444,0)</f>
        <v/>
      </c>
      <c r="T2444">
        <f>IF(C2444,(Skills!G3*H2444*N2444*B2470)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2444*(1-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2444*(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2444*(1-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2444*(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4">
        <f>INDEX(FactorTable!$B$2:$Y$301, MATCH(ROUND(MIN(300,MAX(1,U2443)),0), FactorTable!$A$2:$A$301,0), 22)</f>
        <v/>
      </c>
      <c r="V2444">
        <f>IF(C2444,(Skills!G3*H2444*N2444*B2470)*IF(Inputs!$B$38="pvp",1,(1+(Inputs!$B$21+Skills!Q3+(IF(ArtifactsInput!$M$33,CHOOSE(ArtifactsInput!$N$33+1,30,36,42,48,54,60),0))+(IF(AND(ArtifactsInput!$M$35,Inputs!$B$4&lt;&gt;"Chapter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5">
      <c r="A2445">
        <f>Skills!A4</f>
        <v/>
      </c>
      <c r="B2445">
        <f>Skills!B4</f>
        <v/>
      </c>
      <c r="C2445">
        <f>Inputs!$B$3&gt;=60</f>
        <v/>
      </c>
      <c r="D2445">
        <f>IF(Skills!C4=1,60+Inputs!$B$25+Inputs!$B$29,IF(Skills!C4=2,90+Inputs!$B$26+Inputs!$B$29,IF(Skills!C4=3,120+Inputs!$B$27+Inputs!$B$29,MAX(0,(Inputs!$B$3-100)*3)+Inputs!$B$28+Inputs!$B$29)))</f>
        <v/>
      </c>
      <c r="E2445">
        <f>INDEX(FactorTable!$B$2:$Y$301, MATCH(ROUND(MIN(300,MAX(1,D2445)),0), FactorTable!$A$2:$A$301,0), Skills!M4+1)</f>
        <v/>
      </c>
      <c r="F2445">
        <f>IF(Skills!N4=TRUE,(Skills!L4/10)*(E2445/1000),Skills!L4/10)+Skills!O4</f>
        <v/>
      </c>
      <c r="G2445">
        <f>Skills!G4*IF(Skills!H4&gt;0,Skills!I4/Skills!H4,1)</f>
        <v/>
      </c>
      <c r="H2445">
        <f>1-(1-Skills!J4/100)^Skills!K4</f>
        <v/>
      </c>
      <c r="I2445" t="inlineStr">
        <is>
          <t>1</t>
        </is>
      </c>
      <c r="J2445">
        <f>((Inputs!$B$6*(1+Inputs!$B$7/100))+(((Inputs!$B$12*(1+Inputs!$B$13/100))-(Inputs!$B$12*(1+Inputs!$B$13/100)))+0.25*(Inputs!$B$14-Inputs!$B$14))*(1+Inputs!$B$7/100))*(F2445/100)</f>
        <v/>
      </c>
      <c r="K2445">
        <f>J2445*(1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2453=TRUE,F2453,0)/100)*(1+(IF(Skills!A4="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2445)</f>
        <v/>
      </c>
      <c r="L2445">
        <f>K2445*(MIN(Inputs!$B$22+((C2461=TRUE)*(F2461-Calc!F20)),(Inputs!$B$23+0+(IF(ArtifactsInput!$M$15,CHOOSE(ArtifactsInput!$N$15+1,25,30,35,40,45,50)/100*(Inputs!$B$11-Inputs!$B$11),0))))/100+(Inputs!$B$23+0+(IF(ArtifactsInput!$M$15,CHOOSE(ArtifactsInput!$N$15+1,25,30,35,40,45,50)/100*(Inputs!$B$11-Inputs!$B$11),0)))/100)/2</f>
        <v/>
      </c>
      <c r="M2445">
        <f>L2445*(1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5">
        <f>L2445*(1-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2445*(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5">
        <f>(1-Summary!$B$11)*T2445+Summary!$B$11*V2445</f>
        <v/>
      </c>
      <c r="P2445">
        <f>IF(B2476=0,0,O2445/B2476)</f>
        <v/>
      </c>
      <c r="Q2445" t="n">
        <v>0</v>
      </c>
      <c r="R2445" t="n">
        <v>0</v>
      </c>
      <c r="S2445">
        <f>IFERROR(O2445/N2445,0)</f>
        <v/>
      </c>
      <c r="T2445">
        <f>IF(C2445,(Skills!G4*H2445*N2445*B2470)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2445*(1-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2445*(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2445*(1-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2445*(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5">
        <f>290*U2444/1000</f>
        <v/>
      </c>
      <c r="V2445">
        <f>IF(C2445,(Skills!G4*H2445*N2445*B2470)*IF(Inputs!$B$38="pvp",1,(1+(Inputs!$B$21+Skills!Q4+(IF(ArtifactsInput!$M$33,CHOOSE(ArtifactsInput!$N$33+1,30,36,42,48,54,60),0))+(IF(AND(ArtifactsInput!$M$35,Inputs!$B$4&lt;&gt;"Chapter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6">
      <c r="A2446">
        <f>Skills!A5</f>
        <v/>
      </c>
      <c r="B2446">
        <f>Skills!B5</f>
        <v/>
      </c>
      <c r="C2446">
        <f>Inputs!$B$3&gt;=60</f>
        <v/>
      </c>
      <c r="D2446">
        <f>IF(Skills!C5=1,60+Inputs!$B$25+Inputs!$B$29,IF(Skills!C5=2,90+Inputs!$B$26+Inputs!$B$29,IF(Skills!C5=3,120+Inputs!$B$27+Inputs!$B$29,MAX(0,(Inputs!$B$3-100)*3)+Inputs!$B$28+Inputs!$B$29)))</f>
        <v/>
      </c>
      <c r="E2446">
        <f>INDEX(FactorTable!$B$2:$Y$301, MATCH(ROUND(MIN(300,MAX(1,D2446)),0), FactorTable!$A$2:$A$301,0), Skills!M5+1)</f>
        <v/>
      </c>
      <c r="F2446">
        <f>IF(Skills!N5=TRUE,(Skills!L5/10)*(E2446/1000),Skills!L5/10)+Skills!O5</f>
        <v/>
      </c>
      <c r="G2446">
        <f>Skills!G5*IF(Skills!H5&gt;0,Skills!I5/Skills!H5,1)</f>
        <v/>
      </c>
      <c r="H2446">
        <f>1-(1-Skills!J5/100)^Skills!K5</f>
        <v/>
      </c>
      <c r="I2446" t="inlineStr">
        <is>
          <t>1</t>
        </is>
      </c>
      <c r="J2446" t="inlineStr"/>
      <c r="K2446" t="inlineStr"/>
      <c r="L2446" t="inlineStr"/>
      <c r="M2446" t="inlineStr"/>
      <c r="N2446" t="inlineStr"/>
      <c r="O2446">
        <f>(1-Summary!$B$11)*T2446+Summary!$B$11*V2446</f>
        <v/>
      </c>
      <c r="P2446">
        <f>IF(B2476=0,0,O2446/B2476)</f>
        <v/>
      </c>
      <c r="Q2446" t="n">
        <v>0</v>
      </c>
      <c r="R2446" t="n">
        <v>0</v>
      </c>
      <c r="S2446">
        <f>IFERROR(O2446/N2446,0)</f>
        <v/>
      </c>
      <c r="T2446" t="n">
        <v>0</v>
      </c>
      <c r="V2446" t="n">
        <v>0</v>
      </c>
    </row>
    <row r="2447">
      <c r="A2447">
        <f>Skills!A6</f>
        <v/>
      </c>
      <c r="B2447">
        <f>Skills!B6</f>
        <v/>
      </c>
      <c r="C2447">
        <f>Inputs!$B$3&gt;=63</f>
        <v/>
      </c>
      <c r="D2447">
        <f>IF(Skills!C6=1,60+Inputs!$B$25+Inputs!$B$29,IF(Skills!C6=2,90+Inputs!$B$26+Inputs!$B$29,IF(Skills!C6=3,120+Inputs!$B$27+Inputs!$B$29,MAX(0,(Inputs!$B$3-100)*3)+Inputs!$B$28+Inputs!$B$29)))</f>
        <v/>
      </c>
      <c r="E2447">
        <f>INDEX(FactorTable!$B$2:$Y$301, MATCH(ROUND(MIN(300,MAX(1,D2447)),0), FactorTable!$A$2:$A$301,0), Skills!M6+1)</f>
        <v/>
      </c>
      <c r="F2447">
        <f>IF(Skills!N6=TRUE,(Skills!L6/10)*(E2447/1000),Skills!L6/10)+Skills!O6</f>
        <v/>
      </c>
      <c r="G2447">
        <f>Skills!G6*IF(Skills!H6&gt;0,Skills!I6/Skills!H6,1)</f>
        <v/>
      </c>
      <c r="H2447">
        <f>1-(1-Skills!J6/100)^Skills!K6</f>
        <v/>
      </c>
      <c r="I2447" t="inlineStr">
        <is>
          <t>1</t>
        </is>
      </c>
      <c r="J2447">
        <f>((Inputs!$B$6*(1+Inputs!$B$7/100))+(((Inputs!$B$12*(1+Inputs!$B$13/100))-(Inputs!$B$12*(1+Inputs!$B$13/100)))+0.25*(Inputs!$B$14-Inputs!$B$14))*(1+Inputs!$B$7/100))*(F2447/100)</f>
        <v/>
      </c>
      <c r="K2447">
        <f>J2447*(1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2447)</f>
        <v/>
      </c>
      <c r="L2447">
        <f>K2447*(MIN(Inputs!$B$22+((C2461=TRUE)*(F2461-Calc!F20)),(Inputs!$B$23+0+(IF(ArtifactsInput!$M$15,CHOOSE(ArtifactsInput!$N$15+1,25,30,35,40,45,50)/100*(Inputs!$B$11-Inputs!$B$11),0))))/100+(Inputs!$B$23+0+(IF(ArtifactsInput!$M$15,CHOOSE(ArtifactsInput!$N$15+1,25,30,35,40,45,50)/100*(Inputs!$B$11-Inputs!$B$11),0)))/100)/2</f>
        <v/>
      </c>
      <c r="M2447">
        <f>L2447*(1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7">
        <f>L2447*(1-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2447*(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7">
        <f>(1-Summary!$B$11)*T2447+Summary!$B$11*V2447</f>
        <v/>
      </c>
      <c r="P2447">
        <f>IF(B2476=0,0,O2447/B2476)</f>
        <v/>
      </c>
      <c r="Q2447">
        <f>IFERROR(1/(IF(Inputs!$B$38="pvp",15,MAX(0.1,Skills!D6-IF(Skills!E6=TRUE,0.5,0)))*(1-IF(AND(ArtifactsInput!$M$27,Inputs!$B$4="Chapter Hunt"),CHOOSE(ArtifactsInput!$N$27+1,20,24,28,32,36,40),0)/100)),0)</f>
        <v/>
      </c>
      <c r="R2447">
        <f>IF(AND(Inputs!$B$38&lt;&gt;"pvp",Inputs!$B$43&gt;0),IF(MAX(0,Inputs!$B$43-B2473)&lt;=0,0,(INT(MAX(0,Inputs!$B$43-B2473)/(IF(Inputs!$B$38="pvp",15,MAX(0.1,Skills!D6-IF(Skills!E6=TRUE,0.5,0)))*(1-IF(AND(ArtifactsInput!$M$27,Inputs!$B$4="Chapter Hunt"),CHOOSE(ArtifactsInput!$N$27+1,20,24,28,32,36,40),0)/100)))+1)),0)</f>
        <v/>
      </c>
      <c r="S2447">
        <f>IFERROR(O2447/N2447,0)</f>
        <v/>
      </c>
      <c r="T2447">
        <f>IF(C2447,(H2447*N2447*IF(AND(Inputs!$B$38&lt;&gt;"pvp",Inputs!$B$43&gt;0),((Skills!G6*((R2447-1)*IF(Skills!H6&gt;0,Skills!I6/Skills!H6,1)+IF(Skills!H6&gt;0,MIN(Skills!I6,MAX(0,MAX(0,Inputs!$B$43-B2473)-((R2447-1)*(IF(Inputs!$B$38="pvp",15,MAX(0.1,Skills!D6-IF(Skills!E6=TRUE,0.5,0)))*(1-IF(AND(ArtifactsInput!$M$27,Inputs!$B$4="Chapter Hunt"),CHOOSE(ArtifactsInput!$N$27+1,20,24,28,32,36,40),0)/100)))))/Skills!H6,1)))/Inputs!$B$43),G2447*Q2447)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2447*(1-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2447*(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2447*(1-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2447*(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7">
        <f>IF(C2447,(H2447*N2447*IF(AND(Inputs!$B$38&lt;&gt;"pvp",Inputs!$B$43&gt;0),((Skills!G6*((R2447-1)*IF(Skills!H6&gt;0,Skills!I6/Skills!H6,1)+IF(Skills!H6&gt;0,MIN(Skills!I6,MAX(0,MAX(0,Inputs!$B$43-B2473)-((R2447-1)*(IF(Inputs!$B$38="pvp",15,MAX(0.1,Skills!D6-IF(Skills!E6=TRUE,0.5,0)))*(1-IF(AND(ArtifactsInput!$M$27,Inputs!$B$4="Chapter Hunt"),CHOOSE(ArtifactsInput!$N$27+1,20,24,28,32,36,40),0)/100)))))/Skills!H6,1)))/Inputs!$B$43),G2447*Q2447))*IF(Inputs!$B$38="pvp",1,(1+(Inputs!$B$21+Skills!Q6+(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8">
      <c r="A2448">
        <f>Skills!A7</f>
        <v/>
      </c>
      <c r="B2448">
        <f>Skills!B7</f>
        <v/>
      </c>
      <c r="C2448">
        <f>Inputs!$B$3&gt;=100</f>
        <v/>
      </c>
      <c r="D2448">
        <f>IF(Skills!C7=1,60+Inputs!$B$25+Inputs!$B$29,IF(Skills!C7=2,90+Inputs!$B$26+Inputs!$B$29,IF(Skills!C7=3,120+Inputs!$B$27+Inputs!$B$29,MAX(0,(Inputs!$B$3-100)*3)+Inputs!$B$28+Inputs!$B$29)))</f>
        <v/>
      </c>
      <c r="E2448">
        <f>INDEX(FactorTable!$B$2:$Y$301, MATCH(ROUND(MIN(300,MAX(1,D2448)),0), FactorTable!$A$2:$A$301,0), Skills!M7+1)</f>
        <v/>
      </c>
      <c r="F2448">
        <f>IF(Skills!N7=TRUE,(Skills!L7/10)*(E2448/1000),Skills!L7/10)+Skills!O7</f>
        <v/>
      </c>
      <c r="G2448">
        <f>Skills!G7*IF(Skills!H7&gt;0,Skills!I7/Skills!H7,1)</f>
        <v/>
      </c>
      <c r="H2448">
        <f>1-(1-Skills!J7/100)^Skills!K7</f>
        <v/>
      </c>
      <c r="I2448" t="inlineStr">
        <is>
          <t>1</t>
        </is>
      </c>
      <c r="J2448">
        <f>((Inputs!$B$6*(1+Inputs!$B$7/100))+(((Inputs!$B$12*(1+Inputs!$B$13/100))-(Inputs!$B$12*(1+Inputs!$B$13/100)))+0.25*(Inputs!$B$14-Inputs!$B$14))*(1+Inputs!$B$7/100))*(F2448/100)</f>
        <v/>
      </c>
      <c r="K2448">
        <f>J2448*(1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2448)</f>
        <v/>
      </c>
      <c r="L2448">
        <f>K2448*(MIN(Inputs!$B$22+((C2461=TRUE)*(F2461-Calc!F20)),(Inputs!$B$23+0+(IF(ArtifactsInput!$M$15,CHOOSE(ArtifactsInput!$N$15+1,25,30,35,40,45,50)/100*(Inputs!$B$11-Inputs!$B$11),0))))/100+(Inputs!$B$23+0+(IF(ArtifactsInput!$M$15,CHOOSE(ArtifactsInput!$N$15+1,25,30,35,40,45,50)/100*(Inputs!$B$11-Inputs!$B$11),0)))/100)/2</f>
        <v/>
      </c>
      <c r="M2448">
        <f>L2448*(1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8">
        <f>L2448*(1-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2448*(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8">
        <f>(1-Summary!$B$11)*T2448+Summary!$B$11*V2448</f>
        <v/>
      </c>
      <c r="P2448">
        <f>IF(B2476=0,0,O2448/B2476)</f>
        <v/>
      </c>
      <c r="Q2448">
        <f>IFERROR(1/(IF(Inputs!$B$38="pvp",15,MAX(0.1,Skills!D7-IF(Skills!E7=TRUE,0.5,0)))*(1-IF(AND(ArtifactsInput!$M$27,Inputs!$B$4="Chapter Hunt"),CHOOSE(ArtifactsInput!$N$27+1,20,24,28,32,36,40),0)/100)),0)</f>
        <v/>
      </c>
      <c r="R2448">
        <f>IF(AND(Inputs!$B$38&lt;&gt;"pvp",Inputs!$B$43&gt;0),IF(MAX(0,Inputs!$B$43-B2473)&lt;=0,0,(INT(MAX(0,Inputs!$B$43-B2473)/(IF(Inputs!$B$38="pvp",15,MAX(0.1,Skills!D7-IF(Skills!E7=TRUE,0.5,0)))*(1-IF(AND(ArtifactsInput!$M$27,Inputs!$B$4="Chapter Hunt"),CHOOSE(ArtifactsInput!$N$27+1,20,24,28,32,36,40),0)/100)))+1)),0)</f>
        <v/>
      </c>
      <c r="S2448">
        <f>IFERROR(O2448/N2448,0)</f>
        <v/>
      </c>
      <c r="T2448">
        <f>IF(C2448,(H2448*N2448*IF(AND(Inputs!$B$38&lt;&gt;"pvp",Inputs!$B$43&gt;0),((Skills!G7*((R2448-1)*IF(Skills!H7&gt;0,Skills!I7/Skills!H7,1)+IF(Skills!H7&gt;0,MIN(Skills!I7,MAX(0,MAX(0,Inputs!$B$43-B2473)-((R2448-1)*(IF(Inputs!$B$38="pvp",15,MAX(0.1,Skills!D7-IF(Skills!E7=TRUE,0.5,0)))*(1-IF(AND(ArtifactsInput!$M$27,Inputs!$B$4="Chapter Hunt"),CHOOSE(ArtifactsInput!$N$27+1,20,24,28,32,36,40),0)/100)))))/Skills!H7,1)))/Inputs!$B$43),G2448*Q2448)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2448*(1-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2448*(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2448*(1-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2448*(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8">
        <f>IF(C2448,(H2448*N2448*IF(AND(Inputs!$B$38&lt;&gt;"pvp",Inputs!$B$43&gt;0),((Skills!G7*((R2448-1)*IF(Skills!H7&gt;0,Skills!I7/Skills!H7,1)+IF(Skills!H7&gt;0,MIN(Skills!I7,MAX(0,MAX(0,Inputs!$B$43-B2473)-((R2448-1)*(IF(Inputs!$B$38="pvp",15,MAX(0.1,Skills!D7-IF(Skills!E7=TRUE,0.5,0)))*(1-IF(AND(ArtifactsInput!$M$27,Inputs!$B$4="Chapter Hunt"),CHOOSE(ArtifactsInput!$N$27+1,20,24,28,32,36,40),0)/100)))))/Skills!H7,1)))/Inputs!$B$43),G2448*Q2448))*IF(Inputs!$B$38="pvp",1,(1+(Inputs!$B$21+Skills!Q7+(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9">
      <c r="A2449">
        <f>Skills!A8</f>
        <v/>
      </c>
      <c r="B2449">
        <f>Skills!B8</f>
        <v/>
      </c>
      <c r="C2449">
        <f>Inputs!$B$3&gt;=110</f>
        <v/>
      </c>
      <c r="D2449">
        <f>IF(Skills!C8=1,60+Inputs!$B$25+Inputs!$B$29,IF(Skills!C8=2,90+Inputs!$B$26+Inputs!$B$29,IF(Skills!C8=3,120+Inputs!$B$27+Inputs!$B$29,MAX(0,(Inputs!$B$3-100)*3)+Inputs!$B$28+Inputs!$B$29)))</f>
        <v/>
      </c>
      <c r="E2449">
        <f>INDEX(FactorTable!$B$2:$Y$301, MATCH(ROUND(MIN(300,MAX(1,D2449)),0), FactorTable!$A$2:$A$301,0), Skills!M8+1)</f>
        <v/>
      </c>
      <c r="F2449">
        <f>IF(Skills!N8=TRUE,(Skills!L8/10)*(E2449/1000),Skills!L8/10)+Skills!O8</f>
        <v/>
      </c>
      <c r="G2449">
        <f>Skills!G8*IF(Skills!H8&gt;0,Skills!I8/Skills!H8,1)</f>
        <v/>
      </c>
      <c r="H2449">
        <f>1-(1-Skills!J8/100)^Skills!K8</f>
        <v/>
      </c>
      <c r="I2449" t="inlineStr">
        <is>
          <t>1</t>
        </is>
      </c>
      <c r="J2449">
        <f>((Inputs!$B$6*(1+Inputs!$B$7/100))+(((Inputs!$B$12*(1+Inputs!$B$13/100))-(Inputs!$B$12*(1+Inputs!$B$13/100)))+0.25*(Inputs!$B$14-Inputs!$B$14))*(1+Inputs!$B$7/100))*(F2449/100)</f>
        <v/>
      </c>
      <c r="K2449">
        <f>J2449*(1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
      </c>
      <c r="L2449">
        <f>K2449*(MIN(Inputs!$B$22+((C2461=TRUE)*(F2461-Calc!F20)),(Inputs!$B$23+0+(IF(ArtifactsInput!$M$15,CHOOSE(ArtifactsInput!$N$15+1,25,30,35,40,45,50)/100*(Inputs!$B$11-Inputs!$B$11),0))))/100+(Inputs!$B$23+0+(IF(ArtifactsInput!$M$15,CHOOSE(ArtifactsInput!$N$15+1,25,30,35,40,45,50)/100*(Inputs!$B$11-Inputs!$B$11),0)))/100)/2</f>
        <v/>
      </c>
      <c r="M2449">
        <f>L2449*(1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9">
        <f>L2449*(1-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9">
        <f>(1-Summary!$B$11)*T2449+Summary!$B$11*V2449</f>
        <v/>
      </c>
      <c r="P2449">
        <f>IF(B2476=0,0,O2449/B2476)</f>
        <v/>
      </c>
      <c r="Q2449">
        <f>IFERROR(1/(IF(Inputs!$B$38="pvp",15,MAX(0.1,Skills!D8-IF(Skills!E8=TRUE,0.5,0)))*(1-IF(AND(ArtifactsInput!$M$27,Inputs!$B$4="Chapter Hunt"),CHOOSE(ArtifactsInput!$N$27+1,20,24,28,32,36,40),0)/100)),0)</f>
        <v/>
      </c>
      <c r="R2449">
        <f>IF(AND(Inputs!$B$38&lt;&gt;"pvp",Inputs!$B$43&gt;0),IF(MAX(0,Inputs!$B$43-B2473)&lt;=0,0,(INT(MAX(0,Inputs!$B$43-B2473)/(IF(Inputs!$B$38="pvp",15,MAX(0.1,Skills!D8-IF(Skills!E8=TRUE,0.5,0)))*(1-IF(AND(ArtifactsInput!$M$27,Inputs!$B$4="Chapter Hunt"),CHOOSE(ArtifactsInput!$N$27+1,20,24,28,32,36,40),0)/100)))+1)),0)</f>
        <v/>
      </c>
      <c r="S2449">
        <f>IFERROR(O2449/N2449,0)</f>
        <v/>
      </c>
      <c r="T2449">
        <f>IF(C2449,(H2449*N2449*IF(AND(Inputs!$B$38&lt;&gt;"pvp",Inputs!$B$43&gt;0),((Skills!G8*((R2449-1)*IF(Skills!H8&gt;0,Skills!I8/Skills!H8,1)+IF(Skills!H8&gt;0,MIN(Skills!I8,MAX(0,MAX(0,Inputs!$B$43-B2473)-((R2449-1)*(IF(Inputs!$B$38="pvp",15,MAX(0.1,Skills!D8-IF(Skills!E8=TRUE,0.5,0)))*(1-IF(AND(ArtifactsInput!$M$27,Inputs!$B$4="Chapter Hunt"),CHOOSE(ArtifactsInput!$N$27+1,20,24,28,32,36,40),0)/100)))))/Skills!H8,1)))/Inputs!$B$43),G2449*Q2449)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2449*(1-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9">
        <f>IF(C2449,(H2449*N2449*IF(AND(Inputs!$B$38&lt;&gt;"pvp",Inputs!$B$43&gt;0),((Skills!G8*((R2449-1)*IF(Skills!H8&gt;0,Skills!I8/Skills!H8,1)+IF(Skills!H8&gt;0,MIN(Skills!I8,MAX(0,MAX(0,Inputs!$B$43-B2473)-((R2449-1)*(IF(Inputs!$B$38="pvp",15,MAX(0.1,Skills!D8-IF(Skills!E8=TRUE,0.5,0)))*(1-IF(AND(ArtifactsInput!$M$27,Inputs!$B$4="Chapter Hunt"),CHOOSE(ArtifactsInput!$N$27+1,20,24,28,32,36,40),0)/100)))))/Skills!H8,1)))/Inputs!$B$43),G2449*Q2449))*IF(Inputs!$B$38="pvp",1,(1+(Inputs!$B$21+Skills!Q8+(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0">
      <c r="A2450">
        <f>Skills!A9</f>
        <v/>
      </c>
      <c r="B2450">
        <f>Skills!B9</f>
        <v/>
      </c>
      <c r="C2450">
        <f>Inputs!$B$3&gt;=110</f>
        <v/>
      </c>
      <c r="D2450">
        <f>IF(Skills!C9=1,60+Inputs!$B$25+Inputs!$B$29,IF(Skills!C9=2,90+Inputs!$B$26+Inputs!$B$29,IF(Skills!C9=3,120+Inputs!$B$27+Inputs!$B$29,MAX(0,(Inputs!$B$3-100)*3)+Inputs!$B$28+Inputs!$B$29)))</f>
        <v/>
      </c>
      <c r="E2450">
        <f>INDEX(FactorTable!$B$2:$Y$301, MATCH(ROUND(MIN(300,MAX(1,D2450)),0), FactorTable!$A$2:$A$301,0), Skills!M9+1)</f>
        <v/>
      </c>
      <c r="F2450">
        <f>IF(Skills!N9=TRUE,(Skills!L9/10)*(E2450/1000),Skills!L9/10)+Skills!O9</f>
        <v/>
      </c>
      <c r="G2450">
        <f>Skills!G9*IF(Skills!H9&gt;0,Skills!I9/Skills!H9,1)</f>
        <v/>
      </c>
      <c r="H2450">
        <f>1-(1-Skills!J9/100)^Skills!K9</f>
        <v/>
      </c>
      <c r="I2450" t="inlineStr">
        <is>
          <t>1</t>
        </is>
      </c>
      <c r="J2450">
        <f>((Inputs!$B$6*(1+Inputs!$B$7/100))+(((Inputs!$B$12*(1+Inputs!$B$13/100))-(Inputs!$B$12*(1+Inputs!$B$13/100)))+0.25*(Inputs!$B$14-Inputs!$B$14))*(1+Inputs!$B$7/100))*(F2450/100)</f>
        <v/>
      </c>
      <c r="K2450">
        <f>J2450*(1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C2461=TRUE)*(F2461-Calc!F20)),(Inputs!$B$23+0+(IF(ArtifactsInput!$M$15,CHOOSE(ArtifactsInput!$N$15+1,25,30,35,40,45,50)/100*(Inputs!$B$11-Inputs!$B$11),0))))/100+(Inputs!$B$23+0+(IF(ArtifactsInput!$M$15,CHOOSE(ArtifactsInput!$N$15+1,25,30,35,40,45,50)/100*(Inputs!$B$11-Inputs!$B$11),0)))/100)/2</f>
        <v/>
      </c>
      <c r="M2450">
        <f>L2450*(1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(1-Summary!$B$11)*T2450+Summary!$B$11*V2450</f>
        <v/>
      </c>
      <c r="P2450">
        <f>IF(B2476=0,0,O2450/B2476)</f>
        <v/>
      </c>
      <c r="Q2450">
        <f>IFERROR(1/(IF(Inputs!$B$38="pvp",15,MAX(0.1,Skills!D9-IF(Skills!E9=TRUE,0.5,0)))*(1-IF(AND(ArtifactsInput!$M$27,Inputs!$B$4="Chapter Hunt"),CHOOSE(ArtifactsInput!$N$27+1,20,24,28,32,36,40),0)/100)),0)</f>
        <v/>
      </c>
      <c r="R2450">
        <f>IF(AND(Inputs!$B$38&lt;&gt;"pvp",Inputs!$B$43&gt;0),IF(MAX(0,Inputs!$B$43-B2473)&lt;=0,0,(INT(MAX(0,Inputs!$B$43-B2473)/(IF(Inputs!$B$38="pvp",15,MAX(0.1,Skills!D9-IF(Skills!E9=TRUE,0.5,0)))*(1-IF(AND(ArtifactsInput!$M$27,Inputs!$B$4="Chapter Hunt"),CHOOSE(ArtifactsInput!$N$27+1,20,24,28,32,36,40),0)/100)))+1)),0)</f>
        <v/>
      </c>
      <c r="S2450">
        <f>IFERROR(O2450/N2450,0)</f>
        <v/>
      </c>
      <c r="T2450">
        <f>IF(C2450,(H2450*N2450*IF(AND(Inputs!$B$38&lt;&gt;"pvp",Inputs!$B$43&gt;0),((Skills!G9*((R2450-1)*IF(Skills!H9&gt;0,Skills!I9/Skills!H9,1)+IF(Skills!H9&gt;0,MIN(Skills!I9,MAX(0,MAX(0,Inputs!$B$43-B2473)-((R2450-1)*(IF(Inputs!$B$38="pvp",15,MAX(0.1,Skills!D9-IF(Skills!E9=TRUE,0.5,0)))*(1-IF(AND(ArtifactsInput!$M$27,Inputs!$B$4="Chapter Hunt"),CHOOSE(ArtifactsInput!$N$27+1,20,24,28,32,36,40),0)/100)))))/Skills!H9,1)))/Inputs!$B$43),G2450*Q2450)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2450*(1-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0">
        <f>IF(C2450,(H2450*N2450*IF(AND(Inputs!$B$38&lt;&gt;"pvp",Inputs!$B$43&gt;0),((Skills!G9*((R2450-1)*IF(Skills!H9&gt;0,Skills!I9/Skills!H9,1)+IF(Skills!H9&gt;0,MIN(Skills!I9,MAX(0,MAX(0,Inputs!$B$43-B2473)-((R2450-1)*(IF(Inputs!$B$38="pvp",15,MAX(0.1,Skills!D9-IF(Skills!E9=TRUE,0.5,0)))*(1-IF(AND(ArtifactsInput!$M$27,Inputs!$B$4="Chapter Hunt"),CHOOSE(ArtifactsInput!$N$27+1,20,24,28,32,36,40),0)/100)))))/Skills!H9,1)))/Inputs!$B$43),G2450*Q2450))*IF(Inputs!$B$38="pvp",1,(1+(Inputs!$B$21+Skills!Q9+(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1">
      <c r="A2451">
        <f>Skills!A10</f>
        <v/>
      </c>
      <c r="B2451">
        <f>Skills!B10</f>
        <v/>
      </c>
      <c r="C2451">
        <f>Inputs!$B$3&gt;=103</f>
        <v/>
      </c>
      <c r="D2451">
        <f>IF(Skills!C10=1,60+Inputs!$B$25+Inputs!$B$29,IF(Skills!C10=2,90+Inputs!$B$26+Inputs!$B$29,IF(Skills!C10=3,120+Inputs!$B$27+Inputs!$B$29,MAX(0,(Inputs!$B$3-100)*3)+Inputs!$B$28+Inputs!$B$29)))</f>
        <v/>
      </c>
      <c r="E2451">
        <f>INDEX(FactorTable!$B$2:$Y$301, MATCH(ROUND(MIN(300,MAX(1,D2451)),0), FactorTable!$A$2:$A$301,0), Skills!M10+1)</f>
        <v/>
      </c>
      <c r="F2451">
        <f>IF(Skills!N10=TRUE,(Skills!L10/10)*(E2451/1000),Skills!L10/10)+Skills!O10</f>
        <v/>
      </c>
      <c r="G2451">
        <f>Skills!G10*IF(Skills!H10&gt;0,Skills!I10/Skills!H10,1)</f>
        <v/>
      </c>
      <c r="H2451">
        <f>1-(1-Skills!J10/100)^Skills!K10</f>
        <v/>
      </c>
      <c r="I2451" t="inlineStr">
        <is>
          <t>1</t>
        </is>
      </c>
      <c r="J2451">
        <f>((Inputs!$B$6*(1+Inputs!$B$7/100))+(((Inputs!$B$12*(1+Inputs!$B$13/100))-(Inputs!$B$12*(1+Inputs!$B$13/100)))+0.25*(Inputs!$B$14-Inputs!$B$14))*(1+Inputs!$B$7/100))*(F2451/100)</f>
        <v/>
      </c>
      <c r="K2451">
        <f>J2451*(1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2451)</f>
        <v/>
      </c>
      <c r="L2451">
        <f>K2451*(MIN(Inputs!$B$22+((C2461=TRUE)*(F2461-Calc!F20)),(Inputs!$B$23+0+(IF(ArtifactsInput!$M$15,CHOOSE(ArtifactsInput!$N$15+1,25,30,35,40,45,50)/100*(Inputs!$B$11-Inputs!$B$11),0))))/100+(Inputs!$B$23+0+(IF(ArtifactsInput!$M$15,CHOOSE(ArtifactsInput!$N$15+1,25,30,35,40,45,50)/100*(Inputs!$B$11-Inputs!$B$11),0)))/100)/2</f>
        <v/>
      </c>
      <c r="M2451">
        <f>L2451*(1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1">
        <f>L2451*(1-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1">
        <f>(1-Summary!$B$11)*T2451+Summary!$B$11*V2451</f>
        <v/>
      </c>
      <c r="P2451">
        <f>IF(B2476=0,0,O2451/B2476)</f>
        <v/>
      </c>
      <c r="Q2451">
        <f>IFERROR(1/(IF(Inputs!$B$38="pvp",15,MAX(0.1,Skills!D10-IF(Skills!E10=TRUE,0.5,0)))*(1-IF(AND(ArtifactsInput!$M$27,Inputs!$B$4="Chapter Hunt"),CHOOSE(ArtifactsInput!$N$27+1,20,24,28,32,36,40),0)/100)),0)</f>
        <v/>
      </c>
      <c r="R2451">
        <f>IF(AND(Inputs!$B$38&lt;&gt;"pvp",Inputs!$B$43&gt;0),IF(MAX(0,Inputs!$B$43-B2473)&lt;=0,0,(INT(MAX(0,Inputs!$B$43-B2473)/(IF(Inputs!$B$38="pvp",15,MAX(0.1,Skills!D10-IF(Skills!E10=TRUE,0.5,0)))*(1-IF(AND(ArtifactsInput!$M$27,Inputs!$B$4="Chapter Hunt"),CHOOSE(ArtifactsInput!$N$27+1,20,24,28,32,36,40),0)/100)))+1)),0)</f>
        <v/>
      </c>
      <c r="S2451">
        <f>IFERROR(O2451/N2451,0)</f>
        <v/>
      </c>
      <c r="T2451">
        <f>IF(C2451,(H2451*N2451*IF(AND(Inputs!$B$38&lt;&gt;"pvp",Inputs!$B$43&gt;0),((Skills!G10*((R2451-1)*IF(Skills!H10&gt;0,Skills!I10/Skills!H10,1)+IF(Skills!H10&gt;0,MIN(Skills!I10,MAX(0,MAX(0,Inputs!$B$43-B2473)-((R2451-1)*(IF(Inputs!$B$38="pvp",15,MAX(0.1,Skills!D10-IF(Skills!E10=TRUE,0.5,0)))*(1-IF(AND(ArtifactsInput!$M$27,Inputs!$B$4="Chapter Hunt"),CHOOSE(ArtifactsInput!$N$27+1,20,24,28,32,36,40),0)/100)))))/Skills!H10,1)))/Inputs!$B$43),G2451*Q2451)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1">
        <f>IF(C2451,(H2451*N2451*IF(AND(Inputs!$B$38&lt;&gt;"pvp",Inputs!$B$43&gt;0),((Skills!G10*((R2451-1)*IF(Skills!H10&gt;0,Skills!I10/Skills!H10,1)+IF(Skills!H10&gt;0,MIN(Skills!I10,MAX(0,MAX(0,Inputs!$B$43-B2473)-((R2451-1)*(IF(Inputs!$B$38="pvp",15,MAX(0.1,Skills!D10-IF(Skills!E10=TRUE,0.5,0)))*(1-IF(AND(ArtifactsInput!$M$27,Inputs!$B$4="Chapter Hunt"),CHOOSE(ArtifactsInput!$N$27+1,20,24,28,32,36,40),0)/100)))))/Skills!H10,1)))/Inputs!$B$43),G2451*Q2451))*IF(Inputs!$B$38="pvp",1,(1+(Inputs!$B$21+Skills!Q10+(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2">
      <c r="A2452">
        <f>Skills!A11</f>
        <v/>
      </c>
      <c r="B2452">
        <f>Skills!B11</f>
        <v/>
      </c>
      <c r="C2452">
        <f>Inputs!$B$3&gt;=113</f>
        <v/>
      </c>
      <c r="D2452">
        <f>IF(Skills!C11=1,60+Inputs!$B$25+Inputs!$B$29,IF(Skills!C11=2,90+Inputs!$B$26+Inputs!$B$29,IF(Skills!C11=3,120+Inputs!$B$27+Inputs!$B$29,MAX(0,(Inputs!$B$3-100)*3)+Inputs!$B$28+Inputs!$B$29)))</f>
        <v/>
      </c>
      <c r="E2452">
        <f>INDEX(FactorTable!$B$2:$Y$301, MATCH(ROUND(MIN(300,MAX(1,D2452)),0), FactorTable!$A$2:$A$301,0), Skills!M11+1)</f>
        <v/>
      </c>
      <c r="F2452">
        <f>IF(Skills!N11=TRUE,(Skills!L11/10)*(E2452/1000),Skills!L11/10)+Skills!O11</f>
        <v/>
      </c>
      <c r="G2452">
        <f>Skills!G11*IF(Skills!H11&gt;0,Skills!I11/Skills!H11,1)</f>
        <v/>
      </c>
      <c r="H2452">
        <f>1-(1-Skills!J11/100)^Skills!K11</f>
        <v/>
      </c>
      <c r="I2452" t="inlineStr">
        <is>
          <t>1</t>
        </is>
      </c>
      <c r="J2452">
        <f>((Inputs!$B$6*(1+Inputs!$B$7/100))+(((Inputs!$B$12*(1+Inputs!$B$13/100))-(Inputs!$B$12*(1+Inputs!$B$13/100)))+0.25*(Inputs!$B$14-Inputs!$B$14))*(1+Inputs!$B$7/100))*(F2452/100)</f>
        <v/>
      </c>
      <c r="K2452">
        <f>J2452*(1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2452)</f>
        <v/>
      </c>
      <c r="L2452">
        <f>K2452*(MIN(Inputs!$B$22+((C2461=TRUE)*(F2461-Calc!F20)),(Inputs!$B$23+0+(IF(ArtifactsInput!$M$15,CHOOSE(ArtifactsInput!$N$15+1,25,30,35,40,45,50)/100*(Inputs!$B$11-Inputs!$B$11),0))))/100+(Inputs!$B$23+0+(IF(ArtifactsInput!$M$15,CHOOSE(ArtifactsInput!$N$15+1,25,30,35,40,45,50)/100*(Inputs!$B$11-Inputs!$B$11),0)))/100)/2</f>
        <v/>
      </c>
      <c r="M2452">
        <f>L2452*(1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2">
        <f>L2452*(1-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2452*(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2">
        <f>(1-Summary!$B$11)*T2452+Summary!$B$11*V2452</f>
        <v/>
      </c>
      <c r="P2452">
        <f>IF(B2476=0,0,O2452/B2476)</f>
        <v/>
      </c>
      <c r="Q2452">
        <f>IFERROR(1/(IF(Inputs!$B$38="pvp",15,MAX(0.1,Skills!D11-IF(Skills!E11=TRUE,0.5,0)))*(1-IF(AND(ArtifactsInput!$M$27,Inputs!$B$4="Chapter Hunt"),CHOOSE(ArtifactsInput!$N$27+1,20,24,28,32,36,40),0)/100)),0)</f>
        <v/>
      </c>
      <c r="R2452">
        <f>IF(AND(Inputs!$B$38&lt;&gt;"pvp",Inputs!$B$43&gt;0),IF(MAX(0,Inputs!$B$43-B2473)&lt;=0,0,(INT(MAX(0,Inputs!$B$43-B2473)/(IF(Inputs!$B$38="pvp",15,MAX(0.1,Skills!D11-IF(Skills!E11=TRUE,0.5,0)))*(1-IF(AND(ArtifactsInput!$M$27,Inputs!$B$4="Chapter Hunt"),CHOOSE(ArtifactsInput!$N$27+1,20,24,28,32,36,40),0)/100)))+1)),0)</f>
        <v/>
      </c>
      <c r="S2452">
        <f>IFERROR(O2452/N2452,0)</f>
        <v/>
      </c>
      <c r="T2452">
        <f>IF(C2452,(H2452*N2452*IF(AND(Inputs!$B$38&lt;&gt;"pvp",Inputs!$B$43&gt;0),((Skills!G11*((R2452-1)*IF(Skills!H11&gt;0,Skills!I11/Skills!H11,1)+IF(Skills!H11&gt;0,MIN(Skills!I11,MAX(0,MAX(0,Inputs!$B$43-B2473)-((R2452-1)*(IF(Inputs!$B$38="pvp",15,MAX(0.1,Skills!D11-IF(Skills!E11=TRUE,0.5,0)))*(1-IF(AND(ArtifactsInput!$M$27,Inputs!$B$4="Chapter Hunt"),CHOOSE(ArtifactsInput!$N$27+1,20,24,28,32,36,40),0)/100)))))/Skills!H11,1)))/Inputs!$B$43),G2452*Q2452)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2452*(1-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2452*(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2452*(1-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2452*(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2">
        <f>IF(C2452,(H2452*N2452*IF(AND(Inputs!$B$38&lt;&gt;"pvp",Inputs!$B$43&gt;0),((Skills!G11*((R2452-1)*IF(Skills!H11&gt;0,Skills!I11/Skills!H11,1)+IF(Skills!H11&gt;0,MIN(Skills!I11,MAX(0,MAX(0,Inputs!$B$43-B2473)-((R2452-1)*(IF(Inputs!$B$38="pvp",15,MAX(0.1,Skills!D11-IF(Skills!E11=TRUE,0.5,0)))*(1-IF(AND(ArtifactsInput!$M$27,Inputs!$B$4="Chapter Hunt"),CHOOSE(ArtifactsInput!$N$27+1,20,24,28,32,36,40),0)/100)))))/Skills!H11,1)))/Inputs!$B$43),G2452*Q2452))*IF(Inputs!$B$38="pvp",1,(1+(Inputs!$B$21+Skills!Q11+(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3">
      <c r="A2453">
        <f>Skills!A12</f>
        <v/>
      </c>
      <c r="B2453">
        <f>Skills!B12</f>
        <v/>
      </c>
      <c r="C2453">
        <f>Inputs!$B$3&gt;=100</f>
        <v/>
      </c>
      <c r="D2453">
        <f>IF(Skills!C12=1,60+Inputs!$B$25+Inputs!$B$29,IF(Skills!C12=2,90+Inputs!$B$26+Inputs!$B$29,IF(Skills!C12=3,120+Inputs!$B$27+Inputs!$B$29,MAX(0,(Inputs!$B$3-100)*3)+Inputs!$B$28+Inputs!$B$29)))</f>
        <v/>
      </c>
      <c r="E2453">
        <f>INDEX(FactorTable!$B$2:$Y$301, MATCH(ROUND(MIN(300,MAX(1,D2453)),0), FactorTable!$A$2:$A$301,0), Skills!M12+1)</f>
        <v/>
      </c>
      <c r="F2453">
        <f>IF(Skills!N12=TRUE,(Skills!L12/10)*(E2453/1000),Skills!L12/10)+Skills!O12</f>
        <v/>
      </c>
      <c r="G2453" t="inlineStr"/>
      <c r="H2453" t="inlineStr"/>
      <c r="I2453" t="inlineStr">
        <is>
          <t>1</t>
        </is>
      </c>
      <c r="J2453" t="inlineStr"/>
      <c r="K2453" t="inlineStr"/>
      <c r="L2453" t="inlineStr"/>
      <c r="M2453" t="inlineStr"/>
      <c r="N2453" t="inlineStr"/>
      <c r="O2453" t="inlineStr"/>
      <c r="P2453" t="inlineStr"/>
      <c r="Q2453" t="inlineStr"/>
      <c r="R2453" t="inlineStr"/>
      <c r="S2453" t="inlineStr"/>
      <c r="T2453" t="inlineStr"/>
      <c r="V2453" t="inlineStr"/>
    </row>
    <row r="2454">
      <c r="A2454">
        <f>Skills!A13</f>
        <v/>
      </c>
      <c r="B2454">
        <f>Skills!B13</f>
        <v/>
      </c>
      <c r="C2454">
        <f>Inputs!$B$3&gt;=66</f>
        <v/>
      </c>
      <c r="D2454">
        <f>IF(Skills!C13=1,60+Inputs!$B$25+Inputs!$B$29,IF(Skills!C13=2,90+Inputs!$B$26+Inputs!$B$29,IF(Skills!C13=3,120+Inputs!$B$27+Inputs!$B$29,MAX(0,(Inputs!$B$3-100)*3)+Inputs!$B$28+Inputs!$B$29)))</f>
        <v/>
      </c>
      <c r="E2454">
        <f>INDEX(FactorTable!$B$2:$Y$301, MATCH(ROUND(MIN(300,MAX(1,D2454)),0), FactorTable!$A$2:$A$301,0), Skills!M13+1)</f>
        <v/>
      </c>
      <c r="F2454">
        <f>IF(Skills!N13=TRUE,(Skills!L13/10)*(E2454/1000),Skills!L13/10)+Skills!O13</f>
        <v/>
      </c>
      <c r="G2454">
        <f>Skills!G13*IF(Skills!H13&gt;0,Skills!I13/Skills!H13,1)</f>
        <v/>
      </c>
      <c r="H2454">
        <f>1-(1-Skills!J13/100)^Skills!K13</f>
        <v/>
      </c>
      <c r="I2454" t="inlineStr">
        <is>
          <t>1</t>
        </is>
      </c>
      <c r="J2454" t="inlineStr"/>
      <c r="K2454" t="inlineStr"/>
      <c r="L2454" t="inlineStr"/>
      <c r="M2454" t="inlineStr"/>
      <c r="N2454" t="inlineStr"/>
      <c r="O2454">
        <f>(1-Summary!$B$11)*T2454+Summary!$B$11*V2454</f>
        <v/>
      </c>
      <c r="P2454">
        <f>IF(B2476=0,0,O2454/B2476)</f>
        <v/>
      </c>
      <c r="Q2454" t="n">
        <v>0</v>
      </c>
      <c r="R2454" t="n">
        <v>0</v>
      </c>
      <c r="S2454">
        <f>IFERROR(O2454/N2454,0)</f>
        <v/>
      </c>
      <c r="T2454" t="n">
        <v>0</v>
      </c>
      <c r="V2454" t="n">
        <v>0</v>
      </c>
    </row>
    <row r="2455">
      <c r="A2455">
        <f>Skills!A14</f>
        <v/>
      </c>
      <c r="B2455">
        <f>Skills!B14</f>
        <v/>
      </c>
      <c r="C2455">
        <f>Inputs!$B$3&gt;=107</f>
        <v/>
      </c>
      <c r="D2455">
        <f>IF(Skills!C14=1,60+Inputs!$B$25+Inputs!$B$29,IF(Skills!C14=2,90+Inputs!$B$26+Inputs!$B$29,IF(Skills!C14=3,120+Inputs!$B$27+Inputs!$B$29,MAX(0,(Inputs!$B$3-100)*3)+Inputs!$B$28+Inputs!$B$29)))</f>
        <v/>
      </c>
      <c r="E2455">
        <f>INDEX(FactorTable!$B$2:$Y$301, MATCH(ROUND(MIN(300,MAX(1,D2455)),0), FactorTable!$A$2:$A$301,0), Skills!M14+1)</f>
        <v/>
      </c>
      <c r="F2455">
        <f>IF(Skills!N14=TRUE,(Skills!L14/10)*(E2455/1000),Skills!L14/10)+Skills!O14</f>
        <v/>
      </c>
      <c r="G2455">
        <f>Skills!G14*IF(Skills!H14&gt;0,Skills!I14/Skills!H14,1)</f>
        <v/>
      </c>
      <c r="H2455">
        <f>1-(1-Skills!J14/100)^Skills!K14</f>
        <v/>
      </c>
      <c r="I2455" t="inlineStr">
        <is>
          <t>1</t>
        </is>
      </c>
      <c r="J2455" t="inlineStr"/>
      <c r="K2455" t="inlineStr"/>
      <c r="L2455" t="inlineStr"/>
      <c r="M2455" t="inlineStr"/>
      <c r="N2455" t="inlineStr"/>
      <c r="O2455">
        <f>(1-Summary!$B$11)*T2455+Summary!$B$11*V2455</f>
        <v/>
      </c>
      <c r="P2455">
        <f>IF(B2476=0,0,O2455/B2476)</f>
        <v/>
      </c>
      <c r="Q2455" t="n">
        <v>0</v>
      </c>
      <c r="R2455" t="n">
        <v>0</v>
      </c>
      <c r="S2455">
        <f>IFERROR(O2455/N2455,0)</f>
        <v/>
      </c>
      <c r="T2455" t="n">
        <v>0</v>
      </c>
      <c r="V2455" t="n">
        <v>0</v>
      </c>
    </row>
    <row r="2456">
      <c r="A2456">
        <f>Skills!A15</f>
        <v/>
      </c>
      <c r="B2456">
        <f>Skills!B15</f>
        <v/>
      </c>
      <c r="C2456">
        <f>Inputs!$B$3&gt;=115</f>
        <v/>
      </c>
      <c r="D2456">
        <f>IF(Skills!C15=1,60+Inputs!$B$25+Inputs!$B$29,IF(Skills!C15=2,90+Inputs!$B$26+Inputs!$B$29,IF(Skills!C15=3,120+Inputs!$B$27+Inputs!$B$29,MAX(0,(Inputs!$B$3-100)*3)+Inputs!$B$28+Inputs!$B$29)))</f>
        <v/>
      </c>
      <c r="E2456">
        <f>INDEX(FactorTable!$B$2:$Y$301, MATCH(ROUND(MIN(300,MAX(1,D2456)),0), FactorTable!$A$2:$A$301,0), Skills!M15+1)</f>
        <v/>
      </c>
      <c r="F2456">
        <f>IF(Skills!N15=TRUE,(Skills!L15/10)*(E2456/1000),Skills!L15/10)+Skills!O15</f>
        <v/>
      </c>
      <c r="G2456">
        <f>Skills!G15*IF(Skills!H15&gt;0,Skills!I15/Skills!H15,1)</f>
        <v/>
      </c>
      <c r="H2456">
        <f>1-(1-Skills!J15/100)^Skills!K15</f>
        <v/>
      </c>
      <c r="I2456" t="inlineStr">
        <is>
          <t>1</t>
        </is>
      </c>
      <c r="J2456" t="inlineStr"/>
      <c r="K2456" t="inlineStr"/>
      <c r="L2456" t="inlineStr"/>
      <c r="M2456" t="inlineStr"/>
      <c r="N2456" t="inlineStr"/>
      <c r="O2456">
        <f>(1-Summary!$B$11)*T2456+Summary!$B$11*V2456</f>
        <v/>
      </c>
      <c r="P2456">
        <f>IF(B2476=0,0,O2456/B2476)</f>
        <v/>
      </c>
      <c r="Q2456" t="n">
        <v>0</v>
      </c>
      <c r="R2456" t="n">
        <v>0</v>
      </c>
      <c r="S2456">
        <f>IFERROR(O2456/N2456,0)</f>
        <v/>
      </c>
      <c r="T2456" t="n">
        <v>0</v>
      </c>
      <c r="V2456" t="n">
        <v>0</v>
      </c>
    </row>
    <row r="2457">
      <c r="A2457">
        <f>Skills!A16</f>
        <v/>
      </c>
      <c r="B2457">
        <f>Skills!B16</f>
        <v/>
      </c>
      <c r="C2457">
        <f>Inputs!$B$3&gt;=15</f>
        <v/>
      </c>
      <c r="D2457">
        <f>IF(Skills!C16=1,60+Inputs!$B$25+Inputs!$B$29,IF(Skills!C16=2,90+Inputs!$B$26+Inputs!$B$29,IF(Skills!C16=3,120+Inputs!$B$27+Inputs!$B$29,MAX(0,(Inputs!$B$3-100)*3)+Inputs!$B$28+Inputs!$B$29)))</f>
        <v/>
      </c>
      <c r="E2457">
        <f>INDEX(FactorTable!$B$2:$Y$301, MATCH(ROUND(MIN(300,MAX(1,D2457)),0), FactorTable!$A$2:$A$301,0), Skills!M16+1)</f>
        <v/>
      </c>
      <c r="F2457">
        <f>IF(Skills!N16=TRUE,(Skills!L16/10)*(E2457/1000),Skills!L16/10)+Skills!O16</f>
        <v/>
      </c>
      <c r="G2457">
        <f>Skills!G16*IF(Skills!H16&gt;0,Skills!I16/Skills!H16,1)</f>
        <v/>
      </c>
      <c r="H2457">
        <f>1-(1-Skills!J16/100)^Skills!K16</f>
        <v/>
      </c>
      <c r="I2457" t="inlineStr">
        <is>
          <t>1</t>
        </is>
      </c>
      <c r="J2457" t="inlineStr"/>
      <c r="K2457" t="inlineStr"/>
      <c r="L2457" t="inlineStr"/>
      <c r="M2457" t="inlineStr"/>
      <c r="N2457" t="inlineStr"/>
      <c r="O2457">
        <f>(1-Summary!$B$11)*T2457+Summary!$B$11*V2457</f>
        <v/>
      </c>
      <c r="P2457">
        <f>IF(B2476=0,0,O2457/B2476)</f>
        <v/>
      </c>
      <c r="Q2457" t="n">
        <v>0</v>
      </c>
      <c r="R2457" t="n">
        <v>0</v>
      </c>
      <c r="S2457">
        <f>IFERROR(O2457/N2457,0)</f>
        <v/>
      </c>
      <c r="T2457" t="n">
        <v>0</v>
      </c>
      <c r="V2457" t="n">
        <v>0</v>
      </c>
    </row>
    <row r="2458">
      <c r="A2458">
        <f>Skills!A17</f>
        <v/>
      </c>
      <c r="B2458">
        <f>Skills!B17</f>
        <v/>
      </c>
      <c r="C2458">
        <f>Inputs!$B$3&gt;=10</f>
        <v/>
      </c>
      <c r="D2458">
        <f>IF(Skills!C17=1,60+Inputs!$B$25+Inputs!$B$29,IF(Skills!C17=2,90+Inputs!$B$26+Inputs!$B$29,IF(Skills!C17=3,120+Inputs!$B$27+Inputs!$B$29,MAX(0,(Inputs!$B$3-100)*3)+Inputs!$B$28+Inputs!$B$29)))</f>
        <v/>
      </c>
      <c r="E2458">
        <f>INDEX(FactorTable!$B$2:$Y$301, MATCH(ROUND(MIN(300,MAX(1,D2458)),0), FactorTable!$A$2:$A$301,0), Skills!M17+1)</f>
        <v/>
      </c>
      <c r="F2458">
        <f>IF(Skills!N17=TRUE,(Skills!L17/10)*(E2458/1000),Skills!L17/10)+Skills!O17</f>
        <v/>
      </c>
      <c r="G2458">
        <f>Skills!G17*IF(Skills!H17&gt;0,Skills!I17/Skills!H17,1)</f>
        <v/>
      </c>
      <c r="H2458">
        <f>1-(1-Skills!J17/100)^Skills!K17</f>
        <v/>
      </c>
      <c r="I2458" t="inlineStr">
        <is>
          <t>1</t>
        </is>
      </c>
      <c r="J2458" t="inlineStr"/>
      <c r="K2458" t="inlineStr"/>
      <c r="L2458" t="inlineStr"/>
      <c r="M2458" t="inlineStr"/>
      <c r="N2458" t="inlineStr"/>
      <c r="O2458">
        <f>(1-Summary!$B$11)*T2458+Summary!$B$11*V2458</f>
        <v/>
      </c>
      <c r="P2458">
        <f>IF(B2476=0,0,O2458/B2476)</f>
        <v/>
      </c>
      <c r="Q2458" t="n">
        <v>0</v>
      </c>
      <c r="R2458" t="n">
        <v>0</v>
      </c>
      <c r="S2458">
        <f>IFERROR(O2458/N2458,0)</f>
        <v/>
      </c>
      <c r="T2458" t="n">
        <v>0</v>
      </c>
      <c r="V2458" t="n">
        <v>0</v>
      </c>
    </row>
    <row r="2459">
      <c r="A2459">
        <f>Skills!A18</f>
        <v/>
      </c>
      <c r="B2459">
        <f>Skills!B18</f>
        <v/>
      </c>
      <c r="C2459">
        <f>Inputs!$B$3&gt;=33</f>
        <v/>
      </c>
      <c r="D2459">
        <f>IF(Skills!C18=1,60+Inputs!$B$25+Inputs!$B$29,IF(Skills!C18=2,90+Inputs!$B$26+Inputs!$B$29,IF(Skills!C18=3,120+Inputs!$B$27+Inputs!$B$29,MAX(0,(Inputs!$B$3-100)*3)+Inputs!$B$28+Inputs!$B$29)))</f>
        <v/>
      </c>
      <c r="E2459">
        <f>INDEX(FactorTable!$B$2:$Y$301, MATCH(ROUND(MIN(300,MAX(1,D2459)),0), FactorTable!$A$2:$A$301,0), Skills!M18+1)</f>
        <v/>
      </c>
      <c r="F2459">
        <f>IF(Skills!N18=TRUE,(Skills!L18/10)*(E2459/1000),Skills!L18/10)+Skills!O18</f>
        <v/>
      </c>
      <c r="G2459">
        <f>Skills!G18*IF(Skills!H18&gt;0,Skills!I18/Skills!H18,1)</f>
        <v/>
      </c>
      <c r="H2459">
        <f>1-(1-Skills!J18/100)^Skills!K18</f>
        <v/>
      </c>
      <c r="I2459" t="inlineStr">
        <is>
          <t>1</t>
        </is>
      </c>
      <c r="J2459" t="inlineStr"/>
      <c r="K2459" t="inlineStr"/>
      <c r="L2459" t="inlineStr"/>
      <c r="M2459" t="inlineStr"/>
      <c r="N2459" t="inlineStr"/>
      <c r="O2459">
        <f>(1-Summary!$B$11)*T2459+Summary!$B$11*V2459</f>
        <v/>
      </c>
      <c r="P2459">
        <f>IF(B2476=0,0,O2459/B2476)</f>
        <v/>
      </c>
      <c r="Q2459" t="n">
        <v>0</v>
      </c>
      <c r="R2459" t="n">
        <v>0</v>
      </c>
      <c r="S2459">
        <f>IFERROR(O2459/N2459,0)</f>
        <v/>
      </c>
      <c r="T2459" t="n">
        <v>0</v>
      </c>
      <c r="V2459" t="n">
        <v>0</v>
      </c>
    </row>
    <row r="2460">
      <c r="A2460">
        <f>Skills!A19</f>
        <v/>
      </c>
      <c r="B2460">
        <f>Skills!B19</f>
        <v/>
      </c>
      <c r="C2460">
        <f>Inputs!$B$3&gt;=40</f>
        <v/>
      </c>
      <c r="D2460">
        <f>IF(Skills!C19=1,60+Inputs!$B$25+Inputs!$B$29,IF(Skills!C19=2,90+Inputs!$B$26+Inputs!$B$29,IF(Skills!C19=3,120+Inputs!$B$27+Inputs!$B$29,MAX(0,(Inputs!$B$3-100)*3)+Inputs!$B$28+Inputs!$B$29)))</f>
        <v/>
      </c>
      <c r="E2460">
        <f>INDEX(FactorTable!$B$2:$Y$301, MATCH(ROUND(MIN(300,MAX(1,D2460)),0), FactorTable!$A$2:$A$301,0), Skills!M19+1)</f>
        <v/>
      </c>
      <c r="F2460">
        <f>IF(Skills!N19=TRUE,(Skills!L19/10)*(E2460/1000),Skills!L19/10)+Skills!O19</f>
        <v/>
      </c>
      <c r="G2460">
        <f>Skills!G19*IF(Skills!H19&gt;0,Skills!I19/Skills!H19,1)</f>
        <v/>
      </c>
      <c r="H2460">
        <f>1-(1-Skills!J19/100)^Skills!K19</f>
        <v/>
      </c>
      <c r="I2460" t="inlineStr">
        <is>
          <t>1</t>
        </is>
      </c>
      <c r="J2460" t="inlineStr"/>
      <c r="K2460" t="inlineStr"/>
      <c r="L2460" t="inlineStr"/>
      <c r="M2460" t="inlineStr"/>
      <c r="N2460" t="inlineStr"/>
      <c r="O2460">
        <f>(1-Summary!$B$11)*T2460+Summary!$B$11*V2460</f>
        <v/>
      </c>
      <c r="P2460">
        <f>IF(B2476=0,0,O2460/B2476)</f>
        <v/>
      </c>
      <c r="Q2460" t="n">
        <v>0</v>
      </c>
      <c r="R2460" t="n">
        <v>0</v>
      </c>
      <c r="S2460">
        <f>IFERROR(O2460/N2460,0)</f>
        <v/>
      </c>
      <c r="T2460" t="n">
        <v>0</v>
      </c>
      <c r="V2460" t="n">
        <v>0</v>
      </c>
    </row>
    <row r="2461">
      <c r="A2461">
        <f>Skills!A20</f>
        <v/>
      </c>
      <c r="B2461">
        <f>Skills!B20</f>
        <v/>
      </c>
      <c r="C2461">
        <f>Inputs!$B$3&gt;=43</f>
        <v/>
      </c>
      <c r="D2461">
        <f>IF(Skills!C20=1,60+Inputs!$B$25+Inputs!$B$29,IF(Skills!C20=2,90+Inputs!$B$26+Inputs!$B$29,IF(Skills!C20=3,120+Inputs!$B$27+Inputs!$B$29,MAX(0,(Inputs!$B$3-100)*3)+Inputs!$B$28+Inputs!$B$29)))</f>
        <v/>
      </c>
      <c r="E2461">
        <f>INDEX(FactorTable!$B$2:$Y$301, MATCH(ROUND(MIN(300,MAX(1,D2461)),0), FactorTable!$A$2:$A$301,0), Skills!M20+1)</f>
        <v/>
      </c>
      <c r="F2461">
        <f>IF(Skills!N20=TRUE,(Skills!L20/10)*(E2461/1000),Skills!L20/10)+Skills!O20</f>
        <v/>
      </c>
      <c r="G2461">
        <f>Skills!G20*IF(Skills!H20&gt;0,Skills!I20/Skills!H20,1)</f>
        <v/>
      </c>
      <c r="H2461">
        <f>1-(1-Skills!J20/100)^Skills!K20</f>
        <v/>
      </c>
      <c r="I2461" t="inlineStr">
        <is>
          <t>1</t>
        </is>
      </c>
      <c r="J2461" t="inlineStr"/>
      <c r="K2461" t="inlineStr"/>
      <c r="L2461" t="inlineStr"/>
      <c r="M2461" t="inlineStr"/>
      <c r="N2461" t="inlineStr"/>
      <c r="O2461">
        <f>(1-Summary!$B$11)*T2461+Summary!$B$11*V2461</f>
        <v/>
      </c>
      <c r="P2461">
        <f>IF(B2476=0,0,O2461/B2476)</f>
        <v/>
      </c>
      <c r="Q2461" t="n">
        <v>0</v>
      </c>
      <c r="R2461" t="n">
        <v>0</v>
      </c>
      <c r="S2461">
        <f>IFERROR(O2461/N2461,0)</f>
        <v/>
      </c>
      <c r="T2461" t="n">
        <v>0</v>
      </c>
      <c r="V2461" t="n">
        <v>0</v>
      </c>
    </row>
    <row r="2462">
      <c r="A2462">
        <f>Skills!A21</f>
        <v/>
      </c>
      <c r="B2462">
        <f>Skills!B21</f>
        <v/>
      </c>
      <c r="C2462">
        <f>Inputs!$B$3&gt;=38</f>
        <v/>
      </c>
      <c r="D2462">
        <f>IF(Skills!C21=1,60+Inputs!$B$25+Inputs!$B$29,IF(Skills!C21=2,90+Inputs!$B$26+Inputs!$B$29,IF(Skills!C21=3,120+Inputs!$B$27+Inputs!$B$29,MAX(0,(Inputs!$B$3-100)*3)+Inputs!$B$28+Inputs!$B$29)))</f>
        <v/>
      </c>
      <c r="E2462">
        <f>INDEX(FactorTable!$B$2:$Y$301, MATCH(ROUND(MIN(300,MAX(1,D2462)),0), FactorTable!$A$2:$A$301,0), Skills!M21+1)</f>
        <v/>
      </c>
      <c r="F2462">
        <f>IF(Skills!N21=TRUE,(Skills!L21/10)*(E2462/1000),Skills!L21/10)+Skills!O21</f>
        <v/>
      </c>
      <c r="G2462">
        <f>Skills!G21*IF(Skills!H21&gt;0,Skills!I21/Skills!H21,1)</f>
        <v/>
      </c>
      <c r="H2462">
        <f>1-(1-Skills!J21/100)^Skills!K21</f>
        <v/>
      </c>
      <c r="I2462" t="inlineStr">
        <is>
          <t>1</t>
        </is>
      </c>
      <c r="J2462" t="inlineStr"/>
      <c r="K2462" t="inlineStr"/>
      <c r="L2462" t="inlineStr"/>
      <c r="M2462" t="inlineStr"/>
      <c r="N2462" t="inlineStr"/>
      <c r="O2462">
        <f>(1-Summary!$B$11)*T2462+Summary!$B$11*V2462</f>
        <v/>
      </c>
      <c r="P2462">
        <f>IF(B2476=0,0,O2462/B2476)</f>
        <v/>
      </c>
      <c r="Q2462" t="n">
        <v>0</v>
      </c>
      <c r="R2462" t="n">
        <v>0</v>
      </c>
      <c r="S2462">
        <f>IFERROR(O2462/N2462,0)</f>
        <v/>
      </c>
      <c r="T2462" t="n">
        <v>0</v>
      </c>
      <c r="V2462" t="n">
        <v>0</v>
      </c>
    </row>
    <row r="2463">
      <c r="A2463">
        <f>Skills!A22</f>
        <v/>
      </c>
      <c r="B2463">
        <f>Skills!B22</f>
        <v/>
      </c>
      <c r="C2463">
        <f>Inputs!$B$3&gt;=75</f>
        <v/>
      </c>
      <c r="D2463">
        <f>IF(Skills!C22=1,60+Inputs!$B$25+Inputs!$B$29,IF(Skills!C22=2,90+Inputs!$B$26+Inputs!$B$29,IF(Skills!C22=3,120+Inputs!$B$27+Inputs!$B$29,MAX(0,(Inputs!$B$3-100)*3)+Inputs!$B$28+Inputs!$B$29)))</f>
        <v/>
      </c>
      <c r="E2463">
        <f>INDEX(FactorTable!$B$2:$Y$301, MATCH(ROUND(MIN(300,MAX(1,D2463)),0), FactorTable!$A$2:$A$301,0), Skills!M22+1)</f>
        <v/>
      </c>
      <c r="F2463">
        <f>IF(Skills!N22=TRUE,(Skills!L22/10)*(E2463/1000),Skills!L22/10)+Skills!O22</f>
        <v/>
      </c>
      <c r="G2463">
        <f>Skills!G22*IF(Skills!H22&gt;0,Skills!I22/Skills!H22,1)</f>
        <v/>
      </c>
      <c r="H2463">
        <f>1-(1-Skills!J22/100)^Skills!K22</f>
        <v/>
      </c>
      <c r="I2463" t="inlineStr">
        <is>
          <t>1</t>
        </is>
      </c>
      <c r="J2463" t="inlineStr"/>
      <c r="K2463" t="inlineStr"/>
      <c r="L2463" t="inlineStr"/>
      <c r="M2463" t="inlineStr"/>
      <c r="N2463" t="inlineStr"/>
      <c r="O2463">
        <f>(1-Summary!$B$11)*T2463+Summary!$B$11*V2463</f>
        <v/>
      </c>
      <c r="P2463">
        <f>IF(B2476=0,0,O2463/B2476)</f>
        <v/>
      </c>
      <c r="Q2463" t="n">
        <v>0</v>
      </c>
      <c r="R2463" t="n">
        <v>0</v>
      </c>
      <c r="S2463">
        <f>IFERROR(O2463/N2463,0)</f>
        <v/>
      </c>
      <c r="T2463" t="n">
        <v>0</v>
      </c>
      <c r="V2463" t="n">
        <v>0</v>
      </c>
    </row>
    <row r="2465">
      <c r="A2465" t="inlineStr">
        <is>
          <t>Attack% Bucket Multiplier</t>
        </is>
      </c>
      <c r="B2465">
        <f>(1+(((C2454=TRUE)*F2454)+((C2460=TRUE)*(F2460-Calc!F19))+(IF(ArtifactsInput!$M$21,CHOOSE(ArtifactsInput!$N$21+1,25,30,35,40,45,50)*(IF(OR(Inputs!$B$4="Chapter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66">
      <c r="A2466" t="inlineStr">
        <is>
          <t>Global Crit Rate Bonus %</t>
        </is>
      </c>
      <c r="B2466" t="n">
        <v>0</v>
      </c>
    </row>
    <row r="2467">
      <c r="A2467" t="inlineStr">
        <is>
          <t>Attack Speed Buff Bonus % (unused)</t>
        </is>
      </c>
      <c r="B2467" t="n">
        <v>0</v>
      </c>
    </row>
    <row r="2468">
      <c r="A2468" t="inlineStr">
        <is>
          <t>Actions Per Second</t>
        </is>
      </c>
      <c r="B2468">
        <f>1+MIN(150,150*(1-(1-(Inputs!$B$11+((C2458=TRUE)*(F2458-Calc!F17))+((C2459=TRUE)*(F2459-Calc!F18)))/150)*(1-B2467/150)))/100</f>
        <v/>
      </c>
    </row>
    <row r="2469">
      <c r="A2469" t="inlineStr">
        <is>
          <t>Skill + Buff Cast Rate</t>
        </is>
      </c>
      <c r="B2469">
        <f>IF(AND(Inputs!$B$38&lt;&gt;"pvp",Inputs!$B$43&gt;0),SUMPRODUCT((Skills!E2:E22=TRUE)*(C2443:C2463=TRUE)*R2443:R2463*Skills!F2:F22)/Inputs!$B$43,SUMPRODUCT((Skills!E2:E22=TRUE)*(C2443:C2463=TRUE)*Q2443:Q2463*Skills!F2:F22))</f>
        <v/>
      </c>
    </row>
    <row r="2470">
      <c r="A2470" t="inlineStr">
        <is>
          <t>Hook Bomber Casts Per Second</t>
        </is>
      </c>
      <c r="B2470">
        <f>MAX(0,B2468-B2469)</f>
        <v/>
      </c>
    </row>
    <row r="2471">
      <c r="A2471" t="inlineStr">
        <is>
          <t>Global Critical Damage Bonus % (unused)</t>
        </is>
      </c>
      <c r="B2471" t="n">
        <v>0</v>
      </c>
    </row>
    <row r="2472">
      <c r="A2472" t="inlineStr">
        <is>
          <t>Global Final Damage Bonus % (Serpent Scale + Crossbones + Time Leap + Speed Infusion)</t>
        </is>
      </c>
      <c r="B2472">
        <f>((C2446=TRUE)*F2446*((10+IF(Inputs!$B$3&gt;=94,5,0))/((10+IF(Inputs!$B$3&gt;=94,5,0))+5/(B2470*(1+IF(Inputs!$B$3&gt;=104,1,0))))))+((C2455=TRUE)*F2455)+((C2456=TRUE)*F2456)+((Inputs!$B$3&gt;=110)*20*(B2468-1))</f>
        <v/>
      </c>
    </row>
    <row r="2473">
      <c r="A2473" t="inlineStr">
        <is>
          <t>Buff-Casting Startup Delay (s, fixed-duration only)</t>
        </is>
      </c>
      <c r="B2473">
        <f>IF(AND(Inputs!$B$38&lt;&gt;"pvp",Inputs!$B$43&gt;0),SUMPRODUCT((Skills!T2:T22&gt;0)*(Skills!E2:E22=TRUE)*(C2443:C2463=TRUE))/B2468,0)</f>
        <v/>
      </c>
    </row>
    <row r="2474">
      <c r="A2474" t="inlineStr">
        <is>
          <t>Boss-Only Total DPS (this block's swept value)</t>
        </is>
      </c>
      <c r="B2474">
        <f>SUM(T2443:T2463)</f>
        <v/>
      </c>
    </row>
    <row r="2475">
      <c r="A2475" t="inlineStr">
        <is>
          <t>Normal-Only Total DPS (this block's swept value)</t>
        </is>
      </c>
      <c r="B2475">
        <f>SUM(V2443:V2463)</f>
        <v/>
      </c>
    </row>
    <row r="2476">
      <c r="A2476" s="6" t="inlineStr">
        <is>
          <t>TOTAL DPS</t>
        </is>
      </c>
      <c r="B2476" s="6">
        <f>SUM(O2443:O2463)</f>
        <v/>
      </c>
    </row>
    <row r="2479">
      <c r="A2479" s="6" t="inlineStr">
        <is>
          <t>Stat: CDR = 1.0s</t>
        </is>
      </c>
    </row>
    <row r="2480">
      <c r="A2480" s="5" t="inlineStr">
        <is>
          <t>Key</t>
        </is>
      </c>
      <c r="B2480" s="5" t="inlineStr">
        <is>
          <t>Name</t>
        </is>
      </c>
      <c r="C2480" s="5" t="inlineStr">
        <is>
          <t>Unlocked</t>
        </is>
      </c>
      <c r="D2480" s="5" t="inlineStr">
        <is>
          <t>InputLevel</t>
        </is>
      </c>
      <c r="E2480" s="5" t="inlineStr">
        <is>
          <t>Factor</t>
        </is>
      </c>
      <c r="F2480" s="5" t="inlineStr">
        <is>
          <t>CoefficientPercent</t>
        </is>
      </c>
      <c r="G2480" s="5" t="inlineStr">
        <is>
          <t>EffectiveHits</t>
        </is>
      </c>
      <c r="H2480" s="5" t="inlineStr">
        <is>
          <t>ProcProbability</t>
        </is>
      </c>
      <c r="I2480" s="5" t="inlineStr">
        <is>
          <t>MapleHeroMultiplier</t>
        </is>
      </c>
      <c r="J2480" s="5" t="inlineStr">
        <is>
          <t>BaseDamage</t>
        </is>
      </c>
      <c r="K2480" s="5" t="inlineStr">
        <is>
          <t>BaseHitDamage</t>
        </is>
      </c>
      <c r="L2480" s="5" t="inlineStr">
        <is>
          <t>NonCritAvg</t>
        </is>
      </c>
      <c r="M2480" s="5" t="inlineStr">
        <is>
          <t>CritAvg</t>
        </is>
      </c>
      <c r="N2480" s="5" t="inlineStr">
        <is>
          <t>ExpectedDamage(perHit)</t>
        </is>
      </c>
      <c r="O2480" s="5" t="inlineStr">
        <is>
          <t>DPS</t>
        </is>
      </c>
      <c r="P2480" s="5" t="inlineStr">
        <is>
          <t>% of Total</t>
        </is>
      </c>
      <c r="Q2480" s="5" t="inlineStr">
        <is>
          <t>InvCooldown</t>
        </is>
      </c>
      <c r="R2480" s="5" t="inlineStr">
        <is>
          <t>CastsInFight</t>
        </is>
      </c>
      <c r="S2480" s="5" t="inlineStr">
        <is>
          <t>HitRate(perSec)</t>
        </is>
      </c>
      <c r="U2480" t="inlineStr">
        <is>
          <t>helpers</t>
        </is>
      </c>
    </row>
    <row r="2481">
      <c r="A2481">
        <f>Skills!A2</f>
        <v/>
      </c>
      <c r="B2481">
        <f>Skills!B2</f>
        <v/>
      </c>
      <c r="C2481">
        <f>Inputs!$B$3&gt;=100</f>
        <v/>
      </c>
      <c r="D2481" t="inlineStr"/>
      <c r="E2481" t="inlineStr"/>
      <c r="F2481">
        <f>U2483+Skills!O2</f>
        <v/>
      </c>
      <c r="G2481">
        <f>Skills!G2*IF(Skills!H2&gt;0,Skills!I2/Skills!H2,1)</f>
        <v/>
      </c>
      <c r="H2481">
        <f>1-(1-Skills!J2/100)^Skills!K2</f>
        <v/>
      </c>
      <c r="I2481" t="inlineStr">
        <is>
          <t>1</t>
        </is>
      </c>
      <c r="J2481">
        <f>((Inputs!$B$6*(1+Inputs!$B$7/100))+(((Inputs!$B$12*(1+Inputs!$B$13/100))-(Inputs!$B$12*(1+Inputs!$B$13/100)))+0.25*(Inputs!$B$14-Inputs!$B$14))*(1+Inputs!$B$7/100))*(F2481/100)</f>
        <v/>
      </c>
      <c r="K2481">
        <f>J2481*(1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C2499=TRUE)*(F2499-Calc!F20)),(Inputs!$B$23+0+(IF(ArtifactsInput!$M$15,CHOOSE(ArtifactsInput!$N$15+1,25,30,35,40,45,50)/100*(Inputs!$B$11-Inputs!$B$11),0))))/100+(Inputs!$B$23+0+(IF(ArtifactsInput!$M$15,CHOOSE(ArtifactsInput!$N$15+1,25,30,35,40,45,50)/100*(Inputs!$B$11-Inputs!$B$11),0)))/100)/2</f>
        <v/>
      </c>
      <c r="M2481">
        <f>L2481*(1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1">
        <f>L2481*(1-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(1-Summary!$B$11)*T2481+Summary!$B$11*V2481</f>
        <v/>
      </c>
      <c r="P2481">
        <f>IF(B2514=0,0,O2481/B2514)</f>
        <v/>
      </c>
      <c r="Q2481" t="n">
        <v>0</v>
      </c>
      <c r="R2481" t="n">
        <v>0</v>
      </c>
      <c r="S2481">
        <f>IFERROR(O2481/N2481,0)</f>
        <v/>
      </c>
      <c r="T2481">
        <f>IF(C2481,(Skills!G2*N2481*B2508)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1">
        <f>MAX(0,(Inputs!$B$3-100)*3)+Inputs!$B$28+Inputs!$B$29</f>
        <v/>
      </c>
      <c r="V2481">
        <f>IF(C2481,(Skills!G2*N2481*B2508)*IF(Inputs!$B$38="pvp",1,(1+(Inputs!$B$21+Skills!Q2+(IF(ArtifactsInput!$M$33,CHOOSE(ArtifactsInput!$N$33+1,30,36,42,48,54,60),0))+(IF(AND(ArtifactsInput!$M$35,Inputs!$B$4&lt;&gt;"Chapter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Skills!A3</f>
        <v/>
      </c>
      <c r="B2482">
        <f>Skills!B3</f>
        <v/>
      </c>
      <c r="C2482">
        <f>Inputs!$B$3&gt;=35</f>
        <v/>
      </c>
      <c r="D2482">
        <f>IF(Skills!C3=1,60+Inputs!$B$25+Inputs!$B$29,IF(Skills!C3=2,90+Inputs!$B$26+Inputs!$B$29,IF(Skills!C3=3,120+Inputs!$B$27+Inputs!$B$29,MAX(0,(Inputs!$B$3-100)*3)+Inputs!$B$28+Inputs!$B$29)))</f>
        <v/>
      </c>
      <c r="E2482">
        <f>INDEX(FactorTable!$B$2:$Y$301, MATCH(ROUND(MIN(300,MAX(1,D2482)),0), FactorTable!$A$2:$A$301,0), Skills!M3+1)</f>
        <v/>
      </c>
      <c r="F2482">
        <f>IF(Skills!N3=TRUE,(Skills!L3/10)*(E2482/1000),Skills!L3/10)+Skills!O3</f>
        <v/>
      </c>
      <c r="G2482">
        <f>Skills!G3*IF(Skills!H3&gt;0,Skills!I3/Skills!H3,1)</f>
        <v/>
      </c>
      <c r="H2482">
        <f>1-(1-Skills!J3/100)^Skills!K3</f>
        <v/>
      </c>
      <c r="I2482" t="inlineStr">
        <is>
          <t>1</t>
        </is>
      </c>
      <c r="J2482">
        <f>((Inputs!$B$6*(1+Inputs!$B$7/100))+(((Inputs!$B$12*(1+Inputs!$B$13/100))-(Inputs!$B$12*(1+Inputs!$B$13/100)))+0.25*(Inputs!$B$14-Inputs!$B$14))*(1+Inputs!$B$7/100))*(F2482/100)</f>
        <v/>
      </c>
      <c r="K2482">
        <f>J2482*(1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C2499=TRUE)*(F2499-Calc!F20)),(Inputs!$B$23+0+(IF(ArtifactsInput!$M$15,CHOOSE(ArtifactsInput!$N$15+1,25,30,35,40,45,50)/100*(Inputs!$B$11-Inputs!$B$11),0))))/100+(Inputs!$B$23+0+(IF(ArtifactsInput!$M$15,CHOOSE(ArtifactsInput!$N$15+1,25,30,35,40,45,50)/100*(Inputs!$B$11-Inputs!$B$11),0)))/100)/2</f>
        <v/>
      </c>
      <c r="M2482">
        <f>L2482*(1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2">
        <f>L2482*(1-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(1-Summary!$B$11)*T2482+Summary!$B$11*V2482</f>
        <v/>
      </c>
      <c r="P2482">
        <f>IF(B2514=0,0,O2482/B2514)</f>
        <v/>
      </c>
      <c r="Q2482" t="n">
        <v>0</v>
      </c>
      <c r="R2482" t="n">
        <v>0</v>
      </c>
      <c r="S2482">
        <f>IFERROR(O2482/N2482,0)</f>
        <v/>
      </c>
      <c r="T2482">
        <f>IF(C2482,(Skills!G3*H2482*N2482*B2508)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2482*(1-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2">
        <f>INDEX(FactorTable!$B$2:$Y$301, MATCH(ROUND(MIN(300,MAX(1,U2481)),0), FactorTable!$A$2:$A$301,0), 22)</f>
        <v/>
      </c>
      <c r="V2482">
        <f>IF(C2482,(Skills!G3*H2482*N2482*B2508)*IF(Inputs!$B$38="pvp",1,(1+(Inputs!$B$21+Skills!Q3+(IF(ArtifactsInput!$M$33,CHOOSE(ArtifactsInput!$N$33+1,30,36,42,48,54,60),0))+(IF(AND(ArtifactsInput!$M$35,Inputs!$B$4&lt;&gt;"Chapter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Skills!A4</f>
        <v/>
      </c>
      <c r="B2483">
        <f>Skills!B4</f>
        <v/>
      </c>
      <c r="C2483">
        <f>Inputs!$B$3&gt;=60</f>
        <v/>
      </c>
      <c r="D2483">
        <f>IF(Skills!C4=1,60+Inputs!$B$25+Inputs!$B$29,IF(Skills!C4=2,90+Inputs!$B$26+Inputs!$B$29,IF(Skills!C4=3,120+Inputs!$B$27+Inputs!$B$29,MAX(0,(Inputs!$B$3-100)*3)+Inputs!$B$28+Inputs!$B$29)))</f>
        <v/>
      </c>
      <c r="E2483">
        <f>INDEX(FactorTable!$B$2:$Y$301, MATCH(ROUND(MIN(300,MAX(1,D2483)),0), FactorTable!$A$2:$A$301,0), Skills!M4+1)</f>
        <v/>
      </c>
      <c r="F2483">
        <f>IF(Skills!N4=TRUE,(Skills!L4/10)*(E2483/1000),Skills!L4/10)+Skills!O4</f>
        <v/>
      </c>
      <c r="G2483">
        <f>Skills!G4*IF(Skills!H4&gt;0,Skills!I4/Skills!H4,1)</f>
        <v/>
      </c>
      <c r="H2483">
        <f>1-(1-Skills!J4/100)^Skills!K4</f>
        <v/>
      </c>
      <c r="I2483" t="inlineStr">
        <is>
          <t>1</t>
        </is>
      </c>
      <c r="J2483">
        <f>((Inputs!$B$6*(1+Inputs!$B$7/100))+(((Inputs!$B$12*(1+Inputs!$B$13/100))-(Inputs!$B$12*(1+Inputs!$B$13/100)))+0.25*(Inputs!$B$14-Inputs!$B$14))*(1+Inputs!$B$7/100))*(F2483/100)</f>
        <v/>
      </c>
      <c r="K2483">
        <f>J2483*(1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2491=TRUE,F2491,0)/100)*(1+(IF(Skills!A4="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2483)</f>
        <v/>
      </c>
      <c r="L2483">
        <f>K2483*(MIN(Inputs!$B$22+((C2499=TRUE)*(F2499-Calc!F20)),(Inputs!$B$23+0+(IF(ArtifactsInput!$M$15,CHOOSE(ArtifactsInput!$N$15+1,25,30,35,40,45,50)/100*(Inputs!$B$11-Inputs!$B$11),0))))/100+(Inputs!$B$23+0+(IF(ArtifactsInput!$M$15,CHOOSE(ArtifactsInput!$N$15+1,25,30,35,40,45,50)/100*(Inputs!$B$11-Inputs!$B$11),0)))/100)/2</f>
        <v/>
      </c>
      <c r="M2483">
        <f>L2483*(1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3">
        <f>L2483*(1-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2483*(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3">
        <f>(1-Summary!$B$11)*T2483+Summary!$B$11*V2483</f>
        <v/>
      </c>
      <c r="P2483">
        <f>IF(B2514=0,0,O2483/B2514)</f>
        <v/>
      </c>
      <c r="Q2483" t="n">
        <v>0</v>
      </c>
      <c r="R2483" t="n">
        <v>0</v>
      </c>
      <c r="S2483">
        <f>IFERROR(O2483/N2483,0)</f>
        <v/>
      </c>
      <c r="T2483">
        <f>IF(C2483,(Skills!G4*H2483*N2483*B2508)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2483*(1-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2483*(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2483*(1-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2483*(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3">
        <f>290*U2482/1000</f>
        <v/>
      </c>
      <c r="V2483">
        <f>IF(C2483,(Skills!G4*H2483*N2483*B2508)*IF(Inputs!$B$38="pvp",1,(1+(Inputs!$B$21+Skills!Q4+(IF(ArtifactsInput!$M$33,CHOOSE(ArtifactsInput!$N$33+1,30,36,42,48,54,60),0))+(IF(AND(ArtifactsInput!$M$35,Inputs!$B$4&lt;&gt;"Chapter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4">
      <c r="A2484">
        <f>Skills!A5</f>
        <v/>
      </c>
      <c r="B2484">
        <f>Skills!B5</f>
        <v/>
      </c>
      <c r="C2484">
        <f>Inputs!$B$3&gt;=60</f>
        <v/>
      </c>
      <c r="D2484">
        <f>IF(Skills!C5=1,60+Inputs!$B$25+Inputs!$B$29,IF(Skills!C5=2,90+Inputs!$B$26+Inputs!$B$29,IF(Skills!C5=3,120+Inputs!$B$27+Inputs!$B$29,MAX(0,(Inputs!$B$3-100)*3)+Inputs!$B$28+Inputs!$B$29)))</f>
        <v/>
      </c>
      <c r="E2484">
        <f>INDEX(FactorTable!$B$2:$Y$301, MATCH(ROUND(MIN(300,MAX(1,D2484)),0), FactorTable!$A$2:$A$301,0), Skills!M5+1)</f>
        <v/>
      </c>
      <c r="F2484">
        <f>IF(Skills!N5=TRUE,(Skills!L5/10)*(E2484/1000),Skills!L5/10)+Skills!O5</f>
        <v/>
      </c>
      <c r="G2484">
        <f>Skills!G5*IF(Skills!H5&gt;0,Skills!I5/Skills!H5,1)</f>
        <v/>
      </c>
      <c r="H2484">
        <f>1-(1-Skills!J5/100)^Skills!K5</f>
        <v/>
      </c>
      <c r="I2484" t="inlineStr">
        <is>
          <t>1</t>
        </is>
      </c>
      <c r="J2484" t="inlineStr"/>
      <c r="K2484" t="inlineStr"/>
      <c r="L2484" t="inlineStr"/>
      <c r="M2484" t="inlineStr"/>
      <c r="N2484" t="inlineStr"/>
      <c r="O2484">
        <f>(1-Summary!$B$11)*T2484+Summary!$B$11*V2484</f>
        <v/>
      </c>
      <c r="P2484">
        <f>IF(B2514=0,0,O2484/B2514)</f>
        <v/>
      </c>
      <c r="Q2484" t="n">
        <v>0</v>
      </c>
      <c r="R2484" t="n">
        <v>0</v>
      </c>
      <c r="S2484">
        <f>IFERROR(O2484/N2484,0)</f>
        <v/>
      </c>
      <c r="T2484" t="n">
        <v>0</v>
      </c>
      <c r="V2484" t="n">
        <v>0</v>
      </c>
    </row>
    <row r="2485">
      <c r="A2485">
        <f>Skills!A6</f>
        <v/>
      </c>
      <c r="B2485">
        <f>Skills!B6</f>
        <v/>
      </c>
      <c r="C2485">
        <f>Inputs!$B$3&gt;=63</f>
        <v/>
      </c>
      <c r="D2485">
        <f>IF(Skills!C6=1,60+Inputs!$B$25+Inputs!$B$29,IF(Skills!C6=2,90+Inputs!$B$26+Inputs!$B$29,IF(Skills!C6=3,120+Inputs!$B$27+Inputs!$B$29,MAX(0,(Inputs!$B$3-100)*3)+Inputs!$B$28+Inputs!$B$29)))</f>
        <v/>
      </c>
      <c r="E2485">
        <f>INDEX(FactorTable!$B$2:$Y$301, MATCH(ROUND(MIN(300,MAX(1,D2485)),0), FactorTable!$A$2:$A$301,0), Skills!M6+1)</f>
        <v/>
      </c>
      <c r="F2485">
        <f>IF(Skills!N6=TRUE,(Skills!L6/10)*(E2485/1000),Skills!L6/10)+Skills!O6</f>
        <v/>
      </c>
      <c r="G2485">
        <f>Skills!G6*IF(Skills!H6&gt;0,Skills!I6/Skills!H6,1)</f>
        <v/>
      </c>
      <c r="H2485">
        <f>1-(1-Skills!J6/100)^Skills!K6</f>
        <v/>
      </c>
      <c r="I2485" t="inlineStr">
        <is>
          <t>1</t>
        </is>
      </c>
      <c r="J2485">
        <f>((Inputs!$B$6*(1+Inputs!$B$7/100))+(((Inputs!$B$12*(1+Inputs!$B$13/100))-(Inputs!$B$12*(1+Inputs!$B$13/100)))+0.25*(Inputs!$B$14-Inputs!$B$14))*(1+Inputs!$B$7/100))*(F2485/100)</f>
        <v/>
      </c>
      <c r="K2485">
        <f>J2485*(1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2485)</f>
        <v/>
      </c>
      <c r="L2485">
        <f>K2485*(MIN(Inputs!$B$22+((C2499=TRUE)*(F2499-Calc!F20)),(Inputs!$B$23+0+(IF(ArtifactsInput!$M$15,CHOOSE(ArtifactsInput!$N$15+1,25,30,35,40,45,50)/100*(Inputs!$B$11-Inputs!$B$11),0))))/100+(Inputs!$B$23+0+(IF(ArtifactsInput!$M$15,CHOOSE(ArtifactsInput!$N$15+1,25,30,35,40,45,50)/100*(Inputs!$B$11-Inputs!$B$11),0)))/100)/2</f>
        <v/>
      </c>
      <c r="M2485">
        <f>L2485*(1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5">
        <f>L2485*(1-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2485*(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5">
        <f>(1-Summary!$B$11)*T2485+Summary!$B$11*V2485</f>
        <v/>
      </c>
      <c r="P2485">
        <f>IF(B2514=0,0,O2485/B2514)</f>
        <v/>
      </c>
      <c r="Q2485">
        <f>IFERROR(1/(IF(Inputs!$B$38="pvp",15,MAX(0.1,Skills!D6-IF(Skills!E6=TRUE,1.0,0)))*(1-IF(AND(ArtifactsInput!$M$27,Inputs!$B$4="Chapter Hunt"),CHOOSE(ArtifactsInput!$N$27+1,20,24,28,32,36,40),0)/100)),0)</f>
        <v/>
      </c>
      <c r="R2485">
        <f>IF(AND(Inputs!$B$38&lt;&gt;"pvp",Inputs!$B$43&gt;0),IF(MAX(0,Inputs!$B$43-B2511)&lt;=0,0,(INT(MAX(0,Inputs!$B$43-B2511)/(IF(Inputs!$B$38="pvp",15,MAX(0.1,Skills!D6-IF(Skills!E6=TRUE,1.0,0)))*(1-IF(AND(ArtifactsInput!$M$27,Inputs!$B$4="Chapter Hunt"),CHOOSE(ArtifactsInput!$N$27+1,20,24,28,32,36,40),0)/100)))+1)),0)</f>
        <v/>
      </c>
      <c r="S2485">
        <f>IFERROR(O2485/N2485,0)</f>
        <v/>
      </c>
      <c r="T2485">
        <f>IF(C2485,(H2485*N2485*IF(AND(Inputs!$B$38&lt;&gt;"pvp",Inputs!$B$43&gt;0),((Skills!G6*((R2485-1)*IF(Skills!H6&gt;0,Skills!I6/Skills!H6,1)+IF(Skills!H6&gt;0,MIN(Skills!I6,MAX(0,MAX(0,Inputs!$B$43-B2511)-((R2485-1)*(IF(Inputs!$B$38="pvp",15,MAX(0.1,Skills!D6-IF(Skills!E6=TRUE,1.0,0)))*(1-IF(AND(ArtifactsInput!$M$27,Inputs!$B$4="Chapter Hunt"),CHOOSE(ArtifactsInput!$N$27+1,20,24,28,32,36,40),0)/100)))))/Skills!H6,1)))/Inputs!$B$43),G2485*Q2485)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2485*(1-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2485*(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2485*(1-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2485*(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5">
        <f>IF(C2485,(H2485*N2485*IF(AND(Inputs!$B$38&lt;&gt;"pvp",Inputs!$B$43&gt;0),((Skills!G6*((R2485-1)*IF(Skills!H6&gt;0,Skills!I6/Skills!H6,1)+IF(Skills!H6&gt;0,MIN(Skills!I6,MAX(0,MAX(0,Inputs!$B$43-B2511)-((R2485-1)*(IF(Inputs!$B$38="pvp",15,MAX(0.1,Skills!D6-IF(Skills!E6=TRUE,1.0,0)))*(1-IF(AND(ArtifactsInput!$M$27,Inputs!$B$4="Chapter Hunt"),CHOOSE(ArtifactsInput!$N$27+1,20,24,28,32,36,40),0)/100)))))/Skills!H6,1)))/Inputs!$B$43),G2485*Q2485))*IF(Inputs!$B$38="pvp",1,(1+(Inputs!$B$21+Skills!Q6+(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6">
      <c r="A2486">
        <f>Skills!A7</f>
        <v/>
      </c>
      <c r="B2486">
        <f>Skills!B7</f>
        <v/>
      </c>
      <c r="C2486">
        <f>Inputs!$B$3&gt;=100</f>
        <v/>
      </c>
      <c r="D2486">
        <f>IF(Skills!C7=1,60+Inputs!$B$25+Inputs!$B$29,IF(Skills!C7=2,90+Inputs!$B$26+Inputs!$B$29,IF(Skills!C7=3,120+Inputs!$B$27+Inputs!$B$29,MAX(0,(Inputs!$B$3-100)*3)+Inputs!$B$28+Inputs!$B$29)))</f>
        <v/>
      </c>
      <c r="E2486">
        <f>INDEX(FactorTable!$B$2:$Y$301, MATCH(ROUND(MIN(300,MAX(1,D2486)),0), FactorTable!$A$2:$A$301,0), Skills!M7+1)</f>
        <v/>
      </c>
      <c r="F2486">
        <f>IF(Skills!N7=TRUE,(Skills!L7/10)*(E2486/1000),Skills!L7/10)+Skills!O7</f>
        <v/>
      </c>
      <c r="G2486">
        <f>Skills!G7*IF(Skills!H7&gt;0,Skills!I7/Skills!H7,1)</f>
        <v/>
      </c>
      <c r="H2486">
        <f>1-(1-Skills!J7/100)^Skills!K7</f>
        <v/>
      </c>
      <c r="I2486" t="inlineStr">
        <is>
          <t>1</t>
        </is>
      </c>
      <c r="J2486">
        <f>((Inputs!$B$6*(1+Inputs!$B$7/100))+(((Inputs!$B$12*(1+Inputs!$B$13/100))-(Inputs!$B$12*(1+Inputs!$B$13/100)))+0.25*(Inputs!$B$14-Inputs!$B$14))*(1+Inputs!$B$7/100))*(F2486/100)</f>
        <v/>
      </c>
      <c r="K2486">
        <f>J2486*(1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2486)</f>
        <v/>
      </c>
      <c r="L2486">
        <f>K2486*(MIN(Inputs!$B$22+((C2499=TRUE)*(F2499-Calc!F20)),(Inputs!$B$23+0+(IF(ArtifactsInput!$M$15,CHOOSE(ArtifactsInput!$N$15+1,25,30,35,40,45,50)/100*(Inputs!$B$11-Inputs!$B$11),0))))/100+(Inputs!$B$23+0+(IF(ArtifactsInput!$M$15,CHOOSE(ArtifactsInput!$N$15+1,25,30,35,40,45,50)/100*(Inputs!$B$11-Inputs!$B$11),0)))/100)/2</f>
        <v/>
      </c>
      <c r="M2486">
        <f>L2486*(1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6">
        <f>L2486*(1-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2486*(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6">
        <f>(1-Summary!$B$11)*T2486+Summary!$B$11*V2486</f>
        <v/>
      </c>
      <c r="P2486">
        <f>IF(B2514=0,0,O2486/B2514)</f>
        <v/>
      </c>
      <c r="Q2486">
        <f>IFERROR(1/(IF(Inputs!$B$38="pvp",15,MAX(0.1,Skills!D7-IF(Skills!E7=TRUE,1.0,0)))*(1-IF(AND(ArtifactsInput!$M$27,Inputs!$B$4="Chapter Hunt"),CHOOSE(ArtifactsInput!$N$27+1,20,24,28,32,36,40),0)/100)),0)</f>
        <v/>
      </c>
      <c r="R2486">
        <f>IF(AND(Inputs!$B$38&lt;&gt;"pvp",Inputs!$B$43&gt;0),IF(MAX(0,Inputs!$B$43-B2511)&lt;=0,0,(INT(MAX(0,Inputs!$B$43-B2511)/(IF(Inputs!$B$38="pvp",15,MAX(0.1,Skills!D7-IF(Skills!E7=TRUE,1.0,0)))*(1-IF(AND(ArtifactsInput!$M$27,Inputs!$B$4="Chapter Hunt"),CHOOSE(ArtifactsInput!$N$27+1,20,24,28,32,36,40),0)/100)))+1)),0)</f>
        <v/>
      </c>
      <c r="S2486">
        <f>IFERROR(O2486/N2486,0)</f>
        <v/>
      </c>
      <c r="T2486">
        <f>IF(C2486,(H2486*N2486*IF(AND(Inputs!$B$38&lt;&gt;"pvp",Inputs!$B$43&gt;0),((Skills!G7*((R2486-1)*IF(Skills!H7&gt;0,Skills!I7/Skills!H7,1)+IF(Skills!H7&gt;0,MIN(Skills!I7,MAX(0,MAX(0,Inputs!$B$43-B2511)-((R2486-1)*(IF(Inputs!$B$38="pvp",15,MAX(0.1,Skills!D7-IF(Skills!E7=TRUE,1.0,0)))*(1-IF(AND(ArtifactsInput!$M$27,Inputs!$B$4="Chapter Hunt"),CHOOSE(ArtifactsInput!$N$27+1,20,24,28,32,36,40),0)/100)))))/Skills!H7,1)))/Inputs!$B$43),G2486*Q2486)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2486*(1-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2486*(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2486*(1-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2486*(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6">
        <f>IF(C2486,(H2486*N2486*IF(AND(Inputs!$B$38&lt;&gt;"pvp",Inputs!$B$43&gt;0),((Skills!G7*((R2486-1)*IF(Skills!H7&gt;0,Skills!I7/Skills!H7,1)+IF(Skills!H7&gt;0,MIN(Skills!I7,MAX(0,MAX(0,Inputs!$B$43-B2511)-((R2486-1)*(IF(Inputs!$B$38="pvp",15,MAX(0.1,Skills!D7-IF(Skills!E7=TRUE,1.0,0)))*(1-IF(AND(ArtifactsInput!$M$27,Inputs!$B$4="Chapter Hunt"),CHOOSE(ArtifactsInput!$N$27+1,20,24,28,32,36,40),0)/100)))))/Skills!H7,1)))/Inputs!$B$43),G2486*Q2486))*IF(Inputs!$B$38="pvp",1,(1+(Inputs!$B$21+Skills!Q7+(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7">
      <c r="A2487">
        <f>Skills!A8</f>
        <v/>
      </c>
      <c r="B2487">
        <f>Skills!B8</f>
        <v/>
      </c>
      <c r="C2487">
        <f>Inputs!$B$3&gt;=110</f>
        <v/>
      </c>
      <c r="D2487">
        <f>IF(Skills!C8=1,60+Inputs!$B$25+Inputs!$B$29,IF(Skills!C8=2,90+Inputs!$B$26+Inputs!$B$29,IF(Skills!C8=3,120+Inputs!$B$27+Inputs!$B$29,MAX(0,(Inputs!$B$3-100)*3)+Inputs!$B$28+Inputs!$B$29)))</f>
        <v/>
      </c>
      <c r="E2487">
        <f>INDEX(FactorTable!$B$2:$Y$301, MATCH(ROUND(MIN(300,MAX(1,D2487)),0), FactorTable!$A$2:$A$301,0), Skills!M8+1)</f>
        <v/>
      </c>
      <c r="F2487">
        <f>IF(Skills!N8=TRUE,(Skills!L8/10)*(E2487/1000),Skills!L8/10)+Skills!O8</f>
        <v/>
      </c>
      <c r="G2487">
        <f>Skills!G8*IF(Skills!H8&gt;0,Skills!I8/Skills!H8,1)</f>
        <v/>
      </c>
      <c r="H2487">
        <f>1-(1-Skills!J8/100)^Skills!K8</f>
        <v/>
      </c>
      <c r="I2487" t="inlineStr">
        <is>
          <t>1</t>
        </is>
      </c>
      <c r="J2487">
        <f>((Inputs!$B$6*(1+Inputs!$B$7/100))+(((Inputs!$B$12*(1+Inputs!$B$13/100))-(Inputs!$B$12*(1+Inputs!$B$13/100)))+0.25*(Inputs!$B$14-Inputs!$B$14))*(1+Inputs!$B$7/100))*(F2487/100)</f>
        <v/>
      </c>
      <c r="K2487">
        <f>J2487*(1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2487)</f>
        <v/>
      </c>
      <c r="L2487">
        <f>K2487*(MIN(Inputs!$B$22+((C2499=TRUE)*(F2499-Calc!F20)),(Inputs!$B$23+0+(IF(ArtifactsInput!$M$15,CHOOSE(ArtifactsInput!$N$15+1,25,30,35,40,45,50)/100*(Inputs!$B$11-Inputs!$B$11),0))))/100+(Inputs!$B$23+0+(IF(ArtifactsInput!$M$15,CHOOSE(ArtifactsInput!$N$15+1,25,30,35,40,45,50)/100*(Inputs!$B$11-Inputs!$B$11),0)))/100)/2</f>
        <v/>
      </c>
      <c r="M2487">
        <f>L2487*(1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7">
        <f>L2487*(1-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2487*(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7">
        <f>(1-Summary!$B$11)*T2487+Summary!$B$11*V2487</f>
        <v/>
      </c>
      <c r="P2487">
        <f>IF(B2514=0,0,O2487/B2514)</f>
        <v/>
      </c>
      <c r="Q2487">
        <f>IFERROR(1/(IF(Inputs!$B$38="pvp",15,MAX(0.1,Skills!D8-IF(Skills!E8=TRUE,1.0,0)))*(1-IF(AND(ArtifactsInput!$M$27,Inputs!$B$4="Chapter Hunt"),CHOOSE(ArtifactsInput!$N$27+1,20,24,28,32,36,40),0)/100)),0)</f>
        <v/>
      </c>
      <c r="R2487">
        <f>IF(AND(Inputs!$B$38&lt;&gt;"pvp",Inputs!$B$43&gt;0),IF(MAX(0,Inputs!$B$43-B2511)&lt;=0,0,(INT(MAX(0,Inputs!$B$43-B2511)/(IF(Inputs!$B$38="pvp",15,MAX(0.1,Skills!D8-IF(Skills!E8=TRUE,1.0,0)))*(1-IF(AND(ArtifactsInput!$M$27,Inputs!$B$4="Chapter Hunt"),CHOOSE(ArtifactsInput!$N$27+1,20,24,28,32,36,40),0)/100)))+1)),0)</f>
        <v/>
      </c>
      <c r="S2487">
        <f>IFERROR(O2487/N2487,0)</f>
        <v/>
      </c>
      <c r="T2487">
        <f>IF(C2487,(H2487*N2487*IF(AND(Inputs!$B$38&lt;&gt;"pvp",Inputs!$B$43&gt;0),((Skills!G8*((R2487-1)*IF(Skills!H8&gt;0,Skills!I8/Skills!H8,1)+IF(Skills!H8&gt;0,MIN(Skills!I8,MAX(0,MAX(0,Inputs!$B$43-B2511)-((R2487-1)*(IF(Inputs!$B$38="pvp",15,MAX(0.1,Skills!D8-IF(Skills!E8=TRUE,1.0,0)))*(1-IF(AND(ArtifactsInput!$M$27,Inputs!$B$4="Chapter Hunt"),CHOOSE(ArtifactsInput!$N$27+1,20,24,28,32,36,40),0)/100)))))/Skills!H8,1)))/Inputs!$B$43),G2487*Q2487)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2487*(1-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2487*(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2487*(1-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2487*(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7">
        <f>IF(C2487,(H2487*N2487*IF(AND(Inputs!$B$38&lt;&gt;"pvp",Inputs!$B$43&gt;0),((Skills!G8*((R2487-1)*IF(Skills!H8&gt;0,Skills!I8/Skills!H8,1)+IF(Skills!H8&gt;0,MIN(Skills!I8,MAX(0,MAX(0,Inputs!$B$43-B2511)-((R2487-1)*(IF(Inputs!$B$38="pvp",15,MAX(0.1,Skills!D8-IF(Skills!E8=TRUE,1.0,0)))*(1-IF(AND(ArtifactsInput!$M$27,Inputs!$B$4="Chapter Hunt"),CHOOSE(ArtifactsInput!$N$27+1,20,24,28,32,36,40),0)/100)))))/Skills!H8,1)))/Inputs!$B$43),G2487*Q2487))*IF(Inputs!$B$38="pvp",1,(1+(Inputs!$B$21+Skills!Q8+(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8">
      <c r="A2488">
        <f>Skills!A9</f>
        <v/>
      </c>
      <c r="B2488">
        <f>Skills!B9</f>
        <v/>
      </c>
      <c r="C2488">
        <f>Inputs!$B$3&gt;=110</f>
        <v/>
      </c>
      <c r="D2488">
        <f>IF(Skills!C9=1,60+Inputs!$B$25+Inputs!$B$29,IF(Skills!C9=2,90+Inputs!$B$26+Inputs!$B$29,IF(Skills!C9=3,120+Inputs!$B$27+Inputs!$B$29,MAX(0,(Inputs!$B$3-100)*3)+Inputs!$B$28+Inputs!$B$29)))</f>
        <v/>
      </c>
      <c r="E2488">
        <f>INDEX(FactorTable!$B$2:$Y$301, MATCH(ROUND(MIN(300,MAX(1,D2488)),0), FactorTable!$A$2:$A$301,0), Skills!M9+1)</f>
        <v/>
      </c>
      <c r="F2488">
        <f>IF(Skills!N9=TRUE,(Skills!L9/10)*(E2488/1000),Skills!L9/10)+Skills!O9</f>
        <v/>
      </c>
      <c r="G2488">
        <f>Skills!G9*IF(Skills!H9&gt;0,Skills!I9/Skills!H9,1)</f>
        <v/>
      </c>
      <c r="H2488">
        <f>1-(1-Skills!J9/100)^Skills!K9</f>
        <v/>
      </c>
      <c r="I2488" t="inlineStr">
        <is>
          <t>1</t>
        </is>
      </c>
      <c r="J2488">
        <f>((Inputs!$B$6*(1+Inputs!$B$7/100))+(((Inputs!$B$12*(1+Inputs!$B$13/100))-(Inputs!$B$12*(1+Inputs!$B$13/100)))+0.25*(Inputs!$B$14-Inputs!$B$14))*(1+Inputs!$B$7/100))*(F2488/100)</f>
        <v/>
      </c>
      <c r="K2488">
        <f>J2488*(1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2488)</f>
        <v/>
      </c>
      <c r="L2488">
        <f>K2488*(MIN(Inputs!$B$22+((C2499=TRUE)*(F2499-Calc!F20)),(Inputs!$B$23+0+(IF(ArtifactsInput!$M$15,CHOOSE(ArtifactsInput!$N$15+1,25,30,35,40,45,50)/100*(Inputs!$B$11-Inputs!$B$11),0))))/100+(Inputs!$B$23+0+(IF(ArtifactsInput!$M$15,CHOOSE(ArtifactsInput!$N$15+1,25,30,35,40,45,50)/100*(Inputs!$B$11-Inputs!$B$11),0)))/100)/2</f>
        <v/>
      </c>
      <c r="M2488">
        <f>L2488*(1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8">
        <f>L2488*(1-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2488*(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8">
        <f>(1-Summary!$B$11)*T2488+Summary!$B$11*V2488</f>
        <v/>
      </c>
      <c r="P2488">
        <f>IF(B2514=0,0,O2488/B2514)</f>
        <v/>
      </c>
      <c r="Q2488">
        <f>IFERROR(1/(IF(Inputs!$B$38="pvp",15,MAX(0.1,Skills!D9-IF(Skills!E9=TRUE,1.0,0)))*(1-IF(AND(ArtifactsInput!$M$27,Inputs!$B$4="Chapter Hunt"),CHOOSE(ArtifactsInput!$N$27+1,20,24,28,32,36,40),0)/100)),0)</f>
        <v/>
      </c>
      <c r="R2488">
        <f>IF(AND(Inputs!$B$38&lt;&gt;"pvp",Inputs!$B$43&gt;0),IF(MAX(0,Inputs!$B$43-B2511)&lt;=0,0,(INT(MAX(0,Inputs!$B$43-B2511)/(IF(Inputs!$B$38="pvp",15,MAX(0.1,Skills!D9-IF(Skills!E9=TRUE,1.0,0)))*(1-IF(AND(ArtifactsInput!$M$27,Inputs!$B$4="Chapter Hunt"),CHOOSE(ArtifactsInput!$N$27+1,20,24,28,32,36,40),0)/100)))+1)),0)</f>
        <v/>
      </c>
      <c r="S2488">
        <f>IFERROR(O2488/N2488,0)</f>
        <v/>
      </c>
      <c r="T2488">
        <f>IF(C2488,(H2488*N2488*IF(AND(Inputs!$B$38&lt;&gt;"pvp",Inputs!$B$43&gt;0),((Skills!G9*((R2488-1)*IF(Skills!H9&gt;0,Skills!I9/Skills!H9,1)+IF(Skills!H9&gt;0,MIN(Skills!I9,MAX(0,MAX(0,Inputs!$B$43-B2511)-((R2488-1)*(IF(Inputs!$B$38="pvp",15,MAX(0.1,Skills!D9-IF(Skills!E9=TRUE,1.0,0)))*(1-IF(AND(ArtifactsInput!$M$27,Inputs!$B$4="Chapter Hunt"),CHOOSE(ArtifactsInput!$N$27+1,20,24,28,32,36,40),0)/100)))))/Skills!H9,1)))/Inputs!$B$43),G2488*Q2488)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2488*(1-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2488*(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2488*(1-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2488*(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8">
        <f>IF(C2488,(H2488*N2488*IF(AND(Inputs!$B$38&lt;&gt;"pvp",Inputs!$B$43&gt;0),((Skills!G9*((R2488-1)*IF(Skills!H9&gt;0,Skills!I9/Skills!H9,1)+IF(Skills!H9&gt;0,MIN(Skills!I9,MAX(0,MAX(0,Inputs!$B$43-B2511)-((R2488-1)*(IF(Inputs!$B$38="pvp",15,MAX(0.1,Skills!D9-IF(Skills!E9=TRUE,1.0,0)))*(1-IF(AND(ArtifactsInput!$M$27,Inputs!$B$4="Chapter Hunt"),CHOOSE(ArtifactsInput!$N$27+1,20,24,28,32,36,40),0)/100)))))/Skills!H9,1)))/Inputs!$B$43),G2488*Q2488))*IF(Inputs!$B$38="pvp",1,(1+(Inputs!$B$21+Skills!Q9+(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9">
      <c r="A2489">
        <f>Skills!A10</f>
        <v/>
      </c>
      <c r="B2489">
        <f>Skills!B10</f>
        <v/>
      </c>
      <c r="C2489">
        <f>Inputs!$B$3&gt;=103</f>
        <v/>
      </c>
      <c r="D2489">
        <f>IF(Skills!C10=1,60+Inputs!$B$25+Inputs!$B$29,IF(Skills!C10=2,90+Inputs!$B$26+Inputs!$B$29,IF(Skills!C10=3,120+Inputs!$B$27+Inputs!$B$29,MAX(0,(Inputs!$B$3-100)*3)+Inputs!$B$28+Inputs!$B$29)))</f>
        <v/>
      </c>
      <c r="E2489">
        <f>INDEX(FactorTable!$B$2:$Y$301, MATCH(ROUND(MIN(300,MAX(1,D2489)),0), FactorTable!$A$2:$A$301,0), Skills!M10+1)</f>
        <v/>
      </c>
      <c r="F2489">
        <f>IF(Skills!N10=TRUE,(Skills!L10/10)*(E2489/1000),Skills!L10/10)+Skills!O10</f>
        <v/>
      </c>
      <c r="G2489">
        <f>Skills!G10*IF(Skills!H10&gt;0,Skills!I10/Skills!H10,1)</f>
        <v/>
      </c>
      <c r="H2489">
        <f>1-(1-Skills!J10/100)^Skills!K10</f>
        <v/>
      </c>
      <c r="I2489" t="inlineStr">
        <is>
          <t>1</t>
        </is>
      </c>
      <c r="J2489">
        <f>((Inputs!$B$6*(1+Inputs!$B$7/100))+(((Inputs!$B$12*(1+Inputs!$B$13/100))-(Inputs!$B$12*(1+Inputs!$B$13/100)))+0.25*(Inputs!$B$14-Inputs!$B$14))*(1+Inputs!$B$7/100))*(F2489/100)</f>
        <v/>
      </c>
      <c r="K2489">
        <f>J2489*(1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2489)</f>
        <v/>
      </c>
      <c r="L2489">
        <f>K2489*(MIN(Inputs!$B$22+((C2499=TRUE)*(F2499-Calc!F20)),(Inputs!$B$23+0+(IF(ArtifactsInput!$M$15,CHOOSE(ArtifactsInput!$N$15+1,25,30,35,40,45,50)/100*(Inputs!$B$11-Inputs!$B$11),0))))/100+(Inputs!$B$23+0+(IF(ArtifactsInput!$M$15,CHOOSE(ArtifactsInput!$N$15+1,25,30,35,40,45,50)/100*(Inputs!$B$11-Inputs!$B$11),0)))/100)/2</f>
        <v/>
      </c>
      <c r="M2489">
        <f>L2489*(1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9">
        <f>L2489*(1-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2489*(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9">
        <f>(1-Summary!$B$11)*T2489+Summary!$B$11*V2489</f>
        <v/>
      </c>
      <c r="P2489">
        <f>IF(B2514=0,0,O2489/B2514)</f>
        <v/>
      </c>
      <c r="Q2489">
        <f>IFERROR(1/(IF(Inputs!$B$38="pvp",15,MAX(0.1,Skills!D10-IF(Skills!E10=TRUE,1.0,0)))*(1-IF(AND(ArtifactsInput!$M$27,Inputs!$B$4="Chapter Hunt"),CHOOSE(ArtifactsInput!$N$27+1,20,24,28,32,36,40),0)/100)),0)</f>
        <v/>
      </c>
      <c r="R2489">
        <f>IF(AND(Inputs!$B$38&lt;&gt;"pvp",Inputs!$B$43&gt;0),IF(MAX(0,Inputs!$B$43-B2511)&lt;=0,0,(INT(MAX(0,Inputs!$B$43-B2511)/(IF(Inputs!$B$38="pvp",15,MAX(0.1,Skills!D10-IF(Skills!E10=TRUE,1.0,0)))*(1-IF(AND(ArtifactsInput!$M$27,Inputs!$B$4="Chapter Hunt"),CHOOSE(ArtifactsInput!$N$27+1,20,24,28,32,36,40),0)/100)))+1)),0)</f>
        <v/>
      </c>
      <c r="S2489">
        <f>IFERROR(O2489/N2489,0)</f>
        <v/>
      </c>
      <c r="T2489">
        <f>IF(C2489,(H2489*N2489*IF(AND(Inputs!$B$38&lt;&gt;"pvp",Inputs!$B$43&gt;0),((Skills!G10*((R2489-1)*IF(Skills!H10&gt;0,Skills!I10/Skills!H10,1)+IF(Skills!H10&gt;0,MIN(Skills!I10,MAX(0,MAX(0,Inputs!$B$43-B2511)-((R2489-1)*(IF(Inputs!$B$38="pvp",15,MAX(0.1,Skills!D10-IF(Skills!E10=TRUE,1.0,0)))*(1-IF(AND(ArtifactsInput!$M$27,Inputs!$B$4="Chapter Hunt"),CHOOSE(ArtifactsInput!$N$27+1,20,24,28,32,36,40),0)/100)))))/Skills!H10,1)))/Inputs!$B$43),G2489*Q2489)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2489*(1-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2489*(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2489*(1-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2489*(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9">
        <f>IF(C2489,(H2489*N2489*IF(AND(Inputs!$B$38&lt;&gt;"pvp",Inputs!$B$43&gt;0),((Skills!G10*((R2489-1)*IF(Skills!H10&gt;0,Skills!I10/Skills!H10,1)+IF(Skills!H10&gt;0,MIN(Skills!I10,MAX(0,MAX(0,Inputs!$B$43-B2511)-((R2489-1)*(IF(Inputs!$B$38="pvp",15,MAX(0.1,Skills!D10-IF(Skills!E10=TRUE,1.0,0)))*(1-IF(AND(ArtifactsInput!$M$27,Inputs!$B$4="Chapter Hunt"),CHOOSE(ArtifactsInput!$N$27+1,20,24,28,32,36,40),0)/100)))))/Skills!H10,1)))/Inputs!$B$43),G2489*Q2489))*IF(Inputs!$B$38="pvp",1,(1+(Inputs!$B$21+Skills!Q10+(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0">
      <c r="A2490">
        <f>Skills!A11</f>
        <v/>
      </c>
      <c r="B2490">
        <f>Skills!B11</f>
        <v/>
      </c>
      <c r="C2490">
        <f>Inputs!$B$3&gt;=113</f>
        <v/>
      </c>
      <c r="D2490">
        <f>IF(Skills!C11=1,60+Inputs!$B$25+Inputs!$B$29,IF(Skills!C11=2,90+Inputs!$B$26+Inputs!$B$29,IF(Skills!C11=3,120+Inputs!$B$27+Inputs!$B$29,MAX(0,(Inputs!$B$3-100)*3)+Inputs!$B$28+Inputs!$B$29)))</f>
        <v/>
      </c>
      <c r="E2490">
        <f>INDEX(FactorTable!$B$2:$Y$301, MATCH(ROUND(MIN(300,MAX(1,D2490)),0), FactorTable!$A$2:$A$301,0), Skills!M11+1)</f>
        <v/>
      </c>
      <c r="F2490">
        <f>IF(Skills!N11=TRUE,(Skills!L11/10)*(E2490/1000),Skills!L11/10)+Skills!O11</f>
        <v/>
      </c>
      <c r="G2490">
        <f>Skills!G11*IF(Skills!H11&gt;0,Skills!I11/Skills!H11,1)</f>
        <v/>
      </c>
      <c r="H2490">
        <f>1-(1-Skills!J11/100)^Skills!K11</f>
        <v/>
      </c>
      <c r="I2490" t="inlineStr">
        <is>
          <t>1</t>
        </is>
      </c>
      <c r="J2490">
        <f>((Inputs!$B$6*(1+Inputs!$B$7/100))+(((Inputs!$B$12*(1+Inputs!$B$13/100))-(Inputs!$B$12*(1+Inputs!$B$13/100)))+0.25*(Inputs!$B$14-Inputs!$B$14))*(1+Inputs!$B$7/100))*(F2490/100)</f>
        <v/>
      </c>
      <c r="K2490">
        <f>J2490*(1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2490)</f>
        <v/>
      </c>
      <c r="L2490">
        <f>K2490*(MIN(Inputs!$B$22+((C2499=TRUE)*(F2499-Calc!F20)),(Inputs!$B$23+0+(IF(ArtifactsInput!$M$15,CHOOSE(ArtifactsInput!$N$15+1,25,30,35,40,45,50)/100*(Inputs!$B$11-Inputs!$B$11),0))))/100+(Inputs!$B$23+0+(IF(ArtifactsInput!$M$15,CHOOSE(ArtifactsInput!$N$15+1,25,30,35,40,45,50)/100*(Inputs!$B$11-Inputs!$B$11),0)))/100)/2</f>
        <v/>
      </c>
      <c r="M2490">
        <f>L2490*(1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0">
        <f>L2490*(1-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2490*(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0">
        <f>(1-Summary!$B$11)*T2490+Summary!$B$11*V2490</f>
        <v/>
      </c>
      <c r="P2490">
        <f>IF(B2514=0,0,O2490/B2514)</f>
        <v/>
      </c>
      <c r="Q2490">
        <f>IFERROR(1/(IF(Inputs!$B$38="pvp",15,MAX(0.1,Skills!D11-IF(Skills!E11=TRUE,1.0,0)))*(1-IF(AND(ArtifactsInput!$M$27,Inputs!$B$4="Chapter Hunt"),CHOOSE(ArtifactsInput!$N$27+1,20,24,28,32,36,40),0)/100)),0)</f>
        <v/>
      </c>
      <c r="R2490">
        <f>IF(AND(Inputs!$B$38&lt;&gt;"pvp",Inputs!$B$43&gt;0),IF(MAX(0,Inputs!$B$43-B2511)&lt;=0,0,(INT(MAX(0,Inputs!$B$43-B2511)/(IF(Inputs!$B$38="pvp",15,MAX(0.1,Skills!D11-IF(Skills!E11=TRUE,1.0,0)))*(1-IF(AND(ArtifactsInput!$M$27,Inputs!$B$4="Chapter Hunt"),CHOOSE(ArtifactsInput!$N$27+1,20,24,28,32,36,40),0)/100)))+1)),0)</f>
        <v/>
      </c>
      <c r="S2490">
        <f>IFERROR(O2490/N2490,0)</f>
        <v/>
      </c>
      <c r="T2490">
        <f>IF(C2490,(H2490*N2490*IF(AND(Inputs!$B$38&lt;&gt;"pvp",Inputs!$B$43&gt;0),((Skills!G11*((R2490-1)*IF(Skills!H11&gt;0,Skills!I11/Skills!H11,1)+IF(Skills!H11&gt;0,MIN(Skills!I11,MAX(0,MAX(0,Inputs!$B$43-B2511)-((R2490-1)*(IF(Inputs!$B$38="pvp",15,MAX(0.1,Skills!D11-IF(Skills!E11=TRUE,1.0,0)))*(1-IF(AND(ArtifactsInput!$M$27,Inputs!$B$4="Chapter Hunt"),CHOOSE(ArtifactsInput!$N$27+1,20,24,28,32,36,40),0)/100)))))/Skills!H11,1)))/Inputs!$B$43),G2490*Q2490)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2490*(1-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2490*(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2490*(1-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2490*(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0">
        <f>IF(C2490,(H2490*N2490*IF(AND(Inputs!$B$38&lt;&gt;"pvp",Inputs!$B$43&gt;0),((Skills!G11*((R2490-1)*IF(Skills!H11&gt;0,Skills!I11/Skills!H11,1)+IF(Skills!H11&gt;0,MIN(Skills!I11,MAX(0,MAX(0,Inputs!$B$43-B2511)-((R2490-1)*(IF(Inputs!$B$38="pvp",15,MAX(0.1,Skills!D11-IF(Skills!E11=TRUE,1.0,0)))*(1-IF(AND(ArtifactsInput!$M$27,Inputs!$B$4="Chapter Hunt"),CHOOSE(ArtifactsInput!$N$27+1,20,24,28,32,36,40),0)/100)))))/Skills!H11,1)))/Inputs!$B$43),G2490*Q2490))*IF(Inputs!$B$38="pvp",1,(1+(Inputs!$B$21+Skills!Q11+(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1">
      <c r="A2491">
        <f>Skills!A12</f>
        <v/>
      </c>
      <c r="B2491">
        <f>Skills!B12</f>
        <v/>
      </c>
      <c r="C2491">
        <f>Inputs!$B$3&gt;=100</f>
        <v/>
      </c>
      <c r="D2491">
        <f>IF(Skills!C12=1,60+Inputs!$B$25+Inputs!$B$29,IF(Skills!C12=2,90+Inputs!$B$26+Inputs!$B$29,IF(Skills!C12=3,120+Inputs!$B$27+Inputs!$B$29,MAX(0,(Inputs!$B$3-100)*3)+Inputs!$B$28+Inputs!$B$29)))</f>
        <v/>
      </c>
      <c r="E2491">
        <f>INDEX(FactorTable!$B$2:$Y$301, MATCH(ROUND(MIN(300,MAX(1,D2491)),0), FactorTable!$A$2:$A$301,0), Skills!M12+1)</f>
        <v/>
      </c>
      <c r="F2491">
        <f>IF(Skills!N12=TRUE,(Skills!L12/10)*(E2491/1000),Skills!L12/10)+Skills!O12</f>
        <v/>
      </c>
      <c r="G2491" t="inlineStr"/>
      <c r="H2491" t="inlineStr"/>
      <c r="I2491" t="inlineStr">
        <is>
          <t>1</t>
        </is>
      </c>
      <c r="J2491" t="inlineStr"/>
      <c r="K2491" t="inlineStr"/>
      <c r="L2491" t="inlineStr"/>
      <c r="M2491" t="inlineStr"/>
      <c r="N2491" t="inlineStr"/>
      <c r="O2491" t="inlineStr"/>
      <c r="P2491" t="inlineStr"/>
      <c r="Q2491" t="inlineStr"/>
      <c r="R2491" t="inlineStr"/>
      <c r="S2491" t="inlineStr"/>
      <c r="T2491" t="inlineStr"/>
      <c r="V2491" t="inlineStr"/>
    </row>
    <row r="2492">
      <c r="A2492">
        <f>Skills!A13</f>
        <v/>
      </c>
      <c r="B2492">
        <f>Skills!B13</f>
        <v/>
      </c>
      <c r="C2492">
        <f>Inputs!$B$3&gt;=66</f>
        <v/>
      </c>
      <c r="D2492">
        <f>IF(Skills!C13=1,60+Inputs!$B$25+Inputs!$B$29,IF(Skills!C13=2,90+Inputs!$B$26+Inputs!$B$29,IF(Skills!C13=3,120+Inputs!$B$27+Inputs!$B$29,MAX(0,(Inputs!$B$3-100)*3)+Inputs!$B$28+Inputs!$B$29)))</f>
        <v/>
      </c>
      <c r="E2492">
        <f>INDEX(FactorTable!$B$2:$Y$301, MATCH(ROUND(MIN(300,MAX(1,D2492)),0), FactorTable!$A$2:$A$301,0), Skills!M13+1)</f>
        <v/>
      </c>
      <c r="F2492">
        <f>IF(Skills!N13=TRUE,(Skills!L13/10)*(E2492/1000),Skills!L13/10)+Skills!O13</f>
        <v/>
      </c>
      <c r="G2492">
        <f>Skills!G13*IF(Skills!H13&gt;0,Skills!I13/Skills!H13,1)</f>
        <v/>
      </c>
      <c r="H2492">
        <f>1-(1-Skills!J13/100)^Skills!K13</f>
        <v/>
      </c>
      <c r="I2492" t="inlineStr">
        <is>
          <t>1</t>
        </is>
      </c>
      <c r="J2492" t="inlineStr"/>
      <c r="K2492" t="inlineStr"/>
      <c r="L2492" t="inlineStr"/>
      <c r="M2492" t="inlineStr"/>
      <c r="N2492" t="inlineStr"/>
      <c r="O2492">
        <f>(1-Summary!$B$11)*T2492+Summary!$B$11*V2492</f>
        <v/>
      </c>
      <c r="P2492">
        <f>IF(B2514=0,0,O2492/B2514)</f>
        <v/>
      </c>
      <c r="Q2492" t="n">
        <v>0</v>
      </c>
      <c r="R2492" t="n">
        <v>0</v>
      </c>
      <c r="S2492">
        <f>IFERROR(O2492/N2492,0)</f>
        <v/>
      </c>
      <c r="T2492" t="n">
        <v>0</v>
      </c>
      <c r="V2492" t="n">
        <v>0</v>
      </c>
    </row>
    <row r="2493">
      <c r="A2493">
        <f>Skills!A14</f>
        <v/>
      </c>
      <c r="B2493">
        <f>Skills!B14</f>
        <v/>
      </c>
      <c r="C2493">
        <f>Inputs!$B$3&gt;=107</f>
        <v/>
      </c>
      <c r="D2493">
        <f>IF(Skills!C14=1,60+Inputs!$B$25+Inputs!$B$29,IF(Skills!C14=2,90+Inputs!$B$26+Inputs!$B$29,IF(Skills!C14=3,120+Inputs!$B$27+Inputs!$B$29,MAX(0,(Inputs!$B$3-100)*3)+Inputs!$B$28+Inputs!$B$29)))</f>
        <v/>
      </c>
      <c r="E2493">
        <f>INDEX(FactorTable!$B$2:$Y$301, MATCH(ROUND(MIN(300,MAX(1,D2493)),0), FactorTable!$A$2:$A$301,0), Skills!M14+1)</f>
        <v/>
      </c>
      <c r="F2493">
        <f>IF(Skills!N14=TRUE,(Skills!L14/10)*(E2493/1000),Skills!L14/10)+Skills!O14</f>
        <v/>
      </c>
      <c r="G2493">
        <f>Skills!G14*IF(Skills!H14&gt;0,Skills!I14/Skills!H14,1)</f>
        <v/>
      </c>
      <c r="H2493">
        <f>1-(1-Skills!J14/100)^Skills!K14</f>
        <v/>
      </c>
      <c r="I2493" t="inlineStr">
        <is>
          <t>1</t>
        </is>
      </c>
      <c r="J2493" t="inlineStr"/>
      <c r="K2493" t="inlineStr"/>
      <c r="L2493" t="inlineStr"/>
      <c r="M2493" t="inlineStr"/>
      <c r="N2493" t="inlineStr"/>
      <c r="O2493">
        <f>(1-Summary!$B$11)*T2493+Summary!$B$11*V2493</f>
        <v/>
      </c>
      <c r="P2493">
        <f>IF(B2514=0,0,O2493/B2514)</f>
        <v/>
      </c>
      <c r="Q2493" t="n">
        <v>0</v>
      </c>
      <c r="R2493" t="n">
        <v>0</v>
      </c>
      <c r="S2493">
        <f>IFERROR(O2493/N2493,0)</f>
        <v/>
      </c>
      <c r="T2493" t="n">
        <v>0</v>
      </c>
      <c r="V2493" t="n">
        <v>0</v>
      </c>
    </row>
    <row r="2494">
      <c r="A2494">
        <f>Skills!A15</f>
        <v/>
      </c>
      <c r="B2494">
        <f>Skills!B15</f>
        <v/>
      </c>
      <c r="C2494">
        <f>Inputs!$B$3&gt;=115</f>
        <v/>
      </c>
      <c r="D2494">
        <f>IF(Skills!C15=1,60+Inputs!$B$25+Inputs!$B$29,IF(Skills!C15=2,90+Inputs!$B$26+Inputs!$B$29,IF(Skills!C15=3,120+Inputs!$B$27+Inputs!$B$29,MAX(0,(Inputs!$B$3-100)*3)+Inputs!$B$28+Inputs!$B$29)))</f>
        <v/>
      </c>
      <c r="E2494">
        <f>INDEX(FactorTable!$B$2:$Y$301, MATCH(ROUND(MIN(300,MAX(1,D2494)),0), FactorTable!$A$2:$A$301,0), Skills!M15+1)</f>
        <v/>
      </c>
      <c r="F2494">
        <f>IF(Skills!N15=TRUE,(Skills!L15/10)*(E2494/1000),Skills!L15/10)+Skills!O15</f>
        <v/>
      </c>
      <c r="G2494">
        <f>Skills!G15*IF(Skills!H15&gt;0,Skills!I15/Skills!H15,1)</f>
        <v/>
      </c>
      <c r="H2494">
        <f>1-(1-Skills!J15/100)^Skills!K15</f>
        <v/>
      </c>
      <c r="I2494" t="inlineStr">
        <is>
          <t>1</t>
        </is>
      </c>
      <c r="J2494" t="inlineStr"/>
      <c r="K2494" t="inlineStr"/>
      <c r="L2494" t="inlineStr"/>
      <c r="M2494" t="inlineStr"/>
      <c r="N2494" t="inlineStr"/>
      <c r="O2494">
        <f>(1-Summary!$B$11)*T2494+Summary!$B$11*V2494</f>
        <v/>
      </c>
      <c r="P2494">
        <f>IF(B2514=0,0,O2494/B2514)</f>
        <v/>
      </c>
      <c r="Q2494" t="n">
        <v>0</v>
      </c>
      <c r="R2494" t="n">
        <v>0</v>
      </c>
      <c r="S2494">
        <f>IFERROR(O2494/N2494,0)</f>
        <v/>
      </c>
      <c r="T2494" t="n">
        <v>0</v>
      </c>
      <c r="V2494" t="n">
        <v>0</v>
      </c>
    </row>
    <row r="2495">
      <c r="A2495">
        <f>Skills!A16</f>
        <v/>
      </c>
      <c r="B2495">
        <f>Skills!B16</f>
        <v/>
      </c>
      <c r="C2495">
        <f>Inputs!$B$3&gt;=15</f>
        <v/>
      </c>
      <c r="D2495">
        <f>IF(Skills!C16=1,60+Inputs!$B$25+Inputs!$B$29,IF(Skills!C16=2,90+Inputs!$B$26+Inputs!$B$29,IF(Skills!C16=3,120+Inputs!$B$27+Inputs!$B$29,MAX(0,(Inputs!$B$3-100)*3)+Inputs!$B$28+Inputs!$B$29)))</f>
        <v/>
      </c>
      <c r="E2495">
        <f>INDEX(FactorTable!$B$2:$Y$301, MATCH(ROUND(MIN(300,MAX(1,D2495)),0), FactorTable!$A$2:$A$301,0), Skills!M16+1)</f>
        <v/>
      </c>
      <c r="F2495">
        <f>IF(Skills!N16=TRUE,(Skills!L16/10)*(E2495/1000),Skills!L16/10)+Skills!O16</f>
        <v/>
      </c>
      <c r="G2495">
        <f>Skills!G16*IF(Skills!H16&gt;0,Skills!I16/Skills!H16,1)</f>
        <v/>
      </c>
      <c r="H2495">
        <f>1-(1-Skills!J16/100)^Skills!K16</f>
        <v/>
      </c>
      <c r="I2495" t="inlineStr">
        <is>
          <t>1</t>
        </is>
      </c>
      <c r="J2495" t="inlineStr"/>
      <c r="K2495" t="inlineStr"/>
      <c r="L2495" t="inlineStr"/>
      <c r="M2495" t="inlineStr"/>
      <c r="N2495" t="inlineStr"/>
      <c r="O2495">
        <f>(1-Summary!$B$11)*T2495+Summary!$B$11*V2495</f>
        <v/>
      </c>
      <c r="P2495">
        <f>IF(B2514=0,0,O2495/B2514)</f>
        <v/>
      </c>
      <c r="Q2495" t="n">
        <v>0</v>
      </c>
      <c r="R2495" t="n">
        <v>0</v>
      </c>
      <c r="S2495">
        <f>IFERROR(O2495/N2495,0)</f>
        <v/>
      </c>
      <c r="T2495" t="n">
        <v>0</v>
      </c>
      <c r="V2495" t="n">
        <v>0</v>
      </c>
    </row>
    <row r="2496">
      <c r="A2496">
        <f>Skills!A17</f>
        <v/>
      </c>
      <c r="B2496">
        <f>Skills!B17</f>
        <v/>
      </c>
      <c r="C2496">
        <f>Inputs!$B$3&gt;=10</f>
        <v/>
      </c>
      <c r="D2496">
        <f>IF(Skills!C17=1,60+Inputs!$B$25+Inputs!$B$29,IF(Skills!C17=2,90+Inputs!$B$26+Inputs!$B$29,IF(Skills!C17=3,120+Inputs!$B$27+Inputs!$B$29,MAX(0,(Inputs!$B$3-100)*3)+Inputs!$B$28+Inputs!$B$29)))</f>
        <v/>
      </c>
      <c r="E2496">
        <f>INDEX(FactorTable!$B$2:$Y$301, MATCH(ROUND(MIN(300,MAX(1,D2496)),0), FactorTable!$A$2:$A$301,0), Skills!M17+1)</f>
        <v/>
      </c>
      <c r="F2496">
        <f>IF(Skills!N17=TRUE,(Skills!L17/10)*(E2496/1000),Skills!L17/10)+Skills!O17</f>
        <v/>
      </c>
      <c r="G2496">
        <f>Skills!G17*IF(Skills!H17&gt;0,Skills!I17/Skills!H17,1)</f>
        <v/>
      </c>
      <c r="H2496">
        <f>1-(1-Skills!J17/100)^Skills!K17</f>
        <v/>
      </c>
      <c r="I2496" t="inlineStr">
        <is>
          <t>1</t>
        </is>
      </c>
      <c r="J2496" t="inlineStr"/>
      <c r="K2496" t="inlineStr"/>
      <c r="L2496" t="inlineStr"/>
      <c r="M2496" t="inlineStr"/>
      <c r="N2496" t="inlineStr"/>
      <c r="O2496">
        <f>(1-Summary!$B$11)*T2496+Summary!$B$11*V2496</f>
        <v/>
      </c>
      <c r="P2496">
        <f>IF(B2514=0,0,O2496/B2514)</f>
        <v/>
      </c>
      <c r="Q2496" t="n">
        <v>0</v>
      </c>
      <c r="R2496" t="n">
        <v>0</v>
      </c>
      <c r="S2496">
        <f>IFERROR(O2496/N2496,0)</f>
        <v/>
      </c>
      <c r="T2496" t="n">
        <v>0</v>
      </c>
      <c r="V2496" t="n">
        <v>0</v>
      </c>
    </row>
    <row r="2497">
      <c r="A2497">
        <f>Skills!A18</f>
        <v/>
      </c>
      <c r="B2497">
        <f>Skills!B18</f>
        <v/>
      </c>
      <c r="C2497">
        <f>Inputs!$B$3&gt;=33</f>
        <v/>
      </c>
      <c r="D2497">
        <f>IF(Skills!C18=1,60+Inputs!$B$25+Inputs!$B$29,IF(Skills!C18=2,90+Inputs!$B$26+Inputs!$B$29,IF(Skills!C18=3,120+Inputs!$B$27+Inputs!$B$29,MAX(0,(Inputs!$B$3-100)*3)+Inputs!$B$28+Inputs!$B$29)))</f>
        <v/>
      </c>
      <c r="E2497">
        <f>INDEX(FactorTable!$B$2:$Y$301, MATCH(ROUND(MIN(300,MAX(1,D2497)),0), FactorTable!$A$2:$A$301,0), Skills!M18+1)</f>
        <v/>
      </c>
      <c r="F2497">
        <f>IF(Skills!N18=TRUE,(Skills!L18/10)*(E2497/1000),Skills!L18/10)+Skills!O18</f>
        <v/>
      </c>
      <c r="G2497">
        <f>Skills!G18*IF(Skills!H18&gt;0,Skills!I18/Skills!H18,1)</f>
        <v/>
      </c>
      <c r="H2497">
        <f>1-(1-Skills!J18/100)^Skills!K18</f>
        <v/>
      </c>
      <c r="I2497" t="inlineStr">
        <is>
          <t>1</t>
        </is>
      </c>
      <c r="J2497" t="inlineStr"/>
      <c r="K2497" t="inlineStr"/>
      <c r="L2497" t="inlineStr"/>
      <c r="M2497" t="inlineStr"/>
      <c r="N2497" t="inlineStr"/>
      <c r="O2497">
        <f>(1-Summary!$B$11)*T2497+Summary!$B$11*V2497</f>
        <v/>
      </c>
      <c r="P2497">
        <f>IF(B2514=0,0,O2497/B2514)</f>
        <v/>
      </c>
      <c r="Q2497" t="n">
        <v>0</v>
      </c>
      <c r="R2497" t="n">
        <v>0</v>
      </c>
      <c r="S2497">
        <f>IFERROR(O2497/N2497,0)</f>
        <v/>
      </c>
      <c r="T2497" t="n">
        <v>0</v>
      </c>
      <c r="V2497" t="n">
        <v>0</v>
      </c>
    </row>
    <row r="2498">
      <c r="A2498">
        <f>Skills!A19</f>
        <v/>
      </c>
      <c r="B2498">
        <f>Skills!B19</f>
        <v/>
      </c>
      <c r="C2498">
        <f>Inputs!$B$3&gt;=40</f>
        <v/>
      </c>
      <c r="D2498">
        <f>IF(Skills!C19=1,60+Inputs!$B$25+Inputs!$B$29,IF(Skills!C19=2,90+Inputs!$B$26+Inputs!$B$29,IF(Skills!C19=3,120+Inputs!$B$27+Inputs!$B$29,MAX(0,(Inputs!$B$3-100)*3)+Inputs!$B$28+Inputs!$B$29)))</f>
        <v/>
      </c>
      <c r="E2498">
        <f>INDEX(FactorTable!$B$2:$Y$301, MATCH(ROUND(MIN(300,MAX(1,D2498)),0), FactorTable!$A$2:$A$301,0), Skills!M19+1)</f>
        <v/>
      </c>
      <c r="F2498">
        <f>IF(Skills!N19=TRUE,(Skills!L19/10)*(E2498/1000),Skills!L19/10)+Skills!O19</f>
        <v/>
      </c>
      <c r="G2498">
        <f>Skills!G19*IF(Skills!H19&gt;0,Skills!I19/Skills!H19,1)</f>
        <v/>
      </c>
      <c r="H2498">
        <f>1-(1-Skills!J19/100)^Skills!K19</f>
        <v/>
      </c>
      <c r="I2498" t="inlineStr">
        <is>
          <t>1</t>
        </is>
      </c>
      <c r="J2498" t="inlineStr"/>
      <c r="K2498" t="inlineStr"/>
      <c r="L2498" t="inlineStr"/>
      <c r="M2498" t="inlineStr"/>
      <c r="N2498" t="inlineStr"/>
      <c r="O2498">
        <f>(1-Summary!$B$11)*T2498+Summary!$B$11*V2498</f>
        <v/>
      </c>
      <c r="P2498">
        <f>IF(B2514=0,0,O2498/B2514)</f>
        <v/>
      </c>
      <c r="Q2498" t="n">
        <v>0</v>
      </c>
      <c r="R2498" t="n">
        <v>0</v>
      </c>
      <c r="S2498">
        <f>IFERROR(O2498/N2498,0)</f>
        <v/>
      </c>
      <c r="T2498" t="n">
        <v>0</v>
      </c>
      <c r="V2498" t="n">
        <v>0</v>
      </c>
    </row>
    <row r="2499">
      <c r="A2499">
        <f>Skills!A20</f>
        <v/>
      </c>
      <c r="B2499">
        <f>Skills!B20</f>
        <v/>
      </c>
      <c r="C2499">
        <f>Inputs!$B$3&gt;=43</f>
        <v/>
      </c>
      <c r="D2499">
        <f>IF(Skills!C20=1,60+Inputs!$B$25+Inputs!$B$29,IF(Skills!C20=2,90+Inputs!$B$26+Inputs!$B$29,IF(Skills!C20=3,120+Inputs!$B$27+Inputs!$B$29,MAX(0,(Inputs!$B$3-100)*3)+Inputs!$B$28+Inputs!$B$29)))</f>
        <v/>
      </c>
      <c r="E2499">
        <f>INDEX(FactorTable!$B$2:$Y$301, MATCH(ROUND(MIN(300,MAX(1,D2499)),0), FactorTable!$A$2:$A$301,0), Skills!M20+1)</f>
        <v/>
      </c>
      <c r="F2499">
        <f>IF(Skills!N20=TRUE,(Skills!L20/10)*(E2499/1000),Skills!L20/10)+Skills!O20</f>
        <v/>
      </c>
      <c r="G2499">
        <f>Skills!G20*IF(Skills!H20&gt;0,Skills!I20/Skills!H20,1)</f>
        <v/>
      </c>
      <c r="H2499">
        <f>1-(1-Skills!J20/100)^Skills!K20</f>
        <v/>
      </c>
      <c r="I2499" t="inlineStr">
        <is>
          <t>1</t>
        </is>
      </c>
      <c r="J2499" t="inlineStr"/>
      <c r="K2499" t="inlineStr"/>
      <c r="L2499" t="inlineStr"/>
      <c r="M2499" t="inlineStr"/>
      <c r="N2499" t="inlineStr"/>
      <c r="O2499">
        <f>(1-Summary!$B$11)*T2499+Summary!$B$11*V2499</f>
        <v/>
      </c>
      <c r="P2499">
        <f>IF(B2514=0,0,O2499/B2514)</f>
        <v/>
      </c>
      <c r="Q2499" t="n">
        <v>0</v>
      </c>
      <c r="R2499" t="n">
        <v>0</v>
      </c>
      <c r="S2499">
        <f>IFERROR(O2499/N2499,0)</f>
        <v/>
      </c>
      <c r="T2499" t="n">
        <v>0</v>
      </c>
      <c r="V2499" t="n">
        <v>0</v>
      </c>
    </row>
    <row r="2500">
      <c r="A2500">
        <f>Skills!A21</f>
        <v/>
      </c>
      <c r="B2500">
        <f>Skills!B21</f>
        <v/>
      </c>
      <c r="C2500">
        <f>Inputs!$B$3&gt;=38</f>
        <v/>
      </c>
      <c r="D2500">
        <f>IF(Skills!C21=1,60+Inputs!$B$25+Inputs!$B$29,IF(Skills!C21=2,90+Inputs!$B$26+Inputs!$B$29,IF(Skills!C21=3,120+Inputs!$B$27+Inputs!$B$29,MAX(0,(Inputs!$B$3-100)*3)+Inputs!$B$28+Inputs!$B$29)))</f>
        <v/>
      </c>
      <c r="E2500">
        <f>INDEX(FactorTable!$B$2:$Y$301, MATCH(ROUND(MIN(300,MAX(1,D2500)),0), FactorTable!$A$2:$A$301,0), Skills!M21+1)</f>
        <v/>
      </c>
      <c r="F2500">
        <f>IF(Skills!N21=TRUE,(Skills!L21/10)*(E2500/1000),Skills!L21/10)+Skills!O21</f>
        <v/>
      </c>
      <c r="G2500">
        <f>Skills!G21*IF(Skills!H21&gt;0,Skills!I21/Skills!H21,1)</f>
        <v/>
      </c>
      <c r="H2500">
        <f>1-(1-Skills!J21/100)^Skills!K21</f>
        <v/>
      </c>
      <c r="I2500" t="inlineStr">
        <is>
          <t>1</t>
        </is>
      </c>
      <c r="J2500" t="inlineStr"/>
      <c r="K2500" t="inlineStr"/>
      <c r="L2500" t="inlineStr"/>
      <c r="M2500" t="inlineStr"/>
      <c r="N2500" t="inlineStr"/>
      <c r="O2500">
        <f>(1-Summary!$B$11)*T2500+Summary!$B$11*V2500</f>
        <v/>
      </c>
      <c r="P2500">
        <f>IF(B2514=0,0,O2500/B2514)</f>
        <v/>
      </c>
      <c r="Q2500" t="n">
        <v>0</v>
      </c>
      <c r="R2500" t="n">
        <v>0</v>
      </c>
      <c r="S2500">
        <f>IFERROR(O2500/N2500,0)</f>
        <v/>
      </c>
      <c r="T2500" t="n">
        <v>0</v>
      </c>
      <c r="V2500" t="n">
        <v>0</v>
      </c>
    </row>
    <row r="2501">
      <c r="A2501">
        <f>Skills!A22</f>
        <v/>
      </c>
      <c r="B2501">
        <f>Skills!B22</f>
        <v/>
      </c>
      <c r="C2501">
        <f>Inputs!$B$3&gt;=75</f>
        <v/>
      </c>
      <c r="D2501">
        <f>IF(Skills!C22=1,60+Inputs!$B$25+Inputs!$B$29,IF(Skills!C22=2,90+Inputs!$B$26+Inputs!$B$29,IF(Skills!C22=3,120+Inputs!$B$27+Inputs!$B$29,MAX(0,(Inputs!$B$3-100)*3)+Inputs!$B$28+Inputs!$B$29)))</f>
        <v/>
      </c>
      <c r="E2501">
        <f>INDEX(FactorTable!$B$2:$Y$301, MATCH(ROUND(MIN(300,MAX(1,D2501)),0), FactorTable!$A$2:$A$301,0), Skills!M22+1)</f>
        <v/>
      </c>
      <c r="F2501">
        <f>IF(Skills!N22=TRUE,(Skills!L22/10)*(E2501/1000),Skills!L22/10)+Skills!O22</f>
        <v/>
      </c>
      <c r="G2501">
        <f>Skills!G22*IF(Skills!H22&gt;0,Skills!I22/Skills!H22,1)</f>
        <v/>
      </c>
      <c r="H2501">
        <f>1-(1-Skills!J22/100)^Skills!K22</f>
        <v/>
      </c>
      <c r="I2501" t="inlineStr">
        <is>
          <t>1</t>
        </is>
      </c>
      <c r="J2501" t="inlineStr"/>
      <c r="K2501" t="inlineStr"/>
      <c r="L2501" t="inlineStr"/>
      <c r="M2501" t="inlineStr"/>
      <c r="N2501" t="inlineStr"/>
      <c r="O2501">
        <f>(1-Summary!$B$11)*T2501+Summary!$B$11*V2501</f>
        <v/>
      </c>
      <c r="P2501">
        <f>IF(B2514=0,0,O2501/B2514)</f>
        <v/>
      </c>
      <c r="Q2501" t="n">
        <v>0</v>
      </c>
      <c r="R2501" t="n">
        <v>0</v>
      </c>
      <c r="S2501">
        <f>IFERROR(O2501/N2501,0)</f>
        <v/>
      </c>
      <c r="T2501" t="n">
        <v>0</v>
      </c>
      <c r="V2501" t="n">
        <v>0</v>
      </c>
    </row>
    <row r="2503">
      <c r="A2503" t="inlineStr">
        <is>
          <t>Attack% Bucket Multiplier</t>
        </is>
      </c>
      <c r="B2503">
        <f>(1+(((C2492=TRUE)*F2492)+((C2498=TRUE)*(F2498-Calc!F19))+(IF(ArtifactsInput!$M$21,CHOOSE(ArtifactsInput!$N$21+1,25,30,35,40,45,50)*(IF(OR(Inputs!$B$4="Chapter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04">
      <c r="A2504" t="inlineStr">
        <is>
          <t>Global Crit Rate Bonus %</t>
        </is>
      </c>
      <c r="B2504" t="n">
        <v>0</v>
      </c>
    </row>
    <row r="2505">
      <c r="A2505" t="inlineStr">
        <is>
          <t>Attack Speed Buff Bonus % (unused)</t>
        </is>
      </c>
      <c r="B2505" t="n">
        <v>0</v>
      </c>
    </row>
    <row r="2506">
      <c r="A2506" t="inlineStr">
        <is>
          <t>Actions Per Second</t>
        </is>
      </c>
      <c r="B2506">
        <f>1+MIN(150,150*(1-(1-(Inputs!$B$11+((C2496=TRUE)*(F2496-Calc!F17))+((C2497=TRUE)*(F2497-Calc!F18)))/150)*(1-B2505/150)))/100</f>
        <v/>
      </c>
    </row>
    <row r="2507">
      <c r="A2507" t="inlineStr">
        <is>
          <t>Skill + Buff Cast Rate</t>
        </is>
      </c>
      <c r="B2507">
        <f>IF(AND(Inputs!$B$38&lt;&gt;"pvp",Inputs!$B$43&gt;0),SUMPRODUCT((Skills!E2:E22=TRUE)*(C2481:C2501=TRUE)*R2481:R2501*Skills!F2:F22)/Inputs!$B$43,SUMPRODUCT((Skills!E2:E22=TRUE)*(C2481:C2501=TRUE)*Q2481:Q2501*Skills!F2:F22))</f>
        <v/>
      </c>
    </row>
    <row r="2508">
      <c r="A2508" t="inlineStr">
        <is>
          <t>Hook Bomber Casts Per Second</t>
        </is>
      </c>
      <c r="B2508">
        <f>MAX(0,B2506-B2507)</f>
        <v/>
      </c>
    </row>
    <row r="2509">
      <c r="A2509" t="inlineStr">
        <is>
          <t>Global Critical Damage Bonus % (unused)</t>
        </is>
      </c>
      <c r="B2509" t="n">
        <v>0</v>
      </c>
    </row>
    <row r="2510">
      <c r="A2510" t="inlineStr">
        <is>
          <t>Global Final Damage Bonus % (Serpent Scale + Crossbones + Time Leap + Speed Infusion)</t>
        </is>
      </c>
      <c r="B2510">
        <f>((C2484=TRUE)*F2484*((10+IF(Inputs!$B$3&gt;=94,5,0))/((10+IF(Inputs!$B$3&gt;=94,5,0))+5/(B2508*(1+IF(Inputs!$B$3&gt;=104,1,0))))))+((C2493=TRUE)*F2493)+((C2494=TRUE)*F2494)+((Inputs!$B$3&gt;=110)*20*(B2506-1))</f>
        <v/>
      </c>
    </row>
    <row r="2511">
      <c r="A2511" t="inlineStr">
        <is>
          <t>Buff-Casting Startup Delay (s, fixed-duration only)</t>
        </is>
      </c>
      <c r="B2511">
        <f>IF(AND(Inputs!$B$38&lt;&gt;"pvp",Inputs!$B$43&gt;0),SUMPRODUCT((Skills!T2:T22&gt;0)*(Skills!E2:E22=TRUE)*(C2481:C2501=TRUE))/B2506,0)</f>
        <v/>
      </c>
    </row>
    <row r="2512">
      <c r="A2512" t="inlineStr">
        <is>
          <t>Boss-Only Total DPS (this block's swept value)</t>
        </is>
      </c>
      <c r="B2512">
        <f>SUM(T2481:T2501)</f>
        <v/>
      </c>
    </row>
    <row r="2513">
      <c r="A2513" t="inlineStr">
        <is>
          <t>Normal-Only Total DPS (this block's swept value)</t>
        </is>
      </c>
      <c r="B2513">
        <f>SUM(V2481:V2501)</f>
        <v/>
      </c>
    </row>
    <row r="2514">
      <c r="A2514" s="6" t="inlineStr">
        <is>
          <t>TOTAL DPS</t>
        </is>
      </c>
      <c r="B2514" s="6">
        <f>SUM(O2481:O2501)</f>
        <v/>
      </c>
    </row>
    <row r="2517">
      <c r="A2517" s="6" t="inlineStr">
        <is>
          <t>Stat: CDR = 1.5s</t>
        </is>
      </c>
    </row>
    <row r="2518">
      <c r="A2518" s="5" t="inlineStr">
        <is>
          <t>Key</t>
        </is>
      </c>
      <c r="B2518" s="5" t="inlineStr">
        <is>
          <t>Name</t>
        </is>
      </c>
      <c r="C2518" s="5" t="inlineStr">
        <is>
          <t>Unlocked</t>
        </is>
      </c>
      <c r="D2518" s="5" t="inlineStr">
        <is>
          <t>InputLevel</t>
        </is>
      </c>
      <c r="E2518" s="5" t="inlineStr">
        <is>
          <t>Factor</t>
        </is>
      </c>
      <c r="F2518" s="5" t="inlineStr">
        <is>
          <t>CoefficientPercent</t>
        </is>
      </c>
      <c r="G2518" s="5" t="inlineStr">
        <is>
          <t>EffectiveHits</t>
        </is>
      </c>
      <c r="H2518" s="5" t="inlineStr">
        <is>
          <t>ProcProbability</t>
        </is>
      </c>
      <c r="I2518" s="5" t="inlineStr">
        <is>
          <t>MapleHeroMultiplier</t>
        </is>
      </c>
      <c r="J2518" s="5" t="inlineStr">
        <is>
          <t>BaseDamage</t>
        </is>
      </c>
      <c r="K2518" s="5" t="inlineStr">
        <is>
          <t>BaseHitDamage</t>
        </is>
      </c>
      <c r="L2518" s="5" t="inlineStr">
        <is>
          <t>NonCritAvg</t>
        </is>
      </c>
      <c r="M2518" s="5" t="inlineStr">
        <is>
          <t>CritAvg</t>
        </is>
      </c>
      <c r="N2518" s="5" t="inlineStr">
        <is>
          <t>ExpectedDamage(perHit)</t>
        </is>
      </c>
      <c r="O2518" s="5" t="inlineStr">
        <is>
          <t>DPS</t>
        </is>
      </c>
      <c r="P2518" s="5" t="inlineStr">
        <is>
          <t>% of Total</t>
        </is>
      </c>
      <c r="Q2518" s="5" t="inlineStr">
        <is>
          <t>InvCooldown</t>
        </is>
      </c>
      <c r="R2518" s="5" t="inlineStr">
        <is>
          <t>CastsInFight</t>
        </is>
      </c>
      <c r="S2518" s="5" t="inlineStr">
        <is>
          <t>HitRate(perSec)</t>
        </is>
      </c>
      <c r="U2518" t="inlineStr">
        <is>
          <t>helpers</t>
        </is>
      </c>
    </row>
    <row r="2519">
      <c r="A2519">
        <f>Skills!A2</f>
        <v/>
      </c>
      <c r="B2519">
        <f>Skills!B2</f>
        <v/>
      </c>
      <c r="C2519">
        <f>Inputs!$B$3&gt;=100</f>
        <v/>
      </c>
      <c r="D2519" t="inlineStr"/>
      <c r="E2519" t="inlineStr"/>
      <c r="F2519">
        <f>U2521+Skills!O2</f>
        <v/>
      </c>
      <c r="G2519">
        <f>Skills!G2*IF(Skills!H2&gt;0,Skills!I2/Skills!H2,1)</f>
        <v/>
      </c>
      <c r="H2519">
        <f>1-(1-Skills!J2/100)^Skills!K2</f>
        <v/>
      </c>
      <c r="I2519" t="inlineStr">
        <is>
          <t>1</t>
        </is>
      </c>
      <c r="J2519">
        <f>((Inputs!$B$6*(1+Inputs!$B$7/100))+(((Inputs!$B$12*(1+Inputs!$B$13/100))-(Inputs!$B$12*(1+Inputs!$B$13/100)))+0.25*(Inputs!$B$14-Inputs!$B$14))*(1+Inputs!$B$7/100))*(F2519/100)</f>
        <v/>
      </c>
      <c r="K2519">
        <f>J2519*(1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2519)</f>
        <v/>
      </c>
      <c r="L2519">
        <f>K2519*(MIN(Inputs!$B$22+((C2537=TRUE)*(F2537-Calc!F20)),(Inputs!$B$23+0+(IF(ArtifactsInput!$M$15,CHOOSE(ArtifactsInput!$N$15+1,25,30,35,40,45,50)/100*(Inputs!$B$11-Inputs!$B$11),0))))/100+(Inputs!$B$23+0+(IF(ArtifactsInput!$M$15,CHOOSE(ArtifactsInput!$N$15+1,25,30,35,40,45,50)/100*(Inputs!$B$11-Inputs!$B$11),0)))/100)/2</f>
        <v/>
      </c>
      <c r="M2519">
        <f>L2519*(1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9">
        <f>L2519*(1-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2519*(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9">
        <f>(1-Summary!$B$11)*T2519+Summary!$B$11*V2519</f>
        <v/>
      </c>
      <c r="P2519">
        <f>IF(B2552=0,0,O2519/B2552)</f>
        <v/>
      </c>
      <c r="Q2519" t="n">
        <v>0</v>
      </c>
      <c r="R2519" t="n">
        <v>0</v>
      </c>
      <c r="S2519">
        <f>IFERROR(O2519/N2519,0)</f>
        <v/>
      </c>
      <c r="T2519">
        <f>IF(C2519,(Skills!G2*N2519*B2546)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2519*(1-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2519*(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2519*(1-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2519*(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9">
        <f>MAX(0,(Inputs!$B$3-100)*3)+Inputs!$B$28+Inputs!$B$29</f>
        <v/>
      </c>
      <c r="V2519">
        <f>IF(C2519,(Skills!G2*N2519*B2546)*IF(Inputs!$B$38="pvp",1,(1+(Inputs!$B$21+Skills!Q2+(IF(ArtifactsInput!$M$33,CHOOSE(ArtifactsInput!$N$33+1,30,36,42,48,54,60),0))+(IF(AND(ArtifactsInput!$M$35,Inputs!$B$4&lt;&gt;"Chapter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0">
      <c r="A2520">
        <f>Skills!A3</f>
        <v/>
      </c>
      <c r="B2520">
        <f>Skills!B3</f>
        <v/>
      </c>
      <c r="C2520">
        <f>Inputs!$B$3&gt;=35</f>
        <v/>
      </c>
      <c r="D2520">
        <f>IF(Skills!C3=1,60+Inputs!$B$25+Inputs!$B$29,IF(Skills!C3=2,90+Inputs!$B$26+Inputs!$B$29,IF(Skills!C3=3,120+Inputs!$B$27+Inputs!$B$29,MAX(0,(Inputs!$B$3-100)*3)+Inputs!$B$28+Inputs!$B$29)))</f>
        <v/>
      </c>
      <c r="E2520">
        <f>INDEX(FactorTable!$B$2:$Y$301, MATCH(ROUND(MIN(300,MAX(1,D2520)),0), FactorTable!$A$2:$A$301,0), Skills!M3+1)</f>
        <v/>
      </c>
      <c r="F2520">
        <f>IF(Skills!N3=TRUE,(Skills!L3/10)*(E2520/1000),Skills!L3/10)+Skills!O3</f>
        <v/>
      </c>
      <c r="G2520">
        <f>Skills!G3*IF(Skills!H3&gt;0,Skills!I3/Skills!H3,1)</f>
        <v/>
      </c>
      <c r="H2520">
        <f>1-(1-Skills!J3/100)^Skills!K3</f>
        <v/>
      </c>
      <c r="I2520" t="inlineStr">
        <is>
          <t>1</t>
        </is>
      </c>
      <c r="J2520">
        <f>((Inputs!$B$6*(1+Inputs!$B$7/100))+(((Inputs!$B$12*(1+Inputs!$B$13/100))-(Inputs!$B$12*(1+Inputs!$B$13/100)))+0.25*(Inputs!$B$14-Inputs!$B$14))*(1+Inputs!$B$7/100))*(F2520/100)</f>
        <v/>
      </c>
      <c r="K2520">
        <f>J2520*(1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2520)</f>
        <v/>
      </c>
      <c r="L2520">
        <f>K2520*(MIN(Inputs!$B$22+((C2537=TRUE)*(F2537-Calc!F20)),(Inputs!$B$23+0+(IF(ArtifactsInput!$M$15,CHOOSE(ArtifactsInput!$N$15+1,25,30,35,40,45,50)/100*(Inputs!$B$11-Inputs!$B$11),0))))/100+(Inputs!$B$23+0+(IF(ArtifactsInput!$M$15,CHOOSE(ArtifactsInput!$N$15+1,25,30,35,40,45,50)/100*(Inputs!$B$11-Inputs!$B$11),0)))/100)/2</f>
        <v/>
      </c>
      <c r="M2520">
        <f>L2520*(1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0">
        <f>L2520*(1-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2520*(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0">
        <f>(1-Summary!$B$11)*T2520+Summary!$B$11*V2520</f>
        <v/>
      </c>
      <c r="P2520">
        <f>IF(B2552=0,0,O2520/B2552)</f>
        <v/>
      </c>
      <c r="Q2520" t="n">
        <v>0</v>
      </c>
      <c r="R2520" t="n">
        <v>0</v>
      </c>
      <c r="S2520">
        <f>IFERROR(O2520/N2520,0)</f>
        <v/>
      </c>
      <c r="T2520">
        <f>IF(C2520,(Skills!G3*H2520*N2520*B2546)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2520*(1-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2520*(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2520*(1-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2520*(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0">
        <f>INDEX(FactorTable!$B$2:$Y$301, MATCH(ROUND(MIN(300,MAX(1,U2519)),0), FactorTable!$A$2:$A$301,0), 22)</f>
        <v/>
      </c>
      <c r="V2520">
        <f>IF(C2520,(Skills!G3*H2520*N2520*B2546)*IF(Inputs!$B$38="pvp",1,(1+(Inputs!$B$21+Skills!Q3+(IF(ArtifactsInput!$M$33,CHOOSE(ArtifactsInput!$N$33+1,30,36,42,48,54,60),0))+(IF(AND(ArtifactsInput!$M$35,Inputs!$B$4&lt;&gt;"Chapter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1">
      <c r="A2521">
        <f>Skills!A4</f>
        <v/>
      </c>
      <c r="B2521">
        <f>Skills!B4</f>
        <v/>
      </c>
      <c r="C2521">
        <f>Inputs!$B$3&gt;=60</f>
        <v/>
      </c>
      <c r="D2521">
        <f>IF(Skills!C4=1,60+Inputs!$B$25+Inputs!$B$29,IF(Skills!C4=2,90+Inputs!$B$26+Inputs!$B$29,IF(Skills!C4=3,120+Inputs!$B$27+Inputs!$B$29,MAX(0,(Inputs!$B$3-100)*3)+Inputs!$B$28+Inputs!$B$29)))</f>
        <v/>
      </c>
      <c r="E2521">
        <f>INDEX(FactorTable!$B$2:$Y$301, MATCH(ROUND(MIN(300,MAX(1,D2521)),0), FactorTable!$A$2:$A$301,0), Skills!M4+1)</f>
        <v/>
      </c>
      <c r="F2521">
        <f>IF(Skills!N4=TRUE,(Skills!L4/10)*(E2521/1000),Skills!L4/10)+Skills!O4</f>
        <v/>
      </c>
      <c r="G2521">
        <f>Skills!G4*IF(Skills!H4&gt;0,Skills!I4/Skills!H4,1)</f>
        <v/>
      </c>
      <c r="H2521">
        <f>1-(1-Skills!J4/100)^Skills!K4</f>
        <v/>
      </c>
      <c r="I2521" t="inlineStr">
        <is>
          <t>1</t>
        </is>
      </c>
      <c r="J2521">
        <f>((Inputs!$B$6*(1+Inputs!$B$7/100))+(((Inputs!$B$12*(1+Inputs!$B$13/100))-(Inputs!$B$12*(1+Inputs!$B$13/100)))+0.25*(Inputs!$B$14-Inputs!$B$14))*(1+Inputs!$B$7/100))*(F2521/100)</f>
        <v/>
      </c>
      <c r="K2521">
        <f>J2521*(1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2529=TRUE,F2529,0)/100)*(1+(IF(Skills!A4="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2521)</f>
        <v/>
      </c>
      <c r="L2521">
        <f>K2521*(MIN(Inputs!$B$22+((C2537=TRUE)*(F2537-Calc!F20)),(Inputs!$B$23+0+(IF(ArtifactsInput!$M$15,CHOOSE(ArtifactsInput!$N$15+1,25,30,35,40,45,50)/100*(Inputs!$B$11-Inputs!$B$11),0))))/100+(Inputs!$B$23+0+(IF(ArtifactsInput!$M$15,CHOOSE(ArtifactsInput!$N$15+1,25,30,35,40,45,50)/100*(Inputs!$B$11-Inputs!$B$11),0)))/100)/2</f>
        <v/>
      </c>
      <c r="M2521">
        <f>L2521*(1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1">
        <f>L2521*(1-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1">
        <f>(1-Summary!$B$11)*T2521+Summary!$B$11*V2521</f>
        <v/>
      </c>
      <c r="P2521">
        <f>IF(B2552=0,0,O2521/B2552)</f>
        <v/>
      </c>
      <c r="Q2521" t="n">
        <v>0</v>
      </c>
      <c r="R2521" t="n">
        <v>0</v>
      </c>
      <c r="S2521">
        <f>IFERROR(O2521/N2521,0)</f>
        <v/>
      </c>
      <c r="T2521">
        <f>IF(C2521,(Skills!G4*H2521*N2521*B2546)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1">
        <f>290*U2520/1000</f>
        <v/>
      </c>
      <c r="V2521">
        <f>IF(C2521,(Skills!G4*H2521*N2521*B2546)*IF(Inputs!$B$38="pvp",1,(1+(Inputs!$B$21+Skills!Q4+(IF(ArtifactsInput!$M$33,CHOOSE(ArtifactsInput!$N$33+1,30,36,42,48,54,60),0))+(IF(AND(ArtifactsInput!$M$35,Inputs!$B$4&lt;&gt;"Chapter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2">
      <c r="A2522">
        <f>Skills!A5</f>
        <v/>
      </c>
      <c r="B2522">
        <f>Skills!B5</f>
        <v/>
      </c>
      <c r="C2522">
        <f>Inputs!$B$3&gt;=60</f>
        <v/>
      </c>
      <c r="D2522">
        <f>IF(Skills!C5=1,60+Inputs!$B$25+Inputs!$B$29,IF(Skills!C5=2,90+Inputs!$B$26+Inputs!$B$29,IF(Skills!C5=3,120+Inputs!$B$27+Inputs!$B$29,MAX(0,(Inputs!$B$3-100)*3)+Inputs!$B$28+Inputs!$B$29)))</f>
        <v/>
      </c>
      <c r="E2522">
        <f>INDEX(FactorTable!$B$2:$Y$301, MATCH(ROUND(MIN(300,MAX(1,D2522)),0), FactorTable!$A$2:$A$301,0), Skills!M5+1)</f>
        <v/>
      </c>
      <c r="F2522">
        <f>IF(Skills!N5=TRUE,(Skills!L5/10)*(E2522/1000),Skills!L5/10)+Skills!O5</f>
        <v/>
      </c>
      <c r="G2522">
        <f>Skills!G5*IF(Skills!H5&gt;0,Skills!I5/Skills!H5,1)</f>
        <v/>
      </c>
      <c r="H2522">
        <f>1-(1-Skills!J5/100)^Skills!K5</f>
        <v/>
      </c>
      <c r="I2522" t="inlineStr">
        <is>
          <t>1</t>
        </is>
      </c>
      <c r="J2522" t="inlineStr"/>
      <c r="K2522" t="inlineStr"/>
      <c r="L2522" t="inlineStr"/>
      <c r="M2522" t="inlineStr"/>
      <c r="N2522" t="inlineStr"/>
      <c r="O2522">
        <f>(1-Summary!$B$11)*T2522+Summary!$B$11*V2522</f>
        <v/>
      </c>
      <c r="P2522">
        <f>IF(B2552=0,0,O2522/B2552)</f>
        <v/>
      </c>
      <c r="Q2522" t="n">
        <v>0</v>
      </c>
      <c r="R2522" t="n">
        <v>0</v>
      </c>
      <c r="S2522">
        <f>IFERROR(O2522/N2522,0)</f>
        <v/>
      </c>
      <c r="T2522" t="n">
        <v>0</v>
      </c>
      <c r="V2522" t="n">
        <v>0</v>
      </c>
    </row>
    <row r="2523">
      <c r="A2523">
        <f>Skills!A6</f>
        <v/>
      </c>
      <c r="B2523">
        <f>Skills!B6</f>
        <v/>
      </c>
      <c r="C2523">
        <f>Inputs!$B$3&gt;=63</f>
        <v/>
      </c>
      <c r="D2523">
        <f>IF(Skills!C6=1,60+Inputs!$B$25+Inputs!$B$29,IF(Skills!C6=2,90+Inputs!$B$26+Inputs!$B$29,IF(Skills!C6=3,120+Inputs!$B$27+Inputs!$B$29,MAX(0,(Inputs!$B$3-100)*3)+Inputs!$B$28+Inputs!$B$29)))</f>
        <v/>
      </c>
      <c r="E2523">
        <f>INDEX(FactorTable!$B$2:$Y$301, MATCH(ROUND(MIN(300,MAX(1,D2523)),0), FactorTable!$A$2:$A$301,0), Skills!M6+1)</f>
        <v/>
      </c>
      <c r="F2523">
        <f>IF(Skills!N6=TRUE,(Skills!L6/10)*(E2523/1000),Skills!L6/10)+Skills!O6</f>
        <v/>
      </c>
      <c r="G2523">
        <f>Skills!G6*IF(Skills!H6&gt;0,Skills!I6/Skills!H6,1)</f>
        <v/>
      </c>
      <c r="H2523">
        <f>1-(1-Skills!J6/100)^Skills!K6</f>
        <v/>
      </c>
      <c r="I2523" t="inlineStr">
        <is>
          <t>1</t>
        </is>
      </c>
      <c r="J2523">
        <f>((Inputs!$B$6*(1+Inputs!$B$7/100))+(((Inputs!$B$12*(1+Inputs!$B$13/100))-(Inputs!$B$12*(1+Inputs!$B$13/100)))+0.25*(Inputs!$B$14-Inputs!$B$14))*(1+Inputs!$B$7/100))*(F2523/100)</f>
        <v/>
      </c>
      <c r="K2523">
        <f>J2523*(1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2523)</f>
        <v/>
      </c>
      <c r="L2523">
        <f>K2523*(MIN(Inputs!$B$22+((C2537=TRUE)*(F2537-Calc!F20)),(Inputs!$B$23+0+(IF(ArtifactsInput!$M$15,CHOOSE(ArtifactsInput!$N$15+1,25,30,35,40,45,50)/100*(Inputs!$B$11-Inputs!$B$11),0))))/100+(Inputs!$B$23+0+(IF(ArtifactsInput!$M$15,CHOOSE(ArtifactsInput!$N$15+1,25,30,35,40,45,50)/100*(Inputs!$B$11-Inputs!$B$11),0)))/100)/2</f>
        <v/>
      </c>
      <c r="M2523">
        <f>L2523*(1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3">
        <f>L2523*(1-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2523*(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3">
        <f>(1-Summary!$B$11)*T2523+Summary!$B$11*V2523</f>
        <v/>
      </c>
      <c r="P2523">
        <f>IF(B2552=0,0,O2523/B2552)</f>
        <v/>
      </c>
      <c r="Q2523">
        <f>IFERROR(1/(IF(Inputs!$B$38="pvp",15,MAX(0.1,Skills!D6-IF(Skills!E6=TRUE,1.5,0)))*(1-IF(AND(ArtifactsInput!$M$27,Inputs!$B$4="Chapter Hunt"),CHOOSE(ArtifactsInput!$N$27+1,20,24,28,32,36,40),0)/100)),0)</f>
        <v/>
      </c>
      <c r="R2523">
        <f>IF(AND(Inputs!$B$38&lt;&gt;"pvp",Inputs!$B$43&gt;0),IF(MAX(0,Inputs!$B$43-B2549)&lt;=0,0,(INT(MAX(0,Inputs!$B$43-B2549)/(IF(Inputs!$B$38="pvp",15,MAX(0.1,Skills!D6-IF(Skills!E6=TRUE,1.5,0)))*(1-IF(AND(ArtifactsInput!$M$27,Inputs!$B$4="Chapter Hunt"),CHOOSE(ArtifactsInput!$N$27+1,20,24,28,32,36,40),0)/100)))+1)),0)</f>
        <v/>
      </c>
      <c r="S2523">
        <f>IFERROR(O2523/N2523,0)</f>
        <v/>
      </c>
      <c r="T2523">
        <f>IF(C2523,(H2523*N2523*IF(AND(Inputs!$B$38&lt;&gt;"pvp",Inputs!$B$43&gt;0),((Skills!G6*((R2523-1)*IF(Skills!H6&gt;0,Skills!I6/Skills!H6,1)+IF(Skills!H6&gt;0,MIN(Skills!I6,MAX(0,MAX(0,Inputs!$B$43-B2549)-((R2523-1)*(IF(Inputs!$B$38="pvp",15,MAX(0.1,Skills!D6-IF(Skills!E6=TRUE,1.5,0)))*(1-IF(AND(ArtifactsInput!$M$27,Inputs!$B$4="Chapter Hunt"),CHOOSE(ArtifactsInput!$N$27+1,20,24,28,32,36,40),0)/100)))))/Skills!H6,1)))/Inputs!$B$43),G2523*Q2523)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2523*(1-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2523*(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2523*(1-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2523*(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3">
        <f>IF(C2523,(H2523*N2523*IF(AND(Inputs!$B$38&lt;&gt;"pvp",Inputs!$B$43&gt;0),((Skills!G6*((R2523-1)*IF(Skills!H6&gt;0,Skills!I6/Skills!H6,1)+IF(Skills!H6&gt;0,MIN(Skills!I6,MAX(0,MAX(0,Inputs!$B$43-B2549)-((R2523-1)*(IF(Inputs!$B$38="pvp",15,MAX(0.1,Skills!D6-IF(Skills!E6=TRUE,1.5,0)))*(1-IF(AND(ArtifactsInput!$M$27,Inputs!$B$4="Chapter Hunt"),CHOOSE(ArtifactsInput!$N$27+1,20,24,28,32,36,40),0)/100)))))/Skills!H6,1)))/Inputs!$B$43),G2523*Q2523))*IF(Inputs!$B$38="pvp",1,(1+(Inputs!$B$21+Skills!Q6+(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4">
      <c r="A2524">
        <f>Skills!A7</f>
        <v/>
      </c>
      <c r="B2524">
        <f>Skills!B7</f>
        <v/>
      </c>
      <c r="C2524">
        <f>Inputs!$B$3&gt;=100</f>
        <v/>
      </c>
      <c r="D2524">
        <f>IF(Skills!C7=1,60+Inputs!$B$25+Inputs!$B$29,IF(Skills!C7=2,90+Inputs!$B$26+Inputs!$B$29,IF(Skills!C7=3,120+Inputs!$B$27+Inputs!$B$29,MAX(0,(Inputs!$B$3-100)*3)+Inputs!$B$28+Inputs!$B$29)))</f>
        <v/>
      </c>
      <c r="E2524">
        <f>INDEX(FactorTable!$B$2:$Y$301, MATCH(ROUND(MIN(300,MAX(1,D2524)),0), FactorTable!$A$2:$A$301,0), Skills!M7+1)</f>
        <v/>
      </c>
      <c r="F2524">
        <f>IF(Skills!N7=TRUE,(Skills!L7/10)*(E2524/1000),Skills!L7/10)+Skills!O7</f>
        <v/>
      </c>
      <c r="G2524">
        <f>Skills!G7*IF(Skills!H7&gt;0,Skills!I7/Skills!H7,1)</f>
        <v/>
      </c>
      <c r="H2524">
        <f>1-(1-Skills!J7/100)^Skills!K7</f>
        <v/>
      </c>
      <c r="I2524" t="inlineStr">
        <is>
          <t>1</t>
        </is>
      </c>
      <c r="J2524">
        <f>((Inputs!$B$6*(1+Inputs!$B$7/100))+(((Inputs!$B$12*(1+Inputs!$B$13/100))-(Inputs!$B$12*(1+Inputs!$B$13/100)))+0.25*(Inputs!$B$14-Inputs!$B$14))*(1+Inputs!$B$7/100))*(F2524/100)</f>
        <v/>
      </c>
      <c r="K2524">
        <f>J2524*(1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2524)</f>
        <v/>
      </c>
      <c r="L2524">
        <f>K2524*(MIN(Inputs!$B$22+((C2537=TRUE)*(F2537-Calc!F20)),(Inputs!$B$23+0+(IF(ArtifactsInput!$M$15,CHOOSE(ArtifactsInput!$N$15+1,25,30,35,40,45,50)/100*(Inputs!$B$11-Inputs!$B$11),0))))/100+(Inputs!$B$23+0+(IF(ArtifactsInput!$M$15,CHOOSE(ArtifactsInput!$N$15+1,25,30,35,40,45,50)/100*(Inputs!$B$11-Inputs!$B$11),0)))/100)/2</f>
        <v/>
      </c>
      <c r="M2524">
        <f>L2524*(1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4">
        <f>L2524*(1-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2524*(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4">
        <f>(1-Summary!$B$11)*T2524+Summary!$B$11*V2524</f>
        <v/>
      </c>
      <c r="P2524">
        <f>IF(B2552=0,0,O2524/B2552)</f>
        <v/>
      </c>
      <c r="Q2524">
        <f>IFERROR(1/(IF(Inputs!$B$38="pvp",15,MAX(0.1,Skills!D7-IF(Skills!E7=TRUE,1.5,0)))*(1-IF(AND(ArtifactsInput!$M$27,Inputs!$B$4="Chapter Hunt"),CHOOSE(ArtifactsInput!$N$27+1,20,24,28,32,36,40),0)/100)),0)</f>
        <v/>
      </c>
      <c r="R2524">
        <f>IF(AND(Inputs!$B$38&lt;&gt;"pvp",Inputs!$B$43&gt;0),IF(MAX(0,Inputs!$B$43-B2549)&lt;=0,0,(INT(MAX(0,Inputs!$B$43-B2549)/(IF(Inputs!$B$38="pvp",15,MAX(0.1,Skills!D7-IF(Skills!E7=TRUE,1.5,0)))*(1-IF(AND(ArtifactsInput!$M$27,Inputs!$B$4="Chapter Hunt"),CHOOSE(ArtifactsInput!$N$27+1,20,24,28,32,36,40),0)/100)))+1)),0)</f>
        <v/>
      </c>
      <c r="S2524">
        <f>IFERROR(O2524/N2524,0)</f>
        <v/>
      </c>
      <c r="T2524">
        <f>IF(C2524,(H2524*N2524*IF(AND(Inputs!$B$38&lt;&gt;"pvp",Inputs!$B$43&gt;0),((Skills!G7*((R2524-1)*IF(Skills!H7&gt;0,Skills!I7/Skills!H7,1)+IF(Skills!H7&gt;0,MIN(Skills!I7,MAX(0,MAX(0,Inputs!$B$43-B2549)-((R2524-1)*(IF(Inputs!$B$38="pvp",15,MAX(0.1,Skills!D7-IF(Skills!E7=TRUE,1.5,0)))*(1-IF(AND(ArtifactsInput!$M$27,Inputs!$B$4="Chapter Hunt"),CHOOSE(ArtifactsInput!$N$27+1,20,24,28,32,36,40),0)/100)))))/Skills!H7,1)))/Inputs!$B$43),G2524*Q2524)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2524*(1-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2524*(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2524*(1-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2524*(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4">
        <f>IF(C2524,(H2524*N2524*IF(AND(Inputs!$B$38&lt;&gt;"pvp",Inputs!$B$43&gt;0),((Skills!G7*((R2524-1)*IF(Skills!H7&gt;0,Skills!I7/Skills!H7,1)+IF(Skills!H7&gt;0,MIN(Skills!I7,MAX(0,MAX(0,Inputs!$B$43-B2549)-((R2524-1)*(IF(Inputs!$B$38="pvp",15,MAX(0.1,Skills!D7-IF(Skills!E7=TRUE,1.5,0)))*(1-IF(AND(ArtifactsInput!$M$27,Inputs!$B$4="Chapter Hunt"),CHOOSE(ArtifactsInput!$N$27+1,20,24,28,32,36,40),0)/100)))))/Skills!H7,1)))/Inputs!$B$43),G2524*Q2524))*IF(Inputs!$B$38="pvp",1,(1+(Inputs!$B$21+Skills!Q7+(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5">
      <c r="A2525">
        <f>Skills!A8</f>
        <v/>
      </c>
      <c r="B2525">
        <f>Skills!B8</f>
        <v/>
      </c>
      <c r="C2525">
        <f>Inputs!$B$3&gt;=110</f>
        <v/>
      </c>
      <c r="D2525">
        <f>IF(Skills!C8=1,60+Inputs!$B$25+Inputs!$B$29,IF(Skills!C8=2,90+Inputs!$B$26+Inputs!$B$29,IF(Skills!C8=3,120+Inputs!$B$27+Inputs!$B$29,MAX(0,(Inputs!$B$3-100)*3)+Inputs!$B$28+Inputs!$B$29)))</f>
        <v/>
      </c>
      <c r="E2525">
        <f>INDEX(FactorTable!$B$2:$Y$301, MATCH(ROUND(MIN(300,MAX(1,D2525)),0), FactorTable!$A$2:$A$301,0), Skills!M8+1)</f>
        <v/>
      </c>
      <c r="F2525">
        <f>IF(Skills!N8=TRUE,(Skills!L8/10)*(E2525/1000),Skills!L8/10)+Skills!O8</f>
        <v/>
      </c>
      <c r="G2525">
        <f>Skills!G8*IF(Skills!H8&gt;0,Skills!I8/Skills!H8,1)</f>
        <v/>
      </c>
      <c r="H2525">
        <f>1-(1-Skills!J8/100)^Skills!K8</f>
        <v/>
      </c>
      <c r="I2525" t="inlineStr">
        <is>
          <t>1</t>
        </is>
      </c>
      <c r="J2525">
        <f>((Inputs!$B$6*(1+Inputs!$B$7/100))+(((Inputs!$B$12*(1+Inputs!$B$13/100))-(Inputs!$B$12*(1+Inputs!$B$13/100)))+0.25*(Inputs!$B$14-Inputs!$B$14))*(1+Inputs!$B$7/100))*(F2525/100)</f>
        <v/>
      </c>
      <c r="K2525">
        <f>J2525*(1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2525)</f>
        <v/>
      </c>
      <c r="L2525">
        <f>K2525*(MIN(Inputs!$B$22+((C2537=TRUE)*(F2537-Calc!F20)),(Inputs!$B$23+0+(IF(ArtifactsInput!$M$15,CHOOSE(ArtifactsInput!$N$15+1,25,30,35,40,45,50)/100*(Inputs!$B$11-Inputs!$B$11),0))))/100+(Inputs!$B$23+0+(IF(ArtifactsInput!$M$15,CHOOSE(ArtifactsInput!$N$15+1,25,30,35,40,45,50)/100*(Inputs!$B$11-Inputs!$B$11),0)))/100)/2</f>
        <v/>
      </c>
      <c r="M2525">
        <f>L2525*(1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5">
        <f>L2525*(1-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2525*(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5">
        <f>(1-Summary!$B$11)*T2525+Summary!$B$11*V2525</f>
        <v/>
      </c>
      <c r="P2525">
        <f>IF(B2552=0,0,O2525/B2552)</f>
        <v/>
      </c>
      <c r="Q2525">
        <f>IFERROR(1/(IF(Inputs!$B$38="pvp",15,MAX(0.1,Skills!D8-IF(Skills!E8=TRUE,1.5,0)))*(1-IF(AND(ArtifactsInput!$M$27,Inputs!$B$4="Chapter Hunt"),CHOOSE(ArtifactsInput!$N$27+1,20,24,28,32,36,40),0)/100)),0)</f>
        <v/>
      </c>
      <c r="R2525">
        <f>IF(AND(Inputs!$B$38&lt;&gt;"pvp",Inputs!$B$43&gt;0),IF(MAX(0,Inputs!$B$43-B2549)&lt;=0,0,(INT(MAX(0,Inputs!$B$43-B2549)/(IF(Inputs!$B$38="pvp",15,MAX(0.1,Skills!D8-IF(Skills!E8=TRUE,1.5,0)))*(1-IF(AND(ArtifactsInput!$M$27,Inputs!$B$4="Chapter Hunt"),CHOOSE(ArtifactsInput!$N$27+1,20,24,28,32,36,40),0)/100)))+1)),0)</f>
        <v/>
      </c>
      <c r="S2525">
        <f>IFERROR(O2525/N2525,0)</f>
        <v/>
      </c>
      <c r="T2525">
        <f>IF(C2525,(H2525*N2525*IF(AND(Inputs!$B$38&lt;&gt;"pvp",Inputs!$B$43&gt;0),((Skills!G8*((R2525-1)*IF(Skills!H8&gt;0,Skills!I8/Skills!H8,1)+IF(Skills!H8&gt;0,MIN(Skills!I8,MAX(0,MAX(0,Inputs!$B$43-B2549)-((R2525-1)*(IF(Inputs!$B$38="pvp",15,MAX(0.1,Skills!D8-IF(Skills!E8=TRUE,1.5,0)))*(1-IF(AND(ArtifactsInput!$M$27,Inputs!$B$4="Chapter Hunt"),CHOOSE(ArtifactsInput!$N$27+1,20,24,28,32,36,40),0)/100)))))/Skills!H8,1)))/Inputs!$B$43),G2525*Q2525)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2525*(1-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2525*(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2525*(1-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2525*(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5">
        <f>IF(C2525,(H2525*N2525*IF(AND(Inputs!$B$38&lt;&gt;"pvp",Inputs!$B$43&gt;0),((Skills!G8*((R2525-1)*IF(Skills!H8&gt;0,Skills!I8/Skills!H8,1)+IF(Skills!H8&gt;0,MIN(Skills!I8,MAX(0,MAX(0,Inputs!$B$43-B2549)-((R2525-1)*(IF(Inputs!$B$38="pvp",15,MAX(0.1,Skills!D8-IF(Skills!E8=TRUE,1.5,0)))*(1-IF(AND(ArtifactsInput!$M$27,Inputs!$B$4="Chapter Hunt"),CHOOSE(ArtifactsInput!$N$27+1,20,24,28,32,36,40),0)/100)))))/Skills!H8,1)))/Inputs!$B$43),G2525*Q2525))*IF(Inputs!$B$38="pvp",1,(1+(Inputs!$B$21+Skills!Q8+(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6">
      <c r="A2526">
        <f>Skills!A9</f>
        <v/>
      </c>
      <c r="B2526">
        <f>Skills!B9</f>
        <v/>
      </c>
      <c r="C2526">
        <f>Inputs!$B$3&gt;=110</f>
        <v/>
      </c>
      <c r="D2526">
        <f>IF(Skills!C9=1,60+Inputs!$B$25+Inputs!$B$29,IF(Skills!C9=2,90+Inputs!$B$26+Inputs!$B$29,IF(Skills!C9=3,120+Inputs!$B$27+Inputs!$B$29,MAX(0,(Inputs!$B$3-100)*3)+Inputs!$B$28+Inputs!$B$29)))</f>
        <v/>
      </c>
      <c r="E2526">
        <f>INDEX(FactorTable!$B$2:$Y$301, MATCH(ROUND(MIN(300,MAX(1,D2526)),0), FactorTable!$A$2:$A$301,0), Skills!M9+1)</f>
        <v/>
      </c>
      <c r="F2526">
        <f>IF(Skills!N9=TRUE,(Skills!L9/10)*(E2526/1000),Skills!L9/10)+Skills!O9</f>
        <v/>
      </c>
      <c r="G2526">
        <f>Skills!G9*IF(Skills!H9&gt;0,Skills!I9/Skills!H9,1)</f>
        <v/>
      </c>
      <c r="H2526">
        <f>1-(1-Skills!J9/100)^Skills!K9</f>
        <v/>
      </c>
      <c r="I2526" t="inlineStr">
        <is>
          <t>1</t>
        </is>
      </c>
      <c r="J2526">
        <f>((Inputs!$B$6*(1+Inputs!$B$7/100))+(((Inputs!$B$12*(1+Inputs!$B$13/100))-(Inputs!$B$12*(1+Inputs!$B$13/100)))+0.25*(Inputs!$B$14-Inputs!$B$14))*(1+Inputs!$B$7/100))*(F2526/100)</f>
        <v/>
      </c>
      <c r="K2526">
        <f>J2526*(1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2526)</f>
        <v/>
      </c>
      <c r="L2526">
        <f>K2526*(MIN(Inputs!$B$22+((C2537=TRUE)*(F2537-Calc!F20)),(Inputs!$B$23+0+(IF(ArtifactsInput!$M$15,CHOOSE(ArtifactsInput!$N$15+1,25,30,35,40,45,50)/100*(Inputs!$B$11-Inputs!$B$11),0))))/100+(Inputs!$B$23+0+(IF(ArtifactsInput!$M$15,CHOOSE(ArtifactsInput!$N$15+1,25,30,35,40,45,50)/100*(Inputs!$B$11-Inputs!$B$11),0)))/100)/2</f>
        <v/>
      </c>
      <c r="M2526">
        <f>L2526*(1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6">
        <f>L2526*(1-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2526*(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6">
        <f>(1-Summary!$B$11)*T2526+Summary!$B$11*V2526</f>
        <v/>
      </c>
      <c r="P2526">
        <f>IF(B2552=0,0,O2526/B2552)</f>
        <v/>
      </c>
      <c r="Q2526">
        <f>IFERROR(1/(IF(Inputs!$B$38="pvp",15,MAX(0.1,Skills!D9-IF(Skills!E9=TRUE,1.5,0)))*(1-IF(AND(ArtifactsInput!$M$27,Inputs!$B$4="Chapter Hunt"),CHOOSE(ArtifactsInput!$N$27+1,20,24,28,32,36,40),0)/100)),0)</f>
        <v/>
      </c>
      <c r="R2526">
        <f>IF(AND(Inputs!$B$38&lt;&gt;"pvp",Inputs!$B$43&gt;0),IF(MAX(0,Inputs!$B$43-B2549)&lt;=0,0,(INT(MAX(0,Inputs!$B$43-B2549)/(IF(Inputs!$B$38="pvp",15,MAX(0.1,Skills!D9-IF(Skills!E9=TRUE,1.5,0)))*(1-IF(AND(ArtifactsInput!$M$27,Inputs!$B$4="Chapter Hunt"),CHOOSE(ArtifactsInput!$N$27+1,20,24,28,32,36,40),0)/100)))+1)),0)</f>
        <v/>
      </c>
      <c r="S2526">
        <f>IFERROR(O2526/N2526,0)</f>
        <v/>
      </c>
      <c r="T2526">
        <f>IF(C2526,(H2526*N2526*IF(AND(Inputs!$B$38&lt;&gt;"pvp",Inputs!$B$43&gt;0),((Skills!G9*((R2526-1)*IF(Skills!H9&gt;0,Skills!I9/Skills!H9,1)+IF(Skills!H9&gt;0,MIN(Skills!I9,MAX(0,MAX(0,Inputs!$B$43-B2549)-((R2526-1)*(IF(Inputs!$B$38="pvp",15,MAX(0.1,Skills!D9-IF(Skills!E9=TRUE,1.5,0)))*(1-IF(AND(ArtifactsInput!$M$27,Inputs!$B$4="Chapter Hunt"),CHOOSE(ArtifactsInput!$N$27+1,20,24,28,32,36,40),0)/100)))))/Skills!H9,1)))/Inputs!$B$43),G2526*Q2526)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2526*(1-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2526*(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2526*(1-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2526*(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6">
        <f>IF(C2526,(H2526*N2526*IF(AND(Inputs!$B$38&lt;&gt;"pvp",Inputs!$B$43&gt;0),((Skills!G9*((R2526-1)*IF(Skills!H9&gt;0,Skills!I9/Skills!H9,1)+IF(Skills!H9&gt;0,MIN(Skills!I9,MAX(0,MAX(0,Inputs!$B$43-B2549)-((R2526-1)*(IF(Inputs!$B$38="pvp",15,MAX(0.1,Skills!D9-IF(Skills!E9=TRUE,1.5,0)))*(1-IF(AND(ArtifactsInput!$M$27,Inputs!$B$4="Chapter Hunt"),CHOOSE(ArtifactsInput!$N$27+1,20,24,28,32,36,40),0)/100)))))/Skills!H9,1)))/Inputs!$B$43),G2526*Q2526))*IF(Inputs!$B$38="pvp",1,(1+(Inputs!$B$21+Skills!Q9+(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7">
      <c r="A2527">
        <f>Skills!A10</f>
        <v/>
      </c>
      <c r="B2527">
        <f>Skills!B10</f>
        <v/>
      </c>
      <c r="C2527">
        <f>Inputs!$B$3&gt;=103</f>
        <v/>
      </c>
      <c r="D2527">
        <f>IF(Skills!C10=1,60+Inputs!$B$25+Inputs!$B$29,IF(Skills!C10=2,90+Inputs!$B$26+Inputs!$B$29,IF(Skills!C10=3,120+Inputs!$B$27+Inputs!$B$29,MAX(0,(Inputs!$B$3-100)*3)+Inputs!$B$28+Inputs!$B$29)))</f>
        <v/>
      </c>
      <c r="E2527">
        <f>INDEX(FactorTable!$B$2:$Y$301, MATCH(ROUND(MIN(300,MAX(1,D2527)),0), FactorTable!$A$2:$A$301,0), Skills!M10+1)</f>
        <v/>
      </c>
      <c r="F2527">
        <f>IF(Skills!N10=TRUE,(Skills!L10/10)*(E2527/1000),Skills!L10/10)+Skills!O10</f>
        <v/>
      </c>
      <c r="G2527">
        <f>Skills!G10*IF(Skills!H10&gt;0,Skills!I10/Skills!H10,1)</f>
        <v/>
      </c>
      <c r="H2527">
        <f>1-(1-Skills!J10/100)^Skills!K10</f>
        <v/>
      </c>
      <c r="I2527" t="inlineStr">
        <is>
          <t>1</t>
        </is>
      </c>
      <c r="J2527">
        <f>((Inputs!$B$6*(1+Inputs!$B$7/100))+(((Inputs!$B$12*(1+Inputs!$B$13/100))-(Inputs!$B$12*(1+Inputs!$B$13/100)))+0.25*(Inputs!$B$14-Inputs!$B$14))*(1+Inputs!$B$7/100))*(F2527/100)</f>
        <v/>
      </c>
      <c r="K2527">
        <f>J2527*(1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2527)</f>
        <v/>
      </c>
      <c r="L2527">
        <f>K2527*(MIN(Inputs!$B$22+((C2537=TRUE)*(F2537-Calc!F20)),(Inputs!$B$23+0+(IF(ArtifactsInput!$M$15,CHOOSE(ArtifactsInput!$N$15+1,25,30,35,40,45,50)/100*(Inputs!$B$11-Inputs!$B$11),0))))/100+(Inputs!$B$23+0+(IF(ArtifactsInput!$M$15,CHOOSE(ArtifactsInput!$N$15+1,25,30,35,40,45,50)/100*(Inputs!$B$11-Inputs!$B$11),0)))/100)/2</f>
        <v/>
      </c>
      <c r="M2527">
        <f>L2527*(1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7">
        <f>L2527*(1-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2527*(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7">
        <f>(1-Summary!$B$11)*T2527+Summary!$B$11*V2527</f>
        <v/>
      </c>
      <c r="P2527">
        <f>IF(B2552=0,0,O2527/B2552)</f>
        <v/>
      </c>
      <c r="Q2527">
        <f>IFERROR(1/(IF(Inputs!$B$38="pvp",15,MAX(0.1,Skills!D10-IF(Skills!E10=TRUE,1.5,0)))*(1-IF(AND(ArtifactsInput!$M$27,Inputs!$B$4="Chapter Hunt"),CHOOSE(ArtifactsInput!$N$27+1,20,24,28,32,36,40),0)/100)),0)</f>
        <v/>
      </c>
      <c r="R2527">
        <f>IF(AND(Inputs!$B$38&lt;&gt;"pvp",Inputs!$B$43&gt;0),IF(MAX(0,Inputs!$B$43-B2549)&lt;=0,0,(INT(MAX(0,Inputs!$B$43-B2549)/(IF(Inputs!$B$38="pvp",15,MAX(0.1,Skills!D10-IF(Skills!E10=TRUE,1.5,0)))*(1-IF(AND(ArtifactsInput!$M$27,Inputs!$B$4="Chapter Hunt"),CHOOSE(ArtifactsInput!$N$27+1,20,24,28,32,36,40),0)/100)))+1)),0)</f>
        <v/>
      </c>
      <c r="S2527">
        <f>IFERROR(O2527/N2527,0)</f>
        <v/>
      </c>
      <c r="T2527">
        <f>IF(C2527,(H2527*N2527*IF(AND(Inputs!$B$38&lt;&gt;"pvp",Inputs!$B$43&gt;0),((Skills!G10*((R2527-1)*IF(Skills!H10&gt;0,Skills!I10/Skills!H10,1)+IF(Skills!H10&gt;0,MIN(Skills!I10,MAX(0,MAX(0,Inputs!$B$43-B2549)-((R2527-1)*(IF(Inputs!$B$38="pvp",15,MAX(0.1,Skills!D10-IF(Skills!E10=TRUE,1.5,0)))*(1-IF(AND(ArtifactsInput!$M$27,Inputs!$B$4="Chapter Hunt"),CHOOSE(ArtifactsInput!$N$27+1,20,24,28,32,36,40),0)/100)))))/Skills!H10,1)))/Inputs!$B$43),G2527*Q2527)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2527*(1-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2527*(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2527*(1-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2527*(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7">
        <f>IF(C2527,(H2527*N2527*IF(AND(Inputs!$B$38&lt;&gt;"pvp",Inputs!$B$43&gt;0),((Skills!G10*((R2527-1)*IF(Skills!H10&gt;0,Skills!I10/Skills!H10,1)+IF(Skills!H10&gt;0,MIN(Skills!I10,MAX(0,MAX(0,Inputs!$B$43-B2549)-((R2527-1)*(IF(Inputs!$B$38="pvp",15,MAX(0.1,Skills!D10-IF(Skills!E10=TRUE,1.5,0)))*(1-IF(AND(ArtifactsInput!$M$27,Inputs!$B$4="Chapter Hunt"),CHOOSE(ArtifactsInput!$N$27+1,20,24,28,32,36,40),0)/100)))))/Skills!H10,1)))/Inputs!$B$43),G2527*Q2527))*IF(Inputs!$B$38="pvp",1,(1+(Inputs!$B$21+Skills!Q10+(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8">
      <c r="A2528">
        <f>Skills!A11</f>
        <v/>
      </c>
      <c r="B2528">
        <f>Skills!B11</f>
        <v/>
      </c>
      <c r="C2528">
        <f>Inputs!$B$3&gt;=113</f>
        <v/>
      </c>
      <c r="D2528">
        <f>IF(Skills!C11=1,60+Inputs!$B$25+Inputs!$B$29,IF(Skills!C11=2,90+Inputs!$B$26+Inputs!$B$29,IF(Skills!C11=3,120+Inputs!$B$27+Inputs!$B$29,MAX(0,(Inputs!$B$3-100)*3)+Inputs!$B$28+Inputs!$B$29)))</f>
        <v/>
      </c>
      <c r="E2528">
        <f>INDEX(FactorTable!$B$2:$Y$301, MATCH(ROUND(MIN(300,MAX(1,D2528)),0), FactorTable!$A$2:$A$301,0), Skills!M11+1)</f>
        <v/>
      </c>
      <c r="F2528">
        <f>IF(Skills!N11=TRUE,(Skills!L11/10)*(E2528/1000),Skills!L11/10)+Skills!O11</f>
        <v/>
      </c>
      <c r="G2528">
        <f>Skills!G11*IF(Skills!H11&gt;0,Skills!I11/Skills!H11,1)</f>
        <v/>
      </c>
      <c r="H2528">
        <f>1-(1-Skills!J11/100)^Skills!K11</f>
        <v/>
      </c>
      <c r="I2528" t="inlineStr">
        <is>
          <t>1</t>
        </is>
      </c>
      <c r="J2528">
        <f>((Inputs!$B$6*(1+Inputs!$B$7/100))+(((Inputs!$B$12*(1+Inputs!$B$13/100))-(Inputs!$B$12*(1+Inputs!$B$13/100)))+0.25*(Inputs!$B$14-Inputs!$B$14))*(1+Inputs!$B$7/100))*(F2528/100)</f>
        <v/>
      </c>
      <c r="K2528">
        <f>J2528*(1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2528)</f>
        <v/>
      </c>
      <c r="L2528">
        <f>K2528*(MIN(Inputs!$B$22+((C2537=TRUE)*(F2537-Calc!F20)),(Inputs!$B$23+0+(IF(ArtifactsInput!$M$15,CHOOSE(ArtifactsInput!$N$15+1,25,30,35,40,45,50)/100*(Inputs!$B$11-Inputs!$B$11),0))))/100+(Inputs!$B$23+0+(IF(ArtifactsInput!$M$15,CHOOSE(ArtifactsInput!$N$15+1,25,30,35,40,45,50)/100*(Inputs!$B$11-Inputs!$B$11),0)))/100)/2</f>
        <v/>
      </c>
      <c r="M2528">
        <f>L2528*(1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8">
        <f>L2528*(1-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2528*(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8">
        <f>(1-Summary!$B$11)*T2528+Summary!$B$11*V2528</f>
        <v/>
      </c>
      <c r="P2528">
        <f>IF(B2552=0,0,O2528/B2552)</f>
        <v/>
      </c>
      <c r="Q2528">
        <f>IFERROR(1/(IF(Inputs!$B$38="pvp",15,MAX(0.1,Skills!D11-IF(Skills!E11=TRUE,1.5,0)))*(1-IF(AND(ArtifactsInput!$M$27,Inputs!$B$4="Chapter Hunt"),CHOOSE(ArtifactsInput!$N$27+1,20,24,28,32,36,40),0)/100)),0)</f>
        <v/>
      </c>
      <c r="R2528">
        <f>IF(AND(Inputs!$B$38&lt;&gt;"pvp",Inputs!$B$43&gt;0),IF(MAX(0,Inputs!$B$43-B2549)&lt;=0,0,(INT(MAX(0,Inputs!$B$43-B2549)/(IF(Inputs!$B$38="pvp",15,MAX(0.1,Skills!D11-IF(Skills!E11=TRUE,1.5,0)))*(1-IF(AND(ArtifactsInput!$M$27,Inputs!$B$4="Chapter Hunt"),CHOOSE(ArtifactsInput!$N$27+1,20,24,28,32,36,40),0)/100)))+1)),0)</f>
        <v/>
      </c>
      <c r="S2528">
        <f>IFERROR(O2528/N2528,0)</f>
        <v/>
      </c>
      <c r="T2528">
        <f>IF(C2528,(H2528*N2528*IF(AND(Inputs!$B$38&lt;&gt;"pvp",Inputs!$B$43&gt;0),((Skills!G11*((R2528-1)*IF(Skills!H11&gt;0,Skills!I11/Skills!H11,1)+IF(Skills!H11&gt;0,MIN(Skills!I11,MAX(0,MAX(0,Inputs!$B$43-B2549)-((R2528-1)*(IF(Inputs!$B$38="pvp",15,MAX(0.1,Skills!D11-IF(Skills!E11=TRUE,1.5,0)))*(1-IF(AND(ArtifactsInput!$M$27,Inputs!$B$4="Chapter Hunt"),CHOOSE(ArtifactsInput!$N$27+1,20,24,28,32,36,40),0)/100)))))/Skills!H11,1)))/Inputs!$B$43),G2528*Q2528)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2528*(1-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2528*(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2528*(1-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2528*(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8">
        <f>IF(C2528,(H2528*N2528*IF(AND(Inputs!$B$38&lt;&gt;"pvp",Inputs!$B$43&gt;0),((Skills!G11*((R2528-1)*IF(Skills!H11&gt;0,Skills!I11/Skills!H11,1)+IF(Skills!H11&gt;0,MIN(Skills!I11,MAX(0,MAX(0,Inputs!$B$43-B2549)-((R2528-1)*(IF(Inputs!$B$38="pvp",15,MAX(0.1,Skills!D11-IF(Skills!E11=TRUE,1.5,0)))*(1-IF(AND(ArtifactsInput!$M$27,Inputs!$B$4="Chapter Hunt"),CHOOSE(ArtifactsInput!$N$27+1,20,24,28,32,36,40),0)/100)))))/Skills!H11,1)))/Inputs!$B$43),G2528*Q2528))*IF(Inputs!$B$38="pvp",1,(1+(Inputs!$B$21+Skills!Q11+(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9">
      <c r="A2529">
        <f>Skills!A12</f>
        <v/>
      </c>
      <c r="B2529">
        <f>Skills!B12</f>
        <v/>
      </c>
      <c r="C2529">
        <f>Inputs!$B$3&gt;=100</f>
        <v/>
      </c>
      <c r="D2529">
        <f>IF(Skills!C12=1,60+Inputs!$B$25+Inputs!$B$29,IF(Skills!C12=2,90+Inputs!$B$26+Inputs!$B$29,IF(Skills!C12=3,120+Inputs!$B$27+Inputs!$B$29,MAX(0,(Inputs!$B$3-100)*3)+Inputs!$B$28+Inputs!$B$29)))</f>
        <v/>
      </c>
      <c r="E2529">
        <f>INDEX(FactorTable!$B$2:$Y$301, MATCH(ROUND(MIN(300,MAX(1,D2529)),0), FactorTable!$A$2:$A$301,0), Skills!M12+1)</f>
        <v/>
      </c>
      <c r="F2529">
        <f>IF(Skills!N12=TRUE,(Skills!L12/10)*(E2529/1000),Skills!L12/10)+Skills!O12</f>
        <v/>
      </c>
      <c r="G2529" t="inlineStr"/>
      <c r="H2529" t="inlineStr"/>
      <c r="I2529" t="inlineStr">
        <is>
          <t>1</t>
        </is>
      </c>
      <c r="J2529" t="inlineStr"/>
      <c r="K2529" t="inlineStr"/>
      <c r="L2529" t="inlineStr"/>
      <c r="M2529" t="inlineStr"/>
      <c r="N2529" t="inlineStr"/>
      <c r="O2529" t="inlineStr"/>
      <c r="P2529" t="inlineStr"/>
      <c r="Q2529" t="inlineStr"/>
      <c r="R2529" t="inlineStr"/>
      <c r="S2529" t="inlineStr"/>
      <c r="T2529" t="inlineStr"/>
      <c r="V2529" t="inlineStr"/>
    </row>
    <row r="2530">
      <c r="A2530">
        <f>Skills!A13</f>
        <v/>
      </c>
      <c r="B2530">
        <f>Skills!B13</f>
        <v/>
      </c>
      <c r="C2530">
        <f>Inputs!$B$3&gt;=66</f>
        <v/>
      </c>
      <c r="D2530">
        <f>IF(Skills!C13=1,60+Inputs!$B$25+Inputs!$B$29,IF(Skills!C13=2,90+Inputs!$B$26+Inputs!$B$29,IF(Skills!C13=3,120+Inputs!$B$27+Inputs!$B$29,MAX(0,(Inputs!$B$3-100)*3)+Inputs!$B$28+Inputs!$B$29)))</f>
        <v/>
      </c>
      <c r="E2530">
        <f>INDEX(FactorTable!$B$2:$Y$301, MATCH(ROUND(MIN(300,MAX(1,D2530)),0), FactorTable!$A$2:$A$301,0), Skills!M13+1)</f>
        <v/>
      </c>
      <c r="F2530">
        <f>IF(Skills!N13=TRUE,(Skills!L13/10)*(E2530/1000),Skills!L13/10)+Skills!O13</f>
        <v/>
      </c>
      <c r="G2530">
        <f>Skills!G13*IF(Skills!H13&gt;0,Skills!I13/Skills!H13,1)</f>
        <v/>
      </c>
      <c r="H2530">
        <f>1-(1-Skills!J13/100)^Skills!K13</f>
        <v/>
      </c>
      <c r="I2530" t="inlineStr">
        <is>
          <t>1</t>
        </is>
      </c>
      <c r="J2530" t="inlineStr"/>
      <c r="K2530" t="inlineStr"/>
      <c r="L2530" t="inlineStr"/>
      <c r="M2530" t="inlineStr"/>
      <c r="N2530" t="inlineStr"/>
      <c r="O2530">
        <f>(1-Summary!$B$11)*T2530+Summary!$B$11*V2530</f>
        <v/>
      </c>
      <c r="P2530">
        <f>IF(B2552=0,0,O2530/B2552)</f>
        <v/>
      </c>
      <c r="Q2530" t="n">
        <v>0</v>
      </c>
      <c r="R2530" t="n">
        <v>0</v>
      </c>
      <c r="S2530">
        <f>IFERROR(O2530/N2530,0)</f>
        <v/>
      </c>
      <c r="T2530" t="n">
        <v>0</v>
      </c>
      <c r="V2530" t="n">
        <v>0</v>
      </c>
    </row>
    <row r="2531">
      <c r="A2531">
        <f>Skills!A14</f>
        <v/>
      </c>
      <c r="B2531">
        <f>Skills!B14</f>
        <v/>
      </c>
      <c r="C2531">
        <f>Inputs!$B$3&gt;=107</f>
        <v/>
      </c>
      <c r="D2531">
        <f>IF(Skills!C14=1,60+Inputs!$B$25+Inputs!$B$29,IF(Skills!C14=2,90+Inputs!$B$26+Inputs!$B$29,IF(Skills!C14=3,120+Inputs!$B$27+Inputs!$B$29,MAX(0,(Inputs!$B$3-100)*3)+Inputs!$B$28+Inputs!$B$29)))</f>
        <v/>
      </c>
      <c r="E2531">
        <f>INDEX(FactorTable!$B$2:$Y$301, MATCH(ROUND(MIN(300,MAX(1,D2531)),0), FactorTable!$A$2:$A$301,0), Skills!M14+1)</f>
        <v/>
      </c>
      <c r="F2531">
        <f>IF(Skills!N14=TRUE,(Skills!L14/10)*(E2531/1000),Skills!L14/10)+Skills!O14</f>
        <v/>
      </c>
      <c r="G2531">
        <f>Skills!G14*IF(Skills!H14&gt;0,Skills!I14/Skills!H14,1)</f>
        <v/>
      </c>
      <c r="H2531">
        <f>1-(1-Skills!J14/100)^Skills!K14</f>
        <v/>
      </c>
      <c r="I2531" t="inlineStr">
        <is>
          <t>1</t>
        </is>
      </c>
      <c r="J2531" t="inlineStr"/>
      <c r="K2531" t="inlineStr"/>
      <c r="L2531" t="inlineStr"/>
      <c r="M2531" t="inlineStr"/>
      <c r="N2531" t="inlineStr"/>
      <c r="O2531">
        <f>(1-Summary!$B$11)*T2531+Summary!$B$11*V2531</f>
        <v/>
      </c>
      <c r="P2531">
        <f>IF(B2552=0,0,O2531/B2552)</f>
        <v/>
      </c>
      <c r="Q2531" t="n">
        <v>0</v>
      </c>
      <c r="R2531" t="n">
        <v>0</v>
      </c>
      <c r="S2531">
        <f>IFERROR(O2531/N2531,0)</f>
        <v/>
      </c>
      <c r="T2531" t="n">
        <v>0</v>
      </c>
      <c r="V2531" t="n">
        <v>0</v>
      </c>
    </row>
    <row r="2532">
      <c r="A2532">
        <f>Skills!A15</f>
        <v/>
      </c>
      <c r="B2532">
        <f>Skills!B15</f>
        <v/>
      </c>
      <c r="C2532">
        <f>Inputs!$B$3&gt;=115</f>
        <v/>
      </c>
      <c r="D2532">
        <f>IF(Skills!C15=1,60+Inputs!$B$25+Inputs!$B$29,IF(Skills!C15=2,90+Inputs!$B$26+Inputs!$B$29,IF(Skills!C15=3,120+Inputs!$B$27+Inputs!$B$29,MAX(0,(Inputs!$B$3-100)*3)+Inputs!$B$28+Inputs!$B$29)))</f>
        <v/>
      </c>
      <c r="E2532">
        <f>INDEX(FactorTable!$B$2:$Y$301, MATCH(ROUND(MIN(300,MAX(1,D2532)),0), FactorTable!$A$2:$A$301,0), Skills!M15+1)</f>
        <v/>
      </c>
      <c r="F2532">
        <f>IF(Skills!N15=TRUE,(Skills!L15/10)*(E2532/1000),Skills!L15/10)+Skills!O15</f>
        <v/>
      </c>
      <c r="G2532">
        <f>Skills!G15*IF(Skills!H15&gt;0,Skills!I15/Skills!H15,1)</f>
        <v/>
      </c>
      <c r="H2532">
        <f>1-(1-Skills!J15/100)^Skills!K15</f>
        <v/>
      </c>
      <c r="I2532" t="inlineStr">
        <is>
          <t>1</t>
        </is>
      </c>
      <c r="J2532" t="inlineStr"/>
      <c r="K2532" t="inlineStr"/>
      <c r="L2532" t="inlineStr"/>
      <c r="M2532" t="inlineStr"/>
      <c r="N2532" t="inlineStr"/>
      <c r="O2532">
        <f>(1-Summary!$B$11)*T2532+Summary!$B$11*V2532</f>
        <v/>
      </c>
      <c r="P2532">
        <f>IF(B2552=0,0,O2532/B2552)</f>
        <v/>
      </c>
      <c r="Q2532" t="n">
        <v>0</v>
      </c>
      <c r="R2532" t="n">
        <v>0</v>
      </c>
      <c r="S2532">
        <f>IFERROR(O2532/N2532,0)</f>
        <v/>
      </c>
      <c r="T2532" t="n">
        <v>0</v>
      </c>
      <c r="V2532" t="n">
        <v>0</v>
      </c>
    </row>
    <row r="2533">
      <c r="A2533">
        <f>Skills!A16</f>
        <v/>
      </c>
      <c r="B2533">
        <f>Skills!B16</f>
        <v/>
      </c>
      <c r="C2533">
        <f>Inputs!$B$3&gt;=15</f>
        <v/>
      </c>
      <c r="D2533">
        <f>IF(Skills!C16=1,60+Inputs!$B$25+Inputs!$B$29,IF(Skills!C16=2,90+Inputs!$B$26+Inputs!$B$29,IF(Skills!C16=3,120+Inputs!$B$27+Inputs!$B$29,MAX(0,(Inputs!$B$3-100)*3)+Inputs!$B$28+Inputs!$B$29)))</f>
        <v/>
      </c>
      <c r="E2533">
        <f>INDEX(FactorTable!$B$2:$Y$301, MATCH(ROUND(MIN(300,MAX(1,D2533)),0), FactorTable!$A$2:$A$301,0), Skills!M16+1)</f>
        <v/>
      </c>
      <c r="F2533">
        <f>IF(Skills!N16=TRUE,(Skills!L16/10)*(E2533/1000),Skills!L16/10)+Skills!O16</f>
        <v/>
      </c>
      <c r="G2533">
        <f>Skills!G16*IF(Skills!H16&gt;0,Skills!I16/Skills!H16,1)</f>
        <v/>
      </c>
      <c r="H2533">
        <f>1-(1-Skills!J16/100)^Skills!K16</f>
        <v/>
      </c>
      <c r="I2533" t="inlineStr">
        <is>
          <t>1</t>
        </is>
      </c>
      <c r="J2533" t="inlineStr"/>
      <c r="K2533" t="inlineStr"/>
      <c r="L2533" t="inlineStr"/>
      <c r="M2533" t="inlineStr"/>
      <c r="N2533" t="inlineStr"/>
      <c r="O2533">
        <f>(1-Summary!$B$11)*T2533+Summary!$B$11*V2533</f>
        <v/>
      </c>
      <c r="P2533">
        <f>IF(B2552=0,0,O2533/B2552)</f>
        <v/>
      </c>
      <c r="Q2533" t="n">
        <v>0</v>
      </c>
      <c r="R2533" t="n">
        <v>0</v>
      </c>
      <c r="S2533">
        <f>IFERROR(O2533/N2533,0)</f>
        <v/>
      </c>
      <c r="T2533" t="n">
        <v>0</v>
      </c>
      <c r="V2533" t="n">
        <v>0</v>
      </c>
    </row>
    <row r="2534">
      <c r="A2534">
        <f>Skills!A17</f>
        <v/>
      </c>
      <c r="B2534">
        <f>Skills!B17</f>
        <v/>
      </c>
      <c r="C2534">
        <f>Inputs!$B$3&gt;=10</f>
        <v/>
      </c>
      <c r="D2534">
        <f>IF(Skills!C17=1,60+Inputs!$B$25+Inputs!$B$29,IF(Skills!C17=2,90+Inputs!$B$26+Inputs!$B$29,IF(Skills!C17=3,120+Inputs!$B$27+Inputs!$B$29,MAX(0,(Inputs!$B$3-100)*3)+Inputs!$B$28+Inputs!$B$29)))</f>
        <v/>
      </c>
      <c r="E2534">
        <f>INDEX(FactorTable!$B$2:$Y$301, MATCH(ROUND(MIN(300,MAX(1,D2534)),0), FactorTable!$A$2:$A$301,0), Skills!M17+1)</f>
        <v/>
      </c>
      <c r="F2534">
        <f>IF(Skills!N17=TRUE,(Skills!L17/10)*(E2534/1000),Skills!L17/10)+Skills!O17</f>
        <v/>
      </c>
      <c r="G2534">
        <f>Skills!G17*IF(Skills!H17&gt;0,Skills!I17/Skills!H17,1)</f>
        <v/>
      </c>
      <c r="H2534">
        <f>1-(1-Skills!J17/100)^Skills!K17</f>
        <v/>
      </c>
      <c r="I2534" t="inlineStr">
        <is>
          <t>1</t>
        </is>
      </c>
      <c r="J2534" t="inlineStr"/>
      <c r="K2534" t="inlineStr"/>
      <c r="L2534" t="inlineStr"/>
      <c r="M2534" t="inlineStr"/>
      <c r="N2534" t="inlineStr"/>
      <c r="O2534">
        <f>(1-Summary!$B$11)*T2534+Summary!$B$11*V2534</f>
        <v/>
      </c>
      <c r="P2534">
        <f>IF(B2552=0,0,O2534/B2552)</f>
        <v/>
      </c>
      <c r="Q2534" t="n">
        <v>0</v>
      </c>
      <c r="R2534" t="n">
        <v>0</v>
      </c>
      <c r="S2534">
        <f>IFERROR(O2534/N2534,0)</f>
        <v/>
      </c>
      <c r="T2534" t="n">
        <v>0</v>
      </c>
      <c r="V2534" t="n">
        <v>0</v>
      </c>
    </row>
    <row r="2535">
      <c r="A2535">
        <f>Skills!A18</f>
        <v/>
      </c>
      <c r="B2535">
        <f>Skills!B18</f>
        <v/>
      </c>
      <c r="C2535">
        <f>Inputs!$B$3&gt;=33</f>
        <v/>
      </c>
      <c r="D2535">
        <f>IF(Skills!C18=1,60+Inputs!$B$25+Inputs!$B$29,IF(Skills!C18=2,90+Inputs!$B$26+Inputs!$B$29,IF(Skills!C18=3,120+Inputs!$B$27+Inputs!$B$29,MAX(0,(Inputs!$B$3-100)*3)+Inputs!$B$28+Inputs!$B$29)))</f>
        <v/>
      </c>
      <c r="E2535">
        <f>INDEX(FactorTable!$B$2:$Y$301, MATCH(ROUND(MIN(300,MAX(1,D2535)),0), FactorTable!$A$2:$A$301,0), Skills!M18+1)</f>
        <v/>
      </c>
      <c r="F2535">
        <f>IF(Skills!N18=TRUE,(Skills!L18/10)*(E2535/1000),Skills!L18/10)+Skills!O18</f>
        <v/>
      </c>
      <c r="G2535">
        <f>Skills!G18*IF(Skills!H18&gt;0,Skills!I18/Skills!H18,1)</f>
        <v/>
      </c>
      <c r="H2535">
        <f>1-(1-Skills!J18/100)^Skills!K18</f>
        <v/>
      </c>
      <c r="I2535" t="inlineStr">
        <is>
          <t>1</t>
        </is>
      </c>
      <c r="J2535" t="inlineStr"/>
      <c r="K2535" t="inlineStr"/>
      <c r="L2535" t="inlineStr"/>
      <c r="M2535" t="inlineStr"/>
      <c r="N2535" t="inlineStr"/>
      <c r="O2535">
        <f>(1-Summary!$B$11)*T2535+Summary!$B$11*V2535</f>
        <v/>
      </c>
      <c r="P2535">
        <f>IF(B2552=0,0,O2535/B2552)</f>
        <v/>
      </c>
      <c r="Q2535" t="n">
        <v>0</v>
      </c>
      <c r="R2535" t="n">
        <v>0</v>
      </c>
      <c r="S2535">
        <f>IFERROR(O2535/N2535,0)</f>
        <v/>
      </c>
      <c r="T2535" t="n">
        <v>0</v>
      </c>
      <c r="V2535" t="n">
        <v>0</v>
      </c>
    </row>
    <row r="2536">
      <c r="A2536">
        <f>Skills!A19</f>
        <v/>
      </c>
      <c r="B2536">
        <f>Skills!B19</f>
        <v/>
      </c>
      <c r="C2536">
        <f>Inputs!$B$3&gt;=40</f>
        <v/>
      </c>
      <c r="D2536">
        <f>IF(Skills!C19=1,60+Inputs!$B$25+Inputs!$B$29,IF(Skills!C19=2,90+Inputs!$B$26+Inputs!$B$29,IF(Skills!C19=3,120+Inputs!$B$27+Inputs!$B$29,MAX(0,(Inputs!$B$3-100)*3)+Inputs!$B$28+Inputs!$B$29)))</f>
        <v/>
      </c>
      <c r="E2536">
        <f>INDEX(FactorTable!$B$2:$Y$301, MATCH(ROUND(MIN(300,MAX(1,D2536)),0), FactorTable!$A$2:$A$301,0), Skills!M19+1)</f>
        <v/>
      </c>
      <c r="F2536">
        <f>IF(Skills!N19=TRUE,(Skills!L19/10)*(E2536/1000),Skills!L19/10)+Skills!O19</f>
        <v/>
      </c>
      <c r="G2536">
        <f>Skills!G19*IF(Skills!H19&gt;0,Skills!I19/Skills!H19,1)</f>
        <v/>
      </c>
      <c r="H2536">
        <f>1-(1-Skills!J19/100)^Skills!K19</f>
        <v/>
      </c>
      <c r="I2536" t="inlineStr">
        <is>
          <t>1</t>
        </is>
      </c>
      <c r="J2536" t="inlineStr"/>
      <c r="K2536" t="inlineStr"/>
      <c r="L2536" t="inlineStr"/>
      <c r="M2536" t="inlineStr"/>
      <c r="N2536" t="inlineStr"/>
      <c r="O2536">
        <f>(1-Summary!$B$11)*T2536+Summary!$B$11*V2536</f>
        <v/>
      </c>
      <c r="P2536">
        <f>IF(B2552=0,0,O2536/B2552)</f>
        <v/>
      </c>
      <c r="Q2536" t="n">
        <v>0</v>
      </c>
      <c r="R2536" t="n">
        <v>0</v>
      </c>
      <c r="S2536">
        <f>IFERROR(O2536/N2536,0)</f>
        <v/>
      </c>
      <c r="T2536" t="n">
        <v>0</v>
      </c>
      <c r="V2536" t="n">
        <v>0</v>
      </c>
    </row>
    <row r="2537">
      <c r="A2537">
        <f>Skills!A20</f>
        <v/>
      </c>
      <c r="B2537">
        <f>Skills!B20</f>
        <v/>
      </c>
      <c r="C2537">
        <f>Inputs!$B$3&gt;=43</f>
        <v/>
      </c>
      <c r="D2537">
        <f>IF(Skills!C20=1,60+Inputs!$B$25+Inputs!$B$29,IF(Skills!C20=2,90+Inputs!$B$26+Inputs!$B$29,IF(Skills!C20=3,120+Inputs!$B$27+Inputs!$B$29,MAX(0,(Inputs!$B$3-100)*3)+Inputs!$B$28+Inputs!$B$29)))</f>
        <v/>
      </c>
      <c r="E2537">
        <f>INDEX(FactorTable!$B$2:$Y$301, MATCH(ROUND(MIN(300,MAX(1,D2537)),0), FactorTable!$A$2:$A$301,0), Skills!M20+1)</f>
        <v/>
      </c>
      <c r="F2537">
        <f>IF(Skills!N20=TRUE,(Skills!L20/10)*(E2537/1000),Skills!L20/10)+Skills!O20</f>
        <v/>
      </c>
      <c r="G2537">
        <f>Skills!G20*IF(Skills!H20&gt;0,Skills!I20/Skills!H20,1)</f>
        <v/>
      </c>
      <c r="H2537">
        <f>1-(1-Skills!J20/100)^Skills!K20</f>
        <v/>
      </c>
      <c r="I2537" t="inlineStr">
        <is>
          <t>1</t>
        </is>
      </c>
      <c r="J2537" t="inlineStr"/>
      <c r="K2537" t="inlineStr"/>
      <c r="L2537" t="inlineStr"/>
      <c r="M2537" t="inlineStr"/>
      <c r="N2537" t="inlineStr"/>
      <c r="O2537">
        <f>(1-Summary!$B$11)*T2537+Summary!$B$11*V2537</f>
        <v/>
      </c>
      <c r="P2537">
        <f>IF(B2552=0,0,O2537/B2552)</f>
        <v/>
      </c>
      <c r="Q2537" t="n">
        <v>0</v>
      </c>
      <c r="R2537" t="n">
        <v>0</v>
      </c>
      <c r="S2537">
        <f>IFERROR(O2537/N2537,0)</f>
        <v/>
      </c>
      <c r="T2537" t="n">
        <v>0</v>
      </c>
      <c r="V2537" t="n">
        <v>0</v>
      </c>
    </row>
    <row r="2538">
      <c r="A2538">
        <f>Skills!A21</f>
        <v/>
      </c>
      <c r="B2538">
        <f>Skills!B21</f>
        <v/>
      </c>
      <c r="C2538">
        <f>Inputs!$B$3&gt;=38</f>
        <v/>
      </c>
      <c r="D2538">
        <f>IF(Skills!C21=1,60+Inputs!$B$25+Inputs!$B$29,IF(Skills!C21=2,90+Inputs!$B$26+Inputs!$B$29,IF(Skills!C21=3,120+Inputs!$B$27+Inputs!$B$29,MAX(0,(Inputs!$B$3-100)*3)+Inputs!$B$28+Inputs!$B$29)))</f>
        <v/>
      </c>
      <c r="E2538">
        <f>INDEX(FactorTable!$B$2:$Y$301, MATCH(ROUND(MIN(300,MAX(1,D2538)),0), FactorTable!$A$2:$A$301,0), Skills!M21+1)</f>
        <v/>
      </c>
      <c r="F2538">
        <f>IF(Skills!N21=TRUE,(Skills!L21/10)*(E2538/1000),Skills!L21/10)+Skills!O21</f>
        <v/>
      </c>
      <c r="G2538">
        <f>Skills!G21*IF(Skills!H21&gt;0,Skills!I21/Skills!H21,1)</f>
        <v/>
      </c>
      <c r="H2538">
        <f>1-(1-Skills!J21/100)^Skills!K21</f>
        <v/>
      </c>
      <c r="I2538" t="inlineStr">
        <is>
          <t>1</t>
        </is>
      </c>
      <c r="J2538" t="inlineStr"/>
      <c r="K2538" t="inlineStr"/>
      <c r="L2538" t="inlineStr"/>
      <c r="M2538" t="inlineStr"/>
      <c r="N2538" t="inlineStr"/>
      <c r="O2538">
        <f>(1-Summary!$B$11)*T2538+Summary!$B$11*V2538</f>
        <v/>
      </c>
      <c r="P2538">
        <f>IF(B2552=0,0,O2538/B2552)</f>
        <v/>
      </c>
      <c r="Q2538" t="n">
        <v>0</v>
      </c>
      <c r="R2538" t="n">
        <v>0</v>
      </c>
      <c r="S2538">
        <f>IFERROR(O2538/N2538,0)</f>
        <v/>
      </c>
      <c r="T2538" t="n">
        <v>0</v>
      </c>
      <c r="V2538" t="n">
        <v>0</v>
      </c>
    </row>
    <row r="2539">
      <c r="A2539">
        <f>Skills!A22</f>
        <v/>
      </c>
      <c r="B2539">
        <f>Skills!B22</f>
        <v/>
      </c>
      <c r="C2539">
        <f>Inputs!$B$3&gt;=75</f>
        <v/>
      </c>
      <c r="D2539">
        <f>IF(Skills!C22=1,60+Inputs!$B$25+Inputs!$B$29,IF(Skills!C22=2,90+Inputs!$B$26+Inputs!$B$29,IF(Skills!C22=3,120+Inputs!$B$27+Inputs!$B$29,MAX(0,(Inputs!$B$3-100)*3)+Inputs!$B$28+Inputs!$B$29)))</f>
        <v/>
      </c>
      <c r="E2539">
        <f>INDEX(FactorTable!$B$2:$Y$301, MATCH(ROUND(MIN(300,MAX(1,D2539)),0), FactorTable!$A$2:$A$301,0), Skills!M22+1)</f>
        <v/>
      </c>
      <c r="F2539">
        <f>IF(Skills!N22=TRUE,(Skills!L22/10)*(E2539/1000),Skills!L22/10)+Skills!O22</f>
        <v/>
      </c>
      <c r="G2539">
        <f>Skills!G22*IF(Skills!H22&gt;0,Skills!I22/Skills!H22,1)</f>
        <v/>
      </c>
      <c r="H2539">
        <f>1-(1-Skills!J22/100)^Skills!K22</f>
        <v/>
      </c>
      <c r="I2539" t="inlineStr">
        <is>
          <t>1</t>
        </is>
      </c>
      <c r="J2539" t="inlineStr"/>
      <c r="K2539" t="inlineStr"/>
      <c r="L2539" t="inlineStr"/>
      <c r="M2539" t="inlineStr"/>
      <c r="N2539" t="inlineStr"/>
      <c r="O2539">
        <f>(1-Summary!$B$11)*T2539+Summary!$B$11*V2539</f>
        <v/>
      </c>
      <c r="P2539">
        <f>IF(B2552=0,0,O2539/B2552)</f>
        <v/>
      </c>
      <c r="Q2539" t="n">
        <v>0</v>
      </c>
      <c r="R2539" t="n">
        <v>0</v>
      </c>
      <c r="S2539">
        <f>IFERROR(O2539/N2539,0)</f>
        <v/>
      </c>
      <c r="T2539" t="n">
        <v>0</v>
      </c>
      <c r="V2539" t="n">
        <v>0</v>
      </c>
    </row>
    <row r="2541">
      <c r="A2541" t="inlineStr">
        <is>
          <t>Attack% Bucket Multiplier</t>
        </is>
      </c>
      <c r="B2541">
        <f>(1+(((C2530=TRUE)*F2530)+((C2536=TRUE)*(F2536-Calc!F19))+(IF(ArtifactsInput!$M$21,CHOOSE(ArtifactsInput!$N$21+1,25,30,35,40,45,50)*(IF(OR(Inputs!$B$4="Chapter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42">
      <c r="A2542" t="inlineStr">
        <is>
          <t>Global Crit Rate Bonus %</t>
        </is>
      </c>
      <c r="B2542" t="n">
        <v>0</v>
      </c>
    </row>
    <row r="2543">
      <c r="A2543" t="inlineStr">
        <is>
          <t>Attack Speed Buff Bonus % (unused)</t>
        </is>
      </c>
      <c r="B2543" t="n">
        <v>0</v>
      </c>
    </row>
    <row r="2544">
      <c r="A2544" t="inlineStr">
        <is>
          <t>Actions Per Second</t>
        </is>
      </c>
      <c r="B2544">
        <f>1+MIN(150,150*(1-(1-(Inputs!$B$11+((C2534=TRUE)*(F2534-Calc!F17))+((C2535=TRUE)*(F2535-Calc!F18)))/150)*(1-B2543/150)))/100</f>
        <v/>
      </c>
    </row>
    <row r="2545">
      <c r="A2545" t="inlineStr">
        <is>
          <t>Skill + Buff Cast Rate</t>
        </is>
      </c>
      <c r="B2545">
        <f>IF(AND(Inputs!$B$38&lt;&gt;"pvp",Inputs!$B$43&gt;0),SUMPRODUCT((Skills!E2:E22=TRUE)*(C2519:C2539=TRUE)*R2519:R2539*Skills!F2:F22)/Inputs!$B$43,SUMPRODUCT((Skills!E2:E22=TRUE)*(C2519:C2539=TRUE)*Q2519:Q2539*Skills!F2:F22))</f>
        <v/>
      </c>
    </row>
    <row r="2546">
      <c r="A2546" t="inlineStr">
        <is>
          <t>Hook Bomber Casts Per Second</t>
        </is>
      </c>
      <c r="B2546">
        <f>MAX(0,B2544-B2545)</f>
        <v/>
      </c>
    </row>
    <row r="2547">
      <c r="A2547" t="inlineStr">
        <is>
          <t>Global Critical Damage Bonus % (unused)</t>
        </is>
      </c>
      <c r="B2547" t="n">
        <v>0</v>
      </c>
    </row>
    <row r="2548">
      <c r="A2548" t="inlineStr">
        <is>
          <t>Global Final Damage Bonus % (Serpent Scale + Crossbones + Time Leap + Speed Infusion)</t>
        </is>
      </c>
      <c r="B2548">
        <f>((C2522=TRUE)*F2522*((10+IF(Inputs!$B$3&gt;=94,5,0))/((10+IF(Inputs!$B$3&gt;=94,5,0))+5/(B2546*(1+IF(Inputs!$B$3&gt;=104,1,0))))))+((C2531=TRUE)*F2531)+((C2532=TRUE)*F2532)+((Inputs!$B$3&gt;=110)*20*(B2544-1))</f>
        <v/>
      </c>
    </row>
    <row r="2549">
      <c r="A2549" t="inlineStr">
        <is>
          <t>Buff-Casting Startup Delay (s, fixed-duration only)</t>
        </is>
      </c>
      <c r="B2549">
        <f>IF(AND(Inputs!$B$38&lt;&gt;"pvp",Inputs!$B$43&gt;0),SUMPRODUCT((Skills!T2:T22&gt;0)*(Skills!E2:E22=TRUE)*(C2519:C2539=TRUE))/B2544,0)</f>
        <v/>
      </c>
    </row>
    <row r="2550">
      <c r="A2550" t="inlineStr">
        <is>
          <t>Boss-Only Total DPS (this block's swept value)</t>
        </is>
      </c>
      <c r="B2550">
        <f>SUM(T2519:T2539)</f>
        <v/>
      </c>
    </row>
    <row r="2551">
      <c r="A2551" t="inlineStr">
        <is>
          <t>Normal-Only Total DPS (this block's swept value)</t>
        </is>
      </c>
      <c r="B2551">
        <f>SUM(V2519:V2539)</f>
        <v/>
      </c>
    </row>
    <row r="2552">
      <c r="A2552" s="6" t="inlineStr">
        <is>
          <t>TOTAL DPS</t>
        </is>
      </c>
      <c r="B2552" s="6">
        <f>SUM(O2519:O2539)</f>
        <v/>
      </c>
    </row>
    <row r="2555">
      <c r="A2555" s="6" t="inlineStr">
        <is>
          <t>Stat: CDR = 2.0s</t>
        </is>
      </c>
    </row>
    <row r="2556">
      <c r="A2556" s="5" t="inlineStr">
        <is>
          <t>Key</t>
        </is>
      </c>
      <c r="B2556" s="5" t="inlineStr">
        <is>
          <t>Name</t>
        </is>
      </c>
      <c r="C2556" s="5" t="inlineStr">
        <is>
          <t>Unlocked</t>
        </is>
      </c>
      <c r="D2556" s="5" t="inlineStr">
        <is>
          <t>InputLevel</t>
        </is>
      </c>
      <c r="E2556" s="5" t="inlineStr">
        <is>
          <t>Factor</t>
        </is>
      </c>
      <c r="F2556" s="5" t="inlineStr">
        <is>
          <t>CoefficientPercent</t>
        </is>
      </c>
      <c r="G2556" s="5" t="inlineStr">
        <is>
          <t>EffectiveHits</t>
        </is>
      </c>
      <c r="H2556" s="5" t="inlineStr">
        <is>
          <t>ProcProbability</t>
        </is>
      </c>
      <c r="I2556" s="5" t="inlineStr">
        <is>
          <t>MapleHeroMultiplier</t>
        </is>
      </c>
      <c r="J2556" s="5" t="inlineStr">
        <is>
          <t>BaseDamage</t>
        </is>
      </c>
      <c r="K2556" s="5" t="inlineStr">
        <is>
          <t>BaseHitDamage</t>
        </is>
      </c>
      <c r="L2556" s="5" t="inlineStr">
        <is>
          <t>NonCritAvg</t>
        </is>
      </c>
      <c r="M2556" s="5" t="inlineStr">
        <is>
          <t>CritAvg</t>
        </is>
      </c>
      <c r="N2556" s="5" t="inlineStr">
        <is>
          <t>ExpectedDamage(perHit)</t>
        </is>
      </c>
      <c r="O2556" s="5" t="inlineStr">
        <is>
          <t>DPS</t>
        </is>
      </c>
      <c r="P2556" s="5" t="inlineStr">
        <is>
          <t>% of Total</t>
        </is>
      </c>
      <c r="Q2556" s="5" t="inlineStr">
        <is>
          <t>InvCooldown</t>
        </is>
      </c>
      <c r="R2556" s="5" t="inlineStr">
        <is>
          <t>CastsInFight</t>
        </is>
      </c>
      <c r="S2556" s="5" t="inlineStr">
        <is>
          <t>HitRate(perSec)</t>
        </is>
      </c>
      <c r="U2556" t="inlineStr">
        <is>
          <t>helpers</t>
        </is>
      </c>
    </row>
    <row r="2557">
      <c r="A2557">
        <f>Skills!A2</f>
        <v/>
      </c>
      <c r="B2557">
        <f>Skills!B2</f>
        <v/>
      </c>
      <c r="C2557">
        <f>Inputs!$B$3&gt;=100</f>
        <v/>
      </c>
      <c r="D2557" t="inlineStr"/>
      <c r="E2557" t="inlineStr"/>
      <c r="F2557">
        <f>U2559+Skills!O2</f>
        <v/>
      </c>
      <c r="G2557">
        <f>Skills!G2*IF(Skills!H2&gt;0,Skills!I2/Skills!H2,1)</f>
        <v/>
      </c>
      <c r="H2557">
        <f>1-(1-Skills!J2/100)^Skills!K2</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2575=TRUE)*(F2575-Calc!F20)),(Inputs!$B$23+0+(IF(ArtifactsInput!$M$15,CHOOSE(ArtifactsInput!$N$15+1,25,30,35,40,45,50)/100*(Inputs!$B$11-Inputs!$B$11),0))))/100+(Inputs!$B$23+0+(IF(ArtifactsInput!$M$15,CHOOSE(ArtifactsInput!$N$15+1,25,30,35,40,45,50)/100*(Inputs!$B$11-Inputs!$B$11),0)))/100)/2</f>
        <v/>
      </c>
      <c r="M2557">
        <f>L2557*(1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IF(B2590=0,0,O2557/B2590)</f>
        <v/>
      </c>
      <c r="Q2557" t="n">
        <v>0</v>
      </c>
      <c r="R2557" t="n">
        <v>0</v>
      </c>
      <c r="S2557">
        <f>IFERROR(O2557/N2557,0)</f>
        <v/>
      </c>
      <c r="T2557">
        <f>IF(C2557,(Skills!G2*N2557*B2584)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2557*(1-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7">
        <f>MAX(0,(Inputs!$B$3-100)*3)+Inputs!$B$28+Inputs!$B$29</f>
        <v/>
      </c>
      <c r="V2557">
        <f>IF(C2557,(Skills!G2*N2557*B2584)*IF(Inputs!$B$38="pvp",1,(1+(Inputs!$B$21+Skills!Q2+(IF(ArtifactsInput!$M$33,CHOOSE(ArtifactsInput!$N$33+1,30,36,42,48,54,60),0))+(IF(AND(ArtifactsInput!$M$35,Inputs!$B$4&lt;&gt;"Chapter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Skills!A3</f>
        <v/>
      </c>
      <c r="B2558">
        <f>Skills!B3</f>
        <v/>
      </c>
      <c r="C2558">
        <f>Inputs!$B$3&gt;=35</f>
        <v/>
      </c>
      <c r="D2558">
        <f>IF(Skills!C3=1,60+Inputs!$B$25+Inputs!$B$29,IF(Skills!C3=2,90+Inputs!$B$26+Inputs!$B$29,IF(Skills!C3=3,120+Inputs!$B$27+Inputs!$B$29,MAX(0,(Inputs!$B$3-100)*3)+Inputs!$B$28+Inputs!$B$29)))</f>
        <v/>
      </c>
      <c r="E2558">
        <f>INDEX(FactorTable!$B$2:$Y$301, MATCH(ROUND(MIN(300,MAX(1,D2558)),0), FactorTable!$A$2:$A$301,0), Skills!M3+1)</f>
        <v/>
      </c>
      <c r="F2558">
        <f>IF(Skills!N3=TRUE,(Skills!L3/10)*(E2558/1000),Skills!L3/10)+Skills!O3</f>
        <v/>
      </c>
      <c r="G2558">
        <f>Skills!G3*IF(Skills!H3&gt;0,Skills!I3/Skills!H3,1)</f>
        <v/>
      </c>
      <c r="H2558">
        <f>1-(1-Skills!J3/100)^Skills!K3</f>
        <v/>
      </c>
      <c r="I2558" t="inlineStr">
        <is>
          <t>1</t>
        </is>
      </c>
      <c r="J2558">
        <f>((Inputs!$B$6*(1+Inputs!$B$7/100))+(((Inputs!$B$12*(1+Inputs!$B$13/100))-(Inputs!$B$12*(1+Inputs!$B$13/100)))+0.25*(Inputs!$B$14-Inputs!$B$14))*(1+Inputs!$B$7/100))*(F2558/100)</f>
        <v/>
      </c>
      <c r="K2558">
        <f>J2558*(1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2558)</f>
        <v/>
      </c>
      <c r="L2558">
        <f>K2558*(MIN(Inputs!$B$22+((C2575=TRUE)*(F2575-Calc!F20)),(Inputs!$B$23+0+(IF(ArtifactsInput!$M$15,CHOOSE(ArtifactsInput!$N$15+1,25,30,35,40,45,50)/100*(Inputs!$B$11-Inputs!$B$11),0))))/100+(Inputs!$B$23+0+(IF(ArtifactsInput!$M$15,CHOOSE(ArtifactsInput!$N$15+1,25,30,35,40,45,50)/100*(Inputs!$B$11-Inputs!$B$11),0)))/100)/2</f>
        <v/>
      </c>
      <c r="M2558">
        <f>L2558*(1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(1-Summary!$B$11)*T2558+Summary!$B$11*V2558</f>
        <v/>
      </c>
      <c r="P2558">
        <f>IF(B2590=0,0,O2558/B2590)</f>
        <v/>
      </c>
      <c r="Q2558" t="n">
        <v>0</v>
      </c>
      <c r="R2558" t="n">
        <v>0</v>
      </c>
      <c r="S2558">
        <f>IFERROR(O2558/N2558,0)</f>
        <v/>
      </c>
      <c r="T2558">
        <f>IF(C2558,(Skills!G3*H2558*N2558*B2584)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2558*(1-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8">
        <f>INDEX(FactorTable!$B$2:$Y$301, MATCH(ROUND(MIN(300,MAX(1,U2557)),0), FactorTable!$A$2:$A$301,0), 22)</f>
        <v/>
      </c>
      <c r="V2558">
        <f>IF(C2558,(Skills!G3*H2558*N2558*B2584)*IF(Inputs!$B$38="pvp",1,(1+(Inputs!$B$21+Skills!Q3+(IF(ArtifactsInput!$M$33,CHOOSE(ArtifactsInput!$N$33+1,30,36,42,48,54,60),0))+(IF(AND(ArtifactsInput!$M$35,Inputs!$B$4&lt;&gt;"Chapter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Skills!A4</f>
        <v/>
      </c>
      <c r="B2559">
        <f>Skills!B4</f>
        <v/>
      </c>
      <c r="C2559">
        <f>Inputs!$B$3&gt;=60</f>
        <v/>
      </c>
      <c r="D2559">
        <f>IF(Skills!C4=1,60+Inputs!$B$25+Inputs!$B$29,IF(Skills!C4=2,90+Inputs!$B$26+Inputs!$B$29,IF(Skills!C4=3,120+Inputs!$B$27+Inputs!$B$29,MAX(0,(Inputs!$B$3-100)*3)+Inputs!$B$28+Inputs!$B$29)))</f>
        <v/>
      </c>
      <c r="E2559">
        <f>INDEX(FactorTable!$B$2:$Y$301, MATCH(ROUND(MIN(300,MAX(1,D2559)),0), FactorTable!$A$2:$A$301,0), Skills!M4+1)</f>
        <v/>
      </c>
      <c r="F2559">
        <f>IF(Skills!N4=TRUE,(Skills!L4/10)*(E2559/1000),Skills!L4/10)+Skills!O4</f>
        <v/>
      </c>
      <c r="G2559">
        <f>Skills!G4*IF(Skills!H4&gt;0,Skills!I4/Skills!H4,1)</f>
        <v/>
      </c>
      <c r="H2559">
        <f>1-(1-Skills!J4/100)^Skills!K4</f>
        <v/>
      </c>
      <c r="I2559" t="inlineStr">
        <is>
          <t>1</t>
        </is>
      </c>
      <c r="J2559">
        <f>((Inputs!$B$6*(1+Inputs!$B$7/100))+(((Inputs!$B$12*(1+Inputs!$B$13/100))-(Inputs!$B$12*(1+Inputs!$B$13/100)))+0.25*(Inputs!$B$14-Inputs!$B$14))*(1+Inputs!$B$7/100))*(F2559/100)</f>
        <v/>
      </c>
      <c r="K2559">
        <f>J2559*(1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2567=TRUE,F2567,0)/100)*(1+(IF(Skills!A4="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2559)</f>
        <v/>
      </c>
      <c r="L2559">
        <f>K2559*(MIN(Inputs!$B$22+((C2575=TRUE)*(F2575-Calc!F20)),(Inputs!$B$23+0+(IF(ArtifactsInput!$M$15,CHOOSE(ArtifactsInput!$N$15+1,25,30,35,40,45,50)/100*(Inputs!$B$11-Inputs!$B$11),0))))/100+(Inputs!$B$23+0+(IF(ArtifactsInput!$M$15,CHOOSE(ArtifactsInput!$N$15+1,25,30,35,40,45,50)/100*(Inputs!$B$11-Inputs!$B$11),0)))/100)/2</f>
        <v/>
      </c>
      <c r="M2559">
        <f>L2559*(1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9">
        <f>L2559*(1-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2559*(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9">
        <f>(1-Summary!$B$11)*T2559+Summary!$B$11*V2559</f>
        <v/>
      </c>
      <c r="P2559">
        <f>IF(B2590=0,0,O2559/B2590)</f>
        <v/>
      </c>
      <c r="Q2559" t="n">
        <v>0</v>
      </c>
      <c r="R2559" t="n">
        <v>0</v>
      </c>
      <c r="S2559">
        <f>IFERROR(O2559/N2559,0)</f>
        <v/>
      </c>
      <c r="T2559">
        <f>IF(C2559,(Skills!G4*H2559*N2559*B2584)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2559*(1-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2559*(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2559*(1-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2559*(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9">
        <f>290*U2558/1000</f>
        <v/>
      </c>
      <c r="V2559">
        <f>IF(C2559,(Skills!G4*H2559*N2559*B2584)*IF(Inputs!$B$38="pvp",1,(1+(Inputs!$B$21+Skills!Q4+(IF(ArtifactsInput!$M$33,CHOOSE(ArtifactsInput!$N$33+1,30,36,42,48,54,60),0))+(IF(AND(ArtifactsInput!$M$35,Inputs!$B$4&lt;&gt;"Chapter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0">
      <c r="A2560">
        <f>Skills!A5</f>
        <v/>
      </c>
      <c r="B2560">
        <f>Skills!B5</f>
        <v/>
      </c>
      <c r="C2560">
        <f>Inputs!$B$3&gt;=60</f>
        <v/>
      </c>
      <c r="D2560">
        <f>IF(Skills!C5=1,60+Inputs!$B$25+Inputs!$B$29,IF(Skills!C5=2,90+Inputs!$B$26+Inputs!$B$29,IF(Skills!C5=3,120+Inputs!$B$27+Inputs!$B$29,MAX(0,(Inputs!$B$3-100)*3)+Inputs!$B$28+Inputs!$B$29)))</f>
        <v/>
      </c>
      <c r="E2560">
        <f>INDEX(FactorTable!$B$2:$Y$301, MATCH(ROUND(MIN(300,MAX(1,D2560)),0), FactorTable!$A$2:$A$301,0), Skills!M5+1)</f>
        <v/>
      </c>
      <c r="F2560">
        <f>IF(Skills!N5=TRUE,(Skills!L5/10)*(E2560/1000),Skills!L5/10)+Skills!O5</f>
        <v/>
      </c>
      <c r="G2560">
        <f>Skills!G5*IF(Skills!H5&gt;0,Skills!I5/Skills!H5,1)</f>
        <v/>
      </c>
      <c r="H2560">
        <f>1-(1-Skills!J5/100)^Skills!K5</f>
        <v/>
      </c>
      <c r="I2560" t="inlineStr">
        <is>
          <t>1</t>
        </is>
      </c>
      <c r="J2560" t="inlineStr"/>
      <c r="K2560" t="inlineStr"/>
      <c r="L2560" t="inlineStr"/>
      <c r="M2560" t="inlineStr"/>
      <c r="N2560" t="inlineStr"/>
      <c r="O2560">
        <f>(1-Summary!$B$11)*T2560+Summary!$B$11*V2560</f>
        <v/>
      </c>
      <c r="P2560">
        <f>IF(B2590=0,0,O2560/B2590)</f>
        <v/>
      </c>
      <c r="Q2560" t="n">
        <v>0</v>
      </c>
      <c r="R2560" t="n">
        <v>0</v>
      </c>
      <c r="S2560">
        <f>IFERROR(O2560/N2560,0)</f>
        <v/>
      </c>
      <c r="T2560" t="n">
        <v>0</v>
      </c>
      <c r="V2560" t="n">
        <v>0</v>
      </c>
    </row>
    <row r="2561">
      <c r="A2561">
        <f>Skills!A6</f>
        <v/>
      </c>
      <c r="B2561">
        <f>Skills!B6</f>
        <v/>
      </c>
      <c r="C2561">
        <f>Inputs!$B$3&gt;=63</f>
        <v/>
      </c>
      <c r="D2561">
        <f>IF(Skills!C6=1,60+Inputs!$B$25+Inputs!$B$29,IF(Skills!C6=2,90+Inputs!$B$26+Inputs!$B$29,IF(Skills!C6=3,120+Inputs!$B$27+Inputs!$B$29,MAX(0,(Inputs!$B$3-100)*3)+Inputs!$B$28+Inputs!$B$29)))</f>
        <v/>
      </c>
      <c r="E2561">
        <f>INDEX(FactorTable!$B$2:$Y$301, MATCH(ROUND(MIN(300,MAX(1,D2561)),0), FactorTable!$A$2:$A$301,0), Skills!M6+1)</f>
        <v/>
      </c>
      <c r="F2561">
        <f>IF(Skills!N6=TRUE,(Skills!L6/10)*(E2561/1000),Skills!L6/10)+Skills!O6</f>
        <v/>
      </c>
      <c r="G2561">
        <f>Skills!G6*IF(Skills!H6&gt;0,Skills!I6/Skills!H6,1)</f>
        <v/>
      </c>
      <c r="H2561">
        <f>1-(1-Skills!J6/100)^Skills!K6</f>
        <v/>
      </c>
      <c r="I2561" t="inlineStr">
        <is>
          <t>1</t>
        </is>
      </c>
      <c r="J2561">
        <f>((Inputs!$B$6*(1+Inputs!$B$7/100))+(((Inputs!$B$12*(1+Inputs!$B$13/100))-(Inputs!$B$12*(1+Inputs!$B$13/100)))+0.25*(Inputs!$B$14-Inputs!$B$14))*(1+Inputs!$B$7/100))*(F2561/100)</f>
        <v/>
      </c>
      <c r="K2561">
        <f>J2561*(1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2561)</f>
        <v/>
      </c>
      <c r="L2561">
        <f>K2561*(MIN(Inputs!$B$22+((C2575=TRUE)*(F2575-Calc!F20)),(Inputs!$B$23+0+(IF(ArtifactsInput!$M$15,CHOOSE(ArtifactsInput!$N$15+1,25,30,35,40,45,50)/100*(Inputs!$B$11-Inputs!$B$11),0))))/100+(Inputs!$B$23+0+(IF(ArtifactsInput!$M$15,CHOOSE(ArtifactsInput!$N$15+1,25,30,35,40,45,50)/100*(Inputs!$B$11-Inputs!$B$11),0)))/100)/2</f>
        <v/>
      </c>
      <c r="M2561">
        <f>L2561*(1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1">
        <f>L2561*(1-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1">
        <f>(1-Summary!$B$11)*T2561+Summary!$B$11*V2561</f>
        <v/>
      </c>
      <c r="P2561">
        <f>IF(B2590=0,0,O2561/B2590)</f>
        <v/>
      </c>
      <c r="Q2561">
        <f>IFERROR(1/(IF(Inputs!$B$38="pvp",15,MAX(0.1,Skills!D6-IF(Skills!E6=TRUE,2.0,0)))*(1-IF(AND(ArtifactsInput!$M$27,Inputs!$B$4="Chapter Hunt"),CHOOSE(ArtifactsInput!$N$27+1,20,24,28,32,36,40),0)/100)),0)</f>
        <v/>
      </c>
      <c r="R2561">
        <f>IF(AND(Inputs!$B$38&lt;&gt;"pvp",Inputs!$B$43&gt;0),IF(MAX(0,Inputs!$B$43-B2587)&lt;=0,0,(INT(MAX(0,Inputs!$B$43-B2587)/(IF(Inputs!$B$38="pvp",15,MAX(0.1,Skills!D6-IF(Skills!E6=TRUE,2.0,0)))*(1-IF(AND(ArtifactsInput!$M$27,Inputs!$B$4="Chapter Hunt"),CHOOSE(ArtifactsInput!$N$27+1,20,24,28,32,36,40),0)/100)))+1)),0)</f>
        <v/>
      </c>
      <c r="S2561">
        <f>IFERROR(O2561/N2561,0)</f>
        <v/>
      </c>
      <c r="T2561">
        <f>IF(C2561,(H2561*N2561*IF(AND(Inputs!$B$38&lt;&gt;"pvp",Inputs!$B$43&gt;0),((Skills!G6*((R2561-1)*IF(Skills!H6&gt;0,Skills!I6/Skills!H6,1)+IF(Skills!H6&gt;0,MIN(Skills!I6,MAX(0,MAX(0,Inputs!$B$43-B2587)-((R2561-1)*(IF(Inputs!$B$38="pvp",15,MAX(0.1,Skills!D6-IF(Skills!E6=TRUE,2.0,0)))*(1-IF(AND(ArtifactsInput!$M$27,Inputs!$B$4="Chapter Hunt"),CHOOSE(ArtifactsInput!$N$27+1,20,24,28,32,36,40),0)/100)))))/Skills!H6,1)))/Inputs!$B$43),G2561*Q2561)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1">
        <f>IF(C2561,(H2561*N2561*IF(AND(Inputs!$B$38&lt;&gt;"pvp",Inputs!$B$43&gt;0),((Skills!G6*((R2561-1)*IF(Skills!H6&gt;0,Skills!I6/Skills!H6,1)+IF(Skills!H6&gt;0,MIN(Skills!I6,MAX(0,MAX(0,Inputs!$B$43-B2587)-((R2561-1)*(IF(Inputs!$B$38="pvp",15,MAX(0.1,Skills!D6-IF(Skills!E6=TRUE,2.0,0)))*(1-IF(AND(ArtifactsInput!$M$27,Inputs!$B$4="Chapter Hunt"),CHOOSE(ArtifactsInput!$N$27+1,20,24,28,32,36,40),0)/100)))))/Skills!H6,1)))/Inputs!$B$43),G2561*Q2561))*IF(Inputs!$B$38="pvp",1,(1+(Inputs!$B$21+Skills!Q6+(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2">
      <c r="A2562">
        <f>Skills!A7</f>
        <v/>
      </c>
      <c r="B2562">
        <f>Skills!B7</f>
        <v/>
      </c>
      <c r="C2562">
        <f>Inputs!$B$3&gt;=100</f>
        <v/>
      </c>
      <c r="D2562">
        <f>IF(Skills!C7=1,60+Inputs!$B$25+Inputs!$B$29,IF(Skills!C7=2,90+Inputs!$B$26+Inputs!$B$29,IF(Skills!C7=3,120+Inputs!$B$27+Inputs!$B$29,MAX(0,(Inputs!$B$3-100)*3)+Inputs!$B$28+Inputs!$B$29)))</f>
        <v/>
      </c>
      <c r="E2562">
        <f>INDEX(FactorTable!$B$2:$Y$301, MATCH(ROUND(MIN(300,MAX(1,D2562)),0), FactorTable!$A$2:$A$301,0), Skills!M7+1)</f>
        <v/>
      </c>
      <c r="F2562">
        <f>IF(Skills!N7=TRUE,(Skills!L7/10)*(E2562/1000),Skills!L7/10)+Skills!O7</f>
        <v/>
      </c>
      <c r="G2562">
        <f>Skills!G7*IF(Skills!H7&gt;0,Skills!I7/Skills!H7,1)</f>
        <v/>
      </c>
      <c r="H2562">
        <f>1-(1-Skills!J7/100)^Skills!K7</f>
        <v/>
      </c>
      <c r="I2562" t="inlineStr">
        <is>
          <t>1</t>
        </is>
      </c>
      <c r="J2562">
        <f>((Inputs!$B$6*(1+Inputs!$B$7/100))+(((Inputs!$B$12*(1+Inputs!$B$13/100))-(Inputs!$B$12*(1+Inputs!$B$13/100)))+0.25*(Inputs!$B$14-Inputs!$B$14))*(1+Inputs!$B$7/100))*(F2562/100)</f>
        <v/>
      </c>
      <c r="K2562">
        <f>J2562*(1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2562)</f>
        <v/>
      </c>
      <c r="L2562">
        <f>K2562*(MIN(Inputs!$B$22+((C2575=TRUE)*(F2575-Calc!F20)),(Inputs!$B$23+0+(IF(ArtifactsInput!$M$15,CHOOSE(ArtifactsInput!$N$15+1,25,30,35,40,45,50)/100*(Inputs!$B$11-Inputs!$B$11),0))))/100+(Inputs!$B$23+0+(IF(ArtifactsInput!$M$15,CHOOSE(ArtifactsInput!$N$15+1,25,30,35,40,45,50)/100*(Inputs!$B$11-Inputs!$B$11),0)))/100)/2</f>
        <v/>
      </c>
      <c r="M2562">
        <f>L2562*(1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2">
        <f>L2562*(1-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2562*(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2">
        <f>(1-Summary!$B$11)*T2562+Summary!$B$11*V2562</f>
        <v/>
      </c>
      <c r="P2562">
        <f>IF(B2590=0,0,O2562/B2590)</f>
        <v/>
      </c>
      <c r="Q2562">
        <f>IFERROR(1/(IF(Inputs!$B$38="pvp",15,MAX(0.1,Skills!D7-IF(Skills!E7=TRUE,2.0,0)))*(1-IF(AND(ArtifactsInput!$M$27,Inputs!$B$4="Chapter Hunt"),CHOOSE(ArtifactsInput!$N$27+1,20,24,28,32,36,40),0)/100)),0)</f>
        <v/>
      </c>
      <c r="R2562">
        <f>IF(AND(Inputs!$B$38&lt;&gt;"pvp",Inputs!$B$43&gt;0),IF(MAX(0,Inputs!$B$43-B2587)&lt;=0,0,(INT(MAX(0,Inputs!$B$43-B2587)/(IF(Inputs!$B$38="pvp",15,MAX(0.1,Skills!D7-IF(Skills!E7=TRUE,2.0,0)))*(1-IF(AND(ArtifactsInput!$M$27,Inputs!$B$4="Chapter Hunt"),CHOOSE(ArtifactsInput!$N$27+1,20,24,28,32,36,40),0)/100)))+1)),0)</f>
        <v/>
      </c>
      <c r="S2562">
        <f>IFERROR(O2562/N2562,0)</f>
        <v/>
      </c>
      <c r="T2562">
        <f>IF(C2562,(H2562*N2562*IF(AND(Inputs!$B$38&lt;&gt;"pvp",Inputs!$B$43&gt;0),((Skills!G7*((R2562-1)*IF(Skills!H7&gt;0,Skills!I7/Skills!H7,1)+IF(Skills!H7&gt;0,MIN(Skills!I7,MAX(0,MAX(0,Inputs!$B$43-B2587)-((R2562-1)*(IF(Inputs!$B$38="pvp",15,MAX(0.1,Skills!D7-IF(Skills!E7=TRUE,2.0,0)))*(1-IF(AND(ArtifactsInput!$M$27,Inputs!$B$4="Chapter Hunt"),CHOOSE(ArtifactsInput!$N$27+1,20,24,28,32,36,40),0)/100)))))/Skills!H7,1)))/Inputs!$B$43),G2562*Q2562)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2562*(1-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2562*(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2562*(1-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2562*(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2">
        <f>IF(C2562,(H2562*N2562*IF(AND(Inputs!$B$38&lt;&gt;"pvp",Inputs!$B$43&gt;0),((Skills!G7*((R2562-1)*IF(Skills!H7&gt;0,Skills!I7/Skills!H7,1)+IF(Skills!H7&gt;0,MIN(Skills!I7,MAX(0,MAX(0,Inputs!$B$43-B2587)-((R2562-1)*(IF(Inputs!$B$38="pvp",15,MAX(0.1,Skills!D7-IF(Skills!E7=TRUE,2.0,0)))*(1-IF(AND(ArtifactsInput!$M$27,Inputs!$B$4="Chapter Hunt"),CHOOSE(ArtifactsInput!$N$27+1,20,24,28,32,36,40),0)/100)))))/Skills!H7,1)))/Inputs!$B$43),G2562*Q2562))*IF(Inputs!$B$38="pvp",1,(1+(Inputs!$B$21+Skills!Q7+(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3">
      <c r="A2563">
        <f>Skills!A8</f>
        <v/>
      </c>
      <c r="B2563">
        <f>Skills!B8</f>
        <v/>
      </c>
      <c r="C2563">
        <f>Inputs!$B$3&gt;=110</f>
        <v/>
      </c>
      <c r="D2563">
        <f>IF(Skills!C8=1,60+Inputs!$B$25+Inputs!$B$29,IF(Skills!C8=2,90+Inputs!$B$26+Inputs!$B$29,IF(Skills!C8=3,120+Inputs!$B$27+Inputs!$B$29,MAX(0,(Inputs!$B$3-100)*3)+Inputs!$B$28+Inputs!$B$29)))</f>
        <v/>
      </c>
      <c r="E2563">
        <f>INDEX(FactorTable!$B$2:$Y$301, MATCH(ROUND(MIN(300,MAX(1,D2563)),0), FactorTable!$A$2:$A$301,0), Skills!M8+1)</f>
        <v/>
      </c>
      <c r="F2563">
        <f>IF(Skills!N8=TRUE,(Skills!L8/10)*(E2563/1000),Skills!L8/10)+Skills!O8</f>
        <v/>
      </c>
      <c r="G2563">
        <f>Skills!G8*IF(Skills!H8&gt;0,Skills!I8/Skills!H8,1)</f>
        <v/>
      </c>
      <c r="H2563">
        <f>1-(1-Skills!J8/100)^Skills!K8</f>
        <v/>
      </c>
      <c r="I2563" t="inlineStr">
        <is>
          <t>1</t>
        </is>
      </c>
      <c r="J2563">
        <f>((Inputs!$B$6*(1+Inputs!$B$7/100))+(((Inputs!$B$12*(1+Inputs!$B$13/100))-(Inputs!$B$12*(1+Inputs!$B$13/100)))+0.25*(Inputs!$B$14-Inputs!$B$14))*(1+Inputs!$B$7/100))*(F2563/100)</f>
        <v/>
      </c>
      <c r="K2563">
        <f>J2563*(1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2563)</f>
        <v/>
      </c>
      <c r="L2563">
        <f>K2563*(MIN(Inputs!$B$22+((C2575=TRUE)*(F2575-Calc!F20)),(Inputs!$B$23+0+(IF(ArtifactsInput!$M$15,CHOOSE(ArtifactsInput!$N$15+1,25,30,35,40,45,50)/100*(Inputs!$B$11-Inputs!$B$11),0))))/100+(Inputs!$B$23+0+(IF(ArtifactsInput!$M$15,CHOOSE(ArtifactsInput!$N$15+1,25,30,35,40,45,50)/100*(Inputs!$B$11-Inputs!$B$11),0)))/100)/2</f>
        <v/>
      </c>
      <c r="M2563">
        <f>L2563*(1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3">
        <f>L2563*(1-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2563*(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3">
        <f>(1-Summary!$B$11)*T2563+Summary!$B$11*V2563</f>
        <v/>
      </c>
      <c r="P2563">
        <f>IF(B2590=0,0,O2563/B2590)</f>
        <v/>
      </c>
      <c r="Q2563">
        <f>IFERROR(1/(IF(Inputs!$B$38="pvp",15,MAX(0.1,Skills!D8-IF(Skills!E8=TRUE,2.0,0)))*(1-IF(AND(ArtifactsInput!$M$27,Inputs!$B$4="Chapter Hunt"),CHOOSE(ArtifactsInput!$N$27+1,20,24,28,32,36,40),0)/100)),0)</f>
        <v/>
      </c>
      <c r="R2563">
        <f>IF(AND(Inputs!$B$38&lt;&gt;"pvp",Inputs!$B$43&gt;0),IF(MAX(0,Inputs!$B$43-B2587)&lt;=0,0,(INT(MAX(0,Inputs!$B$43-B2587)/(IF(Inputs!$B$38="pvp",15,MAX(0.1,Skills!D8-IF(Skills!E8=TRUE,2.0,0)))*(1-IF(AND(ArtifactsInput!$M$27,Inputs!$B$4="Chapter Hunt"),CHOOSE(ArtifactsInput!$N$27+1,20,24,28,32,36,40),0)/100)))+1)),0)</f>
        <v/>
      </c>
      <c r="S2563">
        <f>IFERROR(O2563/N2563,0)</f>
        <v/>
      </c>
      <c r="T2563">
        <f>IF(C2563,(H2563*N2563*IF(AND(Inputs!$B$38&lt;&gt;"pvp",Inputs!$B$43&gt;0),((Skills!G8*((R2563-1)*IF(Skills!H8&gt;0,Skills!I8/Skills!H8,1)+IF(Skills!H8&gt;0,MIN(Skills!I8,MAX(0,MAX(0,Inputs!$B$43-B2587)-((R2563-1)*(IF(Inputs!$B$38="pvp",15,MAX(0.1,Skills!D8-IF(Skills!E8=TRUE,2.0,0)))*(1-IF(AND(ArtifactsInput!$M$27,Inputs!$B$4="Chapter Hunt"),CHOOSE(ArtifactsInput!$N$27+1,20,24,28,32,36,40),0)/100)))))/Skills!H8,1)))/Inputs!$B$43),G2563*Q2563)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2563*(1-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2563*(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2563*(1-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2563*(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3">
        <f>IF(C2563,(H2563*N2563*IF(AND(Inputs!$B$38&lt;&gt;"pvp",Inputs!$B$43&gt;0),((Skills!G8*((R2563-1)*IF(Skills!H8&gt;0,Skills!I8/Skills!H8,1)+IF(Skills!H8&gt;0,MIN(Skills!I8,MAX(0,MAX(0,Inputs!$B$43-B2587)-((R2563-1)*(IF(Inputs!$B$38="pvp",15,MAX(0.1,Skills!D8-IF(Skills!E8=TRUE,2.0,0)))*(1-IF(AND(ArtifactsInput!$M$27,Inputs!$B$4="Chapter Hunt"),CHOOSE(ArtifactsInput!$N$27+1,20,24,28,32,36,40),0)/100)))))/Skills!H8,1)))/Inputs!$B$43),G2563*Q2563))*IF(Inputs!$B$38="pvp",1,(1+(Inputs!$B$21+Skills!Q8+(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4">
      <c r="A2564">
        <f>Skills!A9</f>
        <v/>
      </c>
      <c r="B2564">
        <f>Skills!B9</f>
        <v/>
      </c>
      <c r="C2564">
        <f>Inputs!$B$3&gt;=110</f>
        <v/>
      </c>
      <c r="D2564">
        <f>IF(Skills!C9=1,60+Inputs!$B$25+Inputs!$B$29,IF(Skills!C9=2,90+Inputs!$B$26+Inputs!$B$29,IF(Skills!C9=3,120+Inputs!$B$27+Inputs!$B$29,MAX(0,(Inputs!$B$3-100)*3)+Inputs!$B$28+Inputs!$B$29)))</f>
        <v/>
      </c>
      <c r="E2564">
        <f>INDEX(FactorTable!$B$2:$Y$301, MATCH(ROUND(MIN(300,MAX(1,D2564)),0), FactorTable!$A$2:$A$301,0), Skills!M9+1)</f>
        <v/>
      </c>
      <c r="F2564">
        <f>IF(Skills!N9=TRUE,(Skills!L9/10)*(E2564/1000),Skills!L9/10)+Skills!O9</f>
        <v/>
      </c>
      <c r="G2564">
        <f>Skills!G9*IF(Skills!H9&gt;0,Skills!I9/Skills!H9,1)</f>
        <v/>
      </c>
      <c r="H2564">
        <f>1-(1-Skills!J9/100)^Skills!K9</f>
        <v/>
      </c>
      <c r="I2564" t="inlineStr">
        <is>
          <t>1</t>
        </is>
      </c>
      <c r="J2564">
        <f>((Inputs!$B$6*(1+Inputs!$B$7/100))+(((Inputs!$B$12*(1+Inputs!$B$13/100))-(Inputs!$B$12*(1+Inputs!$B$13/100)))+0.25*(Inputs!$B$14-Inputs!$B$14))*(1+Inputs!$B$7/100))*(F2564/100)</f>
        <v/>
      </c>
      <c r="K2564">
        <f>J2564*(1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2564)</f>
        <v/>
      </c>
      <c r="L2564">
        <f>K2564*(MIN(Inputs!$B$22+((C2575=TRUE)*(F2575-Calc!F20)),(Inputs!$B$23+0+(IF(ArtifactsInput!$M$15,CHOOSE(ArtifactsInput!$N$15+1,25,30,35,40,45,50)/100*(Inputs!$B$11-Inputs!$B$11),0))))/100+(Inputs!$B$23+0+(IF(ArtifactsInput!$M$15,CHOOSE(ArtifactsInput!$N$15+1,25,30,35,40,45,50)/100*(Inputs!$B$11-Inputs!$B$11),0)))/100)/2</f>
        <v/>
      </c>
      <c r="M2564">
        <f>L2564*(1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4">
        <f>L2564*(1-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2564*(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4">
        <f>(1-Summary!$B$11)*T2564+Summary!$B$11*V2564</f>
        <v/>
      </c>
      <c r="P2564">
        <f>IF(B2590=0,0,O2564/B2590)</f>
        <v/>
      </c>
      <c r="Q2564">
        <f>IFERROR(1/(IF(Inputs!$B$38="pvp",15,MAX(0.1,Skills!D9-IF(Skills!E9=TRUE,2.0,0)))*(1-IF(AND(ArtifactsInput!$M$27,Inputs!$B$4="Chapter Hunt"),CHOOSE(ArtifactsInput!$N$27+1,20,24,28,32,36,40),0)/100)),0)</f>
        <v/>
      </c>
      <c r="R2564">
        <f>IF(AND(Inputs!$B$38&lt;&gt;"pvp",Inputs!$B$43&gt;0),IF(MAX(0,Inputs!$B$43-B2587)&lt;=0,0,(INT(MAX(0,Inputs!$B$43-B2587)/(IF(Inputs!$B$38="pvp",15,MAX(0.1,Skills!D9-IF(Skills!E9=TRUE,2.0,0)))*(1-IF(AND(ArtifactsInput!$M$27,Inputs!$B$4="Chapter Hunt"),CHOOSE(ArtifactsInput!$N$27+1,20,24,28,32,36,40),0)/100)))+1)),0)</f>
        <v/>
      </c>
      <c r="S2564">
        <f>IFERROR(O2564/N2564,0)</f>
        <v/>
      </c>
      <c r="T2564">
        <f>IF(C2564,(H2564*N2564*IF(AND(Inputs!$B$38&lt;&gt;"pvp",Inputs!$B$43&gt;0),((Skills!G9*((R2564-1)*IF(Skills!H9&gt;0,Skills!I9/Skills!H9,1)+IF(Skills!H9&gt;0,MIN(Skills!I9,MAX(0,MAX(0,Inputs!$B$43-B2587)-((R2564-1)*(IF(Inputs!$B$38="pvp",15,MAX(0.1,Skills!D9-IF(Skills!E9=TRUE,2.0,0)))*(1-IF(AND(ArtifactsInput!$M$27,Inputs!$B$4="Chapter Hunt"),CHOOSE(ArtifactsInput!$N$27+1,20,24,28,32,36,40),0)/100)))))/Skills!H9,1)))/Inputs!$B$43),G2564*Q2564)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2564*(1-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2564*(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2564*(1-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2564*(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4">
        <f>IF(C2564,(H2564*N2564*IF(AND(Inputs!$B$38&lt;&gt;"pvp",Inputs!$B$43&gt;0),((Skills!G9*((R2564-1)*IF(Skills!H9&gt;0,Skills!I9/Skills!H9,1)+IF(Skills!H9&gt;0,MIN(Skills!I9,MAX(0,MAX(0,Inputs!$B$43-B2587)-((R2564-1)*(IF(Inputs!$B$38="pvp",15,MAX(0.1,Skills!D9-IF(Skills!E9=TRUE,2.0,0)))*(1-IF(AND(ArtifactsInput!$M$27,Inputs!$B$4="Chapter Hunt"),CHOOSE(ArtifactsInput!$N$27+1,20,24,28,32,36,40),0)/100)))))/Skills!H9,1)))/Inputs!$B$43),G2564*Q2564))*IF(Inputs!$B$38="pvp",1,(1+(Inputs!$B$21+Skills!Q9+(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5">
      <c r="A2565">
        <f>Skills!A10</f>
        <v/>
      </c>
      <c r="B2565">
        <f>Skills!B10</f>
        <v/>
      </c>
      <c r="C2565">
        <f>Inputs!$B$3&gt;=103</f>
        <v/>
      </c>
      <c r="D2565">
        <f>IF(Skills!C10=1,60+Inputs!$B$25+Inputs!$B$29,IF(Skills!C10=2,90+Inputs!$B$26+Inputs!$B$29,IF(Skills!C10=3,120+Inputs!$B$27+Inputs!$B$29,MAX(0,(Inputs!$B$3-100)*3)+Inputs!$B$28+Inputs!$B$29)))</f>
        <v/>
      </c>
      <c r="E2565">
        <f>INDEX(FactorTable!$B$2:$Y$301, MATCH(ROUND(MIN(300,MAX(1,D2565)),0), FactorTable!$A$2:$A$301,0), Skills!M10+1)</f>
        <v/>
      </c>
      <c r="F2565">
        <f>IF(Skills!N10=TRUE,(Skills!L10/10)*(E2565/1000),Skills!L10/10)+Skills!O10</f>
        <v/>
      </c>
      <c r="G2565">
        <f>Skills!G10*IF(Skills!H10&gt;0,Skills!I10/Skills!H10,1)</f>
        <v/>
      </c>
      <c r="H2565">
        <f>1-(1-Skills!J10/100)^Skills!K10</f>
        <v/>
      </c>
      <c r="I2565" t="inlineStr">
        <is>
          <t>1</t>
        </is>
      </c>
      <c r="J2565">
        <f>((Inputs!$B$6*(1+Inputs!$B$7/100))+(((Inputs!$B$12*(1+Inputs!$B$13/100))-(Inputs!$B$12*(1+Inputs!$B$13/100)))+0.25*(Inputs!$B$14-Inputs!$B$14))*(1+Inputs!$B$7/100))*(F2565/100)</f>
        <v/>
      </c>
      <c r="K2565">
        <f>J2565*(1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2565)</f>
        <v/>
      </c>
      <c r="L2565">
        <f>K2565*(MIN(Inputs!$B$22+((C2575=TRUE)*(F2575-Calc!F20)),(Inputs!$B$23+0+(IF(ArtifactsInput!$M$15,CHOOSE(ArtifactsInput!$N$15+1,25,30,35,40,45,50)/100*(Inputs!$B$11-Inputs!$B$11),0))))/100+(Inputs!$B$23+0+(IF(ArtifactsInput!$M$15,CHOOSE(ArtifactsInput!$N$15+1,25,30,35,40,45,50)/100*(Inputs!$B$11-Inputs!$B$11),0)))/100)/2</f>
        <v/>
      </c>
      <c r="M2565">
        <f>L2565*(1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5">
        <f>L2565*(1-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2565*(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5">
        <f>(1-Summary!$B$11)*T2565+Summary!$B$11*V2565</f>
        <v/>
      </c>
      <c r="P2565">
        <f>IF(B2590=0,0,O2565/B2590)</f>
        <v/>
      </c>
      <c r="Q2565">
        <f>IFERROR(1/(IF(Inputs!$B$38="pvp",15,MAX(0.1,Skills!D10-IF(Skills!E10=TRUE,2.0,0)))*(1-IF(AND(ArtifactsInput!$M$27,Inputs!$B$4="Chapter Hunt"),CHOOSE(ArtifactsInput!$N$27+1,20,24,28,32,36,40),0)/100)),0)</f>
        <v/>
      </c>
      <c r="R2565">
        <f>IF(AND(Inputs!$B$38&lt;&gt;"pvp",Inputs!$B$43&gt;0),IF(MAX(0,Inputs!$B$43-B2587)&lt;=0,0,(INT(MAX(0,Inputs!$B$43-B2587)/(IF(Inputs!$B$38="pvp",15,MAX(0.1,Skills!D10-IF(Skills!E10=TRUE,2.0,0)))*(1-IF(AND(ArtifactsInput!$M$27,Inputs!$B$4="Chapter Hunt"),CHOOSE(ArtifactsInput!$N$27+1,20,24,28,32,36,40),0)/100)))+1)),0)</f>
        <v/>
      </c>
      <c r="S2565">
        <f>IFERROR(O2565/N2565,0)</f>
        <v/>
      </c>
      <c r="T2565">
        <f>IF(C2565,(H2565*N2565*IF(AND(Inputs!$B$38&lt;&gt;"pvp",Inputs!$B$43&gt;0),((Skills!G10*((R2565-1)*IF(Skills!H10&gt;0,Skills!I10/Skills!H10,1)+IF(Skills!H10&gt;0,MIN(Skills!I10,MAX(0,MAX(0,Inputs!$B$43-B2587)-((R2565-1)*(IF(Inputs!$B$38="pvp",15,MAX(0.1,Skills!D10-IF(Skills!E10=TRUE,2.0,0)))*(1-IF(AND(ArtifactsInput!$M$27,Inputs!$B$4="Chapter Hunt"),CHOOSE(ArtifactsInput!$N$27+1,20,24,28,32,36,40),0)/100)))))/Skills!H10,1)))/Inputs!$B$43),G2565*Q2565)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2565*(1-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2565*(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2565*(1-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2565*(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5">
        <f>IF(C2565,(H2565*N2565*IF(AND(Inputs!$B$38&lt;&gt;"pvp",Inputs!$B$43&gt;0),((Skills!G10*((R2565-1)*IF(Skills!H10&gt;0,Skills!I10/Skills!H10,1)+IF(Skills!H10&gt;0,MIN(Skills!I10,MAX(0,MAX(0,Inputs!$B$43-B2587)-((R2565-1)*(IF(Inputs!$B$38="pvp",15,MAX(0.1,Skills!D10-IF(Skills!E10=TRUE,2.0,0)))*(1-IF(AND(ArtifactsInput!$M$27,Inputs!$B$4="Chapter Hunt"),CHOOSE(ArtifactsInput!$N$27+1,20,24,28,32,36,40),0)/100)))))/Skills!H10,1)))/Inputs!$B$43),G2565*Q2565))*IF(Inputs!$B$38="pvp",1,(1+(Inputs!$B$21+Skills!Q10+(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6">
      <c r="A2566">
        <f>Skills!A11</f>
        <v/>
      </c>
      <c r="B2566">
        <f>Skills!B11</f>
        <v/>
      </c>
      <c r="C2566">
        <f>Inputs!$B$3&gt;=113</f>
        <v/>
      </c>
      <c r="D2566">
        <f>IF(Skills!C11=1,60+Inputs!$B$25+Inputs!$B$29,IF(Skills!C11=2,90+Inputs!$B$26+Inputs!$B$29,IF(Skills!C11=3,120+Inputs!$B$27+Inputs!$B$29,MAX(0,(Inputs!$B$3-100)*3)+Inputs!$B$28+Inputs!$B$29)))</f>
        <v/>
      </c>
      <c r="E2566">
        <f>INDEX(FactorTable!$B$2:$Y$301, MATCH(ROUND(MIN(300,MAX(1,D2566)),0), FactorTable!$A$2:$A$301,0), Skills!M11+1)</f>
        <v/>
      </c>
      <c r="F2566">
        <f>IF(Skills!N11=TRUE,(Skills!L11/10)*(E2566/1000),Skills!L11/10)+Skills!O11</f>
        <v/>
      </c>
      <c r="G2566">
        <f>Skills!G11*IF(Skills!H11&gt;0,Skills!I11/Skills!H11,1)</f>
        <v/>
      </c>
      <c r="H2566">
        <f>1-(1-Skills!J11/100)^Skills!K11</f>
        <v/>
      </c>
      <c r="I2566" t="inlineStr">
        <is>
          <t>1</t>
        </is>
      </c>
      <c r="J2566">
        <f>((Inputs!$B$6*(1+Inputs!$B$7/100))+(((Inputs!$B$12*(1+Inputs!$B$13/100))-(Inputs!$B$12*(1+Inputs!$B$13/100)))+0.25*(Inputs!$B$14-Inputs!$B$14))*(1+Inputs!$B$7/100))*(F2566/100)</f>
        <v/>
      </c>
      <c r="K2566">
        <f>J2566*(1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2566)</f>
        <v/>
      </c>
      <c r="L2566">
        <f>K2566*(MIN(Inputs!$B$22+((C2575=TRUE)*(F2575-Calc!F20)),(Inputs!$B$23+0+(IF(ArtifactsInput!$M$15,CHOOSE(ArtifactsInput!$N$15+1,25,30,35,40,45,50)/100*(Inputs!$B$11-Inputs!$B$11),0))))/100+(Inputs!$B$23+0+(IF(ArtifactsInput!$M$15,CHOOSE(ArtifactsInput!$N$15+1,25,30,35,40,45,50)/100*(Inputs!$B$11-Inputs!$B$11),0)))/100)/2</f>
        <v/>
      </c>
      <c r="M2566">
        <f>L2566*(1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6">
        <f>L2566*(1-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2566*(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6">
        <f>(1-Summary!$B$11)*T2566+Summary!$B$11*V2566</f>
        <v/>
      </c>
      <c r="P2566">
        <f>IF(B2590=0,0,O2566/B2590)</f>
        <v/>
      </c>
      <c r="Q2566">
        <f>IFERROR(1/(IF(Inputs!$B$38="pvp",15,MAX(0.1,Skills!D11-IF(Skills!E11=TRUE,2.0,0)))*(1-IF(AND(ArtifactsInput!$M$27,Inputs!$B$4="Chapter Hunt"),CHOOSE(ArtifactsInput!$N$27+1,20,24,28,32,36,40),0)/100)),0)</f>
        <v/>
      </c>
      <c r="R2566">
        <f>IF(AND(Inputs!$B$38&lt;&gt;"pvp",Inputs!$B$43&gt;0),IF(MAX(0,Inputs!$B$43-B2587)&lt;=0,0,(INT(MAX(0,Inputs!$B$43-B2587)/(IF(Inputs!$B$38="pvp",15,MAX(0.1,Skills!D11-IF(Skills!E11=TRUE,2.0,0)))*(1-IF(AND(ArtifactsInput!$M$27,Inputs!$B$4="Chapter Hunt"),CHOOSE(ArtifactsInput!$N$27+1,20,24,28,32,36,40),0)/100)))+1)),0)</f>
        <v/>
      </c>
      <c r="S2566">
        <f>IFERROR(O2566/N2566,0)</f>
        <v/>
      </c>
      <c r="T2566">
        <f>IF(C2566,(H2566*N2566*IF(AND(Inputs!$B$38&lt;&gt;"pvp",Inputs!$B$43&gt;0),((Skills!G11*((R2566-1)*IF(Skills!H11&gt;0,Skills!I11/Skills!H11,1)+IF(Skills!H11&gt;0,MIN(Skills!I11,MAX(0,MAX(0,Inputs!$B$43-B2587)-((R2566-1)*(IF(Inputs!$B$38="pvp",15,MAX(0.1,Skills!D11-IF(Skills!E11=TRUE,2.0,0)))*(1-IF(AND(ArtifactsInput!$M$27,Inputs!$B$4="Chapter Hunt"),CHOOSE(ArtifactsInput!$N$27+1,20,24,28,32,36,40),0)/100)))))/Skills!H11,1)))/Inputs!$B$43),G2566*Q2566)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2566*(1-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2566*(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2566*(1-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2566*(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6">
        <f>IF(C2566,(H2566*N2566*IF(AND(Inputs!$B$38&lt;&gt;"pvp",Inputs!$B$43&gt;0),((Skills!G11*((R2566-1)*IF(Skills!H11&gt;0,Skills!I11/Skills!H11,1)+IF(Skills!H11&gt;0,MIN(Skills!I11,MAX(0,MAX(0,Inputs!$B$43-B2587)-((R2566-1)*(IF(Inputs!$B$38="pvp",15,MAX(0.1,Skills!D11-IF(Skills!E11=TRUE,2.0,0)))*(1-IF(AND(ArtifactsInput!$M$27,Inputs!$B$4="Chapter Hunt"),CHOOSE(ArtifactsInput!$N$27+1,20,24,28,32,36,40),0)/100)))))/Skills!H11,1)))/Inputs!$B$43),G2566*Q2566))*IF(Inputs!$B$38="pvp",1,(1+(Inputs!$B$21+Skills!Q11+(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7">
      <c r="A2567">
        <f>Skills!A12</f>
        <v/>
      </c>
      <c r="B2567">
        <f>Skills!B12</f>
        <v/>
      </c>
      <c r="C2567">
        <f>Inputs!$B$3&gt;=100</f>
        <v/>
      </c>
      <c r="D2567">
        <f>IF(Skills!C12=1,60+Inputs!$B$25+Inputs!$B$29,IF(Skills!C12=2,90+Inputs!$B$26+Inputs!$B$29,IF(Skills!C12=3,120+Inputs!$B$27+Inputs!$B$29,MAX(0,(Inputs!$B$3-100)*3)+Inputs!$B$28+Inputs!$B$29)))</f>
        <v/>
      </c>
      <c r="E2567">
        <f>INDEX(FactorTable!$B$2:$Y$301, MATCH(ROUND(MIN(300,MAX(1,D2567)),0), FactorTable!$A$2:$A$301,0), Skills!M12+1)</f>
        <v/>
      </c>
      <c r="F2567">
        <f>IF(Skills!N12=TRUE,(Skills!L12/10)*(E2567/1000),Skills!L12/10)+Skills!O12</f>
        <v/>
      </c>
      <c r="G2567" t="inlineStr"/>
      <c r="H2567" t="inlineStr"/>
      <c r="I2567" t="inlineStr">
        <is>
          <t>1</t>
        </is>
      </c>
      <c r="J2567" t="inlineStr"/>
      <c r="K2567" t="inlineStr"/>
      <c r="L2567" t="inlineStr"/>
      <c r="M2567" t="inlineStr"/>
      <c r="N2567" t="inlineStr"/>
      <c r="O2567" t="inlineStr"/>
      <c r="P2567" t="inlineStr"/>
      <c r="Q2567" t="inlineStr"/>
      <c r="R2567" t="inlineStr"/>
      <c r="S2567" t="inlineStr"/>
      <c r="T2567" t="inlineStr"/>
      <c r="V2567" t="inlineStr"/>
    </row>
    <row r="2568">
      <c r="A2568">
        <f>Skills!A13</f>
        <v/>
      </c>
      <c r="B2568">
        <f>Skills!B13</f>
        <v/>
      </c>
      <c r="C2568">
        <f>Inputs!$B$3&gt;=66</f>
        <v/>
      </c>
      <c r="D2568">
        <f>IF(Skills!C13=1,60+Inputs!$B$25+Inputs!$B$29,IF(Skills!C13=2,90+Inputs!$B$26+Inputs!$B$29,IF(Skills!C13=3,120+Inputs!$B$27+Inputs!$B$29,MAX(0,(Inputs!$B$3-100)*3)+Inputs!$B$28+Inputs!$B$29)))</f>
        <v/>
      </c>
      <c r="E2568">
        <f>INDEX(FactorTable!$B$2:$Y$301, MATCH(ROUND(MIN(300,MAX(1,D2568)),0), FactorTable!$A$2:$A$301,0), Skills!M13+1)</f>
        <v/>
      </c>
      <c r="F2568">
        <f>IF(Skills!N13=TRUE,(Skills!L13/10)*(E2568/1000),Skills!L13/10)+Skills!O13</f>
        <v/>
      </c>
      <c r="G2568">
        <f>Skills!G13*IF(Skills!H13&gt;0,Skills!I13/Skills!H13,1)</f>
        <v/>
      </c>
      <c r="H2568">
        <f>1-(1-Skills!J13/100)^Skills!K13</f>
        <v/>
      </c>
      <c r="I2568" t="inlineStr">
        <is>
          <t>1</t>
        </is>
      </c>
      <c r="J2568" t="inlineStr"/>
      <c r="K2568" t="inlineStr"/>
      <c r="L2568" t="inlineStr"/>
      <c r="M2568" t="inlineStr"/>
      <c r="N2568" t="inlineStr"/>
      <c r="O2568">
        <f>(1-Summary!$B$11)*T2568+Summary!$B$11*V2568</f>
        <v/>
      </c>
      <c r="P2568">
        <f>IF(B2590=0,0,O2568/B2590)</f>
        <v/>
      </c>
      <c r="Q2568" t="n">
        <v>0</v>
      </c>
      <c r="R2568" t="n">
        <v>0</v>
      </c>
      <c r="S2568">
        <f>IFERROR(O2568/N2568,0)</f>
        <v/>
      </c>
      <c r="T2568" t="n">
        <v>0</v>
      </c>
      <c r="V2568" t="n">
        <v>0</v>
      </c>
    </row>
    <row r="2569">
      <c r="A2569">
        <f>Skills!A14</f>
        <v/>
      </c>
      <c r="B2569">
        <f>Skills!B14</f>
        <v/>
      </c>
      <c r="C2569">
        <f>Inputs!$B$3&gt;=107</f>
        <v/>
      </c>
      <c r="D2569">
        <f>IF(Skills!C14=1,60+Inputs!$B$25+Inputs!$B$29,IF(Skills!C14=2,90+Inputs!$B$26+Inputs!$B$29,IF(Skills!C14=3,120+Inputs!$B$27+Inputs!$B$29,MAX(0,(Inputs!$B$3-100)*3)+Inputs!$B$28+Inputs!$B$29)))</f>
        <v/>
      </c>
      <c r="E2569">
        <f>INDEX(FactorTable!$B$2:$Y$301, MATCH(ROUND(MIN(300,MAX(1,D2569)),0), FactorTable!$A$2:$A$301,0), Skills!M14+1)</f>
        <v/>
      </c>
      <c r="F2569">
        <f>IF(Skills!N14=TRUE,(Skills!L14/10)*(E2569/1000),Skills!L14/10)+Skills!O14</f>
        <v/>
      </c>
      <c r="G2569">
        <f>Skills!G14*IF(Skills!H14&gt;0,Skills!I14/Skills!H14,1)</f>
        <v/>
      </c>
      <c r="H2569">
        <f>1-(1-Skills!J14/100)^Skills!K14</f>
        <v/>
      </c>
      <c r="I2569" t="inlineStr">
        <is>
          <t>1</t>
        </is>
      </c>
      <c r="J2569" t="inlineStr"/>
      <c r="K2569" t="inlineStr"/>
      <c r="L2569" t="inlineStr"/>
      <c r="M2569" t="inlineStr"/>
      <c r="N2569" t="inlineStr"/>
      <c r="O2569">
        <f>(1-Summary!$B$11)*T2569+Summary!$B$11*V2569</f>
        <v/>
      </c>
      <c r="P2569">
        <f>IF(B2590=0,0,O2569/B2590)</f>
        <v/>
      </c>
      <c r="Q2569" t="n">
        <v>0</v>
      </c>
      <c r="R2569" t="n">
        <v>0</v>
      </c>
      <c r="S2569">
        <f>IFERROR(O2569/N2569,0)</f>
        <v/>
      </c>
      <c r="T2569" t="n">
        <v>0</v>
      </c>
      <c r="V2569" t="n">
        <v>0</v>
      </c>
    </row>
    <row r="2570">
      <c r="A2570">
        <f>Skills!A15</f>
        <v/>
      </c>
      <c r="B2570">
        <f>Skills!B15</f>
        <v/>
      </c>
      <c r="C2570">
        <f>Inputs!$B$3&gt;=115</f>
        <v/>
      </c>
      <c r="D2570">
        <f>IF(Skills!C15=1,60+Inputs!$B$25+Inputs!$B$29,IF(Skills!C15=2,90+Inputs!$B$26+Inputs!$B$29,IF(Skills!C15=3,120+Inputs!$B$27+Inputs!$B$29,MAX(0,(Inputs!$B$3-100)*3)+Inputs!$B$28+Inputs!$B$29)))</f>
        <v/>
      </c>
      <c r="E2570">
        <f>INDEX(FactorTable!$B$2:$Y$301, MATCH(ROUND(MIN(300,MAX(1,D2570)),0), FactorTable!$A$2:$A$301,0), Skills!M15+1)</f>
        <v/>
      </c>
      <c r="F2570">
        <f>IF(Skills!N15=TRUE,(Skills!L15/10)*(E2570/1000),Skills!L15/10)+Skills!O15</f>
        <v/>
      </c>
      <c r="G2570">
        <f>Skills!G15*IF(Skills!H15&gt;0,Skills!I15/Skills!H15,1)</f>
        <v/>
      </c>
      <c r="H2570">
        <f>1-(1-Skills!J15/100)^Skills!K15</f>
        <v/>
      </c>
      <c r="I2570" t="inlineStr">
        <is>
          <t>1</t>
        </is>
      </c>
      <c r="J2570" t="inlineStr"/>
      <c r="K2570" t="inlineStr"/>
      <c r="L2570" t="inlineStr"/>
      <c r="M2570" t="inlineStr"/>
      <c r="N2570" t="inlineStr"/>
      <c r="O2570">
        <f>(1-Summary!$B$11)*T2570+Summary!$B$11*V2570</f>
        <v/>
      </c>
      <c r="P2570">
        <f>IF(B2590=0,0,O2570/B2590)</f>
        <v/>
      </c>
      <c r="Q2570" t="n">
        <v>0</v>
      </c>
      <c r="R2570" t="n">
        <v>0</v>
      </c>
      <c r="S2570">
        <f>IFERROR(O2570/N2570,0)</f>
        <v/>
      </c>
      <c r="T2570" t="n">
        <v>0</v>
      </c>
      <c r="V2570" t="n">
        <v>0</v>
      </c>
    </row>
    <row r="2571">
      <c r="A2571">
        <f>Skills!A16</f>
        <v/>
      </c>
      <c r="B2571">
        <f>Skills!B16</f>
        <v/>
      </c>
      <c r="C2571">
        <f>Inputs!$B$3&gt;=15</f>
        <v/>
      </c>
      <c r="D2571">
        <f>IF(Skills!C16=1,60+Inputs!$B$25+Inputs!$B$29,IF(Skills!C16=2,90+Inputs!$B$26+Inputs!$B$29,IF(Skills!C16=3,120+Inputs!$B$27+Inputs!$B$29,MAX(0,(Inputs!$B$3-100)*3)+Inputs!$B$28+Inputs!$B$29)))</f>
        <v/>
      </c>
      <c r="E2571">
        <f>INDEX(FactorTable!$B$2:$Y$301, MATCH(ROUND(MIN(300,MAX(1,D2571)),0), FactorTable!$A$2:$A$301,0), Skills!M16+1)</f>
        <v/>
      </c>
      <c r="F2571">
        <f>IF(Skills!N16=TRUE,(Skills!L16/10)*(E2571/1000),Skills!L16/10)+Skills!O16</f>
        <v/>
      </c>
      <c r="G2571">
        <f>Skills!G16*IF(Skills!H16&gt;0,Skills!I16/Skills!H16,1)</f>
        <v/>
      </c>
      <c r="H2571">
        <f>1-(1-Skills!J16/100)^Skills!K16</f>
        <v/>
      </c>
      <c r="I2571" t="inlineStr">
        <is>
          <t>1</t>
        </is>
      </c>
      <c r="J2571" t="inlineStr"/>
      <c r="K2571" t="inlineStr"/>
      <c r="L2571" t="inlineStr"/>
      <c r="M2571" t="inlineStr"/>
      <c r="N2571" t="inlineStr"/>
      <c r="O2571">
        <f>(1-Summary!$B$11)*T2571+Summary!$B$11*V2571</f>
        <v/>
      </c>
      <c r="P2571">
        <f>IF(B2590=0,0,O2571/B2590)</f>
        <v/>
      </c>
      <c r="Q2571" t="n">
        <v>0</v>
      </c>
      <c r="R2571" t="n">
        <v>0</v>
      </c>
      <c r="S2571">
        <f>IFERROR(O2571/N2571,0)</f>
        <v/>
      </c>
      <c r="T2571" t="n">
        <v>0</v>
      </c>
      <c r="V2571" t="n">
        <v>0</v>
      </c>
    </row>
    <row r="2572">
      <c r="A2572">
        <f>Skills!A17</f>
        <v/>
      </c>
      <c r="B2572">
        <f>Skills!B17</f>
        <v/>
      </c>
      <c r="C2572">
        <f>Inputs!$B$3&gt;=10</f>
        <v/>
      </c>
      <c r="D2572">
        <f>IF(Skills!C17=1,60+Inputs!$B$25+Inputs!$B$29,IF(Skills!C17=2,90+Inputs!$B$26+Inputs!$B$29,IF(Skills!C17=3,120+Inputs!$B$27+Inputs!$B$29,MAX(0,(Inputs!$B$3-100)*3)+Inputs!$B$28+Inputs!$B$29)))</f>
        <v/>
      </c>
      <c r="E2572">
        <f>INDEX(FactorTable!$B$2:$Y$301, MATCH(ROUND(MIN(300,MAX(1,D2572)),0), FactorTable!$A$2:$A$301,0), Skills!M17+1)</f>
        <v/>
      </c>
      <c r="F2572">
        <f>IF(Skills!N17=TRUE,(Skills!L17/10)*(E2572/1000),Skills!L17/10)+Skills!O17</f>
        <v/>
      </c>
      <c r="G2572">
        <f>Skills!G17*IF(Skills!H17&gt;0,Skills!I17/Skills!H17,1)</f>
        <v/>
      </c>
      <c r="H2572">
        <f>1-(1-Skills!J17/100)^Skills!K17</f>
        <v/>
      </c>
      <c r="I2572" t="inlineStr">
        <is>
          <t>1</t>
        </is>
      </c>
      <c r="J2572" t="inlineStr"/>
      <c r="K2572" t="inlineStr"/>
      <c r="L2572" t="inlineStr"/>
      <c r="M2572" t="inlineStr"/>
      <c r="N2572" t="inlineStr"/>
      <c r="O2572">
        <f>(1-Summary!$B$11)*T2572+Summary!$B$11*V2572</f>
        <v/>
      </c>
      <c r="P2572">
        <f>IF(B2590=0,0,O2572/B2590)</f>
        <v/>
      </c>
      <c r="Q2572" t="n">
        <v>0</v>
      </c>
      <c r="R2572" t="n">
        <v>0</v>
      </c>
      <c r="S2572">
        <f>IFERROR(O2572/N2572,0)</f>
        <v/>
      </c>
      <c r="T2572" t="n">
        <v>0</v>
      </c>
      <c r="V2572" t="n">
        <v>0</v>
      </c>
    </row>
    <row r="2573">
      <c r="A2573">
        <f>Skills!A18</f>
        <v/>
      </c>
      <c r="B2573">
        <f>Skills!B18</f>
        <v/>
      </c>
      <c r="C2573">
        <f>Inputs!$B$3&gt;=33</f>
        <v/>
      </c>
      <c r="D2573">
        <f>IF(Skills!C18=1,60+Inputs!$B$25+Inputs!$B$29,IF(Skills!C18=2,90+Inputs!$B$26+Inputs!$B$29,IF(Skills!C18=3,120+Inputs!$B$27+Inputs!$B$29,MAX(0,(Inputs!$B$3-100)*3)+Inputs!$B$28+Inputs!$B$29)))</f>
        <v/>
      </c>
      <c r="E2573">
        <f>INDEX(FactorTable!$B$2:$Y$301, MATCH(ROUND(MIN(300,MAX(1,D2573)),0), FactorTable!$A$2:$A$301,0), Skills!M18+1)</f>
        <v/>
      </c>
      <c r="F2573">
        <f>IF(Skills!N18=TRUE,(Skills!L18/10)*(E2573/1000),Skills!L18/10)+Skills!O18</f>
        <v/>
      </c>
      <c r="G2573">
        <f>Skills!G18*IF(Skills!H18&gt;0,Skills!I18/Skills!H18,1)</f>
        <v/>
      </c>
      <c r="H2573">
        <f>1-(1-Skills!J18/100)^Skills!K18</f>
        <v/>
      </c>
      <c r="I2573" t="inlineStr">
        <is>
          <t>1</t>
        </is>
      </c>
      <c r="J2573" t="inlineStr"/>
      <c r="K2573" t="inlineStr"/>
      <c r="L2573" t="inlineStr"/>
      <c r="M2573" t="inlineStr"/>
      <c r="N2573" t="inlineStr"/>
      <c r="O2573">
        <f>(1-Summary!$B$11)*T2573+Summary!$B$11*V2573</f>
        <v/>
      </c>
      <c r="P2573">
        <f>IF(B2590=0,0,O2573/B2590)</f>
        <v/>
      </c>
      <c r="Q2573" t="n">
        <v>0</v>
      </c>
      <c r="R2573" t="n">
        <v>0</v>
      </c>
      <c r="S2573">
        <f>IFERROR(O2573/N2573,0)</f>
        <v/>
      </c>
      <c r="T2573" t="n">
        <v>0</v>
      </c>
      <c r="V2573" t="n">
        <v>0</v>
      </c>
    </row>
    <row r="2574">
      <c r="A2574">
        <f>Skills!A19</f>
        <v/>
      </c>
      <c r="B2574">
        <f>Skills!B19</f>
        <v/>
      </c>
      <c r="C2574">
        <f>Inputs!$B$3&gt;=40</f>
        <v/>
      </c>
      <c r="D2574">
        <f>IF(Skills!C19=1,60+Inputs!$B$25+Inputs!$B$29,IF(Skills!C19=2,90+Inputs!$B$26+Inputs!$B$29,IF(Skills!C19=3,120+Inputs!$B$27+Inputs!$B$29,MAX(0,(Inputs!$B$3-100)*3)+Inputs!$B$28+Inputs!$B$29)))</f>
        <v/>
      </c>
      <c r="E2574">
        <f>INDEX(FactorTable!$B$2:$Y$301, MATCH(ROUND(MIN(300,MAX(1,D2574)),0), FactorTable!$A$2:$A$301,0), Skills!M19+1)</f>
        <v/>
      </c>
      <c r="F2574">
        <f>IF(Skills!N19=TRUE,(Skills!L19/10)*(E2574/1000),Skills!L19/10)+Skills!O19</f>
        <v/>
      </c>
      <c r="G2574">
        <f>Skills!G19*IF(Skills!H19&gt;0,Skills!I19/Skills!H19,1)</f>
        <v/>
      </c>
      <c r="H2574">
        <f>1-(1-Skills!J19/100)^Skills!K19</f>
        <v/>
      </c>
      <c r="I2574" t="inlineStr">
        <is>
          <t>1</t>
        </is>
      </c>
      <c r="J2574" t="inlineStr"/>
      <c r="K2574" t="inlineStr"/>
      <c r="L2574" t="inlineStr"/>
      <c r="M2574" t="inlineStr"/>
      <c r="N2574" t="inlineStr"/>
      <c r="O2574">
        <f>(1-Summary!$B$11)*T2574+Summary!$B$11*V2574</f>
        <v/>
      </c>
      <c r="P2574">
        <f>IF(B2590=0,0,O2574/B2590)</f>
        <v/>
      </c>
      <c r="Q2574" t="n">
        <v>0</v>
      </c>
      <c r="R2574" t="n">
        <v>0</v>
      </c>
      <c r="S2574">
        <f>IFERROR(O2574/N2574,0)</f>
        <v/>
      </c>
      <c r="T2574" t="n">
        <v>0</v>
      </c>
      <c r="V2574" t="n">
        <v>0</v>
      </c>
    </row>
    <row r="2575">
      <c r="A2575">
        <f>Skills!A20</f>
        <v/>
      </c>
      <c r="B2575">
        <f>Skills!B20</f>
        <v/>
      </c>
      <c r="C2575">
        <f>Inputs!$B$3&gt;=43</f>
        <v/>
      </c>
      <c r="D2575">
        <f>IF(Skills!C20=1,60+Inputs!$B$25+Inputs!$B$29,IF(Skills!C20=2,90+Inputs!$B$26+Inputs!$B$29,IF(Skills!C20=3,120+Inputs!$B$27+Inputs!$B$29,MAX(0,(Inputs!$B$3-100)*3)+Inputs!$B$28+Inputs!$B$29)))</f>
        <v/>
      </c>
      <c r="E2575">
        <f>INDEX(FactorTable!$B$2:$Y$301, MATCH(ROUND(MIN(300,MAX(1,D2575)),0), FactorTable!$A$2:$A$301,0), Skills!M20+1)</f>
        <v/>
      </c>
      <c r="F2575">
        <f>IF(Skills!N20=TRUE,(Skills!L20/10)*(E2575/1000),Skills!L20/10)+Skills!O20</f>
        <v/>
      </c>
      <c r="G2575">
        <f>Skills!G20*IF(Skills!H20&gt;0,Skills!I20/Skills!H20,1)</f>
        <v/>
      </c>
      <c r="H2575">
        <f>1-(1-Skills!J20/100)^Skills!K20</f>
        <v/>
      </c>
      <c r="I2575" t="inlineStr">
        <is>
          <t>1</t>
        </is>
      </c>
      <c r="J2575" t="inlineStr"/>
      <c r="K2575" t="inlineStr"/>
      <c r="L2575" t="inlineStr"/>
      <c r="M2575" t="inlineStr"/>
      <c r="N2575" t="inlineStr"/>
      <c r="O2575">
        <f>(1-Summary!$B$11)*T2575+Summary!$B$11*V2575</f>
        <v/>
      </c>
      <c r="P2575">
        <f>IF(B2590=0,0,O2575/B2590)</f>
        <v/>
      </c>
      <c r="Q2575" t="n">
        <v>0</v>
      </c>
      <c r="R2575" t="n">
        <v>0</v>
      </c>
      <c r="S2575">
        <f>IFERROR(O2575/N2575,0)</f>
        <v/>
      </c>
      <c r="T2575" t="n">
        <v>0</v>
      </c>
      <c r="V2575" t="n">
        <v>0</v>
      </c>
    </row>
    <row r="2576">
      <c r="A2576">
        <f>Skills!A21</f>
        <v/>
      </c>
      <c r="B2576">
        <f>Skills!B21</f>
        <v/>
      </c>
      <c r="C2576">
        <f>Inputs!$B$3&gt;=38</f>
        <v/>
      </c>
      <c r="D2576">
        <f>IF(Skills!C21=1,60+Inputs!$B$25+Inputs!$B$29,IF(Skills!C21=2,90+Inputs!$B$26+Inputs!$B$29,IF(Skills!C21=3,120+Inputs!$B$27+Inputs!$B$29,MAX(0,(Inputs!$B$3-100)*3)+Inputs!$B$28+Inputs!$B$29)))</f>
        <v/>
      </c>
      <c r="E2576">
        <f>INDEX(FactorTable!$B$2:$Y$301, MATCH(ROUND(MIN(300,MAX(1,D2576)),0), FactorTable!$A$2:$A$301,0), Skills!M21+1)</f>
        <v/>
      </c>
      <c r="F2576">
        <f>IF(Skills!N21=TRUE,(Skills!L21/10)*(E2576/1000),Skills!L21/10)+Skills!O21</f>
        <v/>
      </c>
      <c r="G2576">
        <f>Skills!G21*IF(Skills!H21&gt;0,Skills!I21/Skills!H21,1)</f>
        <v/>
      </c>
      <c r="H2576">
        <f>1-(1-Skills!J21/100)^Skills!K21</f>
        <v/>
      </c>
      <c r="I2576" t="inlineStr">
        <is>
          <t>1</t>
        </is>
      </c>
      <c r="J2576" t="inlineStr"/>
      <c r="K2576" t="inlineStr"/>
      <c r="L2576" t="inlineStr"/>
      <c r="M2576" t="inlineStr"/>
      <c r="N2576" t="inlineStr"/>
      <c r="O2576">
        <f>(1-Summary!$B$11)*T2576+Summary!$B$11*V2576</f>
        <v/>
      </c>
      <c r="P2576">
        <f>IF(B2590=0,0,O2576/B2590)</f>
        <v/>
      </c>
      <c r="Q2576" t="n">
        <v>0</v>
      </c>
      <c r="R2576" t="n">
        <v>0</v>
      </c>
      <c r="S2576">
        <f>IFERROR(O2576/N2576,0)</f>
        <v/>
      </c>
      <c r="T2576" t="n">
        <v>0</v>
      </c>
      <c r="V2576" t="n">
        <v>0</v>
      </c>
    </row>
    <row r="2577">
      <c r="A2577">
        <f>Skills!A22</f>
        <v/>
      </c>
      <c r="B2577">
        <f>Skills!B22</f>
        <v/>
      </c>
      <c r="C2577">
        <f>Inputs!$B$3&gt;=75</f>
        <v/>
      </c>
      <c r="D2577">
        <f>IF(Skills!C22=1,60+Inputs!$B$25+Inputs!$B$29,IF(Skills!C22=2,90+Inputs!$B$26+Inputs!$B$29,IF(Skills!C22=3,120+Inputs!$B$27+Inputs!$B$29,MAX(0,(Inputs!$B$3-100)*3)+Inputs!$B$28+Inputs!$B$29)))</f>
        <v/>
      </c>
      <c r="E2577">
        <f>INDEX(FactorTable!$B$2:$Y$301, MATCH(ROUND(MIN(300,MAX(1,D2577)),0), FactorTable!$A$2:$A$301,0), Skills!M22+1)</f>
        <v/>
      </c>
      <c r="F2577">
        <f>IF(Skills!N22=TRUE,(Skills!L22/10)*(E2577/1000),Skills!L22/10)+Skills!O22</f>
        <v/>
      </c>
      <c r="G2577">
        <f>Skills!G22*IF(Skills!H22&gt;0,Skills!I22/Skills!H22,1)</f>
        <v/>
      </c>
      <c r="H2577">
        <f>1-(1-Skills!J22/100)^Skills!K22</f>
        <v/>
      </c>
      <c r="I2577" t="inlineStr">
        <is>
          <t>1</t>
        </is>
      </c>
      <c r="J2577" t="inlineStr"/>
      <c r="K2577" t="inlineStr"/>
      <c r="L2577" t="inlineStr"/>
      <c r="M2577" t="inlineStr"/>
      <c r="N2577" t="inlineStr"/>
      <c r="O2577">
        <f>(1-Summary!$B$11)*T2577+Summary!$B$11*V2577</f>
        <v/>
      </c>
      <c r="P2577">
        <f>IF(B2590=0,0,O2577/B2590)</f>
        <v/>
      </c>
      <c r="Q2577" t="n">
        <v>0</v>
      </c>
      <c r="R2577" t="n">
        <v>0</v>
      </c>
      <c r="S2577">
        <f>IFERROR(O2577/N2577,0)</f>
        <v/>
      </c>
      <c r="T2577" t="n">
        <v>0</v>
      </c>
      <c r="V2577" t="n">
        <v>0</v>
      </c>
    </row>
    <row r="2579">
      <c r="A2579" t="inlineStr">
        <is>
          <t>Attack% Bucket Multiplier</t>
        </is>
      </c>
      <c r="B2579">
        <f>(1+(((C2568=TRUE)*F2568)+((C2574=TRUE)*(F2574-Calc!F19))+(IF(ArtifactsInput!$M$21,CHOOSE(ArtifactsInput!$N$21+1,25,30,35,40,45,50)*(IF(OR(Inputs!$B$4="Chapter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80">
      <c r="A2580" t="inlineStr">
        <is>
          <t>Global Crit Rate Bonus %</t>
        </is>
      </c>
      <c r="B2580" t="n">
        <v>0</v>
      </c>
    </row>
    <row r="2581">
      <c r="A2581" t="inlineStr">
        <is>
          <t>Attack Speed Buff Bonus % (unused)</t>
        </is>
      </c>
      <c r="B2581" t="n">
        <v>0</v>
      </c>
    </row>
    <row r="2582">
      <c r="A2582" t="inlineStr">
        <is>
          <t>Actions Per Second</t>
        </is>
      </c>
      <c r="B2582">
        <f>1+MIN(150,150*(1-(1-(Inputs!$B$11+((C2572=TRUE)*(F2572-Calc!F17))+((C2573=TRUE)*(F2573-Calc!F18)))/150)*(1-B2581/150)))/100</f>
        <v/>
      </c>
    </row>
    <row r="2583">
      <c r="A2583" t="inlineStr">
        <is>
          <t>Skill + Buff Cast Rate</t>
        </is>
      </c>
      <c r="B2583">
        <f>IF(AND(Inputs!$B$38&lt;&gt;"pvp",Inputs!$B$43&gt;0),SUMPRODUCT((Skills!E2:E22=TRUE)*(C2557:C2577=TRUE)*R2557:R2577*Skills!F2:F22)/Inputs!$B$43,SUMPRODUCT((Skills!E2:E22=TRUE)*(C2557:C2577=TRUE)*Q2557:Q2577*Skills!F2:F22))</f>
        <v/>
      </c>
    </row>
    <row r="2584">
      <c r="A2584" t="inlineStr">
        <is>
          <t>Hook Bomber Casts Per Second</t>
        </is>
      </c>
      <c r="B2584">
        <f>MAX(0,B2582-B2583)</f>
        <v/>
      </c>
    </row>
    <row r="2585">
      <c r="A2585" t="inlineStr">
        <is>
          <t>Global Critical Damage Bonus % (unused)</t>
        </is>
      </c>
      <c r="B2585" t="n">
        <v>0</v>
      </c>
    </row>
    <row r="2586">
      <c r="A2586" t="inlineStr">
        <is>
          <t>Global Final Damage Bonus % (Serpent Scale + Crossbones + Time Leap + Speed Infusion)</t>
        </is>
      </c>
      <c r="B2586">
        <f>((C2560=TRUE)*F2560*((10+IF(Inputs!$B$3&gt;=94,5,0))/((10+IF(Inputs!$B$3&gt;=94,5,0))+5/(B2584*(1+IF(Inputs!$B$3&gt;=104,1,0))))))+((C2569=TRUE)*F2569)+((C2570=TRUE)*F2570)+((Inputs!$B$3&gt;=110)*20*(B2582-1))</f>
        <v/>
      </c>
    </row>
    <row r="2587">
      <c r="A2587" t="inlineStr">
        <is>
          <t>Buff-Casting Startup Delay (s, fixed-duration only)</t>
        </is>
      </c>
      <c r="B2587">
        <f>IF(AND(Inputs!$B$38&lt;&gt;"pvp",Inputs!$B$43&gt;0),SUMPRODUCT((Skills!T2:T22&gt;0)*(Skills!E2:E22=TRUE)*(C2557:C2577=TRUE))/B2582,0)</f>
        <v/>
      </c>
    </row>
    <row r="2588">
      <c r="A2588" t="inlineStr">
        <is>
          <t>Boss-Only Total DPS (this block's swept value)</t>
        </is>
      </c>
      <c r="B2588">
        <f>SUM(T2557:T2577)</f>
        <v/>
      </c>
    </row>
    <row r="2589">
      <c r="A2589" t="inlineStr">
        <is>
          <t>Normal-Only Total DPS (this block's swept value)</t>
        </is>
      </c>
      <c r="B2589">
        <f>SUM(V2557:V2577)</f>
        <v/>
      </c>
    </row>
    <row r="2590">
      <c r="A2590" s="6" t="inlineStr">
        <is>
          <t>TOTAL DPS</t>
        </is>
      </c>
      <c r="B2590" s="6">
        <f>SUM(O2557:O2577)</f>
        <v/>
      </c>
    </row>
    <row r="2593">
      <c r="A2593" s="6" t="inlineStr">
        <is>
          <t>Stat: CDR = 2.5s</t>
        </is>
      </c>
    </row>
    <row r="2594">
      <c r="A2594" s="5" t="inlineStr">
        <is>
          <t>Key</t>
        </is>
      </c>
      <c r="B2594" s="5" t="inlineStr">
        <is>
          <t>Name</t>
        </is>
      </c>
      <c r="C2594" s="5" t="inlineStr">
        <is>
          <t>Unlocked</t>
        </is>
      </c>
      <c r="D2594" s="5" t="inlineStr">
        <is>
          <t>InputLevel</t>
        </is>
      </c>
      <c r="E2594" s="5" t="inlineStr">
        <is>
          <t>Factor</t>
        </is>
      </c>
      <c r="F2594" s="5" t="inlineStr">
        <is>
          <t>CoefficientPercent</t>
        </is>
      </c>
      <c r="G2594" s="5" t="inlineStr">
        <is>
          <t>EffectiveHits</t>
        </is>
      </c>
      <c r="H2594" s="5" t="inlineStr">
        <is>
          <t>ProcProbability</t>
        </is>
      </c>
      <c r="I2594" s="5" t="inlineStr">
        <is>
          <t>MapleHeroMultiplier</t>
        </is>
      </c>
      <c r="J2594" s="5" t="inlineStr">
        <is>
          <t>BaseDamage</t>
        </is>
      </c>
      <c r="K2594" s="5" t="inlineStr">
        <is>
          <t>BaseHitDamage</t>
        </is>
      </c>
      <c r="L2594" s="5" t="inlineStr">
        <is>
          <t>NonCritAvg</t>
        </is>
      </c>
      <c r="M2594" s="5" t="inlineStr">
        <is>
          <t>CritAvg</t>
        </is>
      </c>
      <c r="N2594" s="5" t="inlineStr">
        <is>
          <t>ExpectedDamage(perHit)</t>
        </is>
      </c>
      <c r="O2594" s="5" t="inlineStr">
        <is>
          <t>DPS</t>
        </is>
      </c>
      <c r="P2594" s="5" t="inlineStr">
        <is>
          <t>% of Total</t>
        </is>
      </c>
      <c r="Q2594" s="5" t="inlineStr">
        <is>
          <t>InvCooldown</t>
        </is>
      </c>
      <c r="R2594" s="5" t="inlineStr">
        <is>
          <t>CastsInFight</t>
        </is>
      </c>
      <c r="S2594" s="5" t="inlineStr">
        <is>
          <t>HitRate(perSec)</t>
        </is>
      </c>
      <c r="U2594" t="inlineStr">
        <is>
          <t>helpers</t>
        </is>
      </c>
    </row>
    <row r="2595">
      <c r="A2595">
        <f>Skills!A2</f>
        <v/>
      </c>
      <c r="B2595">
        <f>Skills!B2</f>
        <v/>
      </c>
      <c r="C2595">
        <f>Inputs!$B$3&gt;=100</f>
        <v/>
      </c>
      <c r="D2595" t="inlineStr"/>
      <c r="E2595" t="inlineStr"/>
      <c r="F2595">
        <f>U2597+Skills!O2</f>
        <v/>
      </c>
      <c r="G2595">
        <f>Skills!G2*IF(Skills!H2&gt;0,Skills!I2/Skills!H2,1)</f>
        <v/>
      </c>
      <c r="H2595">
        <f>1-(1-Skills!J2/100)^Skills!K2</f>
        <v/>
      </c>
      <c r="I2595" t="inlineStr">
        <is>
          <t>1</t>
        </is>
      </c>
      <c r="J2595">
        <f>((Inputs!$B$6*(1+Inputs!$B$7/100))+(((Inputs!$B$12*(1+Inputs!$B$13/100))-(Inputs!$B$12*(1+Inputs!$B$13/100)))+0.25*(Inputs!$B$14-Inputs!$B$14))*(1+Inputs!$B$7/100))*(F2595/100)</f>
        <v/>
      </c>
      <c r="K2595">
        <f>J2595*(1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2595)</f>
        <v/>
      </c>
      <c r="L2595">
        <f>K2595*(MIN(Inputs!$B$22+((C2613=TRUE)*(F2613-Calc!F20)),(Inputs!$B$23+0+(IF(ArtifactsInput!$M$15,CHOOSE(ArtifactsInput!$N$15+1,25,30,35,40,45,50)/100*(Inputs!$B$11-Inputs!$B$11),0))))/100+(Inputs!$B$23+0+(IF(ArtifactsInput!$M$15,CHOOSE(ArtifactsInput!$N$15+1,25,30,35,40,45,50)/100*(Inputs!$B$11-Inputs!$B$11),0)))/100)/2</f>
        <v/>
      </c>
      <c r="M2595">
        <f>L2595*(1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5">
        <f>L2595*(1-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2595*(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5">
        <f>(1-Summary!$B$11)*T2595+Summary!$B$11*V2595</f>
        <v/>
      </c>
      <c r="P2595">
        <f>IF(B2628=0,0,O2595/B2628)</f>
        <v/>
      </c>
      <c r="Q2595" t="n">
        <v>0</v>
      </c>
      <c r="R2595" t="n">
        <v>0</v>
      </c>
      <c r="S2595">
        <f>IFERROR(O2595/N2595,0)</f>
        <v/>
      </c>
      <c r="T2595">
        <f>IF(C2595,(Skills!G2*N2595*B2622)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2595*(1-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2595*(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2595*(1-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2595*(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5">
        <f>MAX(0,(Inputs!$B$3-100)*3)+Inputs!$B$28+Inputs!$B$29</f>
        <v/>
      </c>
      <c r="V2595">
        <f>IF(C2595,(Skills!G2*N2595*B2622)*IF(Inputs!$B$38="pvp",1,(1+(Inputs!$B$21+Skills!Q2+(IF(ArtifactsInput!$M$33,CHOOSE(ArtifactsInput!$N$33+1,30,36,42,48,54,60),0))+(IF(AND(ArtifactsInput!$M$35,Inputs!$B$4&lt;&gt;"Chapter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6">
      <c r="A2596">
        <f>Skills!A3</f>
        <v/>
      </c>
      <c r="B2596">
        <f>Skills!B3</f>
        <v/>
      </c>
      <c r="C2596">
        <f>Inputs!$B$3&gt;=35</f>
        <v/>
      </c>
      <c r="D2596">
        <f>IF(Skills!C3=1,60+Inputs!$B$25+Inputs!$B$29,IF(Skills!C3=2,90+Inputs!$B$26+Inputs!$B$29,IF(Skills!C3=3,120+Inputs!$B$27+Inputs!$B$29,MAX(0,(Inputs!$B$3-100)*3)+Inputs!$B$28+Inputs!$B$29)))</f>
        <v/>
      </c>
      <c r="E2596">
        <f>INDEX(FactorTable!$B$2:$Y$301, MATCH(ROUND(MIN(300,MAX(1,D2596)),0), FactorTable!$A$2:$A$301,0), Skills!M3+1)</f>
        <v/>
      </c>
      <c r="F2596">
        <f>IF(Skills!N3=TRUE,(Skills!L3/10)*(E2596/1000),Skills!L3/10)+Skills!O3</f>
        <v/>
      </c>
      <c r="G2596">
        <f>Skills!G3*IF(Skills!H3&gt;0,Skills!I3/Skills!H3,1)</f>
        <v/>
      </c>
      <c r="H2596">
        <f>1-(1-Skills!J3/100)^Skills!K3</f>
        <v/>
      </c>
      <c r="I2596" t="inlineStr">
        <is>
          <t>1</t>
        </is>
      </c>
      <c r="J2596">
        <f>((Inputs!$B$6*(1+Inputs!$B$7/100))+(((Inputs!$B$12*(1+Inputs!$B$13/100))-(Inputs!$B$12*(1+Inputs!$B$13/100)))+0.25*(Inputs!$B$14-Inputs!$B$14))*(1+Inputs!$B$7/100))*(F2596/100)</f>
        <v/>
      </c>
      <c r="K2596">
        <f>J2596*(1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2596)</f>
        <v/>
      </c>
      <c r="L2596">
        <f>K2596*(MIN(Inputs!$B$22+((C2613=TRUE)*(F2613-Calc!F20)),(Inputs!$B$23+0+(IF(ArtifactsInput!$M$15,CHOOSE(ArtifactsInput!$N$15+1,25,30,35,40,45,50)/100*(Inputs!$B$11-Inputs!$B$11),0))))/100+(Inputs!$B$23+0+(IF(ArtifactsInput!$M$15,CHOOSE(ArtifactsInput!$N$15+1,25,30,35,40,45,50)/100*(Inputs!$B$11-Inputs!$B$11),0)))/100)/2</f>
        <v/>
      </c>
      <c r="M2596">
        <f>L2596*(1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IF(B2628=0,0,O2596/B2628)</f>
        <v/>
      </c>
      <c r="Q2596" t="n">
        <v>0</v>
      </c>
      <c r="R2596" t="n">
        <v>0</v>
      </c>
      <c r="S2596">
        <f>IFERROR(O2596/N2596,0)</f>
        <v/>
      </c>
      <c r="T2596">
        <f>IF(C2596,(Skills!G3*H2596*N2596*B2622)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6">
        <f>INDEX(FactorTable!$B$2:$Y$301, MATCH(ROUND(MIN(300,MAX(1,U2595)),0), FactorTable!$A$2:$A$301,0), 22)</f>
        <v/>
      </c>
      <c r="V2596">
        <f>IF(C2596,(Skills!G3*H2596*N2596*B2622)*IF(Inputs!$B$38="pvp",1,(1+(Inputs!$B$21+Skills!Q3+(IF(ArtifactsInput!$M$33,CHOOSE(ArtifactsInput!$N$33+1,30,36,42,48,54,60),0))+(IF(AND(ArtifactsInput!$M$35,Inputs!$B$4&lt;&gt;"Chapter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Skills!A4</f>
        <v/>
      </c>
      <c r="B2597">
        <f>Skills!B4</f>
        <v/>
      </c>
      <c r="C2597">
        <f>Inputs!$B$3&gt;=60</f>
        <v/>
      </c>
      <c r="D2597">
        <f>IF(Skills!C4=1,60+Inputs!$B$25+Inputs!$B$29,IF(Skills!C4=2,90+Inputs!$B$26+Inputs!$B$29,IF(Skills!C4=3,120+Inputs!$B$27+Inputs!$B$29,MAX(0,(Inputs!$B$3-100)*3)+Inputs!$B$28+Inputs!$B$29)))</f>
        <v/>
      </c>
      <c r="E2597">
        <f>INDEX(FactorTable!$B$2:$Y$301, MATCH(ROUND(MIN(300,MAX(1,D2597)),0), FactorTable!$A$2:$A$301,0), Skills!M4+1)</f>
        <v/>
      </c>
      <c r="F2597">
        <f>IF(Skills!N4=TRUE,(Skills!L4/10)*(E2597/1000),Skills!L4/10)+Skills!O4</f>
        <v/>
      </c>
      <c r="G2597">
        <f>Skills!G4*IF(Skills!H4&gt;0,Skills!I4/Skills!H4,1)</f>
        <v/>
      </c>
      <c r="H2597">
        <f>1-(1-Skills!J4/100)^Skills!K4</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2605=TRUE,F2605,0)/100)*(1+(IF(Skills!A4="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2597)</f>
        <v/>
      </c>
      <c r="L2597">
        <f>K2597*(MIN(Inputs!$B$22+((C2613=TRUE)*(F2613-Calc!F20)),(Inputs!$B$23+0+(IF(ArtifactsInput!$M$15,CHOOSE(ArtifactsInput!$N$15+1,25,30,35,40,45,50)/100*(Inputs!$B$11-Inputs!$B$11),0))))/100+(Inputs!$B$23+0+(IF(ArtifactsInput!$M$15,CHOOSE(ArtifactsInput!$N$15+1,25,30,35,40,45,50)/100*(Inputs!$B$11-Inputs!$B$11),0)))/100)/2</f>
        <v/>
      </c>
      <c r="M2597">
        <f>L2597*(1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IF(B2628=0,0,O2597/B2628)</f>
        <v/>
      </c>
      <c r="Q2597" t="n">
        <v>0</v>
      </c>
      <c r="R2597" t="n">
        <v>0</v>
      </c>
      <c r="S2597">
        <f>IFERROR(O2597/N2597,0)</f>
        <v/>
      </c>
      <c r="T2597">
        <f>IF(C2597,(Skills!G4*H2597*N2597*B2622)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7">
        <f>290*U2596/1000</f>
        <v/>
      </c>
      <c r="V2597">
        <f>IF(C2597,(Skills!G4*H2597*N2597*B2622)*IF(Inputs!$B$38="pvp",1,(1+(Inputs!$B$21+Skills!Q4+(IF(ArtifactsInput!$M$33,CHOOSE(ArtifactsInput!$N$33+1,30,36,42,48,54,60),0))+(IF(AND(ArtifactsInput!$M$35,Inputs!$B$4&lt;&gt;"Chapter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Skills!A5</f>
        <v/>
      </c>
      <c r="B2598">
        <f>Skills!B5</f>
        <v/>
      </c>
      <c r="C2598">
        <f>Inputs!$B$3&gt;=60</f>
        <v/>
      </c>
      <c r="D2598">
        <f>IF(Skills!C5=1,60+Inputs!$B$25+Inputs!$B$29,IF(Skills!C5=2,90+Inputs!$B$26+Inputs!$B$29,IF(Skills!C5=3,120+Inputs!$B$27+Inputs!$B$29,MAX(0,(Inputs!$B$3-100)*3)+Inputs!$B$28+Inputs!$B$29)))</f>
        <v/>
      </c>
      <c r="E2598">
        <f>INDEX(FactorTable!$B$2:$Y$301, MATCH(ROUND(MIN(300,MAX(1,D2598)),0), FactorTable!$A$2:$A$301,0), Skills!M5+1)</f>
        <v/>
      </c>
      <c r="F2598">
        <f>IF(Skills!N5=TRUE,(Skills!L5/10)*(E2598/1000),Skills!L5/10)+Skills!O5</f>
        <v/>
      </c>
      <c r="G2598">
        <f>Skills!G5*IF(Skills!H5&gt;0,Skills!I5/Skills!H5,1)</f>
        <v/>
      </c>
      <c r="H2598">
        <f>1-(1-Skills!J5/100)^Skills!K5</f>
        <v/>
      </c>
      <c r="I2598" t="inlineStr">
        <is>
          <t>1</t>
        </is>
      </c>
      <c r="J2598" t="inlineStr"/>
      <c r="K2598" t="inlineStr"/>
      <c r="L2598" t="inlineStr"/>
      <c r="M2598" t="inlineStr"/>
      <c r="N2598" t="inlineStr"/>
      <c r="O2598">
        <f>(1-Summary!$B$11)*T2598+Summary!$B$11*V2598</f>
        <v/>
      </c>
      <c r="P2598">
        <f>IF(B2628=0,0,O2598/B2628)</f>
        <v/>
      </c>
      <c r="Q2598" t="n">
        <v>0</v>
      </c>
      <c r="R2598" t="n">
        <v>0</v>
      </c>
      <c r="S2598">
        <f>IFERROR(O2598/N2598,0)</f>
        <v/>
      </c>
      <c r="T2598" t="n">
        <v>0</v>
      </c>
      <c r="V2598" t="n">
        <v>0</v>
      </c>
    </row>
    <row r="2599">
      <c r="A2599">
        <f>Skills!A6</f>
        <v/>
      </c>
      <c r="B2599">
        <f>Skills!B6</f>
        <v/>
      </c>
      <c r="C2599">
        <f>Inputs!$B$3&gt;=63</f>
        <v/>
      </c>
      <c r="D2599">
        <f>IF(Skills!C6=1,60+Inputs!$B$25+Inputs!$B$29,IF(Skills!C6=2,90+Inputs!$B$26+Inputs!$B$29,IF(Skills!C6=3,120+Inputs!$B$27+Inputs!$B$29,MAX(0,(Inputs!$B$3-100)*3)+Inputs!$B$28+Inputs!$B$29)))</f>
        <v/>
      </c>
      <c r="E2599">
        <f>INDEX(FactorTable!$B$2:$Y$301, MATCH(ROUND(MIN(300,MAX(1,D2599)),0), FactorTable!$A$2:$A$301,0), Skills!M6+1)</f>
        <v/>
      </c>
      <c r="F2599">
        <f>IF(Skills!N6=TRUE,(Skills!L6/10)*(E2599/1000),Skills!L6/10)+Skills!O6</f>
        <v/>
      </c>
      <c r="G2599">
        <f>Skills!G6*IF(Skills!H6&gt;0,Skills!I6/Skills!H6,1)</f>
        <v/>
      </c>
      <c r="H2599">
        <f>1-(1-Skills!J6/100)^Skills!K6</f>
        <v/>
      </c>
      <c r="I2599" t="inlineStr">
        <is>
          <t>1</t>
        </is>
      </c>
      <c r="J2599">
        <f>((Inputs!$B$6*(1+Inputs!$B$7/100))+(((Inputs!$B$12*(1+Inputs!$B$13/100))-(Inputs!$B$12*(1+Inputs!$B$13/100)))+0.25*(Inputs!$B$14-Inputs!$B$14))*(1+Inputs!$B$7/100))*(F2599/100)</f>
        <v/>
      </c>
      <c r="K2599">
        <f>J2599*(1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2599)</f>
        <v/>
      </c>
      <c r="L2599">
        <f>K2599*(MIN(Inputs!$B$22+((C2613=TRUE)*(F2613-Calc!F20)),(Inputs!$B$23+0+(IF(ArtifactsInput!$M$15,CHOOSE(ArtifactsInput!$N$15+1,25,30,35,40,45,50)/100*(Inputs!$B$11-Inputs!$B$11),0))))/100+(Inputs!$B$23+0+(IF(ArtifactsInput!$M$15,CHOOSE(ArtifactsInput!$N$15+1,25,30,35,40,45,50)/100*(Inputs!$B$11-Inputs!$B$11),0)))/100)/2</f>
        <v/>
      </c>
      <c r="M2599">
        <f>L2599*(1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9">
        <f>L2599*(1-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2599*(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9">
        <f>(1-Summary!$B$11)*T2599+Summary!$B$11*V2599</f>
        <v/>
      </c>
      <c r="P2599">
        <f>IF(B2628=0,0,O2599/B2628)</f>
        <v/>
      </c>
      <c r="Q2599">
        <f>IFERROR(1/(IF(Inputs!$B$38="pvp",15,MAX(0.1,Skills!D6-IF(Skills!E6=TRUE,2.5,0)))*(1-IF(AND(ArtifactsInput!$M$27,Inputs!$B$4="Chapter Hunt"),CHOOSE(ArtifactsInput!$N$27+1,20,24,28,32,36,40),0)/100)),0)</f>
        <v/>
      </c>
      <c r="R2599">
        <f>IF(AND(Inputs!$B$38&lt;&gt;"pvp",Inputs!$B$43&gt;0),IF(MAX(0,Inputs!$B$43-B2625)&lt;=0,0,(INT(MAX(0,Inputs!$B$43-B2625)/(IF(Inputs!$B$38="pvp",15,MAX(0.1,Skills!D6-IF(Skills!E6=TRUE,2.5,0)))*(1-IF(AND(ArtifactsInput!$M$27,Inputs!$B$4="Chapter Hunt"),CHOOSE(ArtifactsInput!$N$27+1,20,24,28,32,36,40),0)/100)))+1)),0)</f>
        <v/>
      </c>
      <c r="S2599">
        <f>IFERROR(O2599/N2599,0)</f>
        <v/>
      </c>
      <c r="T2599">
        <f>IF(C2599,(H2599*N2599*IF(AND(Inputs!$B$38&lt;&gt;"pvp",Inputs!$B$43&gt;0),((Skills!G6*((R2599-1)*IF(Skills!H6&gt;0,Skills!I6/Skills!H6,1)+IF(Skills!H6&gt;0,MIN(Skills!I6,MAX(0,MAX(0,Inputs!$B$43-B2625)-((R2599-1)*(IF(Inputs!$B$38="pvp",15,MAX(0.1,Skills!D6-IF(Skills!E6=TRUE,2.5,0)))*(1-IF(AND(ArtifactsInput!$M$27,Inputs!$B$4="Chapter Hunt"),CHOOSE(ArtifactsInput!$N$27+1,20,24,28,32,36,40),0)/100)))))/Skills!H6,1)))/Inputs!$B$43),G2599*Q2599)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2599*(1-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2599*(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2599*(1-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2599*(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9">
        <f>IF(C2599,(H2599*N2599*IF(AND(Inputs!$B$38&lt;&gt;"pvp",Inputs!$B$43&gt;0),((Skills!G6*((R2599-1)*IF(Skills!H6&gt;0,Skills!I6/Skills!H6,1)+IF(Skills!H6&gt;0,MIN(Skills!I6,MAX(0,MAX(0,Inputs!$B$43-B2625)-((R2599-1)*(IF(Inputs!$B$38="pvp",15,MAX(0.1,Skills!D6-IF(Skills!E6=TRUE,2.5,0)))*(1-IF(AND(ArtifactsInput!$M$27,Inputs!$B$4="Chapter Hunt"),CHOOSE(ArtifactsInput!$N$27+1,20,24,28,32,36,40),0)/100)))))/Skills!H6,1)))/Inputs!$B$43),G2599*Q2599))*IF(Inputs!$B$38="pvp",1,(1+(Inputs!$B$21+Skills!Q6+(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0">
      <c r="A2600">
        <f>Skills!A7</f>
        <v/>
      </c>
      <c r="B2600">
        <f>Skills!B7</f>
        <v/>
      </c>
      <c r="C2600">
        <f>Inputs!$B$3&gt;=100</f>
        <v/>
      </c>
      <c r="D2600">
        <f>IF(Skills!C7=1,60+Inputs!$B$25+Inputs!$B$29,IF(Skills!C7=2,90+Inputs!$B$26+Inputs!$B$29,IF(Skills!C7=3,120+Inputs!$B$27+Inputs!$B$29,MAX(0,(Inputs!$B$3-100)*3)+Inputs!$B$28+Inputs!$B$29)))</f>
        <v/>
      </c>
      <c r="E2600">
        <f>INDEX(FactorTable!$B$2:$Y$301, MATCH(ROUND(MIN(300,MAX(1,D2600)),0), FactorTable!$A$2:$A$301,0), Skills!M7+1)</f>
        <v/>
      </c>
      <c r="F2600">
        <f>IF(Skills!N7=TRUE,(Skills!L7/10)*(E2600/1000),Skills!L7/10)+Skills!O7</f>
        <v/>
      </c>
      <c r="G2600">
        <f>Skills!G7*IF(Skills!H7&gt;0,Skills!I7/Skills!H7,1)</f>
        <v/>
      </c>
      <c r="H2600">
        <f>1-(1-Skills!J7/100)^Skills!K7</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2600)</f>
        <v/>
      </c>
      <c r="L2600">
        <f>K2600*(MIN(Inputs!$B$22+((C2613=TRUE)*(F2613-Calc!F20)),(Inputs!$B$23+0+(IF(ArtifactsInput!$M$15,CHOOSE(ArtifactsInput!$N$15+1,25,30,35,40,45,50)/100*(Inputs!$B$11-Inputs!$B$11),0))))/100+(Inputs!$B$23+0+(IF(ArtifactsInput!$M$15,CHOOSE(ArtifactsInput!$N$15+1,25,30,35,40,45,50)/100*(Inputs!$B$11-Inputs!$B$11),0)))/100)/2</f>
        <v/>
      </c>
      <c r="M2600">
        <f>L2600*(1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IF(B2628=0,0,O2600/B2628)</f>
        <v/>
      </c>
      <c r="Q2600">
        <f>IFERROR(1/(IF(Inputs!$B$38="pvp",15,MAX(0.1,Skills!D7-IF(Skills!E7=TRUE,2.5,0)))*(1-IF(AND(ArtifactsInput!$M$27,Inputs!$B$4="Chapter Hunt"),CHOOSE(ArtifactsInput!$N$27+1,20,24,28,32,36,40),0)/100)),0)</f>
        <v/>
      </c>
      <c r="R2600">
        <f>IF(AND(Inputs!$B$38&lt;&gt;"pvp",Inputs!$B$43&gt;0),IF(MAX(0,Inputs!$B$43-B2625)&lt;=0,0,(INT(MAX(0,Inputs!$B$43-B2625)/(IF(Inputs!$B$38="pvp",15,MAX(0.1,Skills!D7-IF(Skills!E7=TRUE,2.5,0)))*(1-IF(AND(ArtifactsInput!$M$27,Inputs!$B$4="Chapter Hunt"),CHOOSE(ArtifactsInput!$N$27+1,20,24,28,32,36,40),0)/100)))+1)),0)</f>
        <v/>
      </c>
      <c r="S2600">
        <f>IFERROR(O2600/N2600,0)</f>
        <v/>
      </c>
      <c r="T2600">
        <f>IF(C2600,(H2600*N2600*IF(AND(Inputs!$B$38&lt;&gt;"pvp",Inputs!$B$43&gt;0),((Skills!G7*((R2600-1)*IF(Skills!H7&gt;0,Skills!I7/Skills!H7,1)+IF(Skills!H7&gt;0,MIN(Skills!I7,MAX(0,MAX(0,Inputs!$B$43-B2625)-((R2600-1)*(IF(Inputs!$B$38="pvp",15,MAX(0.1,Skills!D7-IF(Skills!E7=TRUE,2.5,0)))*(1-IF(AND(ArtifactsInput!$M$27,Inputs!$B$4="Chapter Hunt"),CHOOSE(ArtifactsInput!$N$27+1,20,24,28,32,36,40),0)/100)))))/Skills!H7,1)))/Inputs!$B$43),G2600*Q2600)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7*((R2600-1)*IF(Skills!H7&gt;0,Skills!I7/Skills!H7,1)+IF(Skills!H7&gt;0,MIN(Skills!I7,MAX(0,MAX(0,Inputs!$B$43-B2625)-((R2600-1)*(IF(Inputs!$B$38="pvp",15,MAX(0.1,Skills!D7-IF(Skills!E7=TRUE,2.5,0)))*(1-IF(AND(ArtifactsInput!$M$27,Inputs!$B$4="Chapter Hunt"),CHOOSE(ArtifactsInput!$N$27+1,20,24,28,32,36,40),0)/100)))))/Skills!H7,1)))/Inputs!$B$43),G2600*Q2600))*IF(Inputs!$B$38="pvp",1,(1+(Inputs!$B$21+Skills!Q7+(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Skills!A8</f>
        <v/>
      </c>
      <c r="B2601">
        <f>Skills!B8</f>
        <v/>
      </c>
      <c r="C2601">
        <f>Inputs!$B$3&gt;=110</f>
        <v/>
      </c>
      <c r="D2601">
        <f>IF(Skills!C8=1,60+Inputs!$B$25+Inputs!$B$29,IF(Skills!C8=2,90+Inputs!$B$26+Inputs!$B$29,IF(Skills!C8=3,120+Inputs!$B$27+Inputs!$B$29,MAX(0,(Inputs!$B$3-100)*3)+Inputs!$B$28+Inputs!$B$29)))</f>
        <v/>
      </c>
      <c r="E2601">
        <f>INDEX(FactorTable!$B$2:$Y$301, MATCH(ROUND(MIN(300,MAX(1,D2601)),0), FactorTable!$A$2:$A$301,0), Skills!M8+1)</f>
        <v/>
      </c>
      <c r="F2601">
        <f>IF(Skills!N8=TRUE,(Skills!L8/10)*(E2601/1000),Skills!L8/10)+Skills!O8</f>
        <v/>
      </c>
      <c r="G2601">
        <f>Skills!G8*IF(Skills!H8&gt;0,Skills!I8/Skills!H8,1)</f>
        <v/>
      </c>
      <c r="H2601">
        <f>1-(1-Skills!J8/100)^Skills!K8</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2601)</f>
        <v/>
      </c>
      <c r="L2601">
        <f>K2601*(MIN(Inputs!$B$22+((C2613=TRUE)*(F2613-Calc!F20)),(Inputs!$B$23+0+(IF(ArtifactsInput!$M$15,CHOOSE(ArtifactsInput!$N$15+1,25,30,35,40,45,50)/100*(Inputs!$B$11-Inputs!$B$11),0))))/100+(Inputs!$B$23+0+(IF(ArtifactsInput!$M$15,CHOOSE(ArtifactsInput!$N$15+1,25,30,35,40,45,50)/100*(Inputs!$B$11-Inputs!$B$11),0)))/100)/2</f>
        <v/>
      </c>
      <c r="M2601">
        <f>L2601*(1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IF(B2628=0,0,O2601/B2628)</f>
        <v/>
      </c>
      <c r="Q2601">
        <f>IFERROR(1/(IF(Inputs!$B$38="pvp",15,MAX(0.1,Skills!D8-IF(Skills!E8=TRUE,2.5,0)))*(1-IF(AND(ArtifactsInput!$M$27,Inputs!$B$4="Chapter Hunt"),CHOOSE(ArtifactsInput!$N$27+1,20,24,28,32,36,40),0)/100)),0)</f>
        <v/>
      </c>
      <c r="R2601">
        <f>IF(AND(Inputs!$B$38&lt;&gt;"pvp",Inputs!$B$43&gt;0),IF(MAX(0,Inputs!$B$43-B2625)&lt;=0,0,(INT(MAX(0,Inputs!$B$43-B2625)/(IF(Inputs!$B$38="pvp",15,MAX(0.1,Skills!D8-IF(Skills!E8=TRUE,2.5,0)))*(1-IF(AND(ArtifactsInput!$M$27,Inputs!$B$4="Chapter Hunt"),CHOOSE(ArtifactsInput!$N$27+1,20,24,28,32,36,40),0)/100)))+1)),0)</f>
        <v/>
      </c>
      <c r="S2601">
        <f>IFERROR(O2601/N2601,0)</f>
        <v/>
      </c>
      <c r="T2601">
        <f>IF(C2601,(H2601*N2601*IF(AND(Inputs!$B$38&lt;&gt;"pvp",Inputs!$B$43&gt;0),((Skills!G8*((R2601-1)*IF(Skills!H8&gt;0,Skills!I8/Skills!H8,1)+IF(Skills!H8&gt;0,MIN(Skills!I8,MAX(0,MAX(0,Inputs!$B$43-B2625)-((R2601-1)*(IF(Inputs!$B$38="pvp",15,MAX(0.1,Skills!D8-IF(Skills!E8=TRUE,2.5,0)))*(1-IF(AND(ArtifactsInput!$M$27,Inputs!$B$4="Chapter Hunt"),CHOOSE(ArtifactsInput!$N$27+1,20,24,28,32,36,40),0)/100)))))/Skills!H8,1)))/Inputs!$B$43),G2601*Q2601)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H2601*N2601*IF(AND(Inputs!$B$38&lt;&gt;"pvp",Inputs!$B$43&gt;0),((Skills!G8*((R2601-1)*IF(Skills!H8&gt;0,Skills!I8/Skills!H8,1)+IF(Skills!H8&gt;0,MIN(Skills!I8,MAX(0,MAX(0,Inputs!$B$43-B2625)-((R2601-1)*(IF(Inputs!$B$38="pvp",15,MAX(0.1,Skills!D8-IF(Skills!E8=TRUE,2.5,0)))*(1-IF(AND(ArtifactsInput!$M$27,Inputs!$B$4="Chapter Hunt"),CHOOSE(ArtifactsInput!$N$27+1,20,24,28,32,36,40),0)/100)))))/Skills!H8,1)))/Inputs!$B$43),G2601*Q2601))*IF(Inputs!$B$38="pvp",1,(1+(Inputs!$B$21+Skills!Q8+(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Skills!A9</f>
        <v/>
      </c>
      <c r="B2602">
        <f>Skills!B9</f>
        <v/>
      </c>
      <c r="C2602">
        <f>Inputs!$B$3&gt;=110</f>
        <v/>
      </c>
      <c r="D2602">
        <f>IF(Skills!C9=1,60+Inputs!$B$25+Inputs!$B$29,IF(Skills!C9=2,90+Inputs!$B$26+Inputs!$B$29,IF(Skills!C9=3,120+Inputs!$B$27+Inputs!$B$29,MAX(0,(Inputs!$B$3-100)*3)+Inputs!$B$28+Inputs!$B$29)))</f>
        <v/>
      </c>
      <c r="E2602">
        <f>INDEX(FactorTable!$B$2:$Y$301, MATCH(ROUND(MIN(300,MAX(1,D2602)),0), FactorTable!$A$2:$A$301,0), Skills!M9+1)</f>
        <v/>
      </c>
      <c r="F2602">
        <f>IF(Skills!N9=TRUE,(Skills!L9/10)*(E2602/1000),Skills!L9/10)+Skills!O9</f>
        <v/>
      </c>
      <c r="G2602">
        <f>Skills!G9*IF(Skills!H9&gt;0,Skills!I9/Skills!H9,1)</f>
        <v/>
      </c>
      <c r="H2602">
        <f>1-(1-Skills!J9/100)^Skills!K9</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C2613=TRUE)*(F2613-Calc!F20)),(Inputs!$B$23+0+(IF(ArtifactsInput!$M$15,CHOOSE(ArtifactsInput!$N$15+1,25,30,35,40,45,50)/100*(Inputs!$B$11-Inputs!$B$11),0))))/100+(Inputs!$B$23+0+(IF(ArtifactsInput!$M$15,CHOOSE(ArtifactsInput!$N$15+1,25,30,35,40,45,50)/100*(Inputs!$B$11-Inputs!$B$11),0)))/100)/2</f>
        <v/>
      </c>
      <c r="M2602">
        <f>L2602*(1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IF(B2628=0,0,O2602/B2628)</f>
        <v/>
      </c>
      <c r="Q2602">
        <f>IFERROR(1/(IF(Inputs!$B$38="pvp",15,MAX(0.1,Skills!D9-IF(Skills!E9=TRUE,2.5,0)))*(1-IF(AND(ArtifactsInput!$M$27,Inputs!$B$4="Chapter Hunt"),CHOOSE(ArtifactsInput!$N$27+1,20,24,28,32,36,40),0)/100)),0)</f>
        <v/>
      </c>
      <c r="R2602">
        <f>IF(AND(Inputs!$B$38&lt;&gt;"pvp",Inputs!$B$43&gt;0),IF(MAX(0,Inputs!$B$43-B2625)&lt;=0,0,(INT(MAX(0,Inputs!$B$43-B2625)/(IF(Inputs!$B$38="pvp",15,MAX(0.1,Skills!D9-IF(Skills!E9=TRUE,2.5,0)))*(1-IF(AND(ArtifactsInput!$M$27,Inputs!$B$4="Chapter Hunt"),CHOOSE(ArtifactsInput!$N$27+1,20,24,28,32,36,40),0)/100)))+1)),0)</f>
        <v/>
      </c>
      <c r="S2602">
        <f>IFERROR(O2602/N2602,0)</f>
        <v/>
      </c>
      <c r="T2602">
        <f>IF(C2602,(H2602*N2602*IF(AND(Inputs!$B$38&lt;&gt;"pvp",Inputs!$B$43&gt;0),((Skills!G9*((R2602-1)*IF(Skills!H9&gt;0,Skills!I9/Skills!H9,1)+IF(Skills!H9&gt;0,MIN(Skills!I9,MAX(0,MAX(0,Inputs!$B$43-B2625)-((R2602-1)*(IF(Inputs!$B$38="pvp",15,MAX(0.1,Skills!D9-IF(Skills!E9=TRUE,2.5,0)))*(1-IF(AND(ArtifactsInput!$M$27,Inputs!$B$4="Chapter Hunt"),CHOOSE(ArtifactsInput!$N$27+1,20,24,28,32,36,40),0)/100)))))/Skills!H9,1)))/Inputs!$B$43),G2602*Q2602)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9*((R2602-1)*IF(Skills!H9&gt;0,Skills!I9/Skills!H9,1)+IF(Skills!H9&gt;0,MIN(Skills!I9,MAX(0,MAX(0,Inputs!$B$43-B2625)-((R2602-1)*(IF(Inputs!$B$38="pvp",15,MAX(0.1,Skills!D9-IF(Skills!E9=TRUE,2.5,0)))*(1-IF(AND(ArtifactsInput!$M$27,Inputs!$B$4="Chapter Hunt"),CHOOSE(ArtifactsInput!$N$27+1,20,24,28,32,36,40),0)/100)))))/Skills!H9,1)))/Inputs!$B$43),G2602*Q2602))*IF(Inputs!$B$38="pvp",1,(1+(Inputs!$B$21+Skills!Q9+(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Skills!A10</f>
        <v/>
      </c>
      <c r="B2603">
        <f>Skills!B10</f>
        <v/>
      </c>
      <c r="C2603">
        <f>Inputs!$B$3&gt;=103</f>
        <v/>
      </c>
      <c r="D2603">
        <f>IF(Skills!C10=1,60+Inputs!$B$25+Inputs!$B$29,IF(Skills!C10=2,90+Inputs!$B$26+Inputs!$B$29,IF(Skills!C10=3,120+Inputs!$B$27+Inputs!$B$29,MAX(0,(Inputs!$B$3-100)*3)+Inputs!$B$28+Inputs!$B$29)))</f>
        <v/>
      </c>
      <c r="E2603">
        <f>INDEX(FactorTable!$B$2:$Y$301, MATCH(ROUND(MIN(300,MAX(1,D2603)),0), FactorTable!$A$2:$A$301,0), Skills!M10+1)</f>
        <v/>
      </c>
      <c r="F2603">
        <f>IF(Skills!N10=TRUE,(Skills!L10/10)*(E2603/1000),Skills!L10/10)+Skills!O10</f>
        <v/>
      </c>
      <c r="G2603">
        <f>Skills!G10*IF(Skills!H10&gt;0,Skills!I10/Skills!H10,1)</f>
        <v/>
      </c>
      <c r="H2603">
        <f>1-(1-Skills!J10/100)^Skills!K10</f>
        <v/>
      </c>
      <c r="I2603" t="inlineStr">
        <is>
          <t>1</t>
        </is>
      </c>
      <c r="J2603">
        <f>((Inputs!$B$6*(1+Inputs!$B$7/100))+(((Inputs!$B$12*(1+Inputs!$B$13/100))-(Inputs!$B$12*(1+Inputs!$B$13/100)))+0.25*(Inputs!$B$14-Inputs!$B$14))*(1+Inputs!$B$7/100))*(F2603/100)</f>
        <v/>
      </c>
      <c r="K2603">
        <f>J2603*(1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2603)</f>
        <v/>
      </c>
      <c r="L2603">
        <f>K2603*(MIN(Inputs!$B$22+((C2613=TRUE)*(F2613-Calc!F20)),(Inputs!$B$23+0+(IF(ArtifactsInput!$M$15,CHOOSE(ArtifactsInput!$N$15+1,25,30,35,40,45,50)/100*(Inputs!$B$11-Inputs!$B$11),0))))/100+(Inputs!$B$23+0+(IF(ArtifactsInput!$M$15,CHOOSE(ArtifactsInput!$N$15+1,25,30,35,40,45,50)/100*(Inputs!$B$11-Inputs!$B$11),0)))/100)/2</f>
        <v/>
      </c>
      <c r="M2603">
        <f>L2603*(1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3">
        <f>L2603*(1-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2603*(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3">
        <f>(1-Summary!$B$11)*T2603+Summary!$B$11*V2603</f>
        <v/>
      </c>
      <c r="P2603">
        <f>IF(B2628=0,0,O2603/B2628)</f>
        <v/>
      </c>
      <c r="Q2603">
        <f>IFERROR(1/(IF(Inputs!$B$38="pvp",15,MAX(0.1,Skills!D10-IF(Skills!E10=TRUE,2.5,0)))*(1-IF(AND(ArtifactsInput!$M$27,Inputs!$B$4="Chapter Hunt"),CHOOSE(ArtifactsInput!$N$27+1,20,24,28,32,36,40),0)/100)),0)</f>
        <v/>
      </c>
      <c r="R2603">
        <f>IF(AND(Inputs!$B$38&lt;&gt;"pvp",Inputs!$B$43&gt;0),IF(MAX(0,Inputs!$B$43-B2625)&lt;=0,0,(INT(MAX(0,Inputs!$B$43-B2625)/(IF(Inputs!$B$38="pvp",15,MAX(0.1,Skills!D10-IF(Skills!E10=TRUE,2.5,0)))*(1-IF(AND(ArtifactsInput!$M$27,Inputs!$B$4="Chapter Hunt"),CHOOSE(ArtifactsInput!$N$27+1,20,24,28,32,36,40),0)/100)))+1)),0)</f>
        <v/>
      </c>
      <c r="S2603">
        <f>IFERROR(O2603/N2603,0)</f>
        <v/>
      </c>
      <c r="T2603">
        <f>IF(C2603,(H2603*N2603*IF(AND(Inputs!$B$38&lt;&gt;"pvp",Inputs!$B$43&gt;0),((Skills!G10*((R2603-1)*IF(Skills!H10&gt;0,Skills!I10/Skills!H10,1)+IF(Skills!H10&gt;0,MIN(Skills!I10,MAX(0,MAX(0,Inputs!$B$43-B2625)-((R2603-1)*(IF(Inputs!$B$38="pvp",15,MAX(0.1,Skills!D10-IF(Skills!E10=TRUE,2.5,0)))*(1-IF(AND(ArtifactsInput!$M$27,Inputs!$B$4="Chapter Hunt"),CHOOSE(ArtifactsInput!$N$27+1,20,24,28,32,36,40),0)/100)))))/Skills!H10,1)))/Inputs!$B$43),G2603*Q2603)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2603*(1-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2603*(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2603*(1-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2603*(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3">
        <f>IF(C2603,(H2603*N2603*IF(AND(Inputs!$B$38&lt;&gt;"pvp",Inputs!$B$43&gt;0),((Skills!G10*((R2603-1)*IF(Skills!H10&gt;0,Skills!I10/Skills!H10,1)+IF(Skills!H10&gt;0,MIN(Skills!I10,MAX(0,MAX(0,Inputs!$B$43-B2625)-((R2603-1)*(IF(Inputs!$B$38="pvp",15,MAX(0.1,Skills!D10-IF(Skills!E10=TRUE,2.5,0)))*(1-IF(AND(ArtifactsInput!$M$27,Inputs!$B$4="Chapter Hunt"),CHOOSE(ArtifactsInput!$N$27+1,20,24,28,32,36,40),0)/100)))))/Skills!H10,1)))/Inputs!$B$43),G2603*Q2603))*IF(Inputs!$B$38="pvp",1,(1+(Inputs!$B$21+Skills!Q10+(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4">
      <c r="A2604">
        <f>Skills!A11</f>
        <v/>
      </c>
      <c r="B2604">
        <f>Skills!B11</f>
        <v/>
      </c>
      <c r="C2604">
        <f>Inputs!$B$3&gt;=113</f>
        <v/>
      </c>
      <c r="D2604">
        <f>IF(Skills!C11=1,60+Inputs!$B$25+Inputs!$B$29,IF(Skills!C11=2,90+Inputs!$B$26+Inputs!$B$29,IF(Skills!C11=3,120+Inputs!$B$27+Inputs!$B$29,MAX(0,(Inputs!$B$3-100)*3)+Inputs!$B$28+Inputs!$B$29)))</f>
        <v/>
      </c>
      <c r="E2604">
        <f>INDEX(FactorTable!$B$2:$Y$301, MATCH(ROUND(MIN(300,MAX(1,D2604)),0), FactorTable!$A$2:$A$301,0), Skills!M11+1)</f>
        <v/>
      </c>
      <c r="F2604">
        <f>IF(Skills!N11=TRUE,(Skills!L11/10)*(E2604/1000),Skills!L11/10)+Skills!O11</f>
        <v/>
      </c>
      <c r="G2604">
        <f>Skills!G11*IF(Skills!H11&gt;0,Skills!I11/Skills!H11,1)</f>
        <v/>
      </c>
      <c r="H2604">
        <f>1-(1-Skills!J11/100)^Skills!K11</f>
        <v/>
      </c>
      <c r="I2604" t="inlineStr">
        <is>
          <t>1</t>
        </is>
      </c>
      <c r="J2604">
        <f>((Inputs!$B$6*(1+Inputs!$B$7/100))+(((Inputs!$B$12*(1+Inputs!$B$13/100))-(Inputs!$B$12*(1+Inputs!$B$13/100)))+0.25*(Inputs!$B$14-Inputs!$B$14))*(1+Inputs!$B$7/100))*(F2604/100)</f>
        <v/>
      </c>
      <c r="K2604">
        <f>J2604*(1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2604)</f>
        <v/>
      </c>
      <c r="L2604">
        <f>K2604*(MIN(Inputs!$B$22+((C2613=TRUE)*(F2613-Calc!F20)),(Inputs!$B$23+0+(IF(ArtifactsInput!$M$15,CHOOSE(ArtifactsInput!$N$15+1,25,30,35,40,45,50)/100*(Inputs!$B$11-Inputs!$B$11),0))))/100+(Inputs!$B$23+0+(IF(ArtifactsInput!$M$15,CHOOSE(ArtifactsInput!$N$15+1,25,30,35,40,45,50)/100*(Inputs!$B$11-Inputs!$B$11),0)))/100)/2</f>
        <v/>
      </c>
      <c r="M2604">
        <f>L2604*(1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4">
        <f>L2604*(1-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2604*(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4">
        <f>(1-Summary!$B$11)*T2604+Summary!$B$11*V2604</f>
        <v/>
      </c>
      <c r="P2604">
        <f>IF(B2628=0,0,O2604/B2628)</f>
        <v/>
      </c>
      <c r="Q2604">
        <f>IFERROR(1/(IF(Inputs!$B$38="pvp",15,MAX(0.1,Skills!D11-IF(Skills!E11=TRUE,2.5,0)))*(1-IF(AND(ArtifactsInput!$M$27,Inputs!$B$4="Chapter Hunt"),CHOOSE(ArtifactsInput!$N$27+1,20,24,28,32,36,40),0)/100)),0)</f>
        <v/>
      </c>
      <c r="R2604">
        <f>IF(AND(Inputs!$B$38&lt;&gt;"pvp",Inputs!$B$43&gt;0),IF(MAX(0,Inputs!$B$43-B2625)&lt;=0,0,(INT(MAX(0,Inputs!$B$43-B2625)/(IF(Inputs!$B$38="pvp",15,MAX(0.1,Skills!D11-IF(Skills!E11=TRUE,2.5,0)))*(1-IF(AND(ArtifactsInput!$M$27,Inputs!$B$4="Chapter Hunt"),CHOOSE(ArtifactsInput!$N$27+1,20,24,28,32,36,40),0)/100)))+1)),0)</f>
        <v/>
      </c>
      <c r="S2604">
        <f>IFERROR(O2604/N2604,0)</f>
        <v/>
      </c>
      <c r="T2604">
        <f>IF(C2604,(H2604*N2604*IF(AND(Inputs!$B$38&lt;&gt;"pvp",Inputs!$B$43&gt;0),((Skills!G11*((R2604-1)*IF(Skills!H11&gt;0,Skills!I11/Skills!H11,1)+IF(Skills!H11&gt;0,MIN(Skills!I11,MAX(0,MAX(0,Inputs!$B$43-B2625)-((R2604-1)*(IF(Inputs!$B$38="pvp",15,MAX(0.1,Skills!D11-IF(Skills!E11=TRUE,2.5,0)))*(1-IF(AND(ArtifactsInput!$M$27,Inputs!$B$4="Chapter Hunt"),CHOOSE(ArtifactsInput!$N$27+1,20,24,28,32,36,40),0)/100)))))/Skills!H11,1)))/Inputs!$B$43),G2604*Q2604)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2604*(1-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2604*(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2604*(1-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2604*(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4">
        <f>IF(C2604,(H2604*N2604*IF(AND(Inputs!$B$38&lt;&gt;"pvp",Inputs!$B$43&gt;0),((Skills!G11*((R2604-1)*IF(Skills!H11&gt;0,Skills!I11/Skills!H11,1)+IF(Skills!H11&gt;0,MIN(Skills!I11,MAX(0,MAX(0,Inputs!$B$43-B2625)-((R2604-1)*(IF(Inputs!$B$38="pvp",15,MAX(0.1,Skills!D11-IF(Skills!E11=TRUE,2.5,0)))*(1-IF(AND(ArtifactsInput!$M$27,Inputs!$B$4="Chapter Hunt"),CHOOSE(ArtifactsInput!$N$27+1,20,24,28,32,36,40),0)/100)))))/Skills!H11,1)))/Inputs!$B$43),G2604*Q2604))*IF(Inputs!$B$38="pvp",1,(1+(Inputs!$B$21+Skills!Q11+(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5">
      <c r="A2605">
        <f>Skills!A12</f>
        <v/>
      </c>
      <c r="B2605">
        <f>Skills!B12</f>
        <v/>
      </c>
      <c r="C2605">
        <f>Inputs!$B$3&gt;=100</f>
        <v/>
      </c>
      <c r="D2605">
        <f>IF(Skills!C12=1,60+Inputs!$B$25+Inputs!$B$29,IF(Skills!C12=2,90+Inputs!$B$26+Inputs!$B$29,IF(Skills!C12=3,120+Inputs!$B$27+Inputs!$B$29,MAX(0,(Inputs!$B$3-100)*3)+Inputs!$B$28+Inputs!$B$29)))</f>
        <v/>
      </c>
      <c r="E2605">
        <f>INDEX(FactorTable!$B$2:$Y$301, MATCH(ROUND(MIN(300,MAX(1,D2605)),0), FactorTable!$A$2:$A$301,0), Skills!M12+1)</f>
        <v/>
      </c>
      <c r="F2605">
        <f>IF(Skills!N12=TRUE,(Skills!L12/10)*(E2605/1000),Skills!L12/10)+Skills!O12</f>
        <v/>
      </c>
      <c r="G2605" t="inlineStr"/>
      <c r="H2605" t="inlineStr"/>
      <c r="I2605" t="inlineStr">
        <is>
          <t>1</t>
        </is>
      </c>
      <c r="J2605" t="inlineStr"/>
      <c r="K2605" t="inlineStr"/>
      <c r="L2605" t="inlineStr"/>
      <c r="M2605" t="inlineStr"/>
      <c r="N2605" t="inlineStr"/>
      <c r="O2605" t="inlineStr"/>
      <c r="P2605" t="inlineStr"/>
      <c r="Q2605" t="inlineStr"/>
      <c r="R2605" t="inlineStr"/>
      <c r="S2605" t="inlineStr"/>
      <c r="T2605" t="inlineStr"/>
      <c r="V2605" t="inlineStr"/>
    </row>
    <row r="2606">
      <c r="A2606">
        <f>Skills!A13</f>
        <v/>
      </c>
      <c r="B2606">
        <f>Skills!B13</f>
        <v/>
      </c>
      <c r="C2606">
        <f>Inputs!$B$3&gt;=66</f>
        <v/>
      </c>
      <c r="D2606">
        <f>IF(Skills!C13=1,60+Inputs!$B$25+Inputs!$B$29,IF(Skills!C13=2,90+Inputs!$B$26+Inputs!$B$29,IF(Skills!C13=3,120+Inputs!$B$27+Inputs!$B$29,MAX(0,(Inputs!$B$3-100)*3)+Inputs!$B$28+Inputs!$B$29)))</f>
        <v/>
      </c>
      <c r="E2606">
        <f>INDEX(FactorTable!$B$2:$Y$301, MATCH(ROUND(MIN(300,MAX(1,D2606)),0), FactorTable!$A$2:$A$301,0), Skills!M13+1)</f>
        <v/>
      </c>
      <c r="F2606">
        <f>IF(Skills!N13=TRUE,(Skills!L13/10)*(E2606/1000),Skills!L13/10)+Skills!O13</f>
        <v/>
      </c>
      <c r="G2606">
        <f>Skills!G13*IF(Skills!H13&gt;0,Skills!I13/Skills!H13,1)</f>
        <v/>
      </c>
      <c r="H2606">
        <f>1-(1-Skills!J13/100)^Skills!K13</f>
        <v/>
      </c>
      <c r="I2606" t="inlineStr">
        <is>
          <t>1</t>
        </is>
      </c>
      <c r="J2606" t="inlineStr"/>
      <c r="K2606" t="inlineStr"/>
      <c r="L2606" t="inlineStr"/>
      <c r="M2606" t="inlineStr"/>
      <c r="N2606" t="inlineStr"/>
      <c r="O2606">
        <f>(1-Summary!$B$11)*T2606+Summary!$B$11*V2606</f>
        <v/>
      </c>
      <c r="P2606">
        <f>IF(B2628=0,0,O2606/B2628)</f>
        <v/>
      </c>
      <c r="Q2606" t="n">
        <v>0</v>
      </c>
      <c r="R2606" t="n">
        <v>0</v>
      </c>
      <c r="S2606">
        <f>IFERROR(O2606/N2606,0)</f>
        <v/>
      </c>
      <c r="T2606" t="n">
        <v>0</v>
      </c>
      <c r="V2606" t="n">
        <v>0</v>
      </c>
    </row>
    <row r="2607">
      <c r="A2607">
        <f>Skills!A14</f>
        <v/>
      </c>
      <c r="B2607">
        <f>Skills!B14</f>
        <v/>
      </c>
      <c r="C2607">
        <f>Inputs!$B$3&gt;=107</f>
        <v/>
      </c>
      <c r="D2607">
        <f>IF(Skills!C14=1,60+Inputs!$B$25+Inputs!$B$29,IF(Skills!C14=2,90+Inputs!$B$26+Inputs!$B$29,IF(Skills!C14=3,120+Inputs!$B$27+Inputs!$B$29,MAX(0,(Inputs!$B$3-100)*3)+Inputs!$B$28+Inputs!$B$29)))</f>
        <v/>
      </c>
      <c r="E2607">
        <f>INDEX(FactorTable!$B$2:$Y$301, MATCH(ROUND(MIN(300,MAX(1,D2607)),0), FactorTable!$A$2:$A$301,0), Skills!M14+1)</f>
        <v/>
      </c>
      <c r="F2607">
        <f>IF(Skills!N14=TRUE,(Skills!L14/10)*(E2607/1000),Skills!L14/10)+Skills!O14</f>
        <v/>
      </c>
      <c r="G2607">
        <f>Skills!G14*IF(Skills!H14&gt;0,Skills!I14/Skills!H14,1)</f>
        <v/>
      </c>
      <c r="H2607">
        <f>1-(1-Skills!J14/100)^Skills!K14</f>
        <v/>
      </c>
      <c r="I2607" t="inlineStr">
        <is>
          <t>1</t>
        </is>
      </c>
      <c r="J2607" t="inlineStr"/>
      <c r="K2607" t="inlineStr"/>
      <c r="L2607" t="inlineStr"/>
      <c r="M2607" t="inlineStr"/>
      <c r="N2607" t="inlineStr"/>
      <c r="O2607">
        <f>(1-Summary!$B$11)*T2607+Summary!$B$11*V2607</f>
        <v/>
      </c>
      <c r="P2607">
        <f>IF(B2628=0,0,O2607/B2628)</f>
        <v/>
      </c>
      <c r="Q2607" t="n">
        <v>0</v>
      </c>
      <c r="R2607" t="n">
        <v>0</v>
      </c>
      <c r="S2607">
        <f>IFERROR(O2607/N2607,0)</f>
        <v/>
      </c>
      <c r="T2607" t="n">
        <v>0</v>
      </c>
      <c r="V2607" t="n">
        <v>0</v>
      </c>
    </row>
    <row r="2608">
      <c r="A2608">
        <f>Skills!A15</f>
        <v/>
      </c>
      <c r="B2608">
        <f>Skills!B15</f>
        <v/>
      </c>
      <c r="C2608">
        <f>Inputs!$B$3&gt;=115</f>
        <v/>
      </c>
      <c r="D2608">
        <f>IF(Skills!C15=1,60+Inputs!$B$25+Inputs!$B$29,IF(Skills!C15=2,90+Inputs!$B$26+Inputs!$B$29,IF(Skills!C15=3,120+Inputs!$B$27+Inputs!$B$29,MAX(0,(Inputs!$B$3-100)*3)+Inputs!$B$28+Inputs!$B$29)))</f>
        <v/>
      </c>
      <c r="E2608">
        <f>INDEX(FactorTable!$B$2:$Y$301, MATCH(ROUND(MIN(300,MAX(1,D2608)),0), FactorTable!$A$2:$A$301,0), Skills!M15+1)</f>
        <v/>
      </c>
      <c r="F2608">
        <f>IF(Skills!N15=TRUE,(Skills!L15/10)*(E2608/1000),Skills!L15/10)+Skills!O15</f>
        <v/>
      </c>
      <c r="G2608">
        <f>Skills!G15*IF(Skills!H15&gt;0,Skills!I15/Skills!H15,1)</f>
        <v/>
      </c>
      <c r="H2608">
        <f>1-(1-Skills!J15/100)^Skills!K15</f>
        <v/>
      </c>
      <c r="I2608" t="inlineStr">
        <is>
          <t>1</t>
        </is>
      </c>
      <c r="J2608" t="inlineStr"/>
      <c r="K2608" t="inlineStr"/>
      <c r="L2608" t="inlineStr"/>
      <c r="M2608" t="inlineStr"/>
      <c r="N2608" t="inlineStr"/>
      <c r="O2608">
        <f>(1-Summary!$B$11)*T2608+Summary!$B$11*V2608</f>
        <v/>
      </c>
      <c r="P2608">
        <f>IF(B2628=0,0,O2608/B2628)</f>
        <v/>
      </c>
      <c r="Q2608" t="n">
        <v>0</v>
      </c>
      <c r="R2608" t="n">
        <v>0</v>
      </c>
      <c r="S2608">
        <f>IFERROR(O2608/N2608,0)</f>
        <v/>
      </c>
      <c r="T2608" t="n">
        <v>0</v>
      </c>
      <c r="V2608" t="n">
        <v>0</v>
      </c>
    </row>
    <row r="2609">
      <c r="A2609">
        <f>Skills!A16</f>
        <v/>
      </c>
      <c r="B2609">
        <f>Skills!B16</f>
        <v/>
      </c>
      <c r="C2609">
        <f>Inputs!$B$3&gt;=15</f>
        <v/>
      </c>
      <c r="D2609">
        <f>IF(Skills!C16=1,60+Inputs!$B$25+Inputs!$B$29,IF(Skills!C16=2,90+Inputs!$B$26+Inputs!$B$29,IF(Skills!C16=3,120+Inputs!$B$27+Inputs!$B$29,MAX(0,(Inputs!$B$3-100)*3)+Inputs!$B$28+Inputs!$B$29)))</f>
        <v/>
      </c>
      <c r="E2609">
        <f>INDEX(FactorTable!$B$2:$Y$301, MATCH(ROUND(MIN(300,MAX(1,D2609)),0), FactorTable!$A$2:$A$301,0), Skills!M16+1)</f>
        <v/>
      </c>
      <c r="F2609">
        <f>IF(Skills!N16=TRUE,(Skills!L16/10)*(E2609/1000),Skills!L16/10)+Skills!O16</f>
        <v/>
      </c>
      <c r="G2609">
        <f>Skills!G16*IF(Skills!H16&gt;0,Skills!I16/Skills!H16,1)</f>
        <v/>
      </c>
      <c r="H2609">
        <f>1-(1-Skills!J16/100)^Skills!K16</f>
        <v/>
      </c>
      <c r="I2609" t="inlineStr">
        <is>
          <t>1</t>
        </is>
      </c>
      <c r="J2609" t="inlineStr"/>
      <c r="K2609" t="inlineStr"/>
      <c r="L2609" t="inlineStr"/>
      <c r="M2609" t="inlineStr"/>
      <c r="N2609" t="inlineStr"/>
      <c r="O2609">
        <f>(1-Summary!$B$11)*T2609+Summary!$B$11*V2609</f>
        <v/>
      </c>
      <c r="P2609">
        <f>IF(B2628=0,0,O2609/B2628)</f>
        <v/>
      </c>
      <c r="Q2609" t="n">
        <v>0</v>
      </c>
      <c r="R2609" t="n">
        <v>0</v>
      </c>
      <c r="S2609">
        <f>IFERROR(O2609/N2609,0)</f>
        <v/>
      </c>
      <c r="T2609" t="n">
        <v>0</v>
      </c>
      <c r="V2609" t="n">
        <v>0</v>
      </c>
    </row>
    <row r="2610">
      <c r="A2610">
        <f>Skills!A17</f>
        <v/>
      </c>
      <c r="B2610">
        <f>Skills!B17</f>
        <v/>
      </c>
      <c r="C2610">
        <f>Inputs!$B$3&gt;=10</f>
        <v/>
      </c>
      <c r="D2610">
        <f>IF(Skills!C17=1,60+Inputs!$B$25+Inputs!$B$29,IF(Skills!C17=2,90+Inputs!$B$26+Inputs!$B$29,IF(Skills!C17=3,120+Inputs!$B$27+Inputs!$B$29,MAX(0,(Inputs!$B$3-100)*3)+Inputs!$B$28+Inputs!$B$29)))</f>
        <v/>
      </c>
      <c r="E2610">
        <f>INDEX(FactorTable!$B$2:$Y$301, MATCH(ROUND(MIN(300,MAX(1,D2610)),0), FactorTable!$A$2:$A$301,0), Skills!M17+1)</f>
        <v/>
      </c>
      <c r="F2610">
        <f>IF(Skills!N17=TRUE,(Skills!L17/10)*(E2610/1000),Skills!L17/10)+Skills!O17</f>
        <v/>
      </c>
      <c r="G2610">
        <f>Skills!G17*IF(Skills!H17&gt;0,Skills!I17/Skills!H17,1)</f>
        <v/>
      </c>
      <c r="H2610">
        <f>1-(1-Skills!J17/100)^Skills!K17</f>
        <v/>
      </c>
      <c r="I2610" t="inlineStr">
        <is>
          <t>1</t>
        </is>
      </c>
      <c r="J2610" t="inlineStr"/>
      <c r="K2610" t="inlineStr"/>
      <c r="L2610" t="inlineStr"/>
      <c r="M2610" t="inlineStr"/>
      <c r="N2610" t="inlineStr"/>
      <c r="O2610">
        <f>(1-Summary!$B$11)*T2610+Summary!$B$11*V2610</f>
        <v/>
      </c>
      <c r="P2610">
        <f>IF(B2628=0,0,O2610/B2628)</f>
        <v/>
      </c>
      <c r="Q2610" t="n">
        <v>0</v>
      </c>
      <c r="R2610" t="n">
        <v>0</v>
      </c>
      <c r="S2610">
        <f>IFERROR(O2610/N2610,0)</f>
        <v/>
      </c>
      <c r="T2610" t="n">
        <v>0</v>
      </c>
      <c r="V2610" t="n">
        <v>0</v>
      </c>
    </row>
    <row r="2611">
      <c r="A2611">
        <f>Skills!A18</f>
        <v/>
      </c>
      <c r="B2611">
        <f>Skills!B18</f>
        <v/>
      </c>
      <c r="C2611">
        <f>Inputs!$B$3&gt;=33</f>
        <v/>
      </c>
      <c r="D2611">
        <f>IF(Skills!C18=1,60+Inputs!$B$25+Inputs!$B$29,IF(Skills!C18=2,90+Inputs!$B$26+Inputs!$B$29,IF(Skills!C18=3,120+Inputs!$B$27+Inputs!$B$29,MAX(0,(Inputs!$B$3-100)*3)+Inputs!$B$28+Inputs!$B$29)))</f>
        <v/>
      </c>
      <c r="E2611">
        <f>INDEX(FactorTable!$B$2:$Y$301, MATCH(ROUND(MIN(300,MAX(1,D2611)),0), FactorTable!$A$2:$A$301,0), Skills!M18+1)</f>
        <v/>
      </c>
      <c r="F2611">
        <f>IF(Skills!N18=TRUE,(Skills!L18/10)*(E2611/1000),Skills!L18/10)+Skills!O18</f>
        <v/>
      </c>
      <c r="G2611">
        <f>Skills!G18*IF(Skills!H18&gt;0,Skills!I18/Skills!H18,1)</f>
        <v/>
      </c>
      <c r="H2611">
        <f>1-(1-Skills!J18/100)^Skills!K18</f>
        <v/>
      </c>
      <c r="I2611" t="inlineStr">
        <is>
          <t>1</t>
        </is>
      </c>
      <c r="J2611" t="inlineStr"/>
      <c r="K2611" t="inlineStr"/>
      <c r="L2611" t="inlineStr"/>
      <c r="M2611" t="inlineStr"/>
      <c r="N2611" t="inlineStr"/>
      <c r="O2611">
        <f>(1-Summary!$B$11)*T2611+Summary!$B$11*V2611</f>
        <v/>
      </c>
      <c r="P2611">
        <f>IF(B2628=0,0,O2611/B2628)</f>
        <v/>
      </c>
      <c r="Q2611" t="n">
        <v>0</v>
      </c>
      <c r="R2611" t="n">
        <v>0</v>
      </c>
      <c r="S2611">
        <f>IFERROR(O2611/N2611,0)</f>
        <v/>
      </c>
      <c r="T2611" t="n">
        <v>0</v>
      </c>
      <c r="V2611" t="n">
        <v>0</v>
      </c>
    </row>
    <row r="2612">
      <c r="A2612">
        <f>Skills!A19</f>
        <v/>
      </c>
      <c r="B2612">
        <f>Skills!B19</f>
        <v/>
      </c>
      <c r="C2612">
        <f>Inputs!$B$3&gt;=40</f>
        <v/>
      </c>
      <c r="D2612">
        <f>IF(Skills!C19=1,60+Inputs!$B$25+Inputs!$B$29,IF(Skills!C19=2,90+Inputs!$B$26+Inputs!$B$29,IF(Skills!C19=3,120+Inputs!$B$27+Inputs!$B$29,MAX(0,(Inputs!$B$3-100)*3)+Inputs!$B$28+Inputs!$B$29)))</f>
        <v/>
      </c>
      <c r="E2612">
        <f>INDEX(FactorTable!$B$2:$Y$301, MATCH(ROUND(MIN(300,MAX(1,D2612)),0), FactorTable!$A$2:$A$301,0), Skills!M19+1)</f>
        <v/>
      </c>
      <c r="F2612">
        <f>IF(Skills!N19=TRUE,(Skills!L19/10)*(E2612/1000),Skills!L19/10)+Skills!O19</f>
        <v/>
      </c>
      <c r="G2612">
        <f>Skills!G19*IF(Skills!H19&gt;0,Skills!I19/Skills!H19,1)</f>
        <v/>
      </c>
      <c r="H2612">
        <f>1-(1-Skills!J19/100)^Skills!K19</f>
        <v/>
      </c>
      <c r="I2612" t="inlineStr">
        <is>
          <t>1</t>
        </is>
      </c>
      <c r="J2612" t="inlineStr"/>
      <c r="K2612" t="inlineStr"/>
      <c r="L2612" t="inlineStr"/>
      <c r="M2612" t="inlineStr"/>
      <c r="N2612" t="inlineStr"/>
      <c r="O2612">
        <f>(1-Summary!$B$11)*T2612+Summary!$B$11*V2612</f>
        <v/>
      </c>
      <c r="P2612">
        <f>IF(B2628=0,0,O2612/B2628)</f>
        <v/>
      </c>
      <c r="Q2612" t="n">
        <v>0</v>
      </c>
      <c r="R2612" t="n">
        <v>0</v>
      </c>
      <c r="S2612">
        <f>IFERROR(O2612/N2612,0)</f>
        <v/>
      </c>
      <c r="T2612" t="n">
        <v>0</v>
      </c>
      <c r="V2612" t="n">
        <v>0</v>
      </c>
    </row>
    <row r="2613">
      <c r="A2613">
        <f>Skills!A20</f>
        <v/>
      </c>
      <c r="B2613">
        <f>Skills!B20</f>
        <v/>
      </c>
      <c r="C2613">
        <f>Inputs!$B$3&gt;=43</f>
        <v/>
      </c>
      <c r="D2613">
        <f>IF(Skills!C20=1,60+Inputs!$B$25+Inputs!$B$29,IF(Skills!C20=2,90+Inputs!$B$26+Inputs!$B$29,IF(Skills!C20=3,120+Inputs!$B$27+Inputs!$B$29,MAX(0,(Inputs!$B$3-100)*3)+Inputs!$B$28+Inputs!$B$29)))</f>
        <v/>
      </c>
      <c r="E2613">
        <f>INDEX(FactorTable!$B$2:$Y$301, MATCH(ROUND(MIN(300,MAX(1,D2613)),0), FactorTable!$A$2:$A$301,0), Skills!M20+1)</f>
        <v/>
      </c>
      <c r="F2613">
        <f>IF(Skills!N20=TRUE,(Skills!L20/10)*(E2613/1000),Skills!L20/10)+Skills!O20</f>
        <v/>
      </c>
      <c r="G2613">
        <f>Skills!G20*IF(Skills!H20&gt;0,Skills!I20/Skills!H20,1)</f>
        <v/>
      </c>
      <c r="H2613">
        <f>1-(1-Skills!J20/100)^Skills!K20</f>
        <v/>
      </c>
      <c r="I2613" t="inlineStr">
        <is>
          <t>1</t>
        </is>
      </c>
      <c r="J2613" t="inlineStr"/>
      <c r="K2613" t="inlineStr"/>
      <c r="L2613" t="inlineStr"/>
      <c r="M2613" t="inlineStr"/>
      <c r="N2613" t="inlineStr"/>
      <c r="O2613">
        <f>(1-Summary!$B$11)*T2613+Summary!$B$11*V2613</f>
        <v/>
      </c>
      <c r="P2613">
        <f>IF(B2628=0,0,O2613/B2628)</f>
        <v/>
      </c>
      <c r="Q2613" t="n">
        <v>0</v>
      </c>
      <c r="R2613" t="n">
        <v>0</v>
      </c>
      <c r="S2613">
        <f>IFERROR(O2613/N2613,0)</f>
        <v/>
      </c>
      <c r="T2613" t="n">
        <v>0</v>
      </c>
      <c r="V2613" t="n">
        <v>0</v>
      </c>
    </row>
    <row r="2614">
      <c r="A2614">
        <f>Skills!A21</f>
        <v/>
      </c>
      <c r="B2614">
        <f>Skills!B21</f>
        <v/>
      </c>
      <c r="C2614">
        <f>Inputs!$B$3&gt;=38</f>
        <v/>
      </c>
      <c r="D2614">
        <f>IF(Skills!C21=1,60+Inputs!$B$25+Inputs!$B$29,IF(Skills!C21=2,90+Inputs!$B$26+Inputs!$B$29,IF(Skills!C21=3,120+Inputs!$B$27+Inputs!$B$29,MAX(0,(Inputs!$B$3-100)*3)+Inputs!$B$28+Inputs!$B$29)))</f>
        <v/>
      </c>
      <c r="E2614">
        <f>INDEX(FactorTable!$B$2:$Y$301, MATCH(ROUND(MIN(300,MAX(1,D2614)),0), FactorTable!$A$2:$A$301,0), Skills!M21+1)</f>
        <v/>
      </c>
      <c r="F2614">
        <f>IF(Skills!N21=TRUE,(Skills!L21/10)*(E2614/1000),Skills!L21/10)+Skills!O21</f>
        <v/>
      </c>
      <c r="G2614">
        <f>Skills!G21*IF(Skills!H21&gt;0,Skills!I21/Skills!H21,1)</f>
        <v/>
      </c>
      <c r="H2614">
        <f>1-(1-Skills!J21/100)^Skills!K21</f>
        <v/>
      </c>
      <c r="I2614" t="inlineStr">
        <is>
          <t>1</t>
        </is>
      </c>
      <c r="J2614" t="inlineStr"/>
      <c r="K2614" t="inlineStr"/>
      <c r="L2614" t="inlineStr"/>
      <c r="M2614" t="inlineStr"/>
      <c r="N2614" t="inlineStr"/>
      <c r="O2614">
        <f>(1-Summary!$B$11)*T2614+Summary!$B$11*V2614</f>
        <v/>
      </c>
      <c r="P2614">
        <f>IF(B2628=0,0,O2614/B2628)</f>
        <v/>
      </c>
      <c r="Q2614" t="n">
        <v>0</v>
      </c>
      <c r="R2614" t="n">
        <v>0</v>
      </c>
      <c r="S2614">
        <f>IFERROR(O2614/N2614,0)</f>
        <v/>
      </c>
      <c r="T2614" t="n">
        <v>0</v>
      </c>
      <c r="V2614" t="n">
        <v>0</v>
      </c>
    </row>
    <row r="2615">
      <c r="A2615">
        <f>Skills!A22</f>
        <v/>
      </c>
      <c r="B2615">
        <f>Skills!B22</f>
        <v/>
      </c>
      <c r="C2615">
        <f>Inputs!$B$3&gt;=75</f>
        <v/>
      </c>
      <c r="D2615">
        <f>IF(Skills!C22=1,60+Inputs!$B$25+Inputs!$B$29,IF(Skills!C22=2,90+Inputs!$B$26+Inputs!$B$29,IF(Skills!C22=3,120+Inputs!$B$27+Inputs!$B$29,MAX(0,(Inputs!$B$3-100)*3)+Inputs!$B$28+Inputs!$B$29)))</f>
        <v/>
      </c>
      <c r="E2615">
        <f>INDEX(FactorTable!$B$2:$Y$301, MATCH(ROUND(MIN(300,MAX(1,D2615)),0), FactorTable!$A$2:$A$301,0), Skills!M22+1)</f>
        <v/>
      </c>
      <c r="F2615">
        <f>IF(Skills!N22=TRUE,(Skills!L22/10)*(E2615/1000),Skills!L22/10)+Skills!O22</f>
        <v/>
      </c>
      <c r="G2615">
        <f>Skills!G22*IF(Skills!H22&gt;0,Skills!I22/Skills!H22,1)</f>
        <v/>
      </c>
      <c r="H2615">
        <f>1-(1-Skills!J22/100)^Skills!K22</f>
        <v/>
      </c>
      <c r="I2615" t="inlineStr">
        <is>
          <t>1</t>
        </is>
      </c>
      <c r="J2615" t="inlineStr"/>
      <c r="K2615" t="inlineStr"/>
      <c r="L2615" t="inlineStr"/>
      <c r="M2615" t="inlineStr"/>
      <c r="N2615" t="inlineStr"/>
      <c r="O2615">
        <f>(1-Summary!$B$11)*T2615+Summary!$B$11*V2615</f>
        <v/>
      </c>
      <c r="P2615">
        <f>IF(B2628=0,0,O2615/B2628)</f>
        <v/>
      </c>
      <c r="Q2615" t="n">
        <v>0</v>
      </c>
      <c r="R2615" t="n">
        <v>0</v>
      </c>
      <c r="S2615">
        <f>IFERROR(O2615/N2615,0)</f>
        <v/>
      </c>
      <c r="T2615" t="n">
        <v>0</v>
      </c>
      <c r="V2615" t="n">
        <v>0</v>
      </c>
    </row>
    <row r="2617">
      <c r="A2617" t="inlineStr">
        <is>
          <t>Attack% Bucket Multiplier</t>
        </is>
      </c>
      <c r="B2617">
        <f>(1+(((C2606=TRUE)*F2606)+((C2612=TRUE)*(F2612-Calc!F19))+(IF(ArtifactsInput!$M$21,CHOOSE(ArtifactsInput!$N$21+1,25,30,35,40,45,50)*(IF(OR(Inputs!$B$4="Chapter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18">
      <c r="A2618" t="inlineStr">
        <is>
          <t>Global Crit Rate Bonus %</t>
        </is>
      </c>
      <c r="B2618" t="n">
        <v>0</v>
      </c>
    </row>
    <row r="2619">
      <c r="A2619" t="inlineStr">
        <is>
          <t>Attack Speed Buff Bonus % (unused)</t>
        </is>
      </c>
      <c r="B2619" t="n">
        <v>0</v>
      </c>
    </row>
    <row r="2620">
      <c r="A2620" t="inlineStr">
        <is>
          <t>Actions Per Second</t>
        </is>
      </c>
      <c r="B2620">
        <f>1+MIN(150,150*(1-(1-(Inputs!$B$11+((C2610=TRUE)*(F2610-Calc!F17))+((C2611=TRUE)*(F2611-Calc!F18)))/150)*(1-B2619/150)))/100</f>
        <v/>
      </c>
    </row>
    <row r="2621">
      <c r="A2621" t="inlineStr">
        <is>
          <t>Skill + Buff Cast Rate</t>
        </is>
      </c>
      <c r="B2621">
        <f>IF(AND(Inputs!$B$38&lt;&gt;"pvp",Inputs!$B$43&gt;0),SUMPRODUCT((Skills!E2:E22=TRUE)*(C2595:C2615=TRUE)*R2595:R2615*Skills!F2:F22)/Inputs!$B$43,SUMPRODUCT((Skills!E2:E22=TRUE)*(C2595:C2615=TRUE)*Q2595:Q2615*Skills!F2:F22))</f>
        <v/>
      </c>
    </row>
    <row r="2622">
      <c r="A2622" t="inlineStr">
        <is>
          <t>Hook Bomber Casts Per Second</t>
        </is>
      </c>
      <c r="B2622">
        <f>MAX(0,B2620-B2621)</f>
        <v/>
      </c>
    </row>
    <row r="2623">
      <c r="A2623" t="inlineStr">
        <is>
          <t>Global Critical Damage Bonus % (unused)</t>
        </is>
      </c>
      <c r="B2623" t="n">
        <v>0</v>
      </c>
    </row>
    <row r="2624">
      <c r="A2624" t="inlineStr">
        <is>
          <t>Global Final Damage Bonus % (Serpent Scale + Crossbones + Time Leap + Speed Infusion)</t>
        </is>
      </c>
      <c r="B2624">
        <f>((C2598=TRUE)*F2598*((10+IF(Inputs!$B$3&gt;=94,5,0))/((10+IF(Inputs!$B$3&gt;=94,5,0))+5/(B2622*(1+IF(Inputs!$B$3&gt;=104,1,0))))))+((C2607=TRUE)*F2607)+((C2608=TRUE)*F2608)+((Inputs!$B$3&gt;=110)*20*(B2620-1))</f>
        <v/>
      </c>
    </row>
    <row r="2625">
      <c r="A2625" t="inlineStr">
        <is>
          <t>Buff-Casting Startup Delay (s, fixed-duration only)</t>
        </is>
      </c>
      <c r="B2625">
        <f>IF(AND(Inputs!$B$38&lt;&gt;"pvp",Inputs!$B$43&gt;0),SUMPRODUCT((Skills!T2:T22&gt;0)*(Skills!E2:E22=TRUE)*(C2595:C2615=TRUE))/B2620,0)</f>
        <v/>
      </c>
    </row>
    <row r="2626">
      <c r="A2626" t="inlineStr">
        <is>
          <t>Boss-Only Total DPS (this block's swept value)</t>
        </is>
      </c>
      <c r="B2626">
        <f>SUM(T2595:T2615)</f>
        <v/>
      </c>
    </row>
    <row r="2627">
      <c r="A2627" t="inlineStr">
        <is>
          <t>Normal-Only Total DPS (this block's swept value)</t>
        </is>
      </c>
      <c r="B2627">
        <f>SUM(V2595:V2615)</f>
        <v/>
      </c>
    </row>
    <row r="2628">
      <c r="A2628" s="6" t="inlineStr">
        <is>
          <t>TOTAL DPS</t>
        </is>
      </c>
      <c r="B2628" s="6">
        <f>SUM(O2595:O2615)</f>
        <v/>
      </c>
    </row>
    <row r="2631">
      <c r="A2631" s="6" t="inlineStr">
        <is>
          <t>Stat: CDR = 3.0s</t>
        </is>
      </c>
    </row>
    <row r="2632">
      <c r="A2632" s="5" t="inlineStr">
        <is>
          <t>Key</t>
        </is>
      </c>
      <c r="B2632" s="5" t="inlineStr">
        <is>
          <t>Name</t>
        </is>
      </c>
      <c r="C2632" s="5" t="inlineStr">
        <is>
          <t>Unlocked</t>
        </is>
      </c>
      <c r="D2632" s="5" t="inlineStr">
        <is>
          <t>InputLevel</t>
        </is>
      </c>
      <c r="E2632" s="5" t="inlineStr">
        <is>
          <t>Factor</t>
        </is>
      </c>
      <c r="F2632" s="5" t="inlineStr">
        <is>
          <t>CoefficientPercent</t>
        </is>
      </c>
      <c r="G2632" s="5" t="inlineStr">
        <is>
          <t>EffectiveHits</t>
        </is>
      </c>
      <c r="H2632" s="5" t="inlineStr">
        <is>
          <t>ProcProbability</t>
        </is>
      </c>
      <c r="I2632" s="5" t="inlineStr">
        <is>
          <t>MapleHeroMultiplier</t>
        </is>
      </c>
      <c r="J2632" s="5" t="inlineStr">
        <is>
          <t>BaseDamage</t>
        </is>
      </c>
      <c r="K2632" s="5" t="inlineStr">
        <is>
          <t>BaseHitDamage</t>
        </is>
      </c>
      <c r="L2632" s="5" t="inlineStr">
        <is>
          <t>NonCritAvg</t>
        </is>
      </c>
      <c r="M2632" s="5" t="inlineStr">
        <is>
          <t>CritAvg</t>
        </is>
      </c>
      <c r="N2632" s="5" t="inlineStr">
        <is>
          <t>ExpectedDamage(perHit)</t>
        </is>
      </c>
      <c r="O2632" s="5" t="inlineStr">
        <is>
          <t>DPS</t>
        </is>
      </c>
      <c r="P2632" s="5" t="inlineStr">
        <is>
          <t>% of Total</t>
        </is>
      </c>
      <c r="Q2632" s="5" t="inlineStr">
        <is>
          <t>InvCooldown</t>
        </is>
      </c>
      <c r="R2632" s="5" t="inlineStr">
        <is>
          <t>CastsInFight</t>
        </is>
      </c>
      <c r="S2632" s="5" t="inlineStr">
        <is>
          <t>HitRate(perSec)</t>
        </is>
      </c>
      <c r="U2632" t="inlineStr">
        <is>
          <t>helpers</t>
        </is>
      </c>
    </row>
    <row r="2633">
      <c r="A2633">
        <f>Skills!A2</f>
        <v/>
      </c>
      <c r="B2633">
        <f>Skills!B2</f>
        <v/>
      </c>
      <c r="C2633">
        <f>Inputs!$B$3&gt;=100</f>
        <v/>
      </c>
      <c r="D2633" t="inlineStr"/>
      <c r="E2633" t="inlineStr"/>
      <c r="F2633">
        <f>U2635+Skills!O2</f>
        <v/>
      </c>
      <c r="G2633">
        <f>Skills!G2*IF(Skills!H2&gt;0,Skills!I2/Skills!H2,1)</f>
        <v/>
      </c>
      <c r="H2633">
        <f>1-(1-Skills!J2/100)^Skills!K2</f>
        <v/>
      </c>
      <c r="I2633" t="inlineStr">
        <is>
          <t>1</t>
        </is>
      </c>
      <c r="J2633">
        <f>((Inputs!$B$6*(1+Inputs!$B$7/100))+(((Inputs!$B$12*(1+Inputs!$B$13/100))-(Inputs!$B$12*(1+Inputs!$B$13/100)))+0.25*(Inputs!$B$14-Inputs!$B$14))*(1+Inputs!$B$7/100))*(F2633/100)</f>
        <v/>
      </c>
      <c r="K2633">
        <f>J2633*(1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2633)</f>
        <v/>
      </c>
      <c r="L2633">
        <f>K2633*(MIN(Inputs!$B$22+((C2651=TRUE)*(F2651-Calc!F20)),(Inputs!$B$23+0+(IF(ArtifactsInput!$M$15,CHOOSE(ArtifactsInput!$N$15+1,25,30,35,40,45,50)/100*(Inputs!$B$11-Inputs!$B$11),0))))/100+(Inputs!$B$23+0+(IF(ArtifactsInput!$M$15,CHOOSE(ArtifactsInput!$N$15+1,25,30,35,40,45,50)/100*(Inputs!$B$11-Inputs!$B$11),0)))/100)/2</f>
        <v/>
      </c>
      <c r="M2633">
        <f>L2633*(1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3">
        <f>L2633*(1-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2633*(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3">
        <f>(1-Summary!$B$11)*T2633+Summary!$B$11*V2633</f>
        <v/>
      </c>
      <c r="P2633">
        <f>IF(B2666=0,0,O2633/B2666)</f>
        <v/>
      </c>
      <c r="Q2633" t="n">
        <v>0</v>
      </c>
      <c r="R2633" t="n">
        <v>0</v>
      </c>
      <c r="S2633">
        <f>IFERROR(O2633/N2633,0)</f>
        <v/>
      </c>
      <c r="T2633">
        <f>IF(C2633,(Skills!G2*N2633*B2660)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2633*(1-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2633*(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2633*(1-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2633*(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3">
        <f>MAX(0,(Inputs!$B$3-100)*3)+Inputs!$B$28+Inputs!$B$29</f>
        <v/>
      </c>
      <c r="V2633">
        <f>IF(C2633,(Skills!G2*N2633*B2660)*IF(Inputs!$B$38="pvp",1,(1+(Inputs!$B$21+Skills!Q2+(IF(ArtifactsInput!$M$33,CHOOSE(ArtifactsInput!$N$33+1,30,36,42,48,54,60),0))+(IF(AND(ArtifactsInput!$M$35,Inputs!$B$4&lt;&gt;"Chapter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4">
      <c r="A2634">
        <f>Skills!A3</f>
        <v/>
      </c>
      <c r="B2634">
        <f>Skills!B3</f>
        <v/>
      </c>
      <c r="C2634">
        <f>Inputs!$B$3&gt;=35</f>
        <v/>
      </c>
      <c r="D2634">
        <f>IF(Skills!C3=1,60+Inputs!$B$25+Inputs!$B$29,IF(Skills!C3=2,90+Inputs!$B$26+Inputs!$B$29,IF(Skills!C3=3,120+Inputs!$B$27+Inputs!$B$29,MAX(0,(Inputs!$B$3-100)*3)+Inputs!$B$28+Inputs!$B$29)))</f>
        <v/>
      </c>
      <c r="E2634">
        <f>INDEX(FactorTable!$B$2:$Y$301, MATCH(ROUND(MIN(300,MAX(1,D2634)),0), FactorTable!$A$2:$A$301,0), Skills!M3+1)</f>
        <v/>
      </c>
      <c r="F2634">
        <f>IF(Skills!N3=TRUE,(Skills!L3/10)*(E2634/1000),Skills!L3/10)+Skills!O3</f>
        <v/>
      </c>
      <c r="G2634">
        <f>Skills!G3*IF(Skills!H3&gt;0,Skills!I3/Skills!H3,1)</f>
        <v/>
      </c>
      <c r="H2634">
        <f>1-(1-Skills!J3/100)^Skills!K3</f>
        <v/>
      </c>
      <c r="I2634" t="inlineStr">
        <is>
          <t>1</t>
        </is>
      </c>
      <c r="J2634">
        <f>((Inputs!$B$6*(1+Inputs!$B$7/100))+(((Inputs!$B$12*(1+Inputs!$B$13/100))-(Inputs!$B$12*(1+Inputs!$B$13/100)))+0.25*(Inputs!$B$14-Inputs!$B$14))*(1+Inputs!$B$7/100))*(F2634/100)</f>
        <v/>
      </c>
      <c r="K2634">
        <f>J2634*(1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2634)</f>
        <v/>
      </c>
      <c r="L2634">
        <f>K2634*(MIN(Inputs!$B$22+((C2651=TRUE)*(F2651-Calc!F20)),(Inputs!$B$23+0+(IF(ArtifactsInput!$M$15,CHOOSE(ArtifactsInput!$N$15+1,25,30,35,40,45,50)/100*(Inputs!$B$11-Inputs!$B$11),0))))/100+(Inputs!$B$23+0+(IF(ArtifactsInput!$M$15,CHOOSE(ArtifactsInput!$N$15+1,25,30,35,40,45,50)/100*(Inputs!$B$11-Inputs!$B$11),0)))/100)/2</f>
        <v/>
      </c>
      <c r="M2634">
        <f>L2634*(1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4">
        <f>L2634*(1-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2634*(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4">
        <f>(1-Summary!$B$11)*T2634+Summary!$B$11*V2634</f>
        <v/>
      </c>
      <c r="P2634">
        <f>IF(B2666=0,0,O2634/B2666)</f>
        <v/>
      </c>
      <c r="Q2634" t="n">
        <v>0</v>
      </c>
      <c r="R2634" t="n">
        <v>0</v>
      </c>
      <c r="S2634">
        <f>IFERROR(O2634/N2634,0)</f>
        <v/>
      </c>
      <c r="T2634">
        <f>IF(C2634,(Skills!G3*H2634*N2634*B2660)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2634*(1-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2634*(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2634*(1-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2634*(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4">
        <f>INDEX(FactorTable!$B$2:$Y$301, MATCH(ROUND(MIN(300,MAX(1,U2633)),0), FactorTable!$A$2:$A$301,0), 22)</f>
        <v/>
      </c>
      <c r="V2634">
        <f>IF(C2634,(Skills!G3*H2634*N2634*B2660)*IF(Inputs!$B$38="pvp",1,(1+(Inputs!$B$21+Skills!Q3+(IF(ArtifactsInput!$M$33,CHOOSE(ArtifactsInput!$N$33+1,30,36,42,48,54,60),0))+(IF(AND(ArtifactsInput!$M$35,Inputs!$B$4&lt;&gt;"Chapter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5">
      <c r="A2635">
        <f>Skills!A4</f>
        <v/>
      </c>
      <c r="B2635">
        <f>Skills!B4</f>
        <v/>
      </c>
      <c r="C2635">
        <f>Inputs!$B$3&gt;=60</f>
        <v/>
      </c>
      <c r="D2635">
        <f>IF(Skills!C4=1,60+Inputs!$B$25+Inputs!$B$29,IF(Skills!C4=2,90+Inputs!$B$26+Inputs!$B$29,IF(Skills!C4=3,120+Inputs!$B$27+Inputs!$B$29,MAX(0,(Inputs!$B$3-100)*3)+Inputs!$B$28+Inputs!$B$29)))</f>
        <v/>
      </c>
      <c r="E2635">
        <f>INDEX(FactorTable!$B$2:$Y$301, MATCH(ROUND(MIN(300,MAX(1,D2635)),0), FactorTable!$A$2:$A$301,0), Skills!M4+1)</f>
        <v/>
      </c>
      <c r="F2635">
        <f>IF(Skills!N4=TRUE,(Skills!L4/10)*(E2635/1000),Skills!L4/10)+Skills!O4</f>
        <v/>
      </c>
      <c r="G2635">
        <f>Skills!G4*IF(Skills!H4&gt;0,Skills!I4/Skills!H4,1)</f>
        <v/>
      </c>
      <c r="H2635">
        <f>1-(1-Skills!J4/100)^Skills!K4</f>
        <v/>
      </c>
      <c r="I2635" t="inlineStr">
        <is>
          <t>1</t>
        </is>
      </c>
      <c r="J2635">
        <f>((Inputs!$B$6*(1+Inputs!$B$7/100))+(((Inputs!$B$12*(1+Inputs!$B$13/100))-(Inputs!$B$12*(1+Inputs!$B$13/100)))+0.25*(Inputs!$B$14-Inputs!$B$14))*(1+Inputs!$B$7/100))*(F2635/100)</f>
        <v/>
      </c>
      <c r="K2635">
        <f>J2635*(1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2643=TRUE,F2643,0)/100)*(1+(IF(Skills!A4="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C2651=TRUE)*(F2651-Calc!F20)),(Inputs!$B$23+0+(IF(ArtifactsInput!$M$15,CHOOSE(ArtifactsInput!$N$15+1,25,30,35,40,45,50)/100*(Inputs!$B$11-Inputs!$B$11),0))))/100+(Inputs!$B$23+0+(IF(ArtifactsInput!$M$15,CHOOSE(ArtifactsInput!$N$15+1,25,30,35,40,45,50)/100*(Inputs!$B$11-Inputs!$B$11),0)))/100)/2</f>
        <v/>
      </c>
      <c r="M2635">
        <f>L2635*(1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IF(B2666=0,0,O2635/B2666)</f>
        <v/>
      </c>
      <c r="Q2635" t="n">
        <v>0</v>
      </c>
      <c r="R2635" t="n">
        <v>0</v>
      </c>
      <c r="S2635">
        <f>IFERROR(O2635/N2635,0)</f>
        <v/>
      </c>
      <c r="T2635">
        <f>IF(C2635,(Skills!G4*H2635*N2635*B2660)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2635*(1-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290*U2634/1000</f>
        <v/>
      </c>
      <c r="V2635">
        <f>IF(C2635,(Skills!G4*H2635*N2635*B2660)*IF(Inputs!$B$38="pvp",1,(1+(Inputs!$B$21+Skills!Q4+(IF(ArtifactsInput!$M$33,CHOOSE(ArtifactsInput!$N$33+1,30,36,42,48,54,60),0))+(IF(AND(ArtifactsInput!$M$35,Inputs!$B$4&lt;&gt;"Chapter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Skills!A5</f>
        <v/>
      </c>
      <c r="B2636">
        <f>Skills!B5</f>
        <v/>
      </c>
      <c r="C2636">
        <f>Inputs!$B$3&gt;=60</f>
        <v/>
      </c>
      <c r="D2636">
        <f>IF(Skills!C5=1,60+Inputs!$B$25+Inputs!$B$29,IF(Skills!C5=2,90+Inputs!$B$26+Inputs!$B$29,IF(Skills!C5=3,120+Inputs!$B$27+Inputs!$B$29,MAX(0,(Inputs!$B$3-100)*3)+Inputs!$B$28+Inputs!$B$29)))</f>
        <v/>
      </c>
      <c r="E2636">
        <f>INDEX(FactorTable!$B$2:$Y$301, MATCH(ROUND(MIN(300,MAX(1,D2636)),0), FactorTable!$A$2:$A$301,0), Skills!M5+1)</f>
        <v/>
      </c>
      <c r="F2636">
        <f>IF(Skills!N5=TRUE,(Skills!L5/10)*(E2636/1000),Skills!L5/10)+Skills!O5</f>
        <v/>
      </c>
      <c r="G2636">
        <f>Skills!G5*IF(Skills!H5&gt;0,Skills!I5/Skills!H5,1)</f>
        <v/>
      </c>
      <c r="H2636">
        <f>1-(1-Skills!J5/100)^Skills!K5</f>
        <v/>
      </c>
      <c r="I2636" t="inlineStr">
        <is>
          <t>1</t>
        </is>
      </c>
      <c r="J2636" t="inlineStr"/>
      <c r="K2636" t="inlineStr"/>
      <c r="L2636" t="inlineStr"/>
      <c r="M2636" t="inlineStr"/>
      <c r="N2636" t="inlineStr"/>
      <c r="O2636">
        <f>(1-Summary!$B$11)*T2636+Summary!$B$11*V2636</f>
        <v/>
      </c>
      <c r="P2636">
        <f>IF(B2666=0,0,O2636/B2666)</f>
        <v/>
      </c>
      <c r="Q2636" t="n">
        <v>0</v>
      </c>
      <c r="R2636" t="n">
        <v>0</v>
      </c>
      <c r="S2636">
        <f>IFERROR(O2636/N2636,0)</f>
        <v/>
      </c>
      <c r="T2636" t="n">
        <v>0</v>
      </c>
      <c r="V2636" t="n">
        <v>0</v>
      </c>
    </row>
    <row r="2637">
      <c r="A2637">
        <f>Skills!A6</f>
        <v/>
      </c>
      <c r="B2637">
        <f>Skills!B6</f>
        <v/>
      </c>
      <c r="C2637">
        <f>Inputs!$B$3&gt;=63</f>
        <v/>
      </c>
      <c r="D2637">
        <f>IF(Skills!C6=1,60+Inputs!$B$25+Inputs!$B$29,IF(Skills!C6=2,90+Inputs!$B$26+Inputs!$B$29,IF(Skills!C6=3,120+Inputs!$B$27+Inputs!$B$29,MAX(0,(Inputs!$B$3-100)*3)+Inputs!$B$28+Inputs!$B$29)))</f>
        <v/>
      </c>
      <c r="E2637">
        <f>INDEX(FactorTable!$B$2:$Y$301, MATCH(ROUND(MIN(300,MAX(1,D2637)),0), FactorTable!$A$2:$A$301,0), Skills!M6+1)</f>
        <v/>
      </c>
      <c r="F2637">
        <f>IF(Skills!N6=TRUE,(Skills!L6/10)*(E2637/1000),Skills!L6/10)+Skills!O6</f>
        <v/>
      </c>
      <c r="G2637">
        <f>Skills!G6*IF(Skills!H6&gt;0,Skills!I6/Skills!H6,1)</f>
        <v/>
      </c>
      <c r="H2637">
        <f>1-(1-Skills!J6/100)^Skills!K6</f>
        <v/>
      </c>
      <c r="I2637" t="inlineStr">
        <is>
          <t>1</t>
        </is>
      </c>
      <c r="J2637">
        <f>((Inputs!$B$6*(1+Inputs!$B$7/100))+(((Inputs!$B$12*(1+Inputs!$B$13/100))-(Inputs!$B$12*(1+Inputs!$B$13/100)))+0.25*(Inputs!$B$14-Inputs!$B$14))*(1+Inputs!$B$7/100))*(F2637/100)</f>
        <v/>
      </c>
      <c r="K2637">
        <f>J2637*(1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C2651=TRUE)*(F2651-Calc!F20)),(Inputs!$B$23+0+(IF(ArtifactsInput!$M$15,CHOOSE(ArtifactsInput!$N$15+1,25,30,35,40,45,50)/100*(Inputs!$B$11-Inputs!$B$11),0))))/100+(Inputs!$B$23+0+(IF(ArtifactsInput!$M$15,CHOOSE(ArtifactsInput!$N$15+1,25,30,35,40,45,50)/100*(Inputs!$B$11-Inputs!$B$11),0)))/100)/2</f>
        <v/>
      </c>
      <c r="M2637">
        <f>L2637*(1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(1-Summary!$B$11)*T2637+Summary!$B$11*V2637</f>
        <v/>
      </c>
      <c r="P2637">
        <f>IF(B2666=0,0,O2637/B2666)</f>
        <v/>
      </c>
      <c r="Q2637">
        <f>IFERROR(1/(IF(Inputs!$B$38="pvp",15,MAX(0.1,Skills!D6-IF(Skills!E6=TRUE,3.0,0)))*(1-IF(AND(ArtifactsInput!$M$27,Inputs!$B$4="Chapter Hunt"),CHOOSE(ArtifactsInput!$N$27+1,20,24,28,32,36,40),0)/100)),0)</f>
        <v/>
      </c>
      <c r="R2637">
        <f>IF(AND(Inputs!$B$38&lt;&gt;"pvp",Inputs!$B$43&gt;0),IF(MAX(0,Inputs!$B$43-B2663)&lt;=0,0,(INT(MAX(0,Inputs!$B$43-B2663)/(IF(Inputs!$B$38="pvp",15,MAX(0.1,Skills!D6-IF(Skills!E6=TRUE,3.0,0)))*(1-IF(AND(ArtifactsInput!$M$27,Inputs!$B$4="Chapter Hunt"),CHOOSE(ArtifactsInput!$N$27+1,20,24,28,32,36,40),0)/100)))+1)),0)</f>
        <v/>
      </c>
      <c r="S2637">
        <f>IFERROR(O2637/N2637,0)</f>
        <v/>
      </c>
      <c r="T2637">
        <f>IF(C2637,(H2637*N2637*IF(AND(Inputs!$B$38&lt;&gt;"pvp",Inputs!$B$43&gt;0),((Skills!G6*((R2637-1)*IF(Skills!H6&gt;0,Skills!I6/Skills!H6,1)+IF(Skills!H6&gt;0,MIN(Skills!I6,MAX(0,MAX(0,Inputs!$B$43-B2663)-((R2637-1)*(IF(Inputs!$B$38="pvp",15,MAX(0.1,Skills!D6-IF(Skills!E6=TRUE,3.0,0)))*(1-IF(AND(ArtifactsInput!$M$27,Inputs!$B$4="Chapter Hunt"),CHOOSE(ArtifactsInput!$N$27+1,20,24,28,32,36,40),0)/100)))))/Skills!H6,1)))/Inputs!$B$43),G2637*Q2637)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2637*(1-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7">
        <f>IF(C2637,(H2637*N2637*IF(AND(Inputs!$B$38&lt;&gt;"pvp",Inputs!$B$43&gt;0),((Skills!G6*((R2637-1)*IF(Skills!H6&gt;0,Skills!I6/Skills!H6,1)+IF(Skills!H6&gt;0,MIN(Skills!I6,MAX(0,MAX(0,Inputs!$B$43-B2663)-((R2637-1)*(IF(Inputs!$B$38="pvp",15,MAX(0.1,Skills!D6-IF(Skills!E6=TRUE,3.0,0)))*(1-IF(AND(ArtifactsInput!$M$27,Inputs!$B$4="Chapter Hunt"),CHOOSE(ArtifactsInput!$N$27+1,20,24,28,32,36,40),0)/100)))))/Skills!H6,1)))/Inputs!$B$43),G2637*Q2637))*IF(Inputs!$B$38="pvp",1,(1+(Inputs!$B$21+Skills!Q6+(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Skills!A7</f>
        <v/>
      </c>
      <c r="B2638">
        <f>Skills!B7</f>
        <v/>
      </c>
      <c r="C2638">
        <f>Inputs!$B$3&gt;=100</f>
        <v/>
      </c>
      <c r="D2638">
        <f>IF(Skills!C7=1,60+Inputs!$B$25+Inputs!$B$29,IF(Skills!C7=2,90+Inputs!$B$26+Inputs!$B$29,IF(Skills!C7=3,120+Inputs!$B$27+Inputs!$B$29,MAX(0,(Inputs!$B$3-100)*3)+Inputs!$B$28+Inputs!$B$29)))</f>
        <v/>
      </c>
      <c r="E2638">
        <f>INDEX(FactorTable!$B$2:$Y$301, MATCH(ROUND(MIN(300,MAX(1,D2638)),0), FactorTable!$A$2:$A$301,0), Skills!M7+1)</f>
        <v/>
      </c>
      <c r="F2638">
        <f>IF(Skills!N7=TRUE,(Skills!L7/10)*(E2638/1000),Skills!L7/10)+Skills!O7</f>
        <v/>
      </c>
      <c r="G2638">
        <f>Skills!G7*IF(Skills!H7&gt;0,Skills!I7/Skills!H7,1)</f>
        <v/>
      </c>
      <c r="H2638">
        <f>1-(1-Skills!J7/100)^Skills!K7</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C2651=TRUE)*(F2651-Calc!F20)),(Inputs!$B$23+0+(IF(ArtifactsInput!$M$15,CHOOSE(ArtifactsInput!$N$15+1,25,30,35,40,45,50)/100*(Inputs!$B$11-Inputs!$B$11),0))))/100+(Inputs!$B$23+0+(IF(ArtifactsInput!$M$15,CHOOSE(ArtifactsInput!$N$15+1,25,30,35,40,45,50)/100*(Inputs!$B$11-Inputs!$B$11),0)))/100)/2</f>
        <v/>
      </c>
      <c r="M2638">
        <f>L2638*(1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IF(B2666=0,0,O2638/B2666)</f>
        <v/>
      </c>
      <c r="Q2638">
        <f>IFERROR(1/(IF(Inputs!$B$38="pvp",15,MAX(0.1,Skills!D7-IF(Skills!E7=TRUE,3.0,0)))*(1-IF(AND(ArtifactsInput!$M$27,Inputs!$B$4="Chapter Hunt"),CHOOSE(ArtifactsInput!$N$27+1,20,24,28,32,36,40),0)/100)),0)</f>
        <v/>
      </c>
      <c r="R2638">
        <f>IF(AND(Inputs!$B$38&lt;&gt;"pvp",Inputs!$B$43&gt;0),IF(MAX(0,Inputs!$B$43-B2663)&lt;=0,0,(INT(MAX(0,Inputs!$B$43-B2663)/(IF(Inputs!$B$38="pvp",15,MAX(0.1,Skills!D7-IF(Skills!E7=TRUE,3.0,0)))*(1-IF(AND(ArtifactsInput!$M$27,Inputs!$B$4="Chapter Hunt"),CHOOSE(ArtifactsInput!$N$27+1,20,24,28,32,36,40),0)/100)))+1)),0)</f>
        <v/>
      </c>
      <c r="S2638">
        <f>IFERROR(O2638/N2638,0)</f>
        <v/>
      </c>
      <c r="T2638">
        <f>IF(C2638,(H2638*N2638*IF(AND(Inputs!$B$38&lt;&gt;"pvp",Inputs!$B$43&gt;0),((Skills!G7*((R2638-1)*IF(Skills!H7&gt;0,Skills!I7/Skills!H7,1)+IF(Skills!H7&gt;0,MIN(Skills!I7,MAX(0,MAX(0,Inputs!$B$43-B2663)-((R2638-1)*(IF(Inputs!$B$38="pvp",15,MAX(0.1,Skills!D7-IF(Skills!E7=TRUE,3.0,0)))*(1-IF(AND(ArtifactsInput!$M$27,Inputs!$B$4="Chapter Hunt"),CHOOSE(ArtifactsInput!$N$27+1,20,24,28,32,36,40),0)/100)))))/Skills!H7,1)))/Inputs!$B$43),G2638*Q2638)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8">
        <f>IF(C2638,(H2638*N2638*IF(AND(Inputs!$B$38&lt;&gt;"pvp",Inputs!$B$43&gt;0),((Skills!G7*((R2638-1)*IF(Skills!H7&gt;0,Skills!I7/Skills!H7,1)+IF(Skills!H7&gt;0,MIN(Skills!I7,MAX(0,MAX(0,Inputs!$B$43-B2663)-((R2638-1)*(IF(Inputs!$B$38="pvp",15,MAX(0.1,Skills!D7-IF(Skills!E7=TRUE,3.0,0)))*(1-IF(AND(ArtifactsInput!$M$27,Inputs!$B$4="Chapter Hunt"),CHOOSE(ArtifactsInput!$N$27+1,20,24,28,32,36,40),0)/100)))))/Skills!H7,1)))/Inputs!$B$43),G2638*Q2638))*IF(Inputs!$B$38="pvp",1,(1+(Inputs!$B$21+Skills!Q7+(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Skills!A8</f>
        <v/>
      </c>
      <c r="B2639">
        <f>Skills!B8</f>
        <v/>
      </c>
      <c r="C2639">
        <f>Inputs!$B$3&gt;=110</f>
        <v/>
      </c>
      <c r="D2639">
        <f>IF(Skills!C8=1,60+Inputs!$B$25+Inputs!$B$29,IF(Skills!C8=2,90+Inputs!$B$26+Inputs!$B$29,IF(Skills!C8=3,120+Inputs!$B$27+Inputs!$B$29,MAX(0,(Inputs!$B$3-100)*3)+Inputs!$B$28+Inputs!$B$29)))</f>
        <v/>
      </c>
      <c r="E2639">
        <f>INDEX(FactorTable!$B$2:$Y$301, MATCH(ROUND(MIN(300,MAX(1,D2639)),0), FactorTable!$A$2:$A$301,0), Skills!M8+1)</f>
        <v/>
      </c>
      <c r="F2639">
        <f>IF(Skills!N8=TRUE,(Skills!L8/10)*(E2639/1000),Skills!L8/10)+Skills!O8</f>
        <v/>
      </c>
      <c r="G2639">
        <f>Skills!G8*IF(Skills!H8&gt;0,Skills!I8/Skills!H8,1)</f>
        <v/>
      </c>
      <c r="H2639">
        <f>1-(1-Skills!J8/100)^Skills!K8</f>
        <v/>
      </c>
      <c r="I2639" t="inlineStr">
        <is>
          <t>1</t>
        </is>
      </c>
      <c r="J2639">
        <f>((Inputs!$B$6*(1+Inputs!$B$7/100))+(((Inputs!$B$12*(1+Inputs!$B$13/100))-(Inputs!$B$12*(1+Inputs!$B$13/100)))+0.25*(Inputs!$B$14-Inputs!$B$14))*(1+Inputs!$B$7/100))*(F2639/100)</f>
        <v/>
      </c>
      <c r="K2639">
        <f>J2639*(1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2639)</f>
        <v/>
      </c>
      <c r="L2639">
        <f>K2639*(MIN(Inputs!$B$22+((C2651=TRUE)*(F2651-Calc!F20)),(Inputs!$B$23+0+(IF(ArtifactsInput!$M$15,CHOOSE(ArtifactsInput!$N$15+1,25,30,35,40,45,50)/100*(Inputs!$B$11-Inputs!$B$11),0))))/100+(Inputs!$B$23+0+(IF(ArtifactsInput!$M$15,CHOOSE(ArtifactsInput!$N$15+1,25,30,35,40,45,50)/100*(Inputs!$B$11-Inputs!$B$11),0)))/100)/2</f>
        <v/>
      </c>
      <c r="M2639">
        <f>L2639*(1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9">
        <f>L2639*(1-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2639*(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9">
        <f>(1-Summary!$B$11)*T2639+Summary!$B$11*V2639</f>
        <v/>
      </c>
      <c r="P2639">
        <f>IF(B2666=0,0,O2639/B2666)</f>
        <v/>
      </c>
      <c r="Q2639">
        <f>IFERROR(1/(IF(Inputs!$B$38="pvp",15,MAX(0.1,Skills!D8-IF(Skills!E8=TRUE,3.0,0)))*(1-IF(AND(ArtifactsInput!$M$27,Inputs!$B$4="Chapter Hunt"),CHOOSE(ArtifactsInput!$N$27+1,20,24,28,32,36,40),0)/100)),0)</f>
        <v/>
      </c>
      <c r="R2639">
        <f>IF(AND(Inputs!$B$38&lt;&gt;"pvp",Inputs!$B$43&gt;0),IF(MAX(0,Inputs!$B$43-B2663)&lt;=0,0,(INT(MAX(0,Inputs!$B$43-B2663)/(IF(Inputs!$B$38="pvp",15,MAX(0.1,Skills!D8-IF(Skills!E8=TRUE,3.0,0)))*(1-IF(AND(ArtifactsInput!$M$27,Inputs!$B$4="Chapter Hunt"),CHOOSE(ArtifactsInput!$N$27+1,20,24,28,32,36,40),0)/100)))+1)),0)</f>
        <v/>
      </c>
      <c r="S2639">
        <f>IFERROR(O2639/N2639,0)</f>
        <v/>
      </c>
      <c r="T2639">
        <f>IF(C2639,(H2639*N2639*IF(AND(Inputs!$B$38&lt;&gt;"pvp",Inputs!$B$43&gt;0),((Skills!G8*((R2639-1)*IF(Skills!H8&gt;0,Skills!I8/Skills!H8,1)+IF(Skills!H8&gt;0,MIN(Skills!I8,MAX(0,MAX(0,Inputs!$B$43-B2663)-((R2639-1)*(IF(Inputs!$B$38="pvp",15,MAX(0.1,Skills!D8-IF(Skills!E8=TRUE,3.0,0)))*(1-IF(AND(ArtifactsInput!$M$27,Inputs!$B$4="Chapter Hunt"),CHOOSE(ArtifactsInput!$N$27+1,20,24,28,32,36,40),0)/100)))))/Skills!H8,1)))/Inputs!$B$43),G2639*Q2639)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2639*(1-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2639*(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2639*(1-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2639*(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9">
        <f>IF(C2639,(H2639*N2639*IF(AND(Inputs!$B$38&lt;&gt;"pvp",Inputs!$B$43&gt;0),((Skills!G8*((R2639-1)*IF(Skills!H8&gt;0,Skills!I8/Skills!H8,1)+IF(Skills!H8&gt;0,MIN(Skills!I8,MAX(0,MAX(0,Inputs!$B$43-B2663)-((R2639-1)*(IF(Inputs!$B$38="pvp",15,MAX(0.1,Skills!D8-IF(Skills!E8=TRUE,3.0,0)))*(1-IF(AND(ArtifactsInput!$M$27,Inputs!$B$4="Chapter Hunt"),CHOOSE(ArtifactsInput!$N$27+1,20,24,28,32,36,40),0)/100)))))/Skills!H8,1)))/Inputs!$B$43),G2639*Q2639))*IF(Inputs!$B$38="pvp",1,(1+(Inputs!$B$21+Skills!Q8+(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0">
      <c r="A2640">
        <f>Skills!A9</f>
        <v/>
      </c>
      <c r="B2640">
        <f>Skills!B9</f>
        <v/>
      </c>
      <c r="C2640">
        <f>Inputs!$B$3&gt;=110</f>
        <v/>
      </c>
      <c r="D2640">
        <f>IF(Skills!C9=1,60+Inputs!$B$25+Inputs!$B$29,IF(Skills!C9=2,90+Inputs!$B$26+Inputs!$B$29,IF(Skills!C9=3,120+Inputs!$B$27+Inputs!$B$29,MAX(0,(Inputs!$B$3-100)*3)+Inputs!$B$28+Inputs!$B$29)))</f>
        <v/>
      </c>
      <c r="E2640">
        <f>INDEX(FactorTable!$B$2:$Y$301, MATCH(ROUND(MIN(300,MAX(1,D2640)),0), FactorTable!$A$2:$A$301,0), Skills!M9+1)</f>
        <v/>
      </c>
      <c r="F2640">
        <f>IF(Skills!N9=TRUE,(Skills!L9/10)*(E2640/1000),Skills!L9/10)+Skills!O9</f>
        <v/>
      </c>
      <c r="G2640">
        <f>Skills!G9*IF(Skills!H9&gt;0,Skills!I9/Skills!H9,1)</f>
        <v/>
      </c>
      <c r="H2640">
        <f>1-(1-Skills!J9/100)^Skills!K9</f>
        <v/>
      </c>
      <c r="I2640" t="inlineStr">
        <is>
          <t>1</t>
        </is>
      </c>
      <c r="J2640">
        <f>((Inputs!$B$6*(1+Inputs!$B$7/100))+(((Inputs!$B$12*(1+Inputs!$B$13/100))-(Inputs!$B$12*(1+Inputs!$B$13/100)))+0.25*(Inputs!$B$14-Inputs!$B$14))*(1+Inputs!$B$7/100))*(F2640/100)</f>
        <v/>
      </c>
      <c r="K2640">
        <f>J2640*(1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2640)</f>
        <v/>
      </c>
      <c r="L2640">
        <f>K2640*(MIN(Inputs!$B$22+((C2651=TRUE)*(F2651-Calc!F20)),(Inputs!$B$23+0+(IF(ArtifactsInput!$M$15,CHOOSE(ArtifactsInput!$N$15+1,25,30,35,40,45,50)/100*(Inputs!$B$11-Inputs!$B$11),0))))/100+(Inputs!$B$23+0+(IF(ArtifactsInput!$M$15,CHOOSE(ArtifactsInput!$N$15+1,25,30,35,40,45,50)/100*(Inputs!$B$11-Inputs!$B$11),0)))/100)/2</f>
        <v/>
      </c>
      <c r="M2640">
        <f>L2640*(1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0">
        <f>L2640*(1-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2640*(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0">
        <f>(1-Summary!$B$11)*T2640+Summary!$B$11*V2640</f>
        <v/>
      </c>
      <c r="P2640">
        <f>IF(B2666=0,0,O2640/B2666)</f>
        <v/>
      </c>
      <c r="Q2640">
        <f>IFERROR(1/(IF(Inputs!$B$38="pvp",15,MAX(0.1,Skills!D9-IF(Skills!E9=TRUE,3.0,0)))*(1-IF(AND(ArtifactsInput!$M$27,Inputs!$B$4="Chapter Hunt"),CHOOSE(ArtifactsInput!$N$27+1,20,24,28,32,36,40),0)/100)),0)</f>
        <v/>
      </c>
      <c r="R2640">
        <f>IF(AND(Inputs!$B$38&lt;&gt;"pvp",Inputs!$B$43&gt;0),IF(MAX(0,Inputs!$B$43-B2663)&lt;=0,0,(INT(MAX(0,Inputs!$B$43-B2663)/(IF(Inputs!$B$38="pvp",15,MAX(0.1,Skills!D9-IF(Skills!E9=TRUE,3.0,0)))*(1-IF(AND(ArtifactsInput!$M$27,Inputs!$B$4="Chapter Hunt"),CHOOSE(ArtifactsInput!$N$27+1,20,24,28,32,36,40),0)/100)))+1)),0)</f>
        <v/>
      </c>
      <c r="S2640">
        <f>IFERROR(O2640/N2640,0)</f>
        <v/>
      </c>
      <c r="T2640">
        <f>IF(C2640,(H2640*N2640*IF(AND(Inputs!$B$38&lt;&gt;"pvp",Inputs!$B$43&gt;0),((Skills!G9*((R2640-1)*IF(Skills!H9&gt;0,Skills!I9/Skills!H9,1)+IF(Skills!H9&gt;0,MIN(Skills!I9,MAX(0,MAX(0,Inputs!$B$43-B2663)-((R2640-1)*(IF(Inputs!$B$38="pvp",15,MAX(0.1,Skills!D9-IF(Skills!E9=TRUE,3.0,0)))*(1-IF(AND(ArtifactsInput!$M$27,Inputs!$B$4="Chapter Hunt"),CHOOSE(ArtifactsInput!$N$27+1,20,24,28,32,36,40),0)/100)))))/Skills!H9,1)))/Inputs!$B$43),G2640*Q2640)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2640*(1-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2640*(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2640*(1-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2640*(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0">
        <f>IF(C2640,(H2640*N2640*IF(AND(Inputs!$B$38&lt;&gt;"pvp",Inputs!$B$43&gt;0),((Skills!G9*((R2640-1)*IF(Skills!H9&gt;0,Skills!I9/Skills!H9,1)+IF(Skills!H9&gt;0,MIN(Skills!I9,MAX(0,MAX(0,Inputs!$B$43-B2663)-((R2640-1)*(IF(Inputs!$B$38="pvp",15,MAX(0.1,Skills!D9-IF(Skills!E9=TRUE,3.0,0)))*(1-IF(AND(ArtifactsInput!$M$27,Inputs!$B$4="Chapter Hunt"),CHOOSE(ArtifactsInput!$N$27+1,20,24,28,32,36,40),0)/100)))))/Skills!H9,1)))/Inputs!$B$43),G2640*Q2640))*IF(Inputs!$B$38="pvp",1,(1+(Inputs!$B$21+Skills!Q9+(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1">
      <c r="A2641">
        <f>Skills!A10</f>
        <v/>
      </c>
      <c r="B2641">
        <f>Skills!B10</f>
        <v/>
      </c>
      <c r="C2641">
        <f>Inputs!$B$3&gt;=103</f>
        <v/>
      </c>
      <c r="D2641">
        <f>IF(Skills!C10=1,60+Inputs!$B$25+Inputs!$B$29,IF(Skills!C10=2,90+Inputs!$B$26+Inputs!$B$29,IF(Skills!C10=3,120+Inputs!$B$27+Inputs!$B$29,MAX(0,(Inputs!$B$3-100)*3)+Inputs!$B$28+Inputs!$B$29)))</f>
        <v/>
      </c>
      <c r="E2641">
        <f>INDEX(FactorTable!$B$2:$Y$301, MATCH(ROUND(MIN(300,MAX(1,D2641)),0), FactorTable!$A$2:$A$301,0), Skills!M10+1)</f>
        <v/>
      </c>
      <c r="F2641">
        <f>IF(Skills!N10=TRUE,(Skills!L10/10)*(E2641/1000),Skills!L10/10)+Skills!O10</f>
        <v/>
      </c>
      <c r="G2641">
        <f>Skills!G10*IF(Skills!H10&gt;0,Skills!I10/Skills!H10,1)</f>
        <v/>
      </c>
      <c r="H2641">
        <f>1-(1-Skills!J10/100)^Skills!K10</f>
        <v/>
      </c>
      <c r="I2641" t="inlineStr">
        <is>
          <t>1</t>
        </is>
      </c>
      <c r="J2641">
        <f>((Inputs!$B$6*(1+Inputs!$B$7/100))+(((Inputs!$B$12*(1+Inputs!$B$13/100))-(Inputs!$B$12*(1+Inputs!$B$13/100)))+0.25*(Inputs!$B$14-Inputs!$B$14))*(1+Inputs!$B$7/100))*(F2641/100)</f>
        <v/>
      </c>
      <c r="K2641">
        <f>J2641*(1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2641)</f>
        <v/>
      </c>
      <c r="L2641">
        <f>K2641*(MIN(Inputs!$B$22+((C2651=TRUE)*(F2651-Calc!F20)),(Inputs!$B$23+0+(IF(ArtifactsInput!$M$15,CHOOSE(ArtifactsInput!$N$15+1,25,30,35,40,45,50)/100*(Inputs!$B$11-Inputs!$B$11),0))))/100+(Inputs!$B$23+0+(IF(ArtifactsInput!$M$15,CHOOSE(ArtifactsInput!$N$15+1,25,30,35,40,45,50)/100*(Inputs!$B$11-Inputs!$B$11),0)))/100)/2</f>
        <v/>
      </c>
      <c r="M2641">
        <f>L2641*(1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IF(B2666=0,0,O2641/B2666)</f>
        <v/>
      </c>
      <c r="Q2641">
        <f>IFERROR(1/(IF(Inputs!$B$38="pvp",15,MAX(0.1,Skills!D10-IF(Skills!E10=TRUE,3.0,0)))*(1-IF(AND(ArtifactsInput!$M$27,Inputs!$B$4="Chapter Hunt"),CHOOSE(ArtifactsInput!$N$27+1,20,24,28,32,36,40),0)/100)),0)</f>
        <v/>
      </c>
      <c r="R2641">
        <f>IF(AND(Inputs!$B$38&lt;&gt;"pvp",Inputs!$B$43&gt;0),IF(MAX(0,Inputs!$B$43-B2663)&lt;=0,0,(INT(MAX(0,Inputs!$B$43-B2663)/(IF(Inputs!$B$38="pvp",15,MAX(0.1,Skills!D10-IF(Skills!E10=TRUE,3.0,0)))*(1-IF(AND(ArtifactsInput!$M$27,Inputs!$B$4="Chapter Hunt"),CHOOSE(ArtifactsInput!$N$27+1,20,24,28,32,36,40),0)/100)))+1)),0)</f>
        <v/>
      </c>
      <c r="S2641">
        <f>IFERROR(O2641/N2641,0)</f>
        <v/>
      </c>
      <c r="T2641">
        <f>IF(C2641,(H2641*N2641*IF(AND(Inputs!$B$38&lt;&gt;"pvp",Inputs!$B$43&gt;0),((Skills!G10*((R2641-1)*IF(Skills!H10&gt;0,Skills!I10/Skills!H10,1)+IF(Skills!H10&gt;0,MIN(Skills!I10,MAX(0,MAX(0,Inputs!$B$43-B2663)-((R2641-1)*(IF(Inputs!$B$38="pvp",15,MAX(0.1,Skills!D10-IF(Skills!E10=TRUE,3.0,0)))*(1-IF(AND(ArtifactsInput!$M$27,Inputs!$B$4="Chapter Hunt"),CHOOSE(ArtifactsInput!$N$27+1,20,24,28,32,36,40),0)/100)))))/Skills!H10,1)))/Inputs!$B$43),G2641*Q2641)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10*((R2641-1)*IF(Skills!H10&gt;0,Skills!I10/Skills!H10,1)+IF(Skills!H10&gt;0,MIN(Skills!I10,MAX(0,MAX(0,Inputs!$B$43-B2663)-((R2641-1)*(IF(Inputs!$B$38="pvp",15,MAX(0.1,Skills!D10-IF(Skills!E10=TRUE,3.0,0)))*(1-IF(AND(ArtifactsInput!$M$27,Inputs!$B$4="Chapter Hunt"),CHOOSE(ArtifactsInput!$N$27+1,20,24,28,32,36,40),0)/100)))))/Skills!H10,1)))/Inputs!$B$43),G2641*Q2641))*IF(Inputs!$B$38="pvp",1,(1+(Inputs!$B$21+Skills!Q10+(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Skills!A11</f>
        <v/>
      </c>
      <c r="B2642">
        <f>Skills!B11</f>
        <v/>
      </c>
      <c r="C2642">
        <f>Inputs!$B$3&gt;=113</f>
        <v/>
      </c>
      <c r="D2642">
        <f>IF(Skills!C11=1,60+Inputs!$B$25+Inputs!$B$29,IF(Skills!C11=2,90+Inputs!$B$26+Inputs!$B$29,IF(Skills!C11=3,120+Inputs!$B$27+Inputs!$B$29,MAX(0,(Inputs!$B$3-100)*3)+Inputs!$B$28+Inputs!$B$29)))</f>
        <v/>
      </c>
      <c r="E2642">
        <f>INDEX(FactorTable!$B$2:$Y$301, MATCH(ROUND(MIN(300,MAX(1,D2642)),0), FactorTable!$A$2:$A$301,0), Skills!M11+1)</f>
        <v/>
      </c>
      <c r="F2642">
        <f>IF(Skills!N11=TRUE,(Skills!L11/10)*(E2642/1000),Skills!L11/10)+Skills!O11</f>
        <v/>
      </c>
      <c r="G2642">
        <f>Skills!G11*IF(Skills!H11&gt;0,Skills!I11/Skills!H11,1)</f>
        <v/>
      </c>
      <c r="H2642">
        <f>1-(1-Skills!J11/100)^Skills!K11</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2642)</f>
        <v/>
      </c>
      <c r="L2642">
        <f>K2642*(MIN(Inputs!$B$22+((C2651=TRUE)*(F2651-Calc!F20)),(Inputs!$B$23+0+(IF(ArtifactsInput!$M$15,CHOOSE(ArtifactsInput!$N$15+1,25,30,35,40,45,50)/100*(Inputs!$B$11-Inputs!$B$11),0))))/100+(Inputs!$B$23+0+(IF(ArtifactsInput!$M$15,CHOOSE(ArtifactsInput!$N$15+1,25,30,35,40,45,50)/100*(Inputs!$B$11-Inputs!$B$11),0)))/100)/2</f>
        <v/>
      </c>
      <c r="M2642">
        <f>L2642*(1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IF(B2666=0,0,O2642/B2666)</f>
        <v/>
      </c>
      <c r="Q2642">
        <f>IFERROR(1/(IF(Inputs!$B$38="pvp",15,MAX(0.1,Skills!D11-IF(Skills!E11=TRUE,3.0,0)))*(1-IF(AND(ArtifactsInput!$M$27,Inputs!$B$4="Chapter Hunt"),CHOOSE(ArtifactsInput!$N$27+1,20,24,28,32,36,40),0)/100)),0)</f>
        <v/>
      </c>
      <c r="R2642">
        <f>IF(AND(Inputs!$B$38&lt;&gt;"pvp",Inputs!$B$43&gt;0),IF(MAX(0,Inputs!$B$43-B2663)&lt;=0,0,(INT(MAX(0,Inputs!$B$43-B2663)/(IF(Inputs!$B$38="pvp",15,MAX(0.1,Skills!D11-IF(Skills!E11=TRUE,3.0,0)))*(1-IF(AND(ArtifactsInput!$M$27,Inputs!$B$4="Chapter Hunt"),CHOOSE(ArtifactsInput!$N$27+1,20,24,28,32,36,40),0)/100)))+1)),0)</f>
        <v/>
      </c>
      <c r="S2642">
        <f>IFERROR(O2642/N2642,0)</f>
        <v/>
      </c>
      <c r="T2642">
        <f>IF(C2642,(H2642*N2642*IF(AND(Inputs!$B$38&lt;&gt;"pvp",Inputs!$B$43&gt;0),((Skills!G11*((R2642-1)*IF(Skills!H11&gt;0,Skills!I11/Skills!H11,1)+IF(Skills!H11&gt;0,MIN(Skills!I11,MAX(0,MAX(0,Inputs!$B$43-B2663)-((R2642-1)*(IF(Inputs!$B$38="pvp",15,MAX(0.1,Skills!D11-IF(Skills!E11=TRUE,3.0,0)))*(1-IF(AND(ArtifactsInput!$M$27,Inputs!$B$4="Chapter Hunt"),CHOOSE(ArtifactsInput!$N$27+1,20,24,28,32,36,40),0)/100)))))/Skills!H11,1)))/Inputs!$B$43),G2642*Q2642)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11*((R2642-1)*IF(Skills!H11&gt;0,Skills!I11/Skills!H11,1)+IF(Skills!H11&gt;0,MIN(Skills!I11,MAX(0,MAX(0,Inputs!$B$43-B2663)-((R2642-1)*(IF(Inputs!$B$38="pvp",15,MAX(0.1,Skills!D11-IF(Skills!E11=TRUE,3.0,0)))*(1-IF(AND(ArtifactsInput!$M$27,Inputs!$B$4="Chapter Hunt"),CHOOSE(ArtifactsInput!$N$27+1,20,24,28,32,36,40),0)/100)))))/Skills!H11,1)))/Inputs!$B$43),G2642*Q2642))*IF(Inputs!$B$38="pvp",1,(1+(Inputs!$B$21+Skills!Q11+(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Skills!A12</f>
        <v/>
      </c>
      <c r="B2643">
        <f>Skills!B12</f>
        <v/>
      </c>
      <c r="C2643">
        <f>Inputs!$B$3&gt;=100</f>
        <v/>
      </c>
      <c r="D2643">
        <f>IF(Skills!C12=1,60+Inputs!$B$25+Inputs!$B$29,IF(Skills!C12=2,90+Inputs!$B$26+Inputs!$B$29,IF(Skills!C12=3,120+Inputs!$B$27+Inputs!$B$29,MAX(0,(Inputs!$B$3-100)*3)+Inputs!$B$28+Inputs!$B$29)))</f>
        <v/>
      </c>
      <c r="E2643">
        <f>INDEX(FactorTable!$B$2:$Y$301, MATCH(ROUND(MIN(300,MAX(1,D2643)),0), FactorTable!$A$2:$A$301,0), Skills!M12+1)</f>
        <v/>
      </c>
      <c r="F2643">
        <f>IF(Skills!N12=TRUE,(Skills!L12/10)*(E2643/1000),Skills!L12/10)+Skills!O12</f>
        <v/>
      </c>
      <c r="G2643" t="inlineStr"/>
      <c r="H2643" t="inlineStr"/>
      <c r="I2643" t="inlineStr">
        <is>
          <t>1</t>
        </is>
      </c>
      <c r="J2643" t="inlineStr"/>
      <c r="K2643" t="inlineStr"/>
      <c r="L2643" t="inlineStr"/>
      <c r="M2643" t="inlineStr"/>
      <c r="N2643" t="inlineStr"/>
      <c r="O2643" t="inlineStr"/>
      <c r="P2643" t="inlineStr"/>
      <c r="Q2643" t="inlineStr"/>
      <c r="R2643" t="inlineStr"/>
      <c r="S2643" t="inlineStr"/>
      <c r="T2643" t="inlineStr"/>
      <c r="V2643" t="inlineStr"/>
    </row>
    <row r="2644">
      <c r="A2644">
        <f>Skills!A13</f>
        <v/>
      </c>
      <c r="B2644">
        <f>Skills!B13</f>
        <v/>
      </c>
      <c r="C2644">
        <f>Inputs!$B$3&gt;=66</f>
        <v/>
      </c>
      <c r="D2644">
        <f>IF(Skills!C13=1,60+Inputs!$B$25+Inputs!$B$29,IF(Skills!C13=2,90+Inputs!$B$26+Inputs!$B$29,IF(Skills!C13=3,120+Inputs!$B$27+Inputs!$B$29,MAX(0,(Inputs!$B$3-100)*3)+Inputs!$B$28+Inputs!$B$29)))</f>
        <v/>
      </c>
      <c r="E2644">
        <f>INDEX(FactorTable!$B$2:$Y$301, MATCH(ROUND(MIN(300,MAX(1,D2644)),0), FactorTable!$A$2:$A$301,0), Skills!M13+1)</f>
        <v/>
      </c>
      <c r="F2644">
        <f>IF(Skills!N13=TRUE,(Skills!L13/10)*(E2644/1000),Skills!L13/10)+Skills!O13</f>
        <v/>
      </c>
      <c r="G2644">
        <f>Skills!G13*IF(Skills!H13&gt;0,Skills!I13/Skills!H13,1)</f>
        <v/>
      </c>
      <c r="H2644">
        <f>1-(1-Skills!J13/100)^Skills!K13</f>
        <v/>
      </c>
      <c r="I2644" t="inlineStr">
        <is>
          <t>1</t>
        </is>
      </c>
      <c r="J2644" t="inlineStr"/>
      <c r="K2644" t="inlineStr"/>
      <c r="L2644" t="inlineStr"/>
      <c r="M2644" t="inlineStr"/>
      <c r="N2644" t="inlineStr"/>
      <c r="O2644">
        <f>(1-Summary!$B$11)*T2644+Summary!$B$11*V2644</f>
        <v/>
      </c>
      <c r="P2644">
        <f>IF(B2666=0,0,O2644/B2666)</f>
        <v/>
      </c>
      <c r="Q2644" t="n">
        <v>0</v>
      </c>
      <c r="R2644" t="n">
        <v>0</v>
      </c>
      <c r="S2644">
        <f>IFERROR(O2644/N2644,0)</f>
        <v/>
      </c>
      <c r="T2644" t="n">
        <v>0</v>
      </c>
      <c r="V2644" t="n">
        <v>0</v>
      </c>
    </row>
    <row r="2645">
      <c r="A2645">
        <f>Skills!A14</f>
        <v/>
      </c>
      <c r="B2645">
        <f>Skills!B14</f>
        <v/>
      </c>
      <c r="C2645">
        <f>Inputs!$B$3&gt;=107</f>
        <v/>
      </c>
      <c r="D2645">
        <f>IF(Skills!C14=1,60+Inputs!$B$25+Inputs!$B$29,IF(Skills!C14=2,90+Inputs!$B$26+Inputs!$B$29,IF(Skills!C14=3,120+Inputs!$B$27+Inputs!$B$29,MAX(0,(Inputs!$B$3-100)*3)+Inputs!$B$28+Inputs!$B$29)))</f>
        <v/>
      </c>
      <c r="E2645">
        <f>INDEX(FactorTable!$B$2:$Y$301, MATCH(ROUND(MIN(300,MAX(1,D2645)),0), FactorTable!$A$2:$A$301,0), Skills!M14+1)</f>
        <v/>
      </c>
      <c r="F2645">
        <f>IF(Skills!N14=TRUE,(Skills!L14/10)*(E2645/1000),Skills!L14/10)+Skills!O14</f>
        <v/>
      </c>
      <c r="G2645">
        <f>Skills!G14*IF(Skills!H14&gt;0,Skills!I14/Skills!H14,1)</f>
        <v/>
      </c>
      <c r="H2645">
        <f>1-(1-Skills!J14/100)^Skills!K14</f>
        <v/>
      </c>
      <c r="I2645" t="inlineStr">
        <is>
          <t>1</t>
        </is>
      </c>
      <c r="J2645" t="inlineStr"/>
      <c r="K2645" t="inlineStr"/>
      <c r="L2645" t="inlineStr"/>
      <c r="M2645" t="inlineStr"/>
      <c r="N2645" t="inlineStr"/>
      <c r="O2645">
        <f>(1-Summary!$B$11)*T2645+Summary!$B$11*V2645</f>
        <v/>
      </c>
      <c r="P2645">
        <f>IF(B2666=0,0,O2645/B2666)</f>
        <v/>
      </c>
      <c r="Q2645" t="n">
        <v>0</v>
      </c>
      <c r="R2645" t="n">
        <v>0</v>
      </c>
      <c r="S2645">
        <f>IFERROR(O2645/N2645,0)</f>
        <v/>
      </c>
      <c r="T2645" t="n">
        <v>0</v>
      </c>
      <c r="V2645" t="n">
        <v>0</v>
      </c>
    </row>
    <row r="2646">
      <c r="A2646">
        <f>Skills!A15</f>
        <v/>
      </c>
      <c r="B2646">
        <f>Skills!B15</f>
        <v/>
      </c>
      <c r="C2646">
        <f>Inputs!$B$3&gt;=115</f>
        <v/>
      </c>
      <c r="D2646">
        <f>IF(Skills!C15=1,60+Inputs!$B$25+Inputs!$B$29,IF(Skills!C15=2,90+Inputs!$B$26+Inputs!$B$29,IF(Skills!C15=3,120+Inputs!$B$27+Inputs!$B$29,MAX(0,(Inputs!$B$3-100)*3)+Inputs!$B$28+Inputs!$B$29)))</f>
        <v/>
      </c>
      <c r="E2646">
        <f>INDEX(FactorTable!$B$2:$Y$301, MATCH(ROUND(MIN(300,MAX(1,D2646)),0), FactorTable!$A$2:$A$301,0), Skills!M15+1)</f>
        <v/>
      </c>
      <c r="F2646">
        <f>IF(Skills!N15=TRUE,(Skills!L15/10)*(E2646/1000),Skills!L15/10)+Skills!O15</f>
        <v/>
      </c>
      <c r="G2646">
        <f>Skills!G15*IF(Skills!H15&gt;0,Skills!I15/Skills!H15,1)</f>
        <v/>
      </c>
      <c r="H2646">
        <f>1-(1-Skills!J15/100)^Skills!K15</f>
        <v/>
      </c>
      <c r="I2646" t="inlineStr">
        <is>
          <t>1</t>
        </is>
      </c>
      <c r="J2646" t="inlineStr"/>
      <c r="K2646" t="inlineStr"/>
      <c r="L2646" t="inlineStr"/>
      <c r="M2646" t="inlineStr"/>
      <c r="N2646" t="inlineStr"/>
      <c r="O2646">
        <f>(1-Summary!$B$11)*T2646+Summary!$B$11*V2646</f>
        <v/>
      </c>
      <c r="P2646">
        <f>IF(B2666=0,0,O2646/B2666)</f>
        <v/>
      </c>
      <c r="Q2646" t="n">
        <v>0</v>
      </c>
      <c r="R2646" t="n">
        <v>0</v>
      </c>
      <c r="S2646">
        <f>IFERROR(O2646/N2646,0)</f>
        <v/>
      </c>
      <c r="T2646" t="n">
        <v>0</v>
      </c>
      <c r="V2646" t="n">
        <v>0</v>
      </c>
    </row>
    <row r="2647">
      <c r="A2647">
        <f>Skills!A16</f>
        <v/>
      </c>
      <c r="B2647">
        <f>Skills!B16</f>
        <v/>
      </c>
      <c r="C2647">
        <f>Inputs!$B$3&gt;=15</f>
        <v/>
      </c>
      <c r="D2647">
        <f>IF(Skills!C16=1,60+Inputs!$B$25+Inputs!$B$29,IF(Skills!C16=2,90+Inputs!$B$26+Inputs!$B$29,IF(Skills!C16=3,120+Inputs!$B$27+Inputs!$B$29,MAX(0,(Inputs!$B$3-100)*3)+Inputs!$B$28+Inputs!$B$29)))</f>
        <v/>
      </c>
      <c r="E2647">
        <f>INDEX(FactorTable!$B$2:$Y$301, MATCH(ROUND(MIN(300,MAX(1,D2647)),0), FactorTable!$A$2:$A$301,0), Skills!M16+1)</f>
        <v/>
      </c>
      <c r="F2647">
        <f>IF(Skills!N16=TRUE,(Skills!L16/10)*(E2647/1000),Skills!L16/10)+Skills!O16</f>
        <v/>
      </c>
      <c r="G2647">
        <f>Skills!G16*IF(Skills!H16&gt;0,Skills!I16/Skills!H16,1)</f>
        <v/>
      </c>
      <c r="H2647">
        <f>1-(1-Skills!J16/100)^Skills!K16</f>
        <v/>
      </c>
      <c r="I2647" t="inlineStr">
        <is>
          <t>1</t>
        </is>
      </c>
      <c r="J2647" t="inlineStr"/>
      <c r="K2647" t="inlineStr"/>
      <c r="L2647" t="inlineStr"/>
      <c r="M2647" t="inlineStr"/>
      <c r="N2647" t="inlineStr"/>
      <c r="O2647">
        <f>(1-Summary!$B$11)*T2647+Summary!$B$11*V2647</f>
        <v/>
      </c>
      <c r="P2647">
        <f>IF(B2666=0,0,O2647/B2666)</f>
        <v/>
      </c>
      <c r="Q2647" t="n">
        <v>0</v>
      </c>
      <c r="R2647" t="n">
        <v>0</v>
      </c>
      <c r="S2647">
        <f>IFERROR(O2647/N2647,0)</f>
        <v/>
      </c>
      <c r="T2647" t="n">
        <v>0</v>
      </c>
      <c r="V2647" t="n">
        <v>0</v>
      </c>
    </row>
    <row r="2648">
      <c r="A2648">
        <f>Skills!A17</f>
        <v/>
      </c>
      <c r="B2648">
        <f>Skills!B17</f>
        <v/>
      </c>
      <c r="C2648">
        <f>Inputs!$B$3&gt;=10</f>
        <v/>
      </c>
      <c r="D2648">
        <f>IF(Skills!C17=1,60+Inputs!$B$25+Inputs!$B$29,IF(Skills!C17=2,90+Inputs!$B$26+Inputs!$B$29,IF(Skills!C17=3,120+Inputs!$B$27+Inputs!$B$29,MAX(0,(Inputs!$B$3-100)*3)+Inputs!$B$28+Inputs!$B$29)))</f>
        <v/>
      </c>
      <c r="E2648">
        <f>INDEX(FactorTable!$B$2:$Y$301, MATCH(ROUND(MIN(300,MAX(1,D2648)),0), FactorTable!$A$2:$A$301,0), Skills!M17+1)</f>
        <v/>
      </c>
      <c r="F2648">
        <f>IF(Skills!N17=TRUE,(Skills!L17/10)*(E2648/1000),Skills!L17/10)+Skills!O17</f>
        <v/>
      </c>
      <c r="G2648">
        <f>Skills!G17*IF(Skills!H17&gt;0,Skills!I17/Skills!H17,1)</f>
        <v/>
      </c>
      <c r="H2648">
        <f>1-(1-Skills!J17/100)^Skills!K17</f>
        <v/>
      </c>
      <c r="I2648" t="inlineStr">
        <is>
          <t>1</t>
        </is>
      </c>
      <c r="J2648" t="inlineStr"/>
      <c r="K2648" t="inlineStr"/>
      <c r="L2648" t="inlineStr"/>
      <c r="M2648" t="inlineStr"/>
      <c r="N2648" t="inlineStr"/>
      <c r="O2648">
        <f>(1-Summary!$B$11)*T2648+Summary!$B$11*V2648</f>
        <v/>
      </c>
      <c r="P2648">
        <f>IF(B2666=0,0,O2648/B2666)</f>
        <v/>
      </c>
      <c r="Q2648" t="n">
        <v>0</v>
      </c>
      <c r="R2648" t="n">
        <v>0</v>
      </c>
      <c r="S2648">
        <f>IFERROR(O2648/N2648,0)</f>
        <v/>
      </c>
      <c r="T2648" t="n">
        <v>0</v>
      </c>
      <c r="V2648" t="n">
        <v>0</v>
      </c>
    </row>
    <row r="2649">
      <c r="A2649">
        <f>Skills!A18</f>
        <v/>
      </c>
      <c r="B2649">
        <f>Skills!B18</f>
        <v/>
      </c>
      <c r="C2649">
        <f>Inputs!$B$3&gt;=33</f>
        <v/>
      </c>
      <c r="D2649">
        <f>IF(Skills!C18=1,60+Inputs!$B$25+Inputs!$B$29,IF(Skills!C18=2,90+Inputs!$B$26+Inputs!$B$29,IF(Skills!C18=3,120+Inputs!$B$27+Inputs!$B$29,MAX(0,(Inputs!$B$3-100)*3)+Inputs!$B$28+Inputs!$B$29)))</f>
        <v/>
      </c>
      <c r="E2649">
        <f>INDEX(FactorTable!$B$2:$Y$301, MATCH(ROUND(MIN(300,MAX(1,D2649)),0), FactorTable!$A$2:$A$301,0), Skills!M18+1)</f>
        <v/>
      </c>
      <c r="F2649">
        <f>IF(Skills!N18=TRUE,(Skills!L18/10)*(E2649/1000),Skills!L18/10)+Skills!O18</f>
        <v/>
      </c>
      <c r="G2649">
        <f>Skills!G18*IF(Skills!H18&gt;0,Skills!I18/Skills!H18,1)</f>
        <v/>
      </c>
      <c r="H2649">
        <f>1-(1-Skills!J18/100)^Skills!K18</f>
        <v/>
      </c>
      <c r="I2649" t="inlineStr">
        <is>
          <t>1</t>
        </is>
      </c>
      <c r="J2649" t="inlineStr"/>
      <c r="K2649" t="inlineStr"/>
      <c r="L2649" t="inlineStr"/>
      <c r="M2649" t="inlineStr"/>
      <c r="N2649" t="inlineStr"/>
      <c r="O2649">
        <f>(1-Summary!$B$11)*T2649+Summary!$B$11*V2649</f>
        <v/>
      </c>
      <c r="P2649">
        <f>IF(B2666=0,0,O2649/B2666)</f>
        <v/>
      </c>
      <c r="Q2649" t="n">
        <v>0</v>
      </c>
      <c r="R2649" t="n">
        <v>0</v>
      </c>
      <c r="S2649">
        <f>IFERROR(O2649/N2649,0)</f>
        <v/>
      </c>
      <c r="T2649" t="n">
        <v>0</v>
      </c>
      <c r="V2649" t="n">
        <v>0</v>
      </c>
    </row>
    <row r="2650">
      <c r="A2650">
        <f>Skills!A19</f>
        <v/>
      </c>
      <c r="B2650">
        <f>Skills!B19</f>
        <v/>
      </c>
      <c r="C2650">
        <f>Inputs!$B$3&gt;=40</f>
        <v/>
      </c>
      <c r="D2650">
        <f>IF(Skills!C19=1,60+Inputs!$B$25+Inputs!$B$29,IF(Skills!C19=2,90+Inputs!$B$26+Inputs!$B$29,IF(Skills!C19=3,120+Inputs!$B$27+Inputs!$B$29,MAX(0,(Inputs!$B$3-100)*3)+Inputs!$B$28+Inputs!$B$29)))</f>
        <v/>
      </c>
      <c r="E2650">
        <f>INDEX(FactorTable!$B$2:$Y$301, MATCH(ROUND(MIN(300,MAX(1,D2650)),0), FactorTable!$A$2:$A$301,0), Skills!M19+1)</f>
        <v/>
      </c>
      <c r="F2650">
        <f>IF(Skills!N19=TRUE,(Skills!L19/10)*(E2650/1000),Skills!L19/10)+Skills!O19</f>
        <v/>
      </c>
      <c r="G2650">
        <f>Skills!G19*IF(Skills!H19&gt;0,Skills!I19/Skills!H19,1)</f>
        <v/>
      </c>
      <c r="H2650">
        <f>1-(1-Skills!J19/100)^Skills!K19</f>
        <v/>
      </c>
      <c r="I2650" t="inlineStr">
        <is>
          <t>1</t>
        </is>
      </c>
      <c r="J2650" t="inlineStr"/>
      <c r="K2650" t="inlineStr"/>
      <c r="L2650" t="inlineStr"/>
      <c r="M2650" t="inlineStr"/>
      <c r="N2650" t="inlineStr"/>
      <c r="O2650">
        <f>(1-Summary!$B$11)*T2650+Summary!$B$11*V2650</f>
        <v/>
      </c>
      <c r="P2650">
        <f>IF(B2666=0,0,O2650/B2666)</f>
        <v/>
      </c>
      <c r="Q2650" t="n">
        <v>0</v>
      </c>
      <c r="R2650" t="n">
        <v>0</v>
      </c>
      <c r="S2650">
        <f>IFERROR(O2650/N2650,0)</f>
        <v/>
      </c>
      <c r="T2650" t="n">
        <v>0</v>
      </c>
      <c r="V2650" t="n">
        <v>0</v>
      </c>
    </row>
    <row r="2651">
      <c r="A2651">
        <f>Skills!A20</f>
        <v/>
      </c>
      <c r="B2651">
        <f>Skills!B20</f>
        <v/>
      </c>
      <c r="C2651">
        <f>Inputs!$B$3&gt;=43</f>
        <v/>
      </c>
      <c r="D2651">
        <f>IF(Skills!C20=1,60+Inputs!$B$25+Inputs!$B$29,IF(Skills!C20=2,90+Inputs!$B$26+Inputs!$B$29,IF(Skills!C20=3,120+Inputs!$B$27+Inputs!$B$29,MAX(0,(Inputs!$B$3-100)*3)+Inputs!$B$28+Inputs!$B$29)))</f>
        <v/>
      </c>
      <c r="E2651">
        <f>INDEX(FactorTable!$B$2:$Y$301, MATCH(ROUND(MIN(300,MAX(1,D2651)),0), FactorTable!$A$2:$A$301,0), Skills!M20+1)</f>
        <v/>
      </c>
      <c r="F2651">
        <f>IF(Skills!N20=TRUE,(Skills!L20/10)*(E2651/1000),Skills!L20/10)+Skills!O20</f>
        <v/>
      </c>
      <c r="G2651">
        <f>Skills!G20*IF(Skills!H20&gt;0,Skills!I20/Skills!H20,1)</f>
        <v/>
      </c>
      <c r="H2651">
        <f>1-(1-Skills!J20/100)^Skills!K20</f>
        <v/>
      </c>
      <c r="I2651" t="inlineStr">
        <is>
          <t>1</t>
        </is>
      </c>
      <c r="J2651" t="inlineStr"/>
      <c r="K2651" t="inlineStr"/>
      <c r="L2651" t="inlineStr"/>
      <c r="M2651" t="inlineStr"/>
      <c r="N2651" t="inlineStr"/>
      <c r="O2651">
        <f>(1-Summary!$B$11)*T2651+Summary!$B$11*V2651</f>
        <v/>
      </c>
      <c r="P2651">
        <f>IF(B2666=0,0,O2651/B2666)</f>
        <v/>
      </c>
      <c r="Q2651" t="n">
        <v>0</v>
      </c>
      <c r="R2651" t="n">
        <v>0</v>
      </c>
      <c r="S2651">
        <f>IFERROR(O2651/N2651,0)</f>
        <v/>
      </c>
      <c r="T2651" t="n">
        <v>0</v>
      </c>
      <c r="V2651" t="n">
        <v>0</v>
      </c>
    </row>
    <row r="2652">
      <c r="A2652">
        <f>Skills!A21</f>
        <v/>
      </c>
      <c r="B2652">
        <f>Skills!B21</f>
        <v/>
      </c>
      <c r="C2652">
        <f>Inputs!$B$3&gt;=38</f>
        <v/>
      </c>
      <c r="D2652">
        <f>IF(Skills!C21=1,60+Inputs!$B$25+Inputs!$B$29,IF(Skills!C21=2,90+Inputs!$B$26+Inputs!$B$29,IF(Skills!C21=3,120+Inputs!$B$27+Inputs!$B$29,MAX(0,(Inputs!$B$3-100)*3)+Inputs!$B$28+Inputs!$B$29)))</f>
        <v/>
      </c>
      <c r="E2652">
        <f>INDEX(FactorTable!$B$2:$Y$301, MATCH(ROUND(MIN(300,MAX(1,D2652)),0), FactorTable!$A$2:$A$301,0), Skills!M21+1)</f>
        <v/>
      </c>
      <c r="F2652">
        <f>IF(Skills!N21=TRUE,(Skills!L21/10)*(E2652/1000),Skills!L21/10)+Skills!O21</f>
        <v/>
      </c>
      <c r="G2652">
        <f>Skills!G21*IF(Skills!H21&gt;0,Skills!I21/Skills!H21,1)</f>
        <v/>
      </c>
      <c r="H2652">
        <f>1-(1-Skills!J21/100)^Skills!K21</f>
        <v/>
      </c>
      <c r="I2652" t="inlineStr">
        <is>
          <t>1</t>
        </is>
      </c>
      <c r="J2652" t="inlineStr"/>
      <c r="K2652" t="inlineStr"/>
      <c r="L2652" t="inlineStr"/>
      <c r="M2652" t="inlineStr"/>
      <c r="N2652" t="inlineStr"/>
      <c r="O2652">
        <f>(1-Summary!$B$11)*T2652+Summary!$B$11*V2652</f>
        <v/>
      </c>
      <c r="P2652">
        <f>IF(B2666=0,0,O2652/B2666)</f>
        <v/>
      </c>
      <c r="Q2652" t="n">
        <v>0</v>
      </c>
      <c r="R2652" t="n">
        <v>0</v>
      </c>
      <c r="S2652">
        <f>IFERROR(O2652/N2652,0)</f>
        <v/>
      </c>
      <c r="T2652" t="n">
        <v>0</v>
      </c>
      <c r="V2652" t="n">
        <v>0</v>
      </c>
    </row>
    <row r="2653">
      <c r="A2653">
        <f>Skills!A22</f>
        <v/>
      </c>
      <c r="B2653">
        <f>Skills!B22</f>
        <v/>
      </c>
      <c r="C2653">
        <f>Inputs!$B$3&gt;=75</f>
        <v/>
      </c>
      <c r="D2653">
        <f>IF(Skills!C22=1,60+Inputs!$B$25+Inputs!$B$29,IF(Skills!C22=2,90+Inputs!$B$26+Inputs!$B$29,IF(Skills!C22=3,120+Inputs!$B$27+Inputs!$B$29,MAX(0,(Inputs!$B$3-100)*3)+Inputs!$B$28+Inputs!$B$29)))</f>
        <v/>
      </c>
      <c r="E2653">
        <f>INDEX(FactorTable!$B$2:$Y$301, MATCH(ROUND(MIN(300,MAX(1,D2653)),0), FactorTable!$A$2:$A$301,0), Skills!M22+1)</f>
        <v/>
      </c>
      <c r="F2653">
        <f>IF(Skills!N22=TRUE,(Skills!L22/10)*(E2653/1000),Skills!L22/10)+Skills!O22</f>
        <v/>
      </c>
      <c r="G2653">
        <f>Skills!G22*IF(Skills!H22&gt;0,Skills!I22/Skills!H22,1)</f>
        <v/>
      </c>
      <c r="H2653">
        <f>1-(1-Skills!J22/100)^Skills!K22</f>
        <v/>
      </c>
      <c r="I2653" t="inlineStr">
        <is>
          <t>1</t>
        </is>
      </c>
      <c r="J2653" t="inlineStr"/>
      <c r="K2653" t="inlineStr"/>
      <c r="L2653" t="inlineStr"/>
      <c r="M2653" t="inlineStr"/>
      <c r="N2653" t="inlineStr"/>
      <c r="O2653">
        <f>(1-Summary!$B$11)*T2653+Summary!$B$11*V2653</f>
        <v/>
      </c>
      <c r="P2653">
        <f>IF(B2666=0,0,O2653/B2666)</f>
        <v/>
      </c>
      <c r="Q2653" t="n">
        <v>0</v>
      </c>
      <c r="R2653" t="n">
        <v>0</v>
      </c>
      <c r="S2653">
        <f>IFERROR(O2653/N2653,0)</f>
        <v/>
      </c>
      <c r="T2653" t="n">
        <v>0</v>
      </c>
      <c r="V2653" t="n">
        <v>0</v>
      </c>
    </row>
    <row r="2655">
      <c r="A2655" t="inlineStr">
        <is>
          <t>Attack% Bucket Multiplier</t>
        </is>
      </c>
      <c r="B2655">
        <f>(1+(((C2644=TRUE)*F2644)+((C2650=TRUE)*(F2650-Calc!F19))+(IF(ArtifactsInput!$M$21,CHOOSE(ArtifactsInput!$N$21+1,25,30,35,40,45,50)*(IF(OR(Inputs!$B$4="Chapter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56">
      <c r="A2656" t="inlineStr">
        <is>
          <t>Global Crit Rate Bonus %</t>
        </is>
      </c>
      <c r="B2656" t="n">
        <v>0</v>
      </c>
    </row>
    <row r="2657">
      <c r="A2657" t="inlineStr">
        <is>
          <t>Attack Speed Buff Bonus % (unused)</t>
        </is>
      </c>
      <c r="B2657" t="n">
        <v>0</v>
      </c>
    </row>
    <row r="2658">
      <c r="A2658" t="inlineStr">
        <is>
          <t>Actions Per Second</t>
        </is>
      </c>
      <c r="B2658">
        <f>1+MIN(150,150*(1-(1-(Inputs!$B$11+((C2648=TRUE)*(F2648-Calc!F17))+((C2649=TRUE)*(F2649-Calc!F18)))/150)*(1-B2657/150)))/100</f>
        <v/>
      </c>
    </row>
    <row r="2659">
      <c r="A2659" t="inlineStr">
        <is>
          <t>Skill + Buff Cast Rate</t>
        </is>
      </c>
      <c r="B2659">
        <f>IF(AND(Inputs!$B$38&lt;&gt;"pvp",Inputs!$B$43&gt;0),SUMPRODUCT((Skills!E2:E22=TRUE)*(C2633:C2653=TRUE)*R2633:R2653*Skills!F2:F22)/Inputs!$B$43,SUMPRODUCT((Skills!E2:E22=TRUE)*(C2633:C2653=TRUE)*Q2633:Q2653*Skills!F2:F22))</f>
        <v/>
      </c>
    </row>
    <row r="2660">
      <c r="A2660" t="inlineStr">
        <is>
          <t>Hook Bomber Casts Per Second</t>
        </is>
      </c>
      <c r="B2660">
        <f>MAX(0,B2658-B2659)</f>
        <v/>
      </c>
    </row>
    <row r="2661">
      <c r="A2661" t="inlineStr">
        <is>
          <t>Global Critical Damage Bonus % (unused)</t>
        </is>
      </c>
      <c r="B2661" t="n">
        <v>0</v>
      </c>
    </row>
    <row r="2662">
      <c r="A2662" t="inlineStr">
        <is>
          <t>Global Final Damage Bonus % (Serpent Scale + Crossbones + Time Leap + Speed Infusion)</t>
        </is>
      </c>
      <c r="B2662">
        <f>((C2636=TRUE)*F2636*((10+IF(Inputs!$B$3&gt;=94,5,0))/((10+IF(Inputs!$B$3&gt;=94,5,0))+5/(B2660*(1+IF(Inputs!$B$3&gt;=104,1,0))))))+((C2645=TRUE)*F2645)+((C2646=TRUE)*F2646)+((Inputs!$B$3&gt;=110)*20*(B2658-1))</f>
        <v/>
      </c>
    </row>
    <row r="2663">
      <c r="A2663" t="inlineStr">
        <is>
          <t>Buff-Casting Startup Delay (s, fixed-duration only)</t>
        </is>
      </c>
      <c r="B2663">
        <f>IF(AND(Inputs!$B$38&lt;&gt;"pvp",Inputs!$B$43&gt;0),SUMPRODUCT((Skills!T2:T22&gt;0)*(Skills!E2:E22=TRUE)*(C2633:C2653=TRUE))/B2658,0)</f>
        <v/>
      </c>
    </row>
    <row r="2664">
      <c r="A2664" t="inlineStr">
        <is>
          <t>Boss-Only Total DPS (this block's swept value)</t>
        </is>
      </c>
      <c r="B2664">
        <f>SUM(T2633:T2653)</f>
        <v/>
      </c>
    </row>
    <row r="2665">
      <c r="A2665" t="inlineStr">
        <is>
          <t>Normal-Only Total DPS (this block's swept value)</t>
        </is>
      </c>
      <c r="B2665">
        <f>SUM(V2633:V2653)</f>
        <v/>
      </c>
    </row>
    <row r="2666">
      <c r="A2666" s="6" t="inlineStr">
        <is>
          <t>TOTAL DPS</t>
        </is>
      </c>
      <c r="B2666" s="6">
        <f>SUM(O2633:O2653)</f>
        <v/>
      </c>
    </row>
    <row r="2669">
      <c r="A2669" s="6" t="inlineStr">
        <is>
          <t>Stat: CDR = 3.5s</t>
        </is>
      </c>
    </row>
    <row r="2670">
      <c r="A2670" s="5" t="inlineStr">
        <is>
          <t>Key</t>
        </is>
      </c>
      <c r="B2670" s="5" t="inlineStr">
        <is>
          <t>Name</t>
        </is>
      </c>
      <c r="C2670" s="5" t="inlineStr">
        <is>
          <t>Unlocked</t>
        </is>
      </c>
      <c r="D2670" s="5" t="inlineStr">
        <is>
          <t>InputLevel</t>
        </is>
      </c>
      <c r="E2670" s="5" t="inlineStr">
        <is>
          <t>Factor</t>
        </is>
      </c>
      <c r="F2670" s="5" t="inlineStr">
        <is>
          <t>CoefficientPercent</t>
        </is>
      </c>
      <c r="G2670" s="5" t="inlineStr">
        <is>
          <t>EffectiveHits</t>
        </is>
      </c>
      <c r="H2670" s="5" t="inlineStr">
        <is>
          <t>ProcProbability</t>
        </is>
      </c>
      <c r="I2670" s="5" t="inlineStr">
        <is>
          <t>MapleHeroMultiplier</t>
        </is>
      </c>
      <c r="J2670" s="5" t="inlineStr">
        <is>
          <t>BaseDamage</t>
        </is>
      </c>
      <c r="K2670" s="5" t="inlineStr">
        <is>
          <t>BaseHitDamage</t>
        </is>
      </c>
      <c r="L2670" s="5" t="inlineStr">
        <is>
          <t>NonCritAvg</t>
        </is>
      </c>
      <c r="M2670" s="5" t="inlineStr">
        <is>
          <t>CritAvg</t>
        </is>
      </c>
      <c r="N2670" s="5" t="inlineStr">
        <is>
          <t>ExpectedDamage(perHit)</t>
        </is>
      </c>
      <c r="O2670" s="5" t="inlineStr">
        <is>
          <t>DPS</t>
        </is>
      </c>
      <c r="P2670" s="5" t="inlineStr">
        <is>
          <t>% of Total</t>
        </is>
      </c>
      <c r="Q2670" s="5" t="inlineStr">
        <is>
          <t>InvCooldown</t>
        </is>
      </c>
      <c r="R2670" s="5" t="inlineStr">
        <is>
          <t>CastsInFight</t>
        </is>
      </c>
      <c r="S2670" s="5" t="inlineStr">
        <is>
          <t>HitRate(perSec)</t>
        </is>
      </c>
      <c r="U2670" t="inlineStr">
        <is>
          <t>helpers</t>
        </is>
      </c>
    </row>
    <row r="2671">
      <c r="A2671">
        <f>Skills!A2</f>
        <v/>
      </c>
      <c r="B2671">
        <f>Skills!B2</f>
        <v/>
      </c>
      <c r="C2671">
        <f>Inputs!$B$3&gt;=100</f>
        <v/>
      </c>
      <c r="D2671" t="inlineStr"/>
      <c r="E2671" t="inlineStr"/>
      <c r="F2671">
        <f>U2673+Skills!O2</f>
        <v/>
      </c>
      <c r="G2671">
        <f>Skills!G2*IF(Skills!H2&gt;0,Skills!I2/Skills!H2,1)</f>
        <v/>
      </c>
      <c r="H2671">
        <f>1-(1-Skills!J2/100)^Skills!K2</f>
        <v/>
      </c>
      <c r="I2671" t="inlineStr">
        <is>
          <t>1</t>
        </is>
      </c>
      <c r="J2671">
        <f>((Inputs!$B$6*(1+Inputs!$B$7/100))+(((Inputs!$B$12*(1+Inputs!$B$13/100))-(Inputs!$B$12*(1+Inputs!$B$13/100)))+0.25*(Inputs!$B$14-Inputs!$B$14))*(1+Inputs!$B$7/100))*(F2671/100)</f>
        <v/>
      </c>
      <c r="K2671">
        <f>J2671*(1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
      </c>
      <c r="L2671">
        <f>K2671*(MIN(Inputs!$B$22+((C2689=TRUE)*(F2689-Calc!F20)),(Inputs!$B$23+0+(IF(ArtifactsInput!$M$15,CHOOSE(ArtifactsInput!$N$15+1,25,30,35,40,45,50)/100*(Inputs!$B$11-Inputs!$B$11),0))))/100+(Inputs!$B$23+0+(IF(ArtifactsInput!$M$15,CHOOSE(ArtifactsInput!$N$15+1,25,30,35,40,45,50)/100*(Inputs!$B$11-Inputs!$B$11),0)))/100)/2</f>
        <v/>
      </c>
      <c r="M2671">
        <f>L2671*(1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1">
        <f>L2671*(1-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1">
        <f>(1-Summary!$B$11)*T2671+Summary!$B$11*V2671</f>
        <v/>
      </c>
      <c r="P2671">
        <f>IF(B2704=0,0,O2671/B2704)</f>
        <v/>
      </c>
      <c r="Q2671" t="n">
        <v>0</v>
      </c>
      <c r="R2671" t="n">
        <v>0</v>
      </c>
      <c r="S2671">
        <f>IFERROR(O2671/N2671,0)</f>
        <v/>
      </c>
      <c r="T2671">
        <f>IF(C2671,(Skills!G2*N2671*B2698)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2671*(1-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1">
        <f>MAX(0,(Inputs!$B$3-100)*3)+Inputs!$B$28+Inputs!$B$29</f>
        <v/>
      </c>
      <c r="V2671">
        <f>IF(C2671,(Skills!G2*N2671*B2698)*IF(Inputs!$B$38="pvp",1,(1+(Inputs!$B$21+Skills!Q2+(IF(ArtifactsInput!$M$33,CHOOSE(ArtifactsInput!$N$33+1,30,36,42,48,54,60),0))+(IF(AND(ArtifactsInput!$M$35,Inputs!$B$4&lt;&gt;"Chapter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2">
      <c r="A2672">
        <f>Skills!A3</f>
        <v/>
      </c>
      <c r="B2672">
        <f>Skills!B3</f>
        <v/>
      </c>
      <c r="C2672">
        <f>Inputs!$B$3&gt;=35</f>
        <v/>
      </c>
      <c r="D2672">
        <f>IF(Skills!C3=1,60+Inputs!$B$25+Inputs!$B$29,IF(Skills!C3=2,90+Inputs!$B$26+Inputs!$B$29,IF(Skills!C3=3,120+Inputs!$B$27+Inputs!$B$29,MAX(0,(Inputs!$B$3-100)*3)+Inputs!$B$28+Inputs!$B$29)))</f>
        <v/>
      </c>
      <c r="E2672">
        <f>INDEX(FactorTable!$B$2:$Y$301, MATCH(ROUND(MIN(300,MAX(1,D2672)),0), FactorTable!$A$2:$A$301,0), Skills!M3+1)</f>
        <v/>
      </c>
      <c r="F2672">
        <f>IF(Skills!N3=TRUE,(Skills!L3/10)*(E2672/1000),Skills!L3/10)+Skills!O3</f>
        <v/>
      </c>
      <c r="G2672">
        <f>Skills!G3*IF(Skills!H3&gt;0,Skills!I3/Skills!H3,1)</f>
        <v/>
      </c>
      <c r="H2672">
        <f>1-(1-Skills!J3/100)^Skills!K3</f>
        <v/>
      </c>
      <c r="I2672" t="inlineStr">
        <is>
          <t>1</t>
        </is>
      </c>
      <c r="J2672">
        <f>((Inputs!$B$6*(1+Inputs!$B$7/100))+(((Inputs!$B$12*(1+Inputs!$B$13/100))-(Inputs!$B$12*(1+Inputs!$B$13/100)))+0.25*(Inputs!$B$14-Inputs!$B$14))*(1+Inputs!$B$7/100))*(F2672/100)</f>
        <v/>
      </c>
      <c r="K2672">
        <f>J2672*(1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2672)</f>
        <v/>
      </c>
      <c r="L2672">
        <f>K2672*(MIN(Inputs!$B$22+((C2689=TRUE)*(F2689-Calc!F20)),(Inputs!$B$23+0+(IF(ArtifactsInput!$M$15,CHOOSE(ArtifactsInput!$N$15+1,25,30,35,40,45,50)/100*(Inputs!$B$11-Inputs!$B$11),0))))/100+(Inputs!$B$23+0+(IF(ArtifactsInput!$M$15,CHOOSE(ArtifactsInput!$N$15+1,25,30,35,40,45,50)/100*(Inputs!$B$11-Inputs!$B$11),0)))/100)/2</f>
        <v/>
      </c>
      <c r="M2672">
        <f>L2672*(1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2">
        <f>L2672*(1-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2672*(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2">
        <f>(1-Summary!$B$11)*T2672+Summary!$B$11*V2672</f>
        <v/>
      </c>
      <c r="P2672">
        <f>IF(B2704=0,0,O2672/B2704)</f>
        <v/>
      </c>
      <c r="Q2672" t="n">
        <v>0</v>
      </c>
      <c r="R2672" t="n">
        <v>0</v>
      </c>
      <c r="S2672">
        <f>IFERROR(O2672/N2672,0)</f>
        <v/>
      </c>
      <c r="T2672">
        <f>IF(C2672,(Skills!G3*H2672*N2672*B2698)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2672*(1-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2672*(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2672*(1-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2672*(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2">
        <f>INDEX(FactorTable!$B$2:$Y$301, MATCH(ROUND(MIN(300,MAX(1,U2671)),0), FactorTable!$A$2:$A$301,0), 22)</f>
        <v/>
      </c>
      <c r="V2672">
        <f>IF(C2672,(Skills!G3*H2672*N2672*B2698)*IF(Inputs!$B$38="pvp",1,(1+(Inputs!$B$21+Skills!Q3+(IF(ArtifactsInput!$M$33,CHOOSE(ArtifactsInput!$N$33+1,30,36,42,48,54,60),0))+(IF(AND(ArtifactsInput!$M$35,Inputs!$B$4&lt;&gt;"Chapter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3">
      <c r="A2673">
        <f>Skills!A4</f>
        <v/>
      </c>
      <c r="B2673">
        <f>Skills!B4</f>
        <v/>
      </c>
      <c r="C2673">
        <f>Inputs!$B$3&gt;=60</f>
        <v/>
      </c>
      <c r="D2673">
        <f>IF(Skills!C4=1,60+Inputs!$B$25+Inputs!$B$29,IF(Skills!C4=2,90+Inputs!$B$26+Inputs!$B$29,IF(Skills!C4=3,120+Inputs!$B$27+Inputs!$B$29,MAX(0,(Inputs!$B$3-100)*3)+Inputs!$B$28+Inputs!$B$29)))</f>
        <v/>
      </c>
      <c r="E2673">
        <f>INDEX(FactorTable!$B$2:$Y$301, MATCH(ROUND(MIN(300,MAX(1,D2673)),0), FactorTable!$A$2:$A$301,0), Skills!M4+1)</f>
        <v/>
      </c>
      <c r="F2673">
        <f>IF(Skills!N4=TRUE,(Skills!L4/10)*(E2673/1000),Skills!L4/10)+Skills!O4</f>
        <v/>
      </c>
      <c r="G2673">
        <f>Skills!G4*IF(Skills!H4&gt;0,Skills!I4/Skills!H4,1)</f>
        <v/>
      </c>
      <c r="H2673">
        <f>1-(1-Skills!J4/100)^Skills!K4</f>
        <v/>
      </c>
      <c r="I2673" t="inlineStr">
        <is>
          <t>1</t>
        </is>
      </c>
      <c r="J2673">
        <f>((Inputs!$B$6*(1+Inputs!$B$7/100))+(((Inputs!$B$12*(1+Inputs!$B$13/100))-(Inputs!$B$12*(1+Inputs!$B$13/100)))+0.25*(Inputs!$B$14-Inputs!$B$14))*(1+Inputs!$B$7/100))*(F2673/100)</f>
        <v/>
      </c>
      <c r="K2673">
        <f>J2673*(1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2681=TRUE,F2681,0)/100)*(1+(IF(Skills!A4="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C2689=TRUE)*(F2689-Calc!F20)),(Inputs!$B$23+0+(IF(ArtifactsInput!$M$15,CHOOSE(ArtifactsInput!$N$15+1,25,30,35,40,45,50)/100*(Inputs!$B$11-Inputs!$B$11),0))))/100+(Inputs!$B$23+0+(IF(ArtifactsInput!$M$15,CHOOSE(ArtifactsInput!$N$15+1,25,30,35,40,45,50)/100*(Inputs!$B$11-Inputs!$B$11),0)))/100)/2</f>
        <v/>
      </c>
      <c r="M2673">
        <f>L2673*(1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(1-Summary!$B$11)*T2673+Summary!$B$11*V2673</f>
        <v/>
      </c>
      <c r="P2673">
        <f>IF(B2704=0,0,O2673/B2704)</f>
        <v/>
      </c>
      <c r="Q2673" t="n">
        <v>0</v>
      </c>
      <c r="R2673" t="n">
        <v>0</v>
      </c>
      <c r="S2673">
        <f>IFERROR(O2673/N2673,0)</f>
        <v/>
      </c>
      <c r="T2673">
        <f>IF(C2673,(Skills!G4*H2673*N2673*B2698)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2673*(1-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3">
        <f>290*U2672/1000</f>
        <v/>
      </c>
      <c r="V2673">
        <f>IF(C2673,(Skills!G4*H2673*N2673*B2698)*IF(Inputs!$B$38="pvp",1,(1+(Inputs!$B$21+Skills!Q4+(IF(ArtifactsInput!$M$33,CHOOSE(ArtifactsInput!$N$33+1,30,36,42,48,54,60),0))+(IF(AND(ArtifactsInput!$M$35,Inputs!$B$4&lt;&gt;"Chapter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Skills!A5</f>
        <v/>
      </c>
      <c r="B2674">
        <f>Skills!B5</f>
        <v/>
      </c>
      <c r="C2674">
        <f>Inputs!$B$3&gt;=60</f>
        <v/>
      </c>
      <c r="D2674">
        <f>IF(Skills!C5=1,60+Inputs!$B$25+Inputs!$B$29,IF(Skills!C5=2,90+Inputs!$B$26+Inputs!$B$29,IF(Skills!C5=3,120+Inputs!$B$27+Inputs!$B$29,MAX(0,(Inputs!$B$3-100)*3)+Inputs!$B$28+Inputs!$B$29)))</f>
        <v/>
      </c>
      <c r="E2674">
        <f>INDEX(FactorTable!$B$2:$Y$301, MATCH(ROUND(MIN(300,MAX(1,D2674)),0), FactorTable!$A$2:$A$301,0), Skills!M5+1)</f>
        <v/>
      </c>
      <c r="F2674">
        <f>IF(Skills!N5=TRUE,(Skills!L5/10)*(E2674/1000),Skills!L5/10)+Skills!O5</f>
        <v/>
      </c>
      <c r="G2674">
        <f>Skills!G5*IF(Skills!H5&gt;0,Skills!I5/Skills!H5,1)</f>
        <v/>
      </c>
      <c r="H2674">
        <f>1-(1-Skills!J5/100)^Skills!K5</f>
        <v/>
      </c>
      <c r="I2674" t="inlineStr">
        <is>
          <t>1</t>
        </is>
      </c>
      <c r="J2674" t="inlineStr"/>
      <c r="K2674" t="inlineStr"/>
      <c r="L2674" t="inlineStr"/>
      <c r="M2674" t="inlineStr"/>
      <c r="N2674" t="inlineStr"/>
      <c r="O2674">
        <f>(1-Summary!$B$11)*T2674+Summary!$B$11*V2674</f>
        <v/>
      </c>
      <c r="P2674">
        <f>IF(B2704=0,0,O2674/B2704)</f>
        <v/>
      </c>
      <c r="Q2674" t="n">
        <v>0</v>
      </c>
      <c r="R2674" t="n">
        <v>0</v>
      </c>
      <c r="S2674">
        <f>IFERROR(O2674/N2674,0)</f>
        <v/>
      </c>
      <c r="T2674" t="n">
        <v>0</v>
      </c>
      <c r="V2674" t="n">
        <v>0</v>
      </c>
    </row>
    <row r="2675">
      <c r="A2675">
        <f>Skills!A6</f>
        <v/>
      </c>
      <c r="B2675">
        <f>Skills!B6</f>
        <v/>
      </c>
      <c r="C2675">
        <f>Inputs!$B$3&gt;=63</f>
        <v/>
      </c>
      <c r="D2675">
        <f>IF(Skills!C6=1,60+Inputs!$B$25+Inputs!$B$29,IF(Skills!C6=2,90+Inputs!$B$26+Inputs!$B$29,IF(Skills!C6=3,120+Inputs!$B$27+Inputs!$B$29,MAX(0,(Inputs!$B$3-100)*3)+Inputs!$B$28+Inputs!$B$29)))</f>
        <v/>
      </c>
      <c r="E2675">
        <f>INDEX(FactorTable!$B$2:$Y$301, MATCH(ROUND(MIN(300,MAX(1,D2675)),0), FactorTable!$A$2:$A$301,0), Skills!M6+1)</f>
        <v/>
      </c>
      <c r="F2675">
        <f>IF(Skills!N6=TRUE,(Skills!L6/10)*(E2675/1000),Skills!L6/10)+Skills!O6</f>
        <v/>
      </c>
      <c r="G2675">
        <f>Skills!G6*IF(Skills!H6&gt;0,Skills!I6/Skills!H6,1)</f>
        <v/>
      </c>
      <c r="H2675">
        <f>1-(1-Skills!J6/100)^Skills!K6</f>
        <v/>
      </c>
      <c r="I2675" t="inlineStr">
        <is>
          <t>1</t>
        </is>
      </c>
      <c r="J2675">
        <f>((Inputs!$B$6*(1+Inputs!$B$7/100))+(((Inputs!$B$12*(1+Inputs!$B$13/100))-(Inputs!$B$12*(1+Inputs!$B$13/100)))+0.25*(Inputs!$B$14-Inputs!$B$14))*(1+Inputs!$B$7/100))*(F2675/100)</f>
        <v/>
      </c>
      <c r="K2675">
        <f>J2675*(1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
      </c>
      <c r="L2675">
        <f>K2675*(MIN(Inputs!$B$22+((C2689=TRUE)*(F2689-Calc!F20)),(Inputs!$B$23+0+(IF(ArtifactsInput!$M$15,CHOOSE(ArtifactsInput!$N$15+1,25,30,35,40,45,50)/100*(Inputs!$B$11-Inputs!$B$11),0))))/100+(Inputs!$B$23+0+(IF(ArtifactsInput!$M$15,CHOOSE(ArtifactsInput!$N$15+1,25,30,35,40,45,50)/100*(Inputs!$B$11-Inputs!$B$11),0)))/100)/2</f>
        <v/>
      </c>
      <c r="M2675">
        <f>L2675*(1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5">
        <f>L2675*(1-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5">
        <f>(1-Summary!$B$11)*T2675+Summary!$B$11*V2675</f>
        <v/>
      </c>
      <c r="P2675">
        <f>IF(B2704=0,0,O2675/B2704)</f>
        <v/>
      </c>
      <c r="Q2675">
        <f>IFERROR(1/(IF(Inputs!$B$38="pvp",15,MAX(0.1,Skills!D6-IF(Skills!E6=TRUE,3.5,0)))*(1-IF(AND(ArtifactsInput!$M$27,Inputs!$B$4="Chapter Hunt"),CHOOSE(ArtifactsInput!$N$27+1,20,24,28,32,36,40),0)/100)),0)</f>
        <v/>
      </c>
      <c r="R2675">
        <f>IF(AND(Inputs!$B$38&lt;&gt;"pvp",Inputs!$B$43&gt;0),IF(MAX(0,Inputs!$B$43-B2701)&lt;=0,0,(INT(MAX(0,Inputs!$B$43-B2701)/(IF(Inputs!$B$38="pvp",15,MAX(0.1,Skills!D6-IF(Skills!E6=TRUE,3.5,0)))*(1-IF(AND(ArtifactsInput!$M$27,Inputs!$B$4="Chapter Hunt"),CHOOSE(ArtifactsInput!$N$27+1,20,24,28,32,36,40),0)/100)))+1)),0)</f>
        <v/>
      </c>
      <c r="S2675">
        <f>IFERROR(O2675/N2675,0)</f>
        <v/>
      </c>
      <c r="T2675">
        <f>IF(C2675,(H2675*N2675*IF(AND(Inputs!$B$38&lt;&gt;"pvp",Inputs!$B$43&gt;0),((Skills!G6*((R2675-1)*IF(Skills!H6&gt;0,Skills!I6/Skills!H6,1)+IF(Skills!H6&gt;0,MIN(Skills!I6,MAX(0,MAX(0,Inputs!$B$43-B2701)-((R2675-1)*(IF(Inputs!$B$38="pvp",15,MAX(0.1,Skills!D6-IF(Skills!E6=TRUE,3.5,0)))*(1-IF(AND(ArtifactsInput!$M$27,Inputs!$B$4="Chapter Hunt"),CHOOSE(ArtifactsInput!$N$27+1,20,24,28,32,36,40),0)/100)))))/Skills!H6,1)))/Inputs!$B$43),G2675*Q2675)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2675*(1-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5">
        <f>IF(C2675,(H2675*N2675*IF(AND(Inputs!$B$38&lt;&gt;"pvp",Inputs!$B$43&gt;0),((Skills!G6*((R2675-1)*IF(Skills!H6&gt;0,Skills!I6/Skills!H6,1)+IF(Skills!H6&gt;0,MIN(Skills!I6,MAX(0,MAX(0,Inputs!$B$43-B2701)-((R2675-1)*(IF(Inputs!$B$38="pvp",15,MAX(0.1,Skills!D6-IF(Skills!E6=TRUE,3.5,0)))*(1-IF(AND(ArtifactsInput!$M$27,Inputs!$B$4="Chapter Hunt"),CHOOSE(ArtifactsInput!$N$27+1,20,24,28,32,36,40),0)/100)))))/Skills!H6,1)))/Inputs!$B$43),G2675*Q2675))*IF(Inputs!$B$38="pvp",1,(1+(Inputs!$B$21+Skills!Q6+(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6">
      <c r="A2676">
        <f>Skills!A7</f>
        <v/>
      </c>
      <c r="B2676">
        <f>Skills!B7</f>
        <v/>
      </c>
      <c r="C2676">
        <f>Inputs!$B$3&gt;=100</f>
        <v/>
      </c>
      <c r="D2676">
        <f>IF(Skills!C7=1,60+Inputs!$B$25+Inputs!$B$29,IF(Skills!C7=2,90+Inputs!$B$26+Inputs!$B$29,IF(Skills!C7=3,120+Inputs!$B$27+Inputs!$B$29,MAX(0,(Inputs!$B$3-100)*3)+Inputs!$B$28+Inputs!$B$29)))</f>
        <v/>
      </c>
      <c r="E2676">
        <f>INDEX(FactorTable!$B$2:$Y$301, MATCH(ROUND(MIN(300,MAX(1,D2676)),0), FactorTable!$A$2:$A$301,0), Skills!M7+1)</f>
        <v/>
      </c>
      <c r="F2676">
        <f>IF(Skills!N7=TRUE,(Skills!L7/10)*(E2676/1000),Skills!L7/10)+Skills!O7</f>
        <v/>
      </c>
      <c r="G2676">
        <f>Skills!G7*IF(Skills!H7&gt;0,Skills!I7/Skills!H7,1)</f>
        <v/>
      </c>
      <c r="H2676">
        <f>1-(1-Skills!J7/100)^Skills!K7</f>
        <v/>
      </c>
      <c r="I2676" t="inlineStr">
        <is>
          <t>1</t>
        </is>
      </c>
      <c r="J2676">
        <f>((Inputs!$B$6*(1+Inputs!$B$7/100))+(((Inputs!$B$12*(1+Inputs!$B$13/100))-(Inputs!$B$12*(1+Inputs!$B$13/100)))+0.25*(Inputs!$B$14-Inputs!$B$14))*(1+Inputs!$B$7/100))*(F2676/100)</f>
        <v/>
      </c>
      <c r="K2676">
        <f>J2676*(1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C2689=TRUE)*(F2689-Calc!F20)),(Inputs!$B$23+0+(IF(ArtifactsInput!$M$15,CHOOSE(ArtifactsInput!$N$15+1,25,30,35,40,45,50)/100*(Inputs!$B$11-Inputs!$B$11),0))))/100+(Inputs!$B$23+0+(IF(ArtifactsInput!$M$15,CHOOSE(ArtifactsInput!$N$15+1,25,30,35,40,45,50)/100*(Inputs!$B$11-Inputs!$B$11),0)))/100)/2</f>
        <v/>
      </c>
      <c r="M2676">
        <f>L2676*(1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(1-Summary!$B$11)*T2676+Summary!$B$11*V2676</f>
        <v/>
      </c>
      <c r="P2676">
        <f>IF(B2704=0,0,O2676/B2704)</f>
        <v/>
      </c>
      <c r="Q2676">
        <f>IFERROR(1/(IF(Inputs!$B$38="pvp",15,MAX(0.1,Skills!D7-IF(Skills!E7=TRUE,3.5,0)))*(1-IF(AND(ArtifactsInput!$M$27,Inputs!$B$4="Chapter Hunt"),CHOOSE(ArtifactsInput!$N$27+1,20,24,28,32,36,40),0)/100)),0)</f>
        <v/>
      </c>
      <c r="R2676">
        <f>IF(AND(Inputs!$B$38&lt;&gt;"pvp",Inputs!$B$43&gt;0),IF(MAX(0,Inputs!$B$43-B2701)&lt;=0,0,(INT(MAX(0,Inputs!$B$43-B2701)/(IF(Inputs!$B$38="pvp",15,MAX(0.1,Skills!D7-IF(Skills!E7=TRUE,3.5,0)))*(1-IF(AND(ArtifactsInput!$M$27,Inputs!$B$4="Chapter Hunt"),CHOOSE(ArtifactsInput!$N$27+1,20,24,28,32,36,40),0)/100)))+1)),0)</f>
        <v/>
      </c>
      <c r="S2676">
        <f>IFERROR(O2676/N2676,0)</f>
        <v/>
      </c>
      <c r="T2676">
        <f>IF(C2676,(H2676*N2676*IF(AND(Inputs!$B$38&lt;&gt;"pvp",Inputs!$B$43&gt;0),((Skills!G7*((R2676-1)*IF(Skills!H7&gt;0,Skills!I7/Skills!H7,1)+IF(Skills!H7&gt;0,MIN(Skills!I7,MAX(0,MAX(0,Inputs!$B$43-B2701)-((R2676-1)*(IF(Inputs!$B$38="pvp",15,MAX(0.1,Skills!D7-IF(Skills!E7=TRUE,3.5,0)))*(1-IF(AND(ArtifactsInput!$M$27,Inputs!$B$4="Chapter Hunt"),CHOOSE(ArtifactsInput!$N$27+1,20,24,28,32,36,40),0)/100)))))/Skills!H7,1)))/Inputs!$B$43),G2676*Q2676)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2676*(1-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6">
        <f>IF(C2676,(H2676*N2676*IF(AND(Inputs!$B$38&lt;&gt;"pvp",Inputs!$B$43&gt;0),((Skills!G7*((R2676-1)*IF(Skills!H7&gt;0,Skills!I7/Skills!H7,1)+IF(Skills!H7&gt;0,MIN(Skills!I7,MAX(0,MAX(0,Inputs!$B$43-B2701)-((R2676-1)*(IF(Inputs!$B$38="pvp",15,MAX(0.1,Skills!D7-IF(Skills!E7=TRUE,3.5,0)))*(1-IF(AND(ArtifactsInput!$M$27,Inputs!$B$4="Chapter Hunt"),CHOOSE(ArtifactsInput!$N$27+1,20,24,28,32,36,40),0)/100)))))/Skills!H7,1)))/Inputs!$B$43),G2676*Q2676))*IF(Inputs!$B$38="pvp",1,(1+(Inputs!$B$21+Skills!Q7+(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Skills!A8</f>
        <v/>
      </c>
      <c r="B2677">
        <f>Skills!B8</f>
        <v/>
      </c>
      <c r="C2677">
        <f>Inputs!$B$3&gt;=110</f>
        <v/>
      </c>
      <c r="D2677">
        <f>IF(Skills!C8=1,60+Inputs!$B$25+Inputs!$B$29,IF(Skills!C8=2,90+Inputs!$B$26+Inputs!$B$29,IF(Skills!C8=3,120+Inputs!$B$27+Inputs!$B$29,MAX(0,(Inputs!$B$3-100)*3)+Inputs!$B$28+Inputs!$B$29)))</f>
        <v/>
      </c>
      <c r="E2677">
        <f>INDEX(FactorTable!$B$2:$Y$301, MATCH(ROUND(MIN(300,MAX(1,D2677)),0), FactorTable!$A$2:$A$301,0), Skills!M8+1)</f>
        <v/>
      </c>
      <c r="F2677">
        <f>IF(Skills!N8=TRUE,(Skills!L8/10)*(E2677/1000),Skills!L8/10)+Skills!O8</f>
        <v/>
      </c>
      <c r="G2677">
        <f>Skills!G8*IF(Skills!H8&gt;0,Skills!I8/Skills!H8,1)</f>
        <v/>
      </c>
      <c r="H2677">
        <f>1-(1-Skills!J8/100)^Skills!K8</f>
        <v/>
      </c>
      <c r="I2677" t="inlineStr">
        <is>
          <t>1</t>
        </is>
      </c>
      <c r="J2677">
        <f>((Inputs!$B$6*(1+Inputs!$B$7/100))+(((Inputs!$B$12*(1+Inputs!$B$13/100))-(Inputs!$B$12*(1+Inputs!$B$13/100)))+0.25*(Inputs!$B$14-Inputs!$B$14))*(1+Inputs!$B$7/100))*(F2677/100)</f>
        <v/>
      </c>
      <c r="K2677">
        <f>J2677*(1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2677)</f>
        <v/>
      </c>
      <c r="L2677">
        <f>K2677*(MIN(Inputs!$B$22+((C2689=TRUE)*(F2689-Calc!F20)),(Inputs!$B$23+0+(IF(ArtifactsInput!$M$15,CHOOSE(ArtifactsInput!$N$15+1,25,30,35,40,45,50)/100*(Inputs!$B$11-Inputs!$B$11),0))))/100+(Inputs!$B$23+0+(IF(ArtifactsInput!$M$15,CHOOSE(ArtifactsInput!$N$15+1,25,30,35,40,45,50)/100*(Inputs!$B$11-Inputs!$B$11),0)))/100)/2</f>
        <v/>
      </c>
      <c r="M2677">
        <f>L2677*(1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7">
        <f>L2677*(1-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2677*(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7">
        <f>(1-Summary!$B$11)*T2677+Summary!$B$11*V2677</f>
        <v/>
      </c>
      <c r="P2677">
        <f>IF(B2704=0,0,O2677/B2704)</f>
        <v/>
      </c>
      <c r="Q2677">
        <f>IFERROR(1/(IF(Inputs!$B$38="pvp",15,MAX(0.1,Skills!D8-IF(Skills!E8=TRUE,3.5,0)))*(1-IF(AND(ArtifactsInput!$M$27,Inputs!$B$4="Chapter Hunt"),CHOOSE(ArtifactsInput!$N$27+1,20,24,28,32,36,40),0)/100)),0)</f>
        <v/>
      </c>
      <c r="R2677">
        <f>IF(AND(Inputs!$B$38&lt;&gt;"pvp",Inputs!$B$43&gt;0),IF(MAX(0,Inputs!$B$43-B2701)&lt;=0,0,(INT(MAX(0,Inputs!$B$43-B2701)/(IF(Inputs!$B$38="pvp",15,MAX(0.1,Skills!D8-IF(Skills!E8=TRUE,3.5,0)))*(1-IF(AND(ArtifactsInput!$M$27,Inputs!$B$4="Chapter Hunt"),CHOOSE(ArtifactsInput!$N$27+1,20,24,28,32,36,40),0)/100)))+1)),0)</f>
        <v/>
      </c>
      <c r="S2677">
        <f>IFERROR(O2677/N2677,0)</f>
        <v/>
      </c>
      <c r="T2677">
        <f>IF(C2677,(H2677*N2677*IF(AND(Inputs!$B$38&lt;&gt;"pvp",Inputs!$B$43&gt;0),((Skills!G8*((R2677-1)*IF(Skills!H8&gt;0,Skills!I8/Skills!H8,1)+IF(Skills!H8&gt;0,MIN(Skills!I8,MAX(0,MAX(0,Inputs!$B$43-B2701)-((R2677-1)*(IF(Inputs!$B$38="pvp",15,MAX(0.1,Skills!D8-IF(Skills!E8=TRUE,3.5,0)))*(1-IF(AND(ArtifactsInput!$M$27,Inputs!$B$4="Chapter Hunt"),CHOOSE(ArtifactsInput!$N$27+1,20,24,28,32,36,40),0)/100)))))/Skills!H8,1)))/Inputs!$B$43),G2677*Q2677)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2677*(1-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2677*(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2677*(1-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2677*(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7">
        <f>IF(C2677,(H2677*N2677*IF(AND(Inputs!$B$38&lt;&gt;"pvp",Inputs!$B$43&gt;0),((Skills!G8*((R2677-1)*IF(Skills!H8&gt;0,Skills!I8/Skills!H8,1)+IF(Skills!H8&gt;0,MIN(Skills!I8,MAX(0,MAX(0,Inputs!$B$43-B2701)-((R2677-1)*(IF(Inputs!$B$38="pvp",15,MAX(0.1,Skills!D8-IF(Skills!E8=TRUE,3.5,0)))*(1-IF(AND(ArtifactsInput!$M$27,Inputs!$B$4="Chapter Hunt"),CHOOSE(ArtifactsInput!$N$27+1,20,24,28,32,36,40),0)/100)))))/Skills!H8,1)))/Inputs!$B$43),G2677*Q2677))*IF(Inputs!$B$38="pvp",1,(1+(Inputs!$B$21+Skills!Q8+(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8">
      <c r="A2678">
        <f>Skills!A9</f>
        <v/>
      </c>
      <c r="B2678">
        <f>Skills!B9</f>
        <v/>
      </c>
      <c r="C2678">
        <f>Inputs!$B$3&gt;=110</f>
        <v/>
      </c>
      <c r="D2678">
        <f>IF(Skills!C9=1,60+Inputs!$B$25+Inputs!$B$29,IF(Skills!C9=2,90+Inputs!$B$26+Inputs!$B$29,IF(Skills!C9=3,120+Inputs!$B$27+Inputs!$B$29,MAX(0,(Inputs!$B$3-100)*3)+Inputs!$B$28+Inputs!$B$29)))</f>
        <v/>
      </c>
      <c r="E2678">
        <f>INDEX(FactorTable!$B$2:$Y$301, MATCH(ROUND(MIN(300,MAX(1,D2678)),0), FactorTable!$A$2:$A$301,0), Skills!M9+1)</f>
        <v/>
      </c>
      <c r="F2678">
        <f>IF(Skills!N9=TRUE,(Skills!L9/10)*(E2678/1000),Skills!L9/10)+Skills!O9</f>
        <v/>
      </c>
      <c r="G2678">
        <f>Skills!G9*IF(Skills!H9&gt;0,Skills!I9/Skills!H9,1)</f>
        <v/>
      </c>
      <c r="H2678">
        <f>1-(1-Skills!J9/100)^Skills!K9</f>
        <v/>
      </c>
      <c r="I2678" t="inlineStr">
        <is>
          <t>1</t>
        </is>
      </c>
      <c r="J2678">
        <f>((Inputs!$B$6*(1+Inputs!$B$7/100))+(((Inputs!$B$12*(1+Inputs!$B$13/100))-(Inputs!$B$12*(1+Inputs!$B$13/100)))+0.25*(Inputs!$B$14-Inputs!$B$14))*(1+Inputs!$B$7/100))*(F2678/100)</f>
        <v/>
      </c>
      <c r="K2678">
        <f>J2678*(1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2678)</f>
        <v/>
      </c>
      <c r="L2678">
        <f>K2678*(MIN(Inputs!$B$22+((C2689=TRUE)*(F2689-Calc!F20)),(Inputs!$B$23+0+(IF(ArtifactsInput!$M$15,CHOOSE(ArtifactsInput!$N$15+1,25,30,35,40,45,50)/100*(Inputs!$B$11-Inputs!$B$11),0))))/100+(Inputs!$B$23+0+(IF(ArtifactsInput!$M$15,CHOOSE(ArtifactsInput!$N$15+1,25,30,35,40,45,50)/100*(Inputs!$B$11-Inputs!$B$11),0)))/100)/2</f>
        <v/>
      </c>
      <c r="M2678">
        <f>L2678*(1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8">
        <f>L2678*(1-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2678*(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8">
        <f>(1-Summary!$B$11)*T2678+Summary!$B$11*V2678</f>
        <v/>
      </c>
      <c r="P2678">
        <f>IF(B2704=0,0,O2678/B2704)</f>
        <v/>
      </c>
      <c r="Q2678">
        <f>IFERROR(1/(IF(Inputs!$B$38="pvp",15,MAX(0.1,Skills!D9-IF(Skills!E9=TRUE,3.5,0)))*(1-IF(AND(ArtifactsInput!$M$27,Inputs!$B$4="Chapter Hunt"),CHOOSE(ArtifactsInput!$N$27+1,20,24,28,32,36,40),0)/100)),0)</f>
        <v/>
      </c>
      <c r="R2678">
        <f>IF(AND(Inputs!$B$38&lt;&gt;"pvp",Inputs!$B$43&gt;0),IF(MAX(0,Inputs!$B$43-B2701)&lt;=0,0,(INT(MAX(0,Inputs!$B$43-B2701)/(IF(Inputs!$B$38="pvp",15,MAX(0.1,Skills!D9-IF(Skills!E9=TRUE,3.5,0)))*(1-IF(AND(ArtifactsInput!$M$27,Inputs!$B$4="Chapter Hunt"),CHOOSE(ArtifactsInput!$N$27+1,20,24,28,32,36,40),0)/100)))+1)),0)</f>
        <v/>
      </c>
      <c r="S2678">
        <f>IFERROR(O2678/N2678,0)</f>
        <v/>
      </c>
      <c r="T2678">
        <f>IF(C2678,(H2678*N2678*IF(AND(Inputs!$B$38&lt;&gt;"pvp",Inputs!$B$43&gt;0),((Skills!G9*((R2678-1)*IF(Skills!H9&gt;0,Skills!I9/Skills!H9,1)+IF(Skills!H9&gt;0,MIN(Skills!I9,MAX(0,MAX(0,Inputs!$B$43-B2701)-((R2678-1)*(IF(Inputs!$B$38="pvp",15,MAX(0.1,Skills!D9-IF(Skills!E9=TRUE,3.5,0)))*(1-IF(AND(ArtifactsInput!$M$27,Inputs!$B$4="Chapter Hunt"),CHOOSE(ArtifactsInput!$N$27+1,20,24,28,32,36,40),0)/100)))))/Skills!H9,1)))/Inputs!$B$43),G2678*Q2678)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2678*(1-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2678*(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2678*(1-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2678*(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8">
        <f>IF(C2678,(H2678*N2678*IF(AND(Inputs!$B$38&lt;&gt;"pvp",Inputs!$B$43&gt;0),((Skills!G9*((R2678-1)*IF(Skills!H9&gt;0,Skills!I9/Skills!H9,1)+IF(Skills!H9&gt;0,MIN(Skills!I9,MAX(0,MAX(0,Inputs!$B$43-B2701)-((R2678-1)*(IF(Inputs!$B$38="pvp",15,MAX(0.1,Skills!D9-IF(Skills!E9=TRUE,3.5,0)))*(1-IF(AND(ArtifactsInput!$M$27,Inputs!$B$4="Chapter Hunt"),CHOOSE(ArtifactsInput!$N$27+1,20,24,28,32,36,40),0)/100)))))/Skills!H9,1)))/Inputs!$B$43),G2678*Q2678))*IF(Inputs!$B$38="pvp",1,(1+(Inputs!$B$21+Skills!Q9+(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9">
      <c r="A2679">
        <f>Skills!A10</f>
        <v/>
      </c>
      <c r="B2679">
        <f>Skills!B10</f>
        <v/>
      </c>
      <c r="C2679">
        <f>Inputs!$B$3&gt;=103</f>
        <v/>
      </c>
      <c r="D2679">
        <f>IF(Skills!C10=1,60+Inputs!$B$25+Inputs!$B$29,IF(Skills!C10=2,90+Inputs!$B$26+Inputs!$B$29,IF(Skills!C10=3,120+Inputs!$B$27+Inputs!$B$29,MAX(0,(Inputs!$B$3-100)*3)+Inputs!$B$28+Inputs!$B$29)))</f>
        <v/>
      </c>
      <c r="E2679">
        <f>INDEX(FactorTable!$B$2:$Y$301, MATCH(ROUND(MIN(300,MAX(1,D2679)),0), FactorTable!$A$2:$A$301,0), Skills!M10+1)</f>
        <v/>
      </c>
      <c r="F2679">
        <f>IF(Skills!N10=TRUE,(Skills!L10/10)*(E2679/1000),Skills!L10/10)+Skills!O10</f>
        <v/>
      </c>
      <c r="G2679">
        <f>Skills!G10*IF(Skills!H10&gt;0,Skills!I10/Skills!H10,1)</f>
        <v/>
      </c>
      <c r="H2679">
        <f>1-(1-Skills!J10/100)^Skills!K10</f>
        <v/>
      </c>
      <c r="I2679" t="inlineStr">
        <is>
          <t>1</t>
        </is>
      </c>
      <c r="J2679">
        <f>((Inputs!$B$6*(1+Inputs!$B$7/100))+(((Inputs!$B$12*(1+Inputs!$B$13/100))-(Inputs!$B$12*(1+Inputs!$B$13/100)))+0.25*(Inputs!$B$14-Inputs!$B$14))*(1+Inputs!$B$7/100))*(F2679/100)</f>
        <v/>
      </c>
      <c r="K2679">
        <f>J2679*(1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
      </c>
      <c r="L2679">
        <f>K2679*(MIN(Inputs!$B$22+((C2689=TRUE)*(F2689-Calc!F20)),(Inputs!$B$23+0+(IF(ArtifactsInput!$M$15,CHOOSE(ArtifactsInput!$N$15+1,25,30,35,40,45,50)/100*(Inputs!$B$11-Inputs!$B$11),0))))/100+(Inputs!$B$23+0+(IF(ArtifactsInput!$M$15,CHOOSE(ArtifactsInput!$N$15+1,25,30,35,40,45,50)/100*(Inputs!$B$11-Inputs!$B$11),0)))/100)/2</f>
        <v/>
      </c>
      <c r="M2679">
        <f>L2679*(1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9">
        <f>L2679*(1-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9">
        <f>(1-Summary!$B$11)*T2679+Summary!$B$11*V2679</f>
        <v/>
      </c>
      <c r="P2679">
        <f>IF(B2704=0,0,O2679/B2704)</f>
        <v/>
      </c>
      <c r="Q2679">
        <f>IFERROR(1/(IF(Inputs!$B$38="pvp",15,MAX(0.1,Skills!D10-IF(Skills!E10=TRUE,3.5,0)))*(1-IF(AND(ArtifactsInput!$M$27,Inputs!$B$4="Chapter Hunt"),CHOOSE(ArtifactsInput!$N$27+1,20,24,28,32,36,40),0)/100)),0)</f>
        <v/>
      </c>
      <c r="R2679">
        <f>IF(AND(Inputs!$B$38&lt;&gt;"pvp",Inputs!$B$43&gt;0),IF(MAX(0,Inputs!$B$43-B2701)&lt;=0,0,(INT(MAX(0,Inputs!$B$43-B2701)/(IF(Inputs!$B$38="pvp",15,MAX(0.1,Skills!D10-IF(Skills!E10=TRUE,3.5,0)))*(1-IF(AND(ArtifactsInput!$M$27,Inputs!$B$4="Chapter Hunt"),CHOOSE(ArtifactsInput!$N$27+1,20,24,28,32,36,40),0)/100)))+1)),0)</f>
        <v/>
      </c>
      <c r="S2679">
        <f>IFERROR(O2679/N2679,0)</f>
        <v/>
      </c>
      <c r="T2679">
        <f>IF(C2679,(H2679*N2679*IF(AND(Inputs!$B$38&lt;&gt;"pvp",Inputs!$B$43&gt;0),((Skills!G10*((R2679-1)*IF(Skills!H10&gt;0,Skills!I10/Skills!H10,1)+IF(Skills!H10&gt;0,MIN(Skills!I10,MAX(0,MAX(0,Inputs!$B$43-B2701)-((R2679-1)*(IF(Inputs!$B$38="pvp",15,MAX(0.1,Skills!D10-IF(Skills!E10=TRUE,3.5,0)))*(1-IF(AND(ArtifactsInput!$M$27,Inputs!$B$4="Chapter Hunt"),CHOOSE(ArtifactsInput!$N$27+1,20,24,28,32,36,40),0)/100)))))/Skills!H10,1)))/Inputs!$B$43),G2679*Q2679)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2679*(1-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9">
        <f>IF(C2679,(H2679*N2679*IF(AND(Inputs!$B$38&lt;&gt;"pvp",Inputs!$B$43&gt;0),((Skills!G10*((R2679-1)*IF(Skills!H10&gt;0,Skills!I10/Skills!H10,1)+IF(Skills!H10&gt;0,MIN(Skills!I10,MAX(0,MAX(0,Inputs!$B$43-B2701)-((R2679-1)*(IF(Inputs!$B$38="pvp",15,MAX(0.1,Skills!D10-IF(Skills!E10=TRUE,3.5,0)))*(1-IF(AND(ArtifactsInput!$M$27,Inputs!$B$4="Chapter Hunt"),CHOOSE(ArtifactsInput!$N$27+1,20,24,28,32,36,40),0)/100)))))/Skills!H10,1)))/Inputs!$B$43),G2679*Q2679))*IF(Inputs!$B$38="pvp",1,(1+(Inputs!$B$21+Skills!Q10+(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0">
      <c r="A2680">
        <f>Skills!A11</f>
        <v/>
      </c>
      <c r="B2680">
        <f>Skills!B11</f>
        <v/>
      </c>
      <c r="C2680">
        <f>Inputs!$B$3&gt;=113</f>
        <v/>
      </c>
      <c r="D2680">
        <f>IF(Skills!C11=1,60+Inputs!$B$25+Inputs!$B$29,IF(Skills!C11=2,90+Inputs!$B$26+Inputs!$B$29,IF(Skills!C11=3,120+Inputs!$B$27+Inputs!$B$29,MAX(0,(Inputs!$B$3-100)*3)+Inputs!$B$28+Inputs!$B$29)))</f>
        <v/>
      </c>
      <c r="E2680">
        <f>INDEX(FactorTable!$B$2:$Y$301, MATCH(ROUND(MIN(300,MAX(1,D2680)),0), FactorTable!$A$2:$A$301,0), Skills!M11+1)</f>
        <v/>
      </c>
      <c r="F2680">
        <f>IF(Skills!N11=TRUE,(Skills!L11/10)*(E2680/1000),Skills!L11/10)+Skills!O11</f>
        <v/>
      </c>
      <c r="G2680">
        <f>Skills!G11*IF(Skills!H11&gt;0,Skills!I11/Skills!H11,1)</f>
        <v/>
      </c>
      <c r="H2680">
        <f>1-(1-Skills!J11/100)^Skills!K11</f>
        <v/>
      </c>
      <c r="I2680" t="inlineStr">
        <is>
          <t>1</t>
        </is>
      </c>
      <c r="J2680">
        <f>((Inputs!$B$6*(1+Inputs!$B$7/100))+(((Inputs!$B$12*(1+Inputs!$B$13/100))-(Inputs!$B$12*(1+Inputs!$B$13/100)))+0.25*(Inputs!$B$14-Inputs!$B$14))*(1+Inputs!$B$7/100))*(F2680/100)</f>
        <v/>
      </c>
      <c r="K2680">
        <f>J2680*(1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2680)</f>
        <v/>
      </c>
      <c r="L2680">
        <f>K2680*(MIN(Inputs!$B$22+((C2689=TRUE)*(F2689-Calc!F20)),(Inputs!$B$23+0+(IF(ArtifactsInput!$M$15,CHOOSE(ArtifactsInput!$N$15+1,25,30,35,40,45,50)/100*(Inputs!$B$11-Inputs!$B$11),0))))/100+(Inputs!$B$23+0+(IF(ArtifactsInput!$M$15,CHOOSE(ArtifactsInput!$N$15+1,25,30,35,40,45,50)/100*(Inputs!$B$11-Inputs!$B$11),0)))/100)/2</f>
        <v/>
      </c>
      <c r="M2680">
        <f>L2680*(1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0">
        <f>L2680*(1-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2680*(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0">
        <f>(1-Summary!$B$11)*T2680+Summary!$B$11*V2680</f>
        <v/>
      </c>
      <c r="P2680">
        <f>IF(B2704=0,0,O2680/B2704)</f>
        <v/>
      </c>
      <c r="Q2680">
        <f>IFERROR(1/(IF(Inputs!$B$38="pvp",15,MAX(0.1,Skills!D11-IF(Skills!E11=TRUE,3.5,0)))*(1-IF(AND(ArtifactsInput!$M$27,Inputs!$B$4="Chapter Hunt"),CHOOSE(ArtifactsInput!$N$27+1,20,24,28,32,36,40),0)/100)),0)</f>
        <v/>
      </c>
      <c r="R2680">
        <f>IF(AND(Inputs!$B$38&lt;&gt;"pvp",Inputs!$B$43&gt;0),IF(MAX(0,Inputs!$B$43-B2701)&lt;=0,0,(INT(MAX(0,Inputs!$B$43-B2701)/(IF(Inputs!$B$38="pvp",15,MAX(0.1,Skills!D11-IF(Skills!E11=TRUE,3.5,0)))*(1-IF(AND(ArtifactsInput!$M$27,Inputs!$B$4="Chapter Hunt"),CHOOSE(ArtifactsInput!$N$27+1,20,24,28,32,36,40),0)/100)))+1)),0)</f>
        <v/>
      </c>
      <c r="S2680">
        <f>IFERROR(O2680/N2680,0)</f>
        <v/>
      </c>
      <c r="T2680">
        <f>IF(C2680,(H2680*N2680*IF(AND(Inputs!$B$38&lt;&gt;"pvp",Inputs!$B$43&gt;0),((Skills!G11*((R2680-1)*IF(Skills!H11&gt;0,Skills!I11/Skills!H11,1)+IF(Skills!H11&gt;0,MIN(Skills!I11,MAX(0,MAX(0,Inputs!$B$43-B2701)-((R2680-1)*(IF(Inputs!$B$38="pvp",15,MAX(0.1,Skills!D11-IF(Skills!E11=TRUE,3.5,0)))*(1-IF(AND(ArtifactsInput!$M$27,Inputs!$B$4="Chapter Hunt"),CHOOSE(ArtifactsInput!$N$27+1,20,24,28,32,36,40),0)/100)))))/Skills!H11,1)))/Inputs!$B$43),G2680*Q2680)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2680*(1-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2680*(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2680*(1-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2680*(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0">
        <f>IF(C2680,(H2680*N2680*IF(AND(Inputs!$B$38&lt;&gt;"pvp",Inputs!$B$43&gt;0),((Skills!G11*((R2680-1)*IF(Skills!H11&gt;0,Skills!I11/Skills!H11,1)+IF(Skills!H11&gt;0,MIN(Skills!I11,MAX(0,MAX(0,Inputs!$B$43-B2701)-((R2680-1)*(IF(Inputs!$B$38="pvp",15,MAX(0.1,Skills!D11-IF(Skills!E11=TRUE,3.5,0)))*(1-IF(AND(ArtifactsInput!$M$27,Inputs!$B$4="Chapter Hunt"),CHOOSE(ArtifactsInput!$N$27+1,20,24,28,32,36,40),0)/100)))))/Skills!H11,1)))/Inputs!$B$43),G2680*Q2680))*IF(Inputs!$B$38="pvp",1,(1+(Inputs!$B$21+Skills!Q11+(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1">
      <c r="A2681">
        <f>Skills!A12</f>
        <v/>
      </c>
      <c r="B2681">
        <f>Skills!B12</f>
        <v/>
      </c>
      <c r="C2681">
        <f>Inputs!$B$3&gt;=100</f>
        <v/>
      </c>
      <c r="D2681">
        <f>IF(Skills!C12=1,60+Inputs!$B$25+Inputs!$B$29,IF(Skills!C12=2,90+Inputs!$B$26+Inputs!$B$29,IF(Skills!C12=3,120+Inputs!$B$27+Inputs!$B$29,MAX(0,(Inputs!$B$3-100)*3)+Inputs!$B$28+Inputs!$B$29)))</f>
        <v/>
      </c>
      <c r="E2681">
        <f>INDEX(FactorTable!$B$2:$Y$301, MATCH(ROUND(MIN(300,MAX(1,D2681)),0), FactorTable!$A$2:$A$301,0), Skills!M12+1)</f>
        <v/>
      </c>
      <c r="F2681">
        <f>IF(Skills!N12=TRUE,(Skills!L12/10)*(E2681/1000),Skills!L12/10)+Skills!O12</f>
        <v/>
      </c>
      <c r="G2681" t="inlineStr"/>
      <c r="H2681" t="inlineStr"/>
      <c r="I2681" t="inlineStr">
        <is>
          <t>1</t>
        </is>
      </c>
      <c r="J2681" t="inlineStr"/>
      <c r="K2681" t="inlineStr"/>
      <c r="L2681" t="inlineStr"/>
      <c r="M2681" t="inlineStr"/>
      <c r="N2681" t="inlineStr"/>
      <c r="O2681" t="inlineStr"/>
      <c r="P2681" t="inlineStr"/>
      <c r="Q2681" t="inlineStr"/>
      <c r="R2681" t="inlineStr"/>
      <c r="S2681" t="inlineStr"/>
      <c r="T2681" t="inlineStr"/>
      <c r="V2681" t="inlineStr"/>
    </row>
    <row r="2682">
      <c r="A2682">
        <f>Skills!A13</f>
        <v/>
      </c>
      <c r="B2682">
        <f>Skills!B13</f>
        <v/>
      </c>
      <c r="C2682">
        <f>Inputs!$B$3&gt;=66</f>
        <v/>
      </c>
      <c r="D2682">
        <f>IF(Skills!C13=1,60+Inputs!$B$25+Inputs!$B$29,IF(Skills!C13=2,90+Inputs!$B$26+Inputs!$B$29,IF(Skills!C13=3,120+Inputs!$B$27+Inputs!$B$29,MAX(0,(Inputs!$B$3-100)*3)+Inputs!$B$28+Inputs!$B$29)))</f>
        <v/>
      </c>
      <c r="E2682">
        <f>INDEX(FactorTable!$B$2:$Y$301, MATCH(ROUND(MIN(300,MAX(1,D2682)),0), FactorTable!$A$2:$A$301,0), Skills!M13+1)</f>
        <v/>
      </c>
      <c r="F2682">
        <f>IF(Skills!N13=TRUE,(Skills!L13/10)*(E2682/1000),Skills!L13/10)+Skills!O13</f>
        <v/>
      </c>
      <c r="G2682">
        <f>Skills!G13*IF(Skills!H13&gt;0,Skills!I13/Skills!H13,1)</f>
        <v/>
      </c>
      <c r="H2682">
        <f>1-(1-Skills!J13/100)^Skills!K13</f>
        <v/>
      </c>
      <c r="I2682" t="inlineStr">
        <is>
          <t>1</t>
        </is>
      </c>
      <c r="J2682" t="inlineStr"/>
      <c r="K2682" t="inlineStr"/>
      <c r="L2682" t="inlineStr"/>
      <c r="M2682" t="inlineStr"/>
      <c r="N2682" t="inlineStr"/>
      <c r="O2682">
        <f>(1-Summary!$B$11)*T2682+Summary!$B$11*V2682</f>
        <v/>
      </c>
      <c r="P2682">
        <f>IF(B2704=0,0,O2682/B2704)</f>
        <v/>
      </c>
      <c r="Q2682" t="n">
        <v>0</v>
      </c>
      <c r="R2682" t="n">
        <v>0</v>
      </c>
      <c r="S2682">
        <f>IFERROR(O2682/N2682,0)</f>
        <v/>
      </c>
      <c r="T2682" t="n">
        <v>0</v>
      </c>
      <c r="V2682" t="n">
        <v>0</v>
      </c>
    </row>
    <row r="2683">
      <c r="A2683">
        <f>Skills!A14</f>
        <v/>
      </c>
      <c r="B2683">
        <f>Skills!B14</f>
        <v/>
      </c>
      <c r="C2683">
        <f>Inputs!$B$3&gt;=107</f>
        <v/>
      </c>
      <c r="D2683">
        <f>IF(Skills!C14=1,60+Inputs!$B$25+Inputs!$B$29,IF(Skills!C14=2,90+Inputs!$B$26+Inputs!$B$29,IF(Skills!C14=3,120+Inputs!$B$27+Inputs!$B$29,MAX(0,(Inputs!$B$3-100)*3)+Inputs!$B$28+Inputs!$B$29)))</f>
        <v/>
      </c>
      <c r="E2683">
        <f>INDEX(FactorTable!$B$2:$Y$301, MATCH(ROUND(MIN(300,MAX(1,D2683)),0), FactorTable!$A$2:$A$301,0), Skills!M14+1)</f>
        <v/>
      </c>
      <c r="F2683">
        <f>IF(Skills!N14=TRUE,(Skills!L14/10)*(E2683/1000),Skills!L14/10)+Skills!O14</f>
        <v/>
      </c>
      <c r="G2683">
        <f>Skills!G14*IF(Skills!H14&gt;0,Skills!I14/Skills!H14,1)</f>
        <v/>
      </c>
      <c r="H2683">
        <f>1-(1-Skills!J14/100)^Skills!K14</f>
        <v/>
      </c>
      <c r="I2683" t="inlineStr">
        <is>
          <t>1</t>
        </is>
      </c>
      <c r="J2683" t="inlineStr"/>
      <c r="K2683" t="inlineStr"/>
      <c r="L2683" t="inlineStr"/>
      <c r="M2683" t="inlineStr"/>
      <c r="N2683" t="inlineStr"/>
      <c r="O2683">
        <f>(1-Summary!$B$11)*T2683+Summary!$B$11*V2683</f>
        <v/>
      </c>
      <c r="P2683">
        <f>IF(B2704=0,0,O2683/B2704)</f>
        <v/>
      </c>
      <c r="Q2683" t="n">
        <v>0</v>
      </c>
      <c r="R2683" t="n">
        <v>0</v>
      </c>
      <c r="S2683">
        <f>IFERROR(O2683/N2683,0)</f>
        <v/>
      </c>
      <c r="T2683" t="n">
        <v>0</v>
      </c>
      <c r="V2683" t="n">
        <v>0</v>
      </c>
    </row>
    <row r="2684">
      <c r="A2684">
        <f>Skills!A15</f>
        <v/>
      </c>
      <c r="B2684">
        <f>Skills!B15</f>
        <v/>
      </c>
      <c r="C2684">
        <f>Inputs!$B$3&gt;=115</f>
        <v/>
      </c>
      <c r="D2684">
        <f>IF(Skills!C15=1,60+Inputs!$B$25+Inputs!$B$29,IF(Skills!C15=2,90+Inputs!$B$26+Inputs!$B$29,IF(Skills!C15=3,120+Inputs!$B$27+Inputs!$B$29,MAX(0,(Inputs!$B$3-100)*3)+Inputs!$B$28+Inputs!$B$29)))</f>
        <v/>
      </c>
      <c r="E2684">
        <f>INDEX(FactorTable!$B$2:$Y$301, MATCH(ROUND(MIN(300,MAX(1,D2684)),0), FactorTable!$A$2:$A$301,0), Skills!M15+1)</f>
        <v/>
      </c>
      <c r="F2684">
        <f>IF(Skills!N15=TRUE,(Skills!L15/10)*(E2684/1000),Skills!L15/10)+Skills!O15</f>
        <v/>
      </c>
      <c r="G2684">
        <f>Skills!G15*IF(Skills!H15&gt;0,Skills!I15/Skills!H15,1)</f>
        <v/>
      </c>
      <c r="H2684">
        <f>1-(1-Skills!J15/100)^Skills!K15</f>
        <v/>
      </c>
      <c r="I2684" t="inlineStr">
        <is>
          <t>1</t>
        </is>
      </c>
      <c r="J2684" t="inlineStr"/>
      <c r="K2684" t="inlineStr"/>
      <c r="L2684" t="inlineStr"/>
      <c r="M2684" t="inlineStr"/>
      <c r="N2684" t="inlineStr"/>
      <c r="O2684">
        <f>(1-Summary!$B$11)*T2684+Summary!$B$11*V2684</f>
        <v/>
      </c>
      <c r="P2684">
        <f>IF(B2704=0,0,O2684/B2704)</f>
        <v/>
      </c>
      <c r="Q2684" t="n">
        <v>0</v>
      </c>
      <c r="R2684" t="n">
        <v>0</v>
      </c>
      <c r="S2684">
        <f>IFERROR(O2684/N2684,0)</f>
        <v/>
      </c>
      <c r="T2684" t="n">
        <v>0</v>
      </c>
      <c r="V2684" t="n">
        <v>0</v>
      </c>
    </row>
    <row r="2685">
      <c r="A2685">
        <f>Skills!A16</f>
        <v/>
      </c>
      <c r="B2685">
        <f>Skills!B16</f>
        <v/>
      </c>
      <c r="C2685">
        <f>Inputs!$B$3&gt;=15</f>
        <v/>
      </c>
      <c r="D2685">
        <f>IF(Skills!C16=1,60+Inputs!$B$25+Inputs!$B$29,IF(Skills!C16=2,90+Inputs!$B$26+Inputs!$B$29,IF(Skills!C16=3,120+Inputs!$B$27+Inputs!$B$29,MAX(0,(Inputs!$B$3-100)*3)+Inputs!$B$28+Inputs!$B$29)))</f>
        <v/>
      </c>
      <c r="E2685">
        <f>INDEX(FactorTable!$B$2:$Y$301, MATCH(ROUND(MIN(300,MAX(1,D2685)),0), FactorTable!$A$2:$A$301,0), Skills!M16+1)</f>
        <v/>
      </c>
      <c r="F2685">
        <f>IF(Skills!N16=TRUE,(Skills!L16/10)*(E2685/1000),Skills!L16/10)+Skills!O16</f>
        <v/>
      </c>
      <c r="G2685">
        <f>Skills!G16*IF(Skills!H16&gt;0,Skills!I16/Skills!H16,1)</f>
        <v/>
      </c>
      <c r="H2685">
        <f>1-(1-Skills!J16/100)^Skills!K16</f>
        <v/>
      </c>
      <c r="I2685" t="inlineStr">
        <is>
          <t>1</t>
        </is>
      </c>
      <c r="J2685" t="inlineStr"/>
      <c r="K2685" t="inlineStr"/>
      <c r="L2685" t="inlineStr"/>
      <c r="M2685" t="inlineStr"/>
      <c r="N2685" t="inlineStr"/>
      <c r="O2685">
        <f>(1-Summary!$B$11)*T2685+Summary!$B$11*V2685</f>
        <v/>
      </c>
      <c r="P2685">
        <f>IF(B2704=0,0,O2685/B2704)</f>
        <v/>
      </c>
      <c r="Q2685" t="n">
        <v>0</v>
      </c>
      <c r="R2685" t="n">
        <v>0</v>
      </c>
      <c r="S2685">
        <f>IFERROR(O2685/N2685,0)</f>
        <v/>
      </c>
      <c r="T2685" t="n">
        <v>0</v>
      </c>
      <c r="V2685" t="n">
        <v>0</v>
      </c>
    </row>
    <row r="2686">
      <c r="A2686">
        <f>Skills!A17</f>
        <v/>
      </c>
      <c r="B2686">
        <f>Skills!B17</f>
        <v/>
      </c>
      <c r="C2686">
        <f>Inputs!$B$3&gt;=10</f>
        <v/>
      </c>
      <c r="D2686">
        <f>IF(Skills!C17=1,60+Inputs!$B$25+Inputs!$B$29,IF(Skills!C17=2,90+Inputs!$B$26+Inputs!$B$29,IF(Skills!C17=3,120+Inputs!$B$27+Inputs!$B$29,MAX(0,(Inputs!$B$3-100)*3)+Inputs!$B$28+Inputs!$B$29)))</f>
        <v/>
      </c>
      <c r="E2686">
        <f>INDEX(FactorTable!$B$2:$Y$301, MATCH(ROUND(MIN(300,MAX(1,D2686)),0), FactorTable!$A$2:$A$301,0), Skills!M17+1)</f>
        <v/>
      </c>
      <c r="F2686">
        <f>IF(Skills!N17=TRUE,(Skills!L17/10)*(E2686/1000),Skills!L17/10)+Skills!O17</f>
        <v/>
      </c>
      <c r="G2686">
        <f>Skills!G17*IF(Skills!H17&gt;0,Skills!I17/Skills!H17,1)</f>
        <v/>
      </c>
      <c r="H2686">
        <f>1-(1-Skills!J17/100)^Skills!K17</f>
        <v/>
      </c>
      <c r="I2686" t="inlineStr">
        <is>
          <t>1</t>
        </is>
      </c>
      <c r="J2686" t="inlineStr"/>
      <c r="K2686" t="inlineStr"/>
      <c r="L2686" t="inlineStr"/>
      <c r="M2686" t="inlineStr"/>
      <c r="N2686" t="inlineStr"/>
      <c r="O2686">
        <f>(1-Summary!$B$11)*T2686+Summary!$B$11*V2686</f>
        <v/>
      </c>
      <c r="P2686">
        <f>IF(B2704=0,0,O2686/B2704)</f>
        <v/>
      </c>
      <c r="Q2686" t="n">
        <v>0</v>
      </c>
      <c r="R2686" t="n">
        <v>0</v>
      </c>
      <c r="S2686">
        <f>IFERROR(O2686/N2686,0)</f>
        <v/>
      </c>
      <c r="T2686" t="n">
        <v>0</v>
      </c>
      <c r="V2686" t="n">
        <v>0</v>
      </c>
    </row>
    <row r="2687">
      <c r="A2687">
        <f>Skills!A18</f>
        <v/>
      </c>
      <c r="B2687">
        <f>Skills!B18</f>
        <v/>
      </c>
      <c r="C2687">
        <f>Inputs!$B$3&gt;=33</f>
        <v/>
      </c>
      <c r="D2687">
        <f>IF(Skills!C18=1,60+Inputs!$B$25+Inputs!$B$29,IF(Skills!C18=2,90+Inputs!$B$26+Inputs!$B$29,IF(Skills!C18=3,120+Inputs!$B$27+Inputs!$B$29,MAX(0,(Inputs!$B$3-100)*3)+Inputs!$B$28+Inputs!$B$29)))</f>
        <v/>
      </c>
      <c r="E2687">
        <f>INDEX(FactorTable!$B$2:$Y$301, MATCH(ROUND(MIN(300,MAX(1,D2687)),0), FactorTable!$A$2:$A$301,0), Skills!M18+1)</f>
        <v/>
      </c>
      <c r="F2687">
        <f>IF(Skills!N18=TRUE,(Skills!L18/10)*(E2687/1000),Skills!L18/10)+Skills!O18</f>
        <v/>
      </c>
      <c r="G2687">
        <f>Skills!G18*IF(Skills!H18&gt;0,Skills!I18/Skills!H18,1)</f>
        <v/>
      </c>
      <c r="H2687">
        <f>1-(1-Skills!J18/100)^Skills!K18</f>
        <v/>
      </c>
      <c r="I2687" t="inlineStr">
        <is>
          <t>1</t>
        </is>
      </c>
      <c r="J2687" t="inlineStr"/>
      <c r="K2687" t="inlineStr"/>
      <c r="L2687" t="inlineStr"/>
      <c r="M2687" t="inlineStr"/>
      <c r="N2687" t="inlineStr"/>
      <c r="O2687">
        <f>(1-Summary!$B$11)*T2687+Summary!$B$11*V2687</f>
        <v/>
      </c>
      <c r="P2687">
        <f>IF(B2704=0,0,O2687/B2704)</f>
        <v/>
      </c>
      <c r="Q2687" t="n">
        <v>0</v>
      </c>
      <c r="R2687" t="n">
        <v>0</v>
      </c>
      <c r="S2687">
        <f>IFERROR(O2687/N2687,0)</f>
        <v/>
      </c>
      <c r="T2687" t="n">
        <v>0</v>
      </c>
      <c r="V2687" t="n">
        <v>0</v>
      </c>
    </row>
    <row r="2688">
      <c r="A2688">
        <f>Skills!A19</f>
        <v/>
      </c>
      <c r="B2688">
        <f>Skills!B19</f>
        <v/>
      </c>
      <c r="C2688">
        <f>Inputs!$B$3&gt;=40</f>
        <v/>
      </c>
      <c r="D2688">
        <f>IF(Skills!C19=1,60+Inputs!$B$25+Inputs!$B$29,IF(Skills!C19=2,90+Inputs!$B$26+Inputs!$B$29,IF(Skills!C19=3,120+Inputs!$B$27+Inputs!$B$29,MAX(0,(Inputs!$B$3-100)*3)+Inputs!$B$28+Inputs!$B$29)))</f>
        <v/>
      </c>
      <c r="E2688">
        <f>INDEX(FactorTable!$B$2:$Y$301, MATCH(ROUND(MIN(300,MAX(1,D2688)),0), FactorTable!$A$2:$A$301,0), Skills!M19+1)</f>
        <v/>
      </c>
      <c r="F2688">
        <f>IF(Skills!N19=TRUE,(Skills!L19/10)*(E2688/1000),Skills!L19/10)+Skills!O19</f>
        <v/>
      </c>
      <c r="G2688">
        <f>Skills!G19*IF(Skills!H19&gt;0,Skills!I19/Skills!H19,1)</f>
        <v/>
      </c>
      <c r="H2688">
        <f>1-(1-Skills!J19/100)^Skills!K19</f>
        <v/>
      </c>
      <c r="I2688" t="inlineStr">
        <is>
          <t>1</t>
        </is>
      </c>
      <c r="J2688" t="inlineStr"/>
      <c r="K2688" t="inlineStr"/>
      <c r="L2688" t="inlineStr"/>
      <c r="M2688" t="inlineStr"/>
      <c r="N2688" t="inlineStr"/>
      <c r="O2688">
        <f>(1-Summary!$B$11)*T2688+Summary!$B$11*V2688</f>
        <v/>
      </c>
      <c r="P2688">
        <f>IF(B2704=0,0,O2688/B2704)</f>
        <v/>
      </c>
      <c r="Q2688" t="n">
        <v>0</v>
      </c>
      <c r="R2688" t="n">
        <v>0</v>
      </c>
      <c r="S2688">
        <f>IFERROR(O2688/N2688,0)</f>
        <v/>
      </c>
      <c r="T2688" t="n">
        <v>0</v>
      </c>
      <c r="V2688" t="n">
        <v>0</v>
      </c>
    </row>
    <row r="2689">
      <c r="A2689">
        <f>Skills!A20</f>
        <v/>
      </c>
      <c r="B2689">
        <f>Skills!B20</f>
        <v/>
      </c>
      <c r="C2689">
        <f>Inputs!$B$3&gt;=43</f>
        <v/>
      </c>
      <c r="D2689">
        <f>IF(Skills!C20=1,60+Inputs!$B$25+Inputs!$B$29,IF(Skills!C20=2,90+Inputs!$B$26+Inputs!$B$29,IF(Skills!C20=3,120+Inputs!$B$27+Inputs!$B$29,MAX(0,(Inputs!$B$3-100)*3)+Inputs!$B$28+Inputs!$B$29)))</f>
        <v/>
      </c>
      <c r="E2689">
        <f>INDEX(FactorTable!$B$2:$Y$301, MATCH(ROUND(MIN(300,MAX(1,D2689)),0), FactorTable!$A$2:$A$301,0), Skills!M20+1)</f>
        <v/>
      </c>
      <c r="F2689">
        <f>IF(Skills!N20=TRUE,(Skills!L20/10)*(E2689/1000),Skills!L20/10)+Skills!O20</f>
        <v/>
      </c>
      <c r="G2689">
        <f>Skills!G20*IF(Skills!H20&gt;0,Skills!I20/Skills!H20,1)</f>
        <v/>
      </c>
      <c r="H2689">
        <f>1-(1-Skills!J20/100)^Skills!K20</f>
        <v/>
      </c>
      <c r="I2689" t="inlineStr">
        <is>
          <t>1</t>
        </is>
      </c>
      <c r="J2689" t="inlineStr"/>
      <c r="K2689" t="inlineStr"/>
      <c r="L2689" t="inlineStr"/>
      <c r="M2689" t="inlineStr"/>
      <c r="N2689" t="inlineStr"/>
      <c r="O2689">
        <f>(1-Summary!$B$11)*T2689+Summary!$B$11*V2689</f>
        <v/>
      </c>
      <c r="P2689">
        <f>IF(B2704=0,0,O2689/B2704)</f>
        <v/>
      </c>
      <c r="Q2689" t="n">
        <v>0</v>
      </c>
      <c r="R2689" t="n">
        <v>0</v>
      </c>
      <c r="S2689">
        <f>IFERROR(O2689/N2689,0)</f>
        <v/>
      </c>
      <c r="T2689" t="n">
        <v>0</v>
      </c>
      <c r="V2689" t="n">
        <v>0</v>
      </c>
    </row>
    <row r="2690">
      <c r="A2690">
        <f>Skills!A21</f>
        <v/>
      </c>
      <c r="B2690">
        <f>Skills!B21</f>
        <v/>
      </c>
      <c r="C2690">
        <f>Inputs!$B$3&gt;=38</f>
        <v/>
      </c>
      <c r="D2690">
        <f>IF(Skills!C21=1,60+Inputs!$B$25+Inputs!$B$29,IF(Skills!C21=2,90+Inputs!$B$26+Inputs!$B$29,IF(Skills!C21=3,120+Inputs!$B$27+Inputs!$B$29,MAX(0,(Inputs!$B$3-100)*3)+Inputs!$B$28+Inputs!$B$29)))</f>
        <v/>
      </c>
      <c r="E2690">
        <f>INDEX(FactorTable!$B$2:$Y$301, MATCH(ROUND(MIN(300,MAX(1,D2690)),0), FactorTable!$A$2:$A$301,0), Skills!M21+1)</f>
        <v/>
      </c>
      <c r="F2690">
        <f>IF(Skills!N21=TRUE,(Skills!L21/10)*(E2690/1000),Skills!L21/10)+Skills!O21</f>
        <v/>
      </c>
      <c r="G2690">
        <f>Skills!G21*IF(Skills!H21&gt;0,Skills!I21/Skills!H21,1)</f>
        <v/>
      </c>
      <c r="H2690">
        <f>1-(1-Skills!J21/100)^Skills!K21</f>
        <v/>
      </c>
      <c r="I2690" t="inlineStr">
        <is>
          <t>1</t>
        </is>
      </c>
      <c r="J2690" t="inlineStr"/>
      <c r="K2690" t="inlineStr"/>
      <c r="L2690" t="inlineStr"/>
      <c r="M2690" t="inlineStr"/>
      <c r="N2690" t="inlineStr"/>
      <c r="O2690">
        <f>(1-Summary!$B$11)*T2690+Summary!$B$11*V2690</f>
        <v/>
      </c>
      <c r="P2690">
        <f>IF(B2704=0,0,O2690/B2704)</f>
        <v/>
      </c>
      <c r="Q2690" t="n">
        <v>0</v>
      </c>
      <c r="R2690" t="n">
        <v>0</v>
      </c>
      <c r="S2690">
        <f>IFERROR(O2690/N2690,0)</f>
        <v/>
      </c>
      <c r="T2690" t="n">
        <v>0</v>
      </c>
      <c r="V2690" t="n">
        <v>0</v>
      </c>
    </row>
    <row r="2691">
      <c r="A2691">
        <f>Skills!A22</f>
        <v/>
      </c>
      <c r="B2691">
        <f>Skills!B22</f>
        <v/>
      </c>
      <c r="C2691">
        <f>Inputs!$B$3&gt;=75</f>
        <v/>
      </c>
      <c r="D2691">
        <f>IF(Skills!C22=1,60+Inputs!$B$25+Inputs!$B$29,IF(Skills!C22=2,90+Inputs!$B$26+Inputs!$B$29,IF(Skills!C22=3,120+Inputs!$B$27+Inputs!$B$29,MAX(0,(Inputs!$B$3-100)*3)+Inputs!$B$28+Inputs!$B$29)))</f>
        <v/>
      </c>
      <c r="E2691">
        <f>INDEX(FactorTable!$B$2:$Y$301, MATCH(ROUND(MIN(300,MAX(1,D2691)),0), FactorTable!$A$2:$A$301,0), Skills!M22+1)</f>
        <v/>
      </c>
      <c r="F2691">
        <f>IF(Skills!N22=TRUE,(Skills!L22/10)*(E2691/1000),Skills!L22/10)+Skills!O22</f>
        <v/>
      </c>
      <c r="G2691">
        <f>Skills!G22*IF(Skills!H22&gt;0,Skills!I22/Skills!H22,1)</f>
        <v/>
      </c>
      <c r="H2691">
        <f>1-(1-Skills!J22/100)^Skills!K22</f>
        <v/>
      </c>
      <c r="I2691" t="inlineStr">
        <is>
          <t>1</t>
        </is>
      </c>
      <c r="J2691" t="inlineStr"/>
      <c r="K2691" t="inlineStr"/>
      <c r="L2691" t="inlineStr"/>
      <c r="M2691" t="inlineStr"/>
      <c r="N2691" t="inlineStr"/>
      <c r="O2691">
        <f>(1-Summary!$B$11)*T2691+Summary!$B$11*V2691</f>
        <v/>
      </c>
      <c r="P2691">
        <f>IF(B2704=0,0,O2691/B2704)</f>
        <v/>
      </c>
      <c r="Q2691" t="n">
        <v>0</v>
      </c>
      <c r="R2691" t="n">
        <v>0</v>
      </c>
      <c r="S2691">
        <f>IFERROR(O2691/N2691,0)</f>
        <v/>
      </c>
      <c r="T2691" t="n">
        <v>0</v>
      </c>
      <c r="V2691" t="n">
        <v>0</v>
      </c>
    </row>
    <row r="2693">
      <c r="A2693" t="inlineStr">
        <is>
          <t>Attack% Bucket Multiplier</t>
        </is>
      </c>
      <c r="B2693">
        <f>(1+(((C2682=TRUE)*F2682)+((C2688=TRUE)*(F2688-Calc!F19))+(IF(ArtifactsInput!$M$21,CHOOSE(ArtifactsInput!$N$21+1,25,30,35,40,45,50)*(IF(OR(Inputs!$B$4="Chapter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94">
      <c r="A2694" t="inlineStr">
        <is>
          <t>Global Crit Rate Bonus %</t>
        </is>
      </c>
      <c r="B2694" t="n">
        <v>0</v>
      </c>
    </row>
    <row r="2695">
      <c r="A2695" t="inlineStr">
        <is>
          <t>Attack Speed Buff Bonus % (unused)</t>
        </is>
      </c>
      <c r="B2695" t="n">
        <v>0</v>
      </c>
    </row>
    <row r="2696">
      <c r="A2696" t="inlineStr">
        <is>
          <t>Actions Per Second</t>
        </is>
      </c>
      <c r="B2696">
        <f>1+MIN(150,150*(1-(1-(Inputs!$B$11+((C2686=TRUE)*(F2686-Calc!F17))+((C2687=TRUE)*(F2687-Calc!F18)))/150)*(1-B2695/150)))/100</f>
        <v/>
      </c>
    </row>
    <row r="2697">
      <c r="A2697" t="inlineStr">
        <is>
          <t>Skill + Buff Cast Rate</t>
        </is>
      </c>
      <c r="B2697">
        <f>IF(AND(Inputs!$B$38&lt;&gt;"pvp",Inputs!$B$43&gt;0),SUMPRODUCT((Skills!E2:E22=TRUE)*(C2671:C2691=TRUE)*R2671:R2691*Skills!F2:F22)/Inputs!$B$43,SUMPRODUCT((Skills!E2:E22=TRUE)*(C2671:C2691=TRUE)*Q2671:Q2691*Skills!F2:F22))</f>
        <v/>
      </c>
    </row>
    <row r="2698">
      <c r="A2698" t="inlineStr">
        <is>
          <t>Hook Bomber Casts Per Second</t>
        </is>
      </c>
      <c r="B2698">
        <f>MAX(0,B2696-B2697)</f>
        <v/>
      </c>
    </row>
    <row r="2699">
      <c r="A2699" t="inlineStr">
        <is>
          <t>Global Critical Damage Bonus % (unused)</t>
        </is>
      </c>
      <c r="B2699" t="n">
        <v>0</v>
      </c>
    </row>
    <row r="2700">
      <c r="A2700" t="inlineStr">
        <is>
          <t>Global Final Damage Bonus % (Serpent Scale + Crossbones + Time Leap + Speed Infusion)</t>
        </is>
      </c>
      <c r="B2700">
        <f>((C2674=TRUE)*F2674*((10+IF(Inputs!$B$3&gt;=94,5,0))/((10+IF(Inputs!$B$3&gt;=94,5,0))+5/(B2698*(1+IF(Inputs!$B$3&gt;=104,1,0))))))+((C2683=TRUE)*F2683)+((C2684=TRUE)*F2684)+((Inputs!$B$3&gt;=110)*20*(B2696-1))</f>
        <v/>
      </c>
    </row>
    <row r="2701">
      <c r="A2701" t="inlineStr">
        <is>
          <t>Buff-Casting Startup Delay (s, fixed-duration only)</t>
        </is>
      </c>
      <c r="B2701">
        <f>IF(AND(Inputs!$B$38&lt;&gt;"pvp",Inputs!$B$43&gt;0),SUMPRODUCT((Skills!T2:T22&gt;0)*(Skills!E2:E22=TRUE)*(C2671:C2691=TRUE))/B2696,0)</f>
        <v/>
      </c>
    </row>
    <row r="2702">
      <c r="A2702" t="inlineStr">
        <is>
          <t>Boss-Only Total DPS (this block's swept value)</t>
        </is>
      </c>
      <c r="B2702">
        <f>SUM(T2671:T2691)</f>
        <v/>
      </c>
    </row>
    <row r="2703">
      <c r="A2703" t="inlineStr">
        <is>
          <t>Normal-Only Total DPS (this block's swept value)</t>
        </is>
      </c>
      <c r="B2703">
        <f>SUM(V2671:V2691)</f>
        <v/>
      </c>
    </row>
    <row r="2704">
      <c r="A2704" s="6" t="inlineStr">
        <is>
          <t>TOTAL DPS</t>
        </is>
      </c>
      <c r="B2704" s="6">
        <f>SUM(O2671:O2691)</f>
        <v/>
      </c>
    </row>
    <row r="2707">
      <c r="A2707" s="6" t="inlineStr">
        <is>
          <t>Stat: CDR = 4.0s</t>
        </is>
      </c>
    </row>
    <row r="2708">
      <c r="A2708" s="5" t="inlineStr">
        <is>
          <t>Key</t>
        </is>
      </c>
      <c r="B2708" s="5" t="inlineStr">
        <is>
          <t>Name</t>
        </is>
      </c>
      <c r="C2708" s="5" t="inlineStr">
        <is>
          <t>Unlocked</t>
        </is>
      </c>
      <c r="D2708" s="5" t="inlineStr">
        <is>
          <t>InputLevel</t>
        </is>
      </c>
      <c r="E2708" s="5" t="inlineStr">
        <is>
          <t>Factor</t>
        </is>
      </c>
      <c r="F2708" s="5" t="inlineStr">
        <is>
          <t>CoefficientPercent</t>
        </is>
      </c>
      <c r="G2708" s="5" t="inlineStr">
        <is>
          <t>EffectiveHits</t>
        </is>
      </c>
      <c r="H2708" s="5" t="inlineStr">
        <is>
          <t>ProcProbability</t>
        </is>
      </c>
      <c r="I2708" s="5" t="inlineStr">
        <is>
          <t>MapleHeroMultiplier</t>
        </is>
      </c>
      <c r="J2708" s="5" t="inlineStr">
        <is>
          <t>BaseDamage</t>
        </is>
      </c>
      <c r="K2708" s="5" t="inlineStr">
        <is>
          <t>BaseHitDamage</t>
        </is>
      </c>
      <c r="L2708" s="5" t="inlineStr">
        <is>
          <t>NonCritAvg</t>
        </is>
      </c>
      <c r="M2708" s="5" t="inlineStr">
        <is>
          <t>CritAvg</t>
        </is>
      </c>
      <c r="N2708" s="5" t="inlineStr">
        <is>
          <t>ExpectedDamage(perHit)</t>
        </is>
      </c>
      <c r="O2708" s="5" t="inlineStr">
        <is>
          <t>DPS</t>
        </is>
      </c>
      <c r="P2708" s="5" t="inlineStr">
        <is>
          <t>% of Total</t>
        </is>
      </c>
      <c r="Q2708" s="5" t="inlineStr">
        <is>
          <t>InvCooldown</t>
        </is>
      </c>
      <c r="R2708" s="5" t="inlineStr">
        <is>
          <t>CastsInFight</t>
        </is>
      </c>
      <c r="S2708" s="5" t="inlineStr">
        <is>
          <t>HitRate(perSec)</t>
        </is>
      </c>
      <c r="U2708" t="inlineStr">
        <is>
          <t>helpers</t>
        </is>
      </c>
    </row>
    <row r="2709">
      <c r="A2709">
        <f>Skills!A2</f>
        <v/>
      </c>
      <c r="B2709">
        <f>Skills!B2</f>
        <v/>
      </c>
      <c r="C2709">
        <f>Inputs!$B$3&gt;=100</f>
        <v/>
      </c>
      <c r="D2709" t="inlineStr"/>
      <c r="E2709" t="inlineStr"/>
      <c r="F2709">
        <f>U2711+Skills!O2</f>
        <v/>
      </c>
      <c r="G2709">
        <f>Skills!G2*IF(Skills!H2&gt;0,Skills!I2/Skills!H2,1)</f>
        <v/>
      </c>
      <c r="H2709">
        <f>1-(1-Skills!J2/100)^Skills!K2</f>
        <v/>
      </c>
      <c r="I2709" t="inlineStr">
        <is>
          <t>1</t>
        </is>
      </c>
      <c r="J2709">
        <f>((Inputs!$B$6*(1+Inputs!$B$7/100))+(((Inputs!$B$12*(1+Inputs!$B$13/100))-(Inputs!$B$12*(1+Inputs!$B$13/100)))+0.25*(Inputs!$B$14-Inputs!$B$14))*(1+Inputs!$B$7/100))*(F2709/100)</f>
        <v/>
      </c>
      <c r="K2709">
        <f>J2709*(1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2709)</f>
        <v/>
      </c>
      <c r="L2709">
        <f>K2709*(MIN(Inputs!$B$22+((C2727=TRUE)*(F2727-Calc!F20)),(Inputs!$B$23+0+(IF(ArtifactsInput!$M$15,CHOOSE(ArtifactsInput!$N$15+1,25,30,35,40,45,50)/100*(Inputs!$B$11-Inputs!$B$11),0))))/100+(Inputs!$B$23+0+(IF(ArtifactsInput!$M$15,CHOOSE(ArtifactsInput!$N$15+1,25,30,35,40,45,50)/100*(Inputs!$B$11-Inputs!$B$11),0)))/100)/2</f>
        <v/>
      </c>
      <c r="M2709">
        <f>L2709*(1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9">
        <f>L2709*(1-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2709*(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9">
        <f>(1-Summary!$B$11)*T2709+Summary!$B$11*V2709</f>
        <v/>
      </c>
      <c r="P2709">
        <f>IF(B2742=0,0,O2709/B2742)</f>
        <v/>
      </c>
      <c r="Q2709" t="n">
        <v>0</v>
      </c>
      <c r="R2709" t="n">
        <v>0</v>
      </c>
      <c r="S2709">
        <f>IFERROR(O2709/N2709,0)</f>
        <v/>
      </c>
      <c r="T2709">
        <f>IF(C2709,(Skills!G2*N2709*B2736)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2709*(1-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2709*(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2709*(1-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2709*(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9">
        <f>MAX(0,(Inputs!$B$3-100)*3)+Inputs!$B$28+Inputs!$B$29</f>
        <v/>
      </c>
      <c r="V2709">
        <f>IF(C2709,(Skills!G2*N2709*B2736)*IF(Inputs!$B$38="pvp",1,(1+(Inputs!$B$21+Skills!Q2+(IF(ArtifactsInput!$M$33,CHOOSE(ArtifactsInput!$N$33+1,30,36,42,48,54,60),0))+(IF(AND(ArtifactsInput!$M$35,Inputs!$B$4&lt;&gt;"Chapter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0">
      <c r="A2710">
        <f>Skills!A3</f>
        <v/>
      </c>
      <c r="B2710">
        <f>Skills!B3</f>
        <v/>
      </c>
      <c r="C2710">
        <f>Inputs!$B$3&gt;=35</f>
        <v/>
      </c>
      <c r="D2710">
        <f>IF(Skills!C3=1,60+Inputs!$B$25+Inputs!$B$29,IF(Skills!C3=2,90+Inputs!$B$26+Inputs!$B$29,IF(Skills!C3=3,120+Inputs!$B$27+Inputs!$B$29,MAX(0,(Inputs!$B$3-100)*3)+Inputs!$B$28+Inputs!$B$29)))</f>
        <v/>
      </c>
      <c r="E2710">
        <f>INDEX(FactorTable!$B$2:$Y$301, MATCH(ROUND(MIN(300,MAX(1,D2710)),0), FactorTable!$A$2:$A$301,0), Skills!M3+1)</f>
        <v/>
      </c>
      <c r="F2710">
        <f>IF(Skills!N3=TRUE,(Skills!L3/10)*(E2710/1000),Skills!L3/10)+Skills!O3</f>
        <v/>
      </c>
      <c r="G2710">
        <f>Skills!G3*IF(Skills!H3&gt;0,Skills!I3/Skills!H3,1)</f>
        <v/>
      </c>
      <c r="H2710">
        <f>1-(1-Skills!J3/100)^Skills!K3</f>
        <v/>
      </c>
      <c r="I2710" t="inlineStr">
        <is>
          <t>1</t>
        </is>
      </c>
      <c r="J2710">
        <f>((Inputs!$B$6*(1+Inputs!$B$7/100))+(((Inputs!$B$12*(1+Inputs!$B$13/100))-(Inputs!$B$12*(1+Inputs!$B$13/100)))+0.25*(Inputs!$B$14-Inputs!$B$14))*(1+Inputs!$B$7/100))*(F2710/100)</f>
        <v/>
      </c>
      <c r="K2710">
        <f>J2710*(1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2710)</f>
        <v/>
      </c>
      <c r="L2710">
        <f>K2710*(MIN(Inputs!$B$22+((C2727=TRUE)*(F2727-Calc!F20)),(Inputs!$B$23+0+(IF(ArtifactsInput!$M$15,CHOOSE(ArtifactsInput!$N$15+1,25,30,35,40,45,50)/100*(Inputs!$B$11-Inputs!$B$11),0))))/100+(Inputs!$B$23+0+(IF(ArtifactsInput!$M$15,CHOOSE(ArtifactsInput!$N$15+1,25,30,35,40,45,50)/100*(Inputs!$B$11-Inputs!$B$11),0)))/100)/2</f>
        <v/>
      </c>
      <c r="M2710">
        <f>L2710*(1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0">
        <f>L2710*(1-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2710*(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0">
        <f>(1-Summary!$B$11)*T2710+Summary!$B$11*V2710</f>
        <v/>
      </c>
      <c r="P2710">
        <f>IF(B2742=0,0,O2710/B2742)</f>
        <v/>
      </c>
      <c r="Q2710" t="n">
        <v>0</v>
      </c>
      <c r="R2710" t="n">
        <v>0</v>
      </c>
      <c r="S2710">
        <f>IFERROR(O2710/N2710,0)</f>
        <v/>
      </c>
      <c r="T2710">
        <f>IF(C2710,(Skills!G3*H2710*N2710*B2736)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2710*(1-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2710*(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2710*(1-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2710*(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0">
        <f>INDEX(FactorTable!$B$2:$Y$301, MATCH(ROUND(MIN(300,MAX(1,U2709)),0), FactorTable!$A$2:$A$301,0), 22)</f>
        <v/>
      </c>
      <c r="V2710">
        <f>IF(C2710,(Skills!G3*H2710*N2710*B2736)*IF(Inputs!$B$38="pvp",1,(1+(Inputs!$B$21+Skills!Q3+(IF(ArtifactsInput!$M$33,CHOOSE(ArtifactsInput!$N$33+1,30,36,42,48,54,60),0))+(IF(AND(ArtifactsInput!$M$35,Inputs!$B$4&lt;&gt;"Chapter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1">
      <c r="A2711">
        <f>Skills!A4</f>
        <v/>
      </c>
      <c r="B2711">
        <f>Skills!B4</f>
        <v/>
      </c>
      <c r="C2711">
        <f>Inputs!$B$3&gt;=60</f>
        <v/>
      </c>
      <c r="D2711">
        <f>IF(Skills!C4=1,60+Inputs!$B$25+Inputs!$B$29,IF(Skills!C4=2,90+Inputs!$B$26+Inputs!$B$29,IF(Skills!C4=3,120+Inputs!$B$27+Inputs!$B$29,MAX(0,(Inputs!$B$3-100)*3)+Inputs!$B$28+Inputs!$B$29)))</f>
        <v/>
      </c>
      <c r="E2711">
        <f>INDEX(FactorTable!$B$2:$Y$301, MATCH(ROUND(MIN(300,MAX(1,D2711)),0), FactorTable!$A$2:$A$301,0), Skills!M4+1)</f>
        <v/>
      </c>
      <c r="F2711">
        <f>IF(Skills!N4=TRUE,(Skills!L4/10)*(E2711/1000),Skills!L4/10)+Skills!O4</f>
        <v/>
      </c>
      <c r="G2711">
        <f>Skills!G4*IF(Skills!H4&gt;0,Skills!I4/Skills!H4,1)</f>
        <v/>
      </c>
      <c r="H2711">
        <f>1-(1-Skills!J4/100)^Skills!K4</f>
        <v/>
      </c>
      <c r="I2711" t="inlineStr">
        <is>
          <t>1</t>
        </is>
      </c>
      <c r="J2711">
        <f>((Inputs!$B$6*(1+Inputs!$B$7/100))+(((Inputs!$B$12*(1+Inputs!$B$13/100))-(Inputs!$B$12*(1+Inputs!$B$13/100)))+0.25*(Inputs!$B$14-Inputs!$B$14))*(1+Inputs!$B$7/100))*(F2711/100)</f>
        <v/>
      </c>
      <c r="K2711">
        <f>J2711*(1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2719=TRUE,F2719,0)/100)*(1+(IF(Skills!A4="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2711)</f>
        <v/>
      </c>
      <c r="L2711">
        <f>K2711*(MIN(Inputs!$B$22+((C2727=TRUE)*(F2727-Calc!F20)),(Inputs!$B$23+0+(IF(ArtifactsInput!$M$15,CHOOSE(ArtifactsInput!$N$15+1,25,30,35,40,45,50)/100*(Inputs!$B$11-Inputs!$B$11),0))))/100+(Inputs!$B$23+0+(IF(ArtifactsInput!$M$15,CHOOSE(ArtifactsInput!$N$15+1,25,30,35,40,45,50)/100*(Inputs!$B$11-Inputs!$B$11),0)))/100)/2</f>
        <v/>
      </c>
      <c r="M2711">
        <f>L2711*(1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1">
        <f>L2711*(1-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1">
        <f>(1-Summary!$B$11)*T2711+Summary!$B$11*V2711</f>
        <v/>
      </c>
      <c r="P2711">
        <f>IF(B2742=0,0,O2711/B2742)</f>
        <v/>
      </c>
      <c r="Q2711" t="n">
        <v>0</v>
      </c>
      <c r="R2711" t="n">
        <v>0</v>
      </c>
      <c r="S2711">
        <f>IFERROR(O2711/N2711,0)</f>
        <v/>
      </c>
      <c r="T2711">
        <f>IF(C2711,(Skills!G4*H2711*N2711*B2736)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2711*(1-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1">
        <f>290*U2710/1000</f>
        <v/>
      </c>
      <c r="V2711">
        <f>IF(C2711,(Skills!G4*H2711*N2711*B2736)*IF(Inputs!$B$38="pvp",1,(1+(Inputs!$B$21+Skills!Q4+(IF(ArtifactsInput!$M$33,CHOOSE(ArtifactsInput!$N$33+1,30,36,42,48,54,60),0))+(IF(AND(ArtifactsInput!$M$35,Inputs!$B$4&lt;&gt;"Chapter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2">
      <c r="A2712">
        <f>Skills!A5</f>
        <v/>
      </c>
      <c r="B2712">
        <f>Skills!B5</f>
        <v/>
      </c>
      <c r="C2712">
        <f>Inputs!$B$3&gt;=60</f>
        <v/>
      </c>
      <c r="D2712">
        <f>IF(Skills!C5=1,60+Inputs!$B$25+Inputs!$B$29,IF(Skills!C5=2,90+Inputs!$B$26+Inputs!$B$29,IF(Skills!C5=3,120+Inputs!$B$27+Inputs!$B$29,MAX(0,(Inputs!$B$3-100)*3)+Inputs!$B$28+Inputs!$B$29)))</f>
        <v/>
      </c>
      <c r="E2712">
        <f>INDEX(FactorTable!$B$2:$Y$301, MATCH(ROUND(MIN(300,MAX(1,D2712)),0), FactorTable!$A$2:$A$301,0), Skills!M5+1)</f>
        <v/>
      </c>
      <c r="F2712">
        <f>IF(Skills!N5=TRUE,(Skills!L5/10)*(E2712/1000),Skills!L5/10)+Skills!O5</f>
        <v/>
      </c>
      <c r="G2712">
        <f>Skills!G5*IF(Skills!H5&gt;0,Skills!I5/Skills!H5,1)</f>
        <v/>
      </c>
      <c r="H2712">
        <f>1-(1-Skills!J5/100)^Skills!K5</f>
        <v/>
      </c>
      <c r="I2712" t="inlineStr">
        <is>
          <t>1</t>
        </is>
      </c>
      <c r="J2712" t="inlineStr"/>
      <c r="K2712" t="inlineStr"/>
      <c r="L2712" t="inlineStr"/>
      <c r="M2712" t="inlineStr"/>
      <c r="N2712" t="inlineStr"/>
      <c r="O2712">
        <f>(1-Summary!$B$11)*T2712+Summary!$B$11*V2712</f>
        <v/>
      </c>
      <c r="P2712">
        <f>IF(B2742=0,0,O2712/B2742)</f>
        <v/>
      </c>
      <c r="Q2712" t="n">
        <v>0</v>
      </c>
      <c r="R2712" t="n">
        <v>0</v>
      </c>
      <c r="S2712">
        <f>IFERROR(O2712/N2712,0)</f>
        <v/>
      </c>
      <c r="T2712" t="n">
        <v>0</v>
      </c>
      <c r="V2712" t="n">
        <v>0</v>
      </c>
    </row>
    <row r="2713">
      <c r="A2713">
        <f>Skills!A6</f>
        <v/>
      </c>
      <c r="B2713">
        <f>Skills!B6</f>
        <v/>
      </c>
      <c r="C2713">
        <f>Inputs!$B$3&gt;=63</f>
        <v/>
      </c>
      <c r="D2713">
        <f>IF(Skills!C6=1,60+Inputs!$B$25+Inputs!$B$29,IF(Skills!C6=2,90+Inputs!$B$26+Inputs!$B$29,IF(Skills!C6=3,120+Inputs!$B$27+Inputs!$B$29,MAX(0,(Inputs!$B$3-100)*3)+Inputs!$B$28+Inputs!$B$29)))</f>
        <v/>
      </c>
      <c r="E2713">
        <f>INDEX(FactorTable!$B$2:$Y$301, MATCH(ROUND(MIN(300,MAX(1,D2713)),0), FactorTable!$A$2:$A$301,0), Skills!M6+1)</f>
        <v/>
      </c>
      <c r="F2713">
        <f>IF(Skills!N6=TRUE,(Skills!L6/10)*(E2713/1000),Skills!L6/10)+Skills!O6</f>
        <v/>
      </c>
      <c r="G2713">
        <f>Skills!G6*IF(Skills!H6&gt;0,Skills!I6/Skills!H6,1)</f>
        <v/>
      </c>
      <c r="H2713">
        <f>1-(1-Skills!J6/100)^Skills!K6</f>
        <v/>
      </c>
      <c r="I2713" t="inlineStr">
        <is>
          <t>1</t>
        </is>
      </c>
      <c r="J2713">
        <f>((Inputs!$B$6*(1+Inputs!$B$7/100))+(((Inputs!$B$12*(1+Inputs!$B$13/100))-(Inputs!$B$12*(1+Inputs!$B$13/100)))+0.25*(Inputs!$B$14-Inputs!$B$14))*(1+Inputs!$B$7/100))*(F2713/100)</f>
        <v/>
      </c>
      <c r="K2713">
        <f>J2713*(1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C2727=TRUE)*(F2727-Calc!F20)),(Inputs!$B$23+0+(IF(ArtifactsInput!$M$15,CHOOSE(ArtifactsInput!$N$15+1,25,30,35,40,45,50)/100*(Inputs!$B$11-Inputs!$B$11),0))))/100+(Inputs!$B$23+0+(IF(ArtifactsInput!$M$15,CHOOSE(ArtifactsInput!$N$15+1,25,30,35,40,45,50)/100*(Inputs!$B$11-Inputs!$B$11),0)))/100)/2</f>
        <v/>
      </c>
      <c r="M2713">
        <f>L2713*(1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(1-Summary!$B$11)*T2713+Summary!$B$11*V2713</f>
        <v/>
      </c>
      <c r="P2713">
        <f>IF(B2742=0,0,O2713/B2742)</f>
        <v/>
      </c>
      <c r="Q2713">
        <f>IFERROR(1/(IF(Inputs!$B$38="pvp",15,MAX(0.1,Skills!D6-IF(Skills!E6=TRUE,4.0,0)))*(1-IF(AND(ArtifactsInput!$M$27,Inputs!$B$4="Chapter Hunt"),CHOOSE(ArtifactsInput!$N$27+1,20,24,28,32,36,40),0)/100)),0)</f>
        <v/>
      </c>
      <c r="R2713">
        <f>IF(AND(Inputs!$B$38&lt;&gt;"pvp",Inputs!$B$43&gt;0),IF(MAX(0,Inputs!$B$43-B2739)&lt;=0,0,(INT(MAX(0,Inputs!$B$43-B2739)/(IF(Inputs!$B$38="pvp",15,MAX(0.1,Skills!D6-IF(Skills!E6=TRUE,4.0,0)))*(1-IF(AND(ArtifactsInput!$M$27,Inputs!$B$4="Chapter Hunt"),CHOOSE(ArtifactsInput!$N$27+1,20,24,28,32,36,40),0)/100)))+1)),0)</f>
        <v/>
      </c>
      <c r="S2713">
        <f>IFERROR(O2713/N2713,0)</f>
        <v/>
      </c>
      <c r="T2713">
        <f>IF(C2713,(H2713*N2713*IF(AND(Inputs!$B$38&lt;&gt;"pvp",Inputs!$B$43&gt;0),((Skills!G6*((R2713-1)*IF(Skills!H6&gt;0,Skills!I6/Skills!H6,1)+IF(Skills!H6&gt;0,MIN(Skills!I6,MAX(0,MAX(0,Inputs!$B$43-B2739)-((R2713-1)*(IF(Inputs!$B$38="pvp",15,MAX(0.1,Skills!D6-IF(Skills!E6=TRUE,4.0,0)))*(1-IF(AND(ArtifactsInput!$M$27,Inputs!$B$4="Chapter Hunt"),CHOOSE(ArtifactsInput!$N$27+1,20,24,28,32,36,40),0)/100)))))/Skills!H6,1)))/Inputs!$B$43),G2713*Q2713)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2713*(1-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3">
        <f>IF(C2713,(H2713*N2713*IF(AND(Inputs!$B$38&lt;&gt;"pvp",Inputs!$B$43&gt;0),((Skills!G6*((R2713-1)*IF(Skills!H6&gt;0,Skills!I6/Skills!H6,1)+IF(Skills!H6&gt;0,MIN(Skills!I6,MAX(0,MAX(0,Inputs!$B$43-B2739)-((R2713-1)*(IF(Inputs!$B$38="pvp",15,MAX(0.1,Skills!D6-IF(Skills!E6=TRUE,4.0,0)))*(1-IF(AND(ArtifactsInput!$M$27,Inputs!$B$4="Chapter Hunt"),CHOOSE(ArtifactsInput!$N$27+1,20,24,28,32,36,40),0)/100)))))/Skills!H6,1)))/Inputs!$B$43),G2713*Q2713))*IF(Inputs!$B$38="pvp",1,(1+(Inputs!$B$21+Skills!Q6+(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4">
      <c r="A2714">
        <f>Skills!A7</f>
        <v/>
      </c>
      <c r="B2714">
        <f>Skills!B7</f>
        <v/>
      </c>
      <c r="C2714">
        <f>Inputs!$B$3&gt;=100</f>
        <v/>
      </c>
      <c r="D2714">
        <f>IF(Skills!C7=1,60+Inputs!$B$25+Inputs!$B$29,IF(Skills!C7=2,90+Inputs!$B$26+Inputs!$B$29,IF(Skills!C7=3,120+Inputs!$B$27+Inputs!$B$29,MAX(0,(Inputs!$B$3-100)*3)+Inputs!$B$28+Inputs!$B$29)))</f>
        <v/>
      </c>
      <c r="E2714">
        <f>INDEX(FactorTable!$B$2:$Y$301, MATCH(ROUND(MIN(300,MAX(1,D2714)),0), FactorTable!$A$2:$A$301,0), Skills!M7+1)</f>
        <v/>
      </c>
      <c r="F2714">
        <f>IF(Skills!N7=TRUE,(Skills!L7/10)*(E2714/1000),Skills!L7/10)+Skills!O7</f>
        <v/>
      </c>
      <c r="G2714">
        <f>Skills!G7*IF(Skills!H7&gt;0,Skills!I7/Skills!H7,1)</f>
        <v/>
      </c>
      <c r="H2714">
        <f>1-(1-Skills!J7/100)^Skills!K7</f>
        <v/>
      </c>
      <c r="I2714" t="inlineStr">
        <is>
          <t>1</t>
        </is>
      </c>
      <c r="J2714">
        <f>((Inputs!$B$6*(1+Inputs!$B$7/100))+(((Inputs!$B$12*(1+Inputs!$B$13/100))-(Inputs!$B$12*(1+Inputs!$B$13/100)))+0.25*(Inputs!$B$14-Inputs!$B$14))*(1+Inputs!$B$7/100))*(F2714/100)</f>
        <v/>
      </c>
      <c r="K2714">
        <f>J2714*(1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C2727=TRUE)*(F2727-Calc!F20)),(Inputs!$B$23+0+(IF(ArtifactsInput!$M$15,CHOOSE(ArtifactsInput!$N$15+1,25,30,35,40,45,50)/100*(Inputs!$B$11-Inputs!$B$11),0))))/100+(Inputs!$B$23+0+(IF(ArtifactsInput!$M$15,CHOOSE(ArtifactsInput!$N$15+1,25,30,35,40,45,50)/100*(Inputs!$B$11-Inputs!$B$11),0)))/100)/2</f>
        <v/>
      </c>
      <c r="M2714">
        <f>L2714*(1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(1-Summary!$B$11)*T2714+Summary!$B$11*V2714</f>
        <v/>
      </c>
      <c r="P2714">
        <f>IF(B2742=0,0,O2714/B2742)</f>
        <v/>
      </c>
      <c r="Q2714">
        <f>IFERROR(1/(IF(Inputs!$B$38="pvp",15,MAX(0.1,Skills!D7-IF(Skills!E7=TRUE,4.0,0)))*(1-IF(AND(ArtifactsInput!$M$27,Inputs!$B$4="Chapter Hunt"),CHOOSE(ArtifactsInput!$N$27+1,20,24,28,32,36,40),0)/100)),0)</f>
        <v/>
      </c>
      <c r="R2714">
        <f>IF(AND(Inputs!$B$38&lt;&gt;"pvp",Inputs!$B$43&gt;0),IF(MAX(0,Inputs!$B$43-B2739)&lt;=0,0,(INT(MAX(0,Inputs!$B$43-B2739)/(IF(Inputs!$B$38="pvp",15,MAX(0.1,Skills!D7-IF(Skills!E7=TRUE,4.0,0)))*(1-IF(AND(ArtifactsInput!$M$27,Inputs!$B$4="Chapter Hunt"),CHOOSE(ArtifactsInput!$N$27+1,20,24,28,32,36,40),0)/100)))+1)),0)</f>
        <v/>
      </c>
      <c r="S2714">
        <f>IFERROR(O2714/N2714,0)</f>
        <v/>
      </c>
      <c r="T2714">
        <f>IF(C2714,(H2714*N2714*IF(AND(Inputs!$B$38&lt;&gt;"pvp",Inputs!$B$43&gt;0),((Skills!G7*((R2714-1)*IF(Skills!H7&gt;0,Skills!I7/Skills!H7,1)+IF(Skills!H7&gt;0,MIN(Skills!I7,MAX(0,MAX(0,Inputs!$B$43-B2739)-((R2714-1)*(IF(Inputs!$B$38="pvp",15,MAX(0.1,Skills!D7-IF(Skills!E7=TRUE,4.0,0)))*(1-IF(AND(ArtifactsInput!$M$27,Inputs!$B$4="Chapter Hunt"),CHOOSE(ArtifactsInput!$N$27+1,20,24,28,32,36,40),0)/100)))))/Skills!H7,1)))/Inputs!$B$43),G2714*Q2714)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2714*(1-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4">
        <f>IF(C2714,(H2714*N2714*IF(AND(Inputs!$B$38&lt;&gt;"pvp",Inputs!$B$43&gt;0),((Skills!G7*((R2714-1)*IF(Skills!H7&gt;0,Skills!I7/Skills!H7,1)+IF(Skills!H7&gt;0,MIN(Skills!I7,MAX(0,MAX(0,Inputs!$B$43-B2739)-((R2714-1)*(IF(Inputs!$B$38="pvp",15,MAX(0.1,Skills!D7-IF(Skills!E7=TRUE,4.0,0)))*(1-IF(AND(ArtifactsInput!$M$27,Inputs!$B$4="Chapter Hunt"),CHOOSE(ArtifactsInput!$N$27+1,20,24,28,32,36,40),0)/100)))))/Skills!H7,1)))/Inputs!$B$43),G2714*Q2714))*IF(Inputs!$B$38="pvp",1,(1+(Inputs!$B$21+Skills!Q7+(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Skills!A8</f>
        <v/>
      </c>
      <c r="B2715">
        <f>Skills!B8</f>
        <v/>
      </c>
      <c r="C2715">
        <f>Inputs!$B$3&gt;=110</f>
        <v/>
      </c>
      <c r="D2715">
        <f>IF(Skills!C8=1,60+Inputs!$B$25+Inputs!$B$29,IF(Skills!C8=2,90+Inputs!$B$26+Inputs!$B$29,IF(Skills!C8=3,120+Inputs!$B$27+Inputs!$B$29,MAX(0,(Inputs!$B$3-100)*3)+Inputs!$B$28+Inputs!$B$29)))</f>
        <v/>
      </c>
      <c r="E2715">
        <f>INDEX(FactorTable!$B$2:$Y$301, MATCH(ROUND(MIN(300,MAX(1,D2715)),0), FactorTable!$A$2:$A$301,0), Skills!M8+1)</f>
        <v/>
      </c>
      <c r="F2715">
        <f>IF(Skills!N8=TRUE,(Skills!L8/10)*(E2715/1000),Skills!L8/10)+Skills!O8</f>
        <v/>
      </c>
      <c r="G2715">
        <f>Skills!G8*IF(Skills!H8&gt;0,Skills!I8/Skills!H8,1)</f>
        <v/>
      </c>
      <c r="H2715">
        <f>1-(1-Skills!J8/100)^Skills!K8</f>
        <v/>
      </c>
      <c r="I2715" t="inlineStr">
        <is>
          <t>1</t>
        </is>
      </c>
      <c r="J2715">
        <f>((Inputs!$B$6*(1+Inputs!$B$7/100))+(((Inputs!$B$12*(1+Inputs!$B$13/100))-(Inputs!$B$12*(1+Inputs!$B$13/100)))+0.25*(Inputs!$B$14-Inputs!$B$14))*(1+Inputs!$B$7/100))*(F2715/100)</f>
        <v/>
      </c>
      <c r="K2715">
        <f>J2715*(1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C2727=TRUE)*(F2727-Calc!F20)),(Inputs!$B$23+0+(IF(ArtifactsInput!$M$15,CHOOSE(ArtifactsInput!$N$15+1,25,30,35,40,45,50)/100*(Inputs!$B$11-Inputs!$B$11),0))))/100+(Inputs!$B$23+0+(IF(ArtifactsInput!$M$15,CHOOSE(ArtifactsInput!$N$15+1,25,30,35,40,45,50)/100*(Inputs!$B$11-Inputs!$B$11),0)))/100)/2</f>
        <v/>
      </c>
      <c r="M2715">
        <f>L2715*(1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(1-Summary!$B$11)*T2715+Summary!$B$11*V2715</f>
        <v/>
      </c>
      <c r="P2715">
        <f>IF(B2742=0,0,O2715/B2742)</f>
        <v/>
      </c>
      <c r="Q2715">
        <f>IFERROR(1/(IF(Inputs!$B$38="pvp",15,MAX(0.1,Skills!D8-IF(Skills!E8=TRUE,4.0,0)))*(1-IF(AND(ArtifactsInput!$M$27,Inputs!$B$4="Chapter Hunt"),CHOOSE(ArtifactsInput!$N$27+1,20,24,28,32,36,40),0)/100)),0)</f>
        <v/>
      </c>
      <c r="R2715">
        <f>IF(AND(Inputs!$B$38&lt;&gt;"pvp",Inputs!$B$43&gt;0),IF(MAX(0,Inputs!$B$43-B2739)&lt;=0,0,(INT(MAX(0,Inputs!$B$43-B2739)/(IF(Inputs!$B$38="pvp",15,MAX(0.1,Skills!D8-IF(Skills!E8=TRUE,4.0,0)))*(1-IF(AND(ArtifactsInput!$M$27,Inputs!$B$4="Chapter Hunt"),CHOOSE(ArtifactsInput!$N$27+1,20,24,28,32,36,40),0)/100)))+1)),0)</f>
        <v/>
      </c>
      <c r="S2715">
        <f>IFERROR(O2715/N2715,0)</f>
        <v/>
      </c>
      <c r="T2715">
        <f>IF(C2715,(H2715*N2715*IF(AND(Inputs!$B$38&lt;&gt;"pvp",Inputs!$B$43&gt;0),((Skills!G8*((R2715-1)*IF(Skills!H8&gt;0,Skills!I8/Skills!H8,1)+IF(Skills!H8&gt;0,MIN(Skills!I8,MAX(0,MAX(0,Inputs!$B$43-B2739)-((R2715-1)*(IF(Inputs!$B$38="pvp",15,MAX(0.1,Skills!D8-IF(Skills!E8=TRUE,4.0,0)))*(1-IF(AND(ArtifactsInput!$M$27,Inputs!$B$4="Chapter Hunt"),CHOOSE(ArtifactsInput!$N$27+1,20,24,28,32,36,40),0)/100)))))/Skills!H8,1)))/Inputs!$B$43),G2715*Q2715)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2715*(1-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5">
        <f>IF(C2715,(H2715*N2715*IF(AND(Inputs!$B$38&lt;&gt;"pvp",Inputs!$B$43&gt;0),((Skills!G8*((R2715-1)*IF(Skills!H8&gt;0,Skills!I8/Skills!H8,1)+IF(Skills!H8&gt;0,MIN(Skills!I8,MAX(0,MAX(0,Inputs!$B$43-B2739)-((R2715-1)*(IF(Inputs!$B$38="pvp",15,MAX(0.1,Skills!D8-IF(Skills!E8=TRUE,4.0,0)))*(1-IF(AND(ArtifactsInput!$M$27,Inputs!$B$4="Chapter Hunt"),CHOOSE(ArtifactsInput!$N$27+1,20,24,28,32,36,40),0)/100)))))/Skills!H8,1)))/Inputs!$B$43),G2715*Q2715))*IF(Inputs!$B$38="pvp",1,(1+(Inputs!$B$21+Skills!Q8+(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Skills!A9</f>
        <v/>
      </c>
      <c r="B2716">
        <f>Skills!B9</f>
        <v/>
      </c>
      <c r="C2716">
        <f>Inputs!$B$3&gt;=110</f>
        <v/>
      </c>
      <c r="D2716">
        <f>IF(Skills!C9=1,60+Inputs!$B$25+Inputs!$B$29,IF(Skills!C9=2,90+Inputs!$B$26+Inputs!$B$29,IF(Skills!C9=3,120+Inputs!$B$27+Inputs!$B$29,MAX(0,(Inputs!$B$3-100)*3)+Inputs!$B$28+Inputs!$B$29)))</f>
        <v/>
      </c>
      <c r="E2716">
        <f>INDEX(FactorTable!$B$2:$Y$301, MATCH(ROUND(MIN(300,MAX(1,D2716)),0), FactorTable!$A$2:$A$301,0), Skills!M9+1)</f>
        <v/>
      </c>
      <c r="F2716">
        <f>IF(Skills!N9=TRUE,(Skills!L9/10)*(E2716/1000),Skills!L9/10)+Skills!O9</f>
        <v/>
      </c>
      <c r="G2716">
        <f>Skills!G9*IF(Skills!H9&gt;0,Skills!I9/Skills!H9,1)</f>
        <v/>
      </c>
      <c r="H2716">
        <f>1-(1-Skills!J9/100)^Skills!K9</f>
        <v/>
      </c>
      <c r="I2716" t="inlineStr">
        <is>
          <t>1</t>
        </is>
      </c>
      <c r="J2716">
        <f>((Inputs!$B$6*(1+Inputs!$B$7/100))+(((Inputs!$B$12*(1+Inputs!$B$13/100))-(Inputs!$B$12*(1+Inputs!$B$13/100)))+0.25*(Inputs!$B$14-Inputs!$B$14))*(1+Inputs!$B$7/100))*(F2716/100)</f>
        <v/>
      </c>
      <c r="K2716">
        <f>J2716*(1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2716)</f>
        <v/>
      </c>
      <c r="L2716">
        <f>K2716*(MIN(Inputs!$B$22+((C2727=TRUE)*(F2727-Calc!F20)),(Inputs!$B$23+0+(IF(ArtifactsInput!$M$15,CHOOSE(ArtifactsInput!$N$15+1,25,30,35,40,45,50)/100*(Inputs!$B$11-Inputs!$B$11),0))))/100+(Inputs!$B$23+0+(IF(ArtifactsInput!$M$15,CHOOSE(ArtifactsInput!$N$15+1,25,30,35,40,45,50)/100*(Inputs!$B$11-Inputs!$B$11),0)))/100)/2</f>
        <v/>
      </c>
      <c r="M2716">
        <f>L2716*(1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6">
        <f>L2716*(1-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2716*(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6">
        <f>(1-Summary!$B$11)*T2716+Summary!$B$11*V2716</f>
        <v/>
      </c>
      <c r="P2716">
        <f>IF(B2742=0,0,O2716/B2742)</f>
        <v/>
      </c>
      <c r="Q2716">
        <f>IFERROR(1/(IF(Inputs!$B$38="pvp",15,MAX(0.1,Skills!D9-IF(Skills!E9=TRUE,4.0,0)))*(1-IF(AND(ArtifactsInput!$M$27,Inputs!$B$4="Chapter Hunt"),CHOOSE(ArtifactsInput!$N$27+1,20,24,28,32,36,40),0)/100)),0)</f>
        <v/>
      </c>
      <c r="R2716">
        <f>IF(AND(Inputs!$B$38&lt;&gt;"pvp",Inputs!$B$43&gt;0),IF(MAX(0,Inputs!$B$43-B2739)&lt;=0,0,(INT(MAX(0,Inputs!$B$43-B2739)/(IF(Inputs!$B$38="pvp",15,MAX(0.1,Skills!D9-IF(Skills!E9=TRUE,4.0,0)))*(1-IF(AND(ArtifactsInput!$M$27,Inputs!$B$4="Chapter Hunt"),CHOOSE(ArtifactsInput!$N$27+1,20,24,28,32,36,40),0)/100)))+1)),0)</f>
        <v/>
      </c>
      <c r="S2716">
        <f>IFERROR(O2716/N2716,0)</f>
        <v/>
      </c>
      <c r="T2716">
        <f>IF(C2716,(H2716*N2716*IF(AND(Inputs!$B$38&lt;&gt;"pvp",Inputs!$B$43&gt;0),((Skills!G9*((R2716-1)*IF(Skills!H9&gt;0,Skills!I9/Skills!H9,1)+IF(Skills!H9&gt;0,MIN(Skills!I9,MAX(0,MAX(0,Inputs!$B$43-B2739)-((R2716-1)*(IF(Inputs!$B$38="pvp",15,MAX(0.1,Skills!D9-IF(Skills!E9=TRUE,4.0,0)))*(1-IF(AND(ArtifactsInput!$M$27,Inputs!$B$4="Chapter Hunt"),CHOOSE(ArtifactsInput!$N$27+1,20,24,28,32,36,40),0)/100)))))/Skills!H9,1)))/Inputs!$B$43),G2716*Q2716)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2716*(1-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2716*(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2716*(1-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2716*(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6">
        <f>IF(C2716,(H2716*N2716*IF(AND(Inputs!$B$38&lt;&gt;"pvp",Inputs!$B$43&gt;0),((Skills!G9*((R2716-1)*IF(Skills!H9&gt;0,Skills!I9/Skills!H9,1)+IF(Skills!H9&gt;0,MIN(Skills!I9,MAX(0,MAX(0,Inputs!$B$43-B2739)-((R2716-1)*(IF(Inputs!$B$38="pvp",15,MAX(0.1,Skills!D9-IF(Skills!E9=TRUE,4.0,0)))*(1-IF(AND(ArtifactsInput!$M$27,Inputs!$B$4="Chapter Hunt"),CHOOSE(ArtifactsInput!$N$27+1,20,24,28,32,36,40),0)/100)))))/Skills!H9,1)))/Inputs!$B$43),G2716*Q2716))*IF(Inputs!$B$38="pvp",1,(1+(Inputs!$B$21+Skills!Q9+(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7">
      <c r="A2717">
        <f>Skills!A10</f>
        <v/>
      </c>
      <c r="B2717">
        <f>Skills!B10</f>
        <v/>
      </c>
      <c r="C2717">
        <f>Inputs!$B$3&gt;=103</f>
        <v/>
      </c>
      <c r="D2717">
        <f>IF(Skills!C10=1,60+Inputs!$B$25+Inputs!$B$29,IF(Skills!C10=2,90+Inputs!$B$26+Inputs!$B$29,IF(Skills!C10=3,120+Inputs!$B$27+Inputs!$B$29,MAX(0,(Inputs!$B$3-100)*3)+Inputs!$B$28+Inputs!$B$29)))</f>
        <v/>
      </c>
      <c r="E2717">
        <f>INDEX(FactorTable!$B$2:$Y$301, MATCH(ROUND(MIN(300,MAX(1,D2717)),0), FactorTable!$A$2:$A$301,0), Skills!M10+1)</f>
        <v/>
      </c>
      <c r="F2717">
        <f>IF(Skills!N10=TRUE,(Skills!L10/10)*(E2717/1000),Skills!L10/10)+Skills!O10</f>
        <v/>
      </c>
      <c r="G2717">
        <f>Skills!G10*IF(Skills!H10&gt;0,Skills!I10/Skills!H10,1)</f>
        <v/>
      </c>
      <c r="H2717">
        <f>1-(1-Skills!J10/100)^Skills!K10</f>
        <v/>
      </c>
      <c r="I2717" t="inlineStr">
        <is>
          <t>1</t>
        </is>
      </c>
      <c r="J2717">
        <f>((Inputs!$B$6*(1+Inputs!$B$7/100))+(((Inputs!$B$12*(1+Inputs!$B$13/100))-(Inputs!$B$12*(1+Inputs!$B$13/100)))+0.25*(Inputs!$B$14-Inputs!$B$14))*(1+Inputs!$B$7/100))*(F2717/100)</f>
        <v/>
      </c>
      <c r="K2717">
        <f>J2717*(1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C2727=TRUE)*(F2727-Calc!F20)),(Inputs!$B$23+0+(IF(ArtifactsInput!$M$15,CHOOSE(ArtifactsInput!$N$15+1,25,30,35,40,45,50)/100*(Inputs!$B$11-Inputs!$B$11),0))))/100+(Inputs!$B$23+0+(IF(ArtifactsInput!$M$15,CHOOSE(ArtifactsInput!$N$15+1,25,30,35,40,45,50)/100*(Inputs!$B$11-Inputs!$B$11),0)))/100)/2</f>
        <v/>
      </c>
      <c r="M2717">
        <f>L2717*(1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(1-Summary!$B$11)*T2717+Summary!$B$11*V2717</f>
        <v/>
      </c>
      <c r="P2717">
        <f>IF(B2742=0,0,O2717/B2742)</f>
        <v/>
      </c>
      <c r="Q2717">
        <f>IFERROR(1/(IF(Inputs!$B$38="pvp",15,MAX(0.1,Skills!D10-IF(Skills!E10=TRUE,4.0,0)))*(1-IF(AND(ArtifactsInput!$M$27,Inputs!$B$4="Chapter Hunt"),CHOOSE(ArtifactsInput!$N$27+1,20,24,28,32,36,40),0)/100)),0)</f>
        <v/>
      </c>
      <c r="R2717">
        <f>IF(AND(Inputs!$B$38&lt;&gt;"pvp",Inputs!$B$43&gt;0),IF(MAX(0,Inputs!$B$43-B2739)&lt;=0,0,(INT(MAX(0,Inputs!$B$43-B2739)/(IF(Inputs!$B$38="pvp",15,MAX(0.1,Skills!D10-IF(Skills!E10=TRUE,4.0,0)))*(1-IF(AND(ArtifactsInput!$M$27,Inputs!$B$4="Chapter Hunt"),CHOOSE(ArtifactsInput!$N$27+1,20,24,28,32,36,40),0)/100)))+1)),0)</f>
        <v/>
      </c>
      <c r="S2717">
        <f>IFERROR(O2717/N2717,0)</f>
        <v/>
      </c>
      <c r="T2717">
        <f>IF(C2717,(H2717*N2717*IF(AND(Inputs!$B$38&lt;&gt;"pvp",Inputs!$B$43&gt;0),((Skills!G10*((R2717-1)*IF(Skills!H10&gt;0,Skills!I10/Skills!H10,1)+IF(Skills!H10&gt;0,MIN(Skills!I10,MAX(0,MAX(0,Inputs!$B$43-B2739)-((R2717-1)*(IF(Inputs!$B$38="pvp",15,MAX(0.1,Skills!D10-IF(Skills!E10=TRUE,4.0,0)))*(1-IF(AND(ArtifactsInput!$M$27,Inputs!$B$4="Chapter Hunt"),CHOOSE(ArtifactsInput!$N$27+1,20,24,28,32,36,40),0)/100)))))/Skills!H10,1)))/Inputs!$B$43),G2717*Q2717)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2717*(1-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7">
        <f>IF(C2717,(H2717*N2717*IF(AND(Inputs!$B$38&lt;&gt;"pvp",Inputs!$B$43&gt;0),((Skills!G10*((R2717-1)*IF(Skills!H10&gt;0,Skills!I10/Skills!H10,1)+IF(Skills!H10&gt;0,MIN(Skills!I10,MAX(0,MAX(0,Inputs!$B$43-B2739)-((R2717-1)*(IF(Inputs!$B$38="pvp",15,MAX(0.1,Skills!D10-IF(Skills!E10=TRUE,4.0,0)))*(1-IF(AND(ArtifactsInput!$M$27,Inputs!$B$4="Chapter Hunt"),CHOOSE(ArtifactsInput!$N$27+1,20,24,28,32,36,40),0)/100)))))/Skills!H10,1)))/Inputs!$B$43),G2717*Q2717))*IF(Inputs!$B$38="pvp",1,(1+(Inputs!$B$21+Skills!Q10+(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Skills!A11</f>
        <v/>
      </c>
      <c r="B2718">
        <f>Skills!B11</f>
        <v/>
      </c>
      <c r="C2718">
        <f>Inputs!$B$3&gt;=113</f>
        <v/>
      </c>
      <c r="D2718">
        <f>IF(Skills!C11=1,60+Inputs!$B$25+Inputs!$B$29,IF(Skills!C11=2,90+Inputs!$B$26+Inputs!$B$29,IF(Skills!C11=3,120+Inputs!$B$27+Inputs!$B$29,MAX(0,(Inputs!$B$3-100)*3)+Inputs!$B$28+Inputs!$B$29)))</f>
        <v/>
      </c>
      <c r="E2718">
        <f>INDEX(FactorTable!$B$2:$Y$301, MATCH(ROUND(MIN(300,MAX(1,D2718)),0), FactorTable!$A$2:$A$301,0), Skills!M11+1)</f>
        <v/>
      </c>
      <c r="F2718">
        <f>IF(Skills!N11=TRUE,(Skills!L11/10)*(E2718/1000),Skills!L11/10)+Skills!O11</f>
        <v/>
      </c>
      <c r="G2718">
        <f>Skills!G11*IF(Skills!H11&gt;0,Skills!I11/Skills!H11,1)</f>
        <v/>
      </c>
      <c r="H2718">
        <f>1-(1-Skills!J11/100)^Skills!K11</f>
        <v/>
      </c>
      <c r="I2718" t="inlineStr">
        <is>
          <t>1</t>
        </is>
      </c>
      <c r="J2718">
        <f>((Inputs!$B$6*(1+Inputs!$B$7/100))+(((Inputs!$B$12*(1+Inputs!$B$13/100))-(Inputs!$B$12*(1+Inputs!$B$13/100)))+0.25*(Inputs!$B$14-Inputs!$B$14))*(1+Inputs!$B$7/100))*(F2718/100)</f>
        <v/>
      </c>
      <c r="K2718">
        <f>J2718*(1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
      </c>
      <c r="L2718">
        <f>K2718*(MIN(Inputs!$B$22+((C2727=TRUE)*(F2727-Calc!F20)),(Inputs!$B$23+0+(IF(ArtifactsInput!$M$15,CHOOSE(ArtifactsInput!$N$15+1,25,30,35,40,45,50)/100*(Inputs!$B$11-Inputs!$B$11),0))))/100+(Inputs!$B$23+0+(IF(ArtifactsInput!$M$15,CHOOSE(ArtifactsInput!$N$15+1,25,30,35,40,45,50)/100*(Inputs!$B$11-Inputs!$B$11),0)))/100)/2</f>
        <v/>
      </c>
      <c r="M2718">
        <f>L2718*(1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8">
        <f>L2718*(1-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8">
        <f>(1-Summary!$B$11)*T2718+Summary!$B$11*V2718</f>
        <v/>
      </c>
      <c r="P2718">
        <f>IF(B2742=0,0,O2718/B2742)</f>
        <v/>
      </c>
      <c r="Q2718">
        <f>IFERROR(1/(IF(Inputs!$B$38="pvp",15,MAX(0.1,Skills!D11-IF(Skills!E11=TRUE,4.0,0)))*(1-IF(AND(ArtifactsInput!$M$27,Inputs!$B$4="Chapter Hunt"),CHOOSE(ArtifactsInput!$N$27+1,20,24,28,32,36,40),0)/100)),0)</f>
        <v/>
      </c>
      <c r="R2718">
        <f>IF(AND(Inputs!$B$38&lt;&gt;"pvp",Inputs!$B$43&gt;0),IF(MAX(0,Inputs!$B$43-B2739)&lt;=0,0,(INT(MAX(0,Inputs!$B$43-B2739)/(IF(Inputs!$B$38="pvp",15,MAX(0.1,Skills!D11-IF(Skills!E11=TRUE,4.0,0)))*(1-IF(AND(ArtifactsInput!$M$27,Inputs!$B$4="Chapter Hunt"),CHOOSE(ArtifactsInput!$N$27+1,20,24,28,32,36,40),0)/100)))+1)),0)</f>
        <v/>
      </c>
      <c r="S2718">
        <f>IFERROR(O2718/N2718,0)</f>
        <v/>
      </c>
      <c r="T2718">
        <f>IF(C2718,(H2718*N2718*IF(AND(Inputs!$B$38&lt;&gt;"pvp",Inputs!$B$43&gt;0),((Skills!G11*((R2718-1)*IF(Skills!H11&gt;0,Skills!I11/Skills!H11,1)+IF(Skills!H11&gt;0,MIN(Skills!I11,MAX(0,MAX(0,Inputs!$B$43-B2739)-((R2718-1)*(IF(Inputs!$B$38="pvp",15,MAX(0.1,Skills!D11-IF(Skills!E11=TRUE,4.0,0)))*(1-IF(AND(ArtifactsInput!$M$27,Inputs!$B$4="Chapter Hunt"),CHOOSE(ArtifactsInput!$N$27+1,20,24,28,32,36,40),0)/100)))))/Skills!H11,1)))/Inputs!$B$43),G2718*Q2718)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2718*(1-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8">
        <f>IF(C2718,(H2718*N2718*IF(AND(Inputs!$B$38&lt;&gt;"pvp",Inputs!$B$43&gt;0),((Skills!G11*((R2718-1)*IF(Skills!H11&gt;0,Skills!I11/Skills!H11,1)+IF(Skills!H11&gt;0,MIN(Skills!I11,MAX(0,MAX(0,Inputs!$B$43-B2739)-((R2718-1)*(IF(Inputs!$B$38="pvp",15,MAX(0.1,Skills!D11-IF(Skills!E11=TRUE,4.0,0)))*(1-IF(AND(ArtifactsInput!$M$27,Inputs!$B$4="Chapter Hunt"),CHOOSE(ArtifactsInput!$N$27+1,20,24,28,32,36,40),0)/100)))))/Skills!H11,1)))/Inputs!$B$43),G2718*Q2718))*IF(Inputs!$B$38="pvp",1,(1+(Inputs!$B$21+Skills!Q11+(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9">
      <c r="A2719">
        <f>Skills!A12</f>
        <v/>
      </c>
      <c r="B2719">
        <f>Skills!B12</f>
        <v/>
      </c>
      <c r="C2719">
        <f>Inputs!$B$3&gt;=100</f>
        <v/>
      </c>
      <c r="D2719">
        <f>IF(Skills!C12=1,60+Inputs!$B$25+Inputs!$B$29,IF(Skills!C12=2,90+Inputs!$B$26+Inputs!$B$29,IF(Skills!C12=3,120+Inputs!$B$27+Inputs!$B$29,MAX(0,(Inputs!$B$3-100)*3)+Inputs!$B$28+Inputs!$B$29)))</f>
        <v/>
      </c>
      <c r="E2719">
        <f>INDEX(FactorTable!$B$2:$Y$301, MATCH(ROUND(MIN(300,MAX(1,D2719)),0), FactorTable!$A$2:$A$301,0), Skills!M12+1)</f>
        <v/>
      </c>
      <c r="F2719">
        <f>IF(Skills!N12=TRUE,(Skills!L12/10)*(E2719/1000),Skills!L12/10)+Skills!O12</f>
        <v/>
      </c>
      <c r="G2719" t="inlineStr"/>
      <c r="H2719" t="inlineStr"/>
      <c r="I2719" t="inlineStr">
        <is>
          <t>1</t>
        </is>
      </c>
      <c r="J2719" t="inlineStr"/>
      <c r="K2719" t="inlineStr"/>
      <c r="L2719" t="inlineStr"/>
      <c r="M2719" t="inlineStr"/>
      <c r="N2719" t="inlineStr"/>
      <c r="O2719" t="inlineStr"/>
      <c r="P2719" t="inlineStr"/>
      <c r="Q2719" t="inlineStr"/>
      <c r="R2719" t="inlineStr"/>
      <c r="S2719" t="inlineStr"/>
      <c r="T2719" t="inlineStr"/>
      <c r="V2719" t="inlineStr"/>
    </row>
    <row r="2720">
      <c r="A2720">
        <f>Skills!A13</f>
        <v/>
      </c>
      <c r="B2720">
        <f>Skills!B13</f>
        <v/>
      </c>
      <c r="C2720">
        <f>Inputs!$B$3&gt;=66</f>
        <v/>
      </c>
      <c r="D2720">
        <f>IF(Skills!C13=1,60+Inputs!$B$25+Inputs!$B$29,IF(Skills!C13=2,90+Inputs!$B$26+Inputs!$B$29,IF(Skills!C13=3,120+Inputs!$B$27+Inputs!$B$29,MAX(0,(Inputs!$B$3-100)*3)+Inputs!$B$28+Inputs!$B$29)))</f>
        <v/>
      </c>
      <c r="E2720">
        <f>INDEX(FactorTable!$B$2:$Y$301, MATCH(ROUND(MIN(300,MAX(1,D2720)),0), FactorTable!$A$2:$A$301,0), Skills!M13+1)</f>
        <v/>
      </c>
      <c r="F2720">
        <f>IF(Skills!N13=TRUE,(Skills!L13/10)*(E2720/1000),Skills!L13/10)+Skills!O13</f>
        <v/>
      </c>
      <c r="G2720">
        <f>Skills!G13*IF(Skills!H13&gt;0,Skills!I13/Skills!H13,1)</f>
        <v/>
      </c>
      <c r="H2720">
        <f>1-(1-Skills!J13/100)^Skills!K13</f>
        <v/>
      </c>
      <c r="I2720" t="inlineStr">
        <is>
          <t>1</t>
        </is>
      </c>
      <c r="J2720" t="inlineStr"/>
      <c r="K2720" t="inlineStr"/>
      <c r="L2720" t="inlineStr"/>
      <c r="M2720" t="inlineStr"/>
      <c r="N2720" t="inlineStr"/>
      <c r="O2720">
        <f>(1-Summary!$B$11)*T2720+Summary!$B$11*V2720</f>
        <v/>
      </c>
      <c r="P2720">
        <f>IF(B2742=0,0,O2720/B2742)</f>
        <v/>
      </c>
      <c r="Q2720" t="n">
        <v>0</v>
      </c>
      <c r="R2720" t="n">
        <v>0</v>
      </c>
      <c r="S2720">
        <f>IFERROR(O2720/N2720,0)</f>
        <v/>
      </c>
      <c r="T2720" t="n">
        <v>0</v>
      </c>
      <c r="V2720" t="n">
        <v>0</v>
      </c>
    </row>
    <row r="2721">
      <c r="A2721">
        <f>Skills!A14</f>
        <v/>
      </c>
      <c r="B2721">
        <f>Skills!B14</f>
        <v/>
      </c>
      <c r="C2721">
        <f>Inputs!$B$3&gt;=107</f>
        <v/>
      </c>
      <c r="D2721">
        <f>IF(Skills!C14=1,60+Inputs!$B$25+Inputs!$B$29,IF(Skills!C14=2,90+Inputs!$B$26+Inputs!$B$29,IF(Skills!C14=3,120+Inputs!$B$27+Inputs!$B$29,MAX(0,(Inputs!$B$3-100)*3)+Inputs!$B$28+Inputs!$B$29)))</f>
        <v/>
      </c>
      <c r="E2721">
        <f>INDEX(FactorTable!$B$2:$Y$301, MATCH(ROUND(MIN(300,MAX(1,D2721)),0), FactorTable!$A$2:$A$301,0), Skills!M14+1)</f>
        <v/>
      </c>
      <c r="F2721">
        <f>IF(Skills!N14=TRUE,(Skills!L14/10)*(E2721/1000),Skills!L14/10)+Skills!O14</f>
        <v/>
      </c>
      <c r="G2721">
        <f>Skills!G14*IF(Skills!H14&gt;0,Skills!I14/Skills!H14,1)</f>
        <v/>
      </c>
      <c r="H2721">
        <f>1-(1-Skills!J14/100)^Skills!K14</f>
        <v/>
      </c>
      <c r="I2721" t="inlineStr">
        <is>
          <t>1</t>
        </is>
      </c>
      <c r="J2721" t="inlineStr"/>
      <c r="K2721" t="inlineStr"/>
      <c r="L2721" t="inlineStr"/>
      <c r="M2721" t="inlineStr"/>
      <c r="N2721" t="inlineStr"/>
      <c r="O2721">
        <f>(1-Summary!$B$11)*T2721+Summary!$B$11*V2721</f>
        <v/>
      </c>
      <c r="P2721">
        <f>IF(B2742=0,0,O2721/B2742)</f>
        <v/>
      </c>
      <c r="Q2721" t="n">
        <v>0</v>
      </c>
      <c r="R2721" t="n">
        <v>0</v>
      </c>
      <c r="S2721">
        <f>IFERROR(O2721/N2721,0)</f>
        <v/>
      </c>
      <c r="T2721" t="n">
        <v>0</v>
      </c>
      <c r="V2721" t="n">
        <v>0</v>
      </c>
    </row>
    <row r="2722">
      <c r="A2722">
        <f>Skills!A15</f>
        <v/>
      </c>
      <c r="B2722">
        <f>Skills!B15</f>
        <v/>
      </c>
      <c r="C2722">
        <f>Inputs!$B$3&gt;=115</f>
        <v/>
      </c>
      <c r="D2722">
        <f>IF(Skills!C15=1,60+Inputs!$B$25+Inputs!$B$29,IF(Skills!C15=2,90+Inputs!$B$26+Inputs!$B$29,IF(Skills!C15=3,120+Inputs!$B$27+Inputs!$B$29,MAX(0,(Inputs!$B$3-100)*3)+Inputs!$B$28+Inputs!$B$29)))</f>
        <v/>
      </c>
      <c r="E2722">
        <f>INDEX(FactorTable!$B$2:$Y$301, MATCH(ROUND(MIN(300,MAX(1,D2722)),0), FactorTable!$A$2:$A$301,0), Skills!M15+1)</f>
        <v/>
      </c>
      <c r="F2722">
        <f>IF(Skills!N15=TRUE,(Skills!L15/10)*(E2722/1000),Skills!L15/10)+Skills!O15</f>
        <v/>
      </c>
      <c r="G2722">
        <f>Skills!G15*IF(Skills!H15&gt;0,Skills!I15/Skills!H15,1)</f>
        <v/>
      </c>
      <c r="H2722">
        <f>1-(1-Skills!J15/100)^Skills!K15</f>
        <v/>
      </c>
      <c r="I2722" t="inlineStr">
        <is>
          <t>1</t>
        </is>
      </c>
      <c r="J2722" t="inlineStr"/>
      <c r="K2722" t="inlineStr"/>
      <c r="L2722" t="inlineStr"/>
      <c r="M2722" t="inlineStr"/>
      <c r="N2722" t="inlineStr"/>
      <c r="O2722">
        <f>(1-Summary!$B$11)*T2722+Summary!$B$11*V2722</f>
        <v/>
      </c>
      <c r="P2722">
        <f>IF(B2742=0,0,O2722/B2742)</f>
        <v/>
      </c>
      <c r="Q2722" t="n">
        <v>0</v>
      </c>
      <c r="R2722" t="n">
        <v>0</v>
      </c>
      <c r="S2722">
        <f>IFERROR(O2722/N2722,0)</f>
        <v/>
      </c>
      <c r="T2722" t="n">
        <v>0</v>
      </c>
      <c r="V2722" t="n">
        <v>0</v>
      </c>
    </row>
    <row r="2723">
      <c r="A2723">
        <f>Skills!A16</f>
        <v/>
      </c>
      <c r="B2723">
        <f>Skills!B16</f>
        <v/>
      </c>
      <c r="C2723">
        <f>Inputs!$B$3&gt;=15</f>
        <v/>
      </c>
      <c r="D2723">
        <f>IF(Skills!C16=1,60+Inputs!$B$25+Inputs!$B$29,IF(Skills!C16=2,90+Inputs!$B$26+Inputs!$B$29,IF(Skills!C16=3,120+Inputs!$B$27+Inputs!$B$29,MAX(0,(Inputs!$B$3-100)*3)+Inputs!$B$28+Inputs!$B$29)))</f>
        <v/>
      </c>
      <c r="E2723">
        <f>INDEX(FactorTable!$B$2:$Y$301, MATCH(ROUND(MIN(300,MAX(1,D2723)),0), FactorTable!$A$2:$A$301,0), Skills!M16+1)</f>
        <v/>
      </c>
      <c r="F2723">
        <f>IF(Skills!N16=TRUE,(Skills!L16/10)*(E2723/1000),Skills!L16/10)+Skills!O16</f>
        <v/>
      </c>
      <c r="G2723">
        <f>Skills!G16*IF(Skills!H16&gt;0,Skills!I16/Skills!H16,1)</f>
        <v/>
      </c>
      <c r="H2723">
        <f>1-(1-Skills!J16/100)^Skills!K16</f>
        <v/>
      </c>
      <c r="I2723" t="inlineStr">
        <is>
          <t>1</t>
        </is>
      </c>
      <c r="J2723" t="inlineStr"/>
      <c r="K2723" t="inlineStr"/>
      <c r="L2723" t="inlineStr"/>
      <c r="M2723" t="inlineStr"/>
      <c r="N2723" t="inlineStr"/>
      <c r="O2723">
        <f>(1-Summary!$B$11)*T2723+Summary!$B$11*V2723</f>
        <v/>
      </c>
      <c r="P2723">
        <f>IF(B2742=0,0,O2723/B2742)</f>
        <v/>
      </c>
      <c r="Q2723" t="n">
        <v>0</v>
      </c>
      <c r="R2723" t="n">
        <v>0</v>
      </c>
      <c r="S2723">
        <f>IFERROR(O2723/N2723,0)</f>
        <v/>
      </c>
      <c r="T2723" t="n">
        <v>0</v>
      </c>
      <c r="V2723" t="n">
        <v>0</v>
      </c>
    </row>
    <row r="2724">
      <c r="A2724">
        <f>Skills!A17</f>
        <v/>
      </c>
      <c r="B2724">
        <f>Skills!B17</f>
        <v/>
      </c>
      <c r="C2724">
        <f>Inputs!$B$3&gt;=10</f>
        <v/>
      </c>
      <c r="D2724">
        <f>IF(Skills!C17=1,60+Inputs!$B$25+Inputs!$B$29,IF(Skills!C17=2,90+Inputs!$B$26+Inputs!$B$29,IF(Skills!C17=3,120+Inputs!$B$27+Inputs!$B$29,MAX(0,(Inputs!$B$3-100)*3)+Inputs!$B$28+Inputs!$B$29)))</f>
        <v/>
      </c>
      <c r="E2724">
        <f>INDEX(FactorTable!$B$2:$Y$301, MATCH(ROUND(MIN(300,MAX(1,D2724)),0), FactorTable!$A$2:$A$301,0), Skills!M17+1)</f>
        <v/>
      </c>
      <c r="F2724">
        <f>IF(Skills!N17=TRUE,(Skills!L17/10)*(E2724/1000),Skills!L17/10)+Skills!O17</f>
        <v/>
      </c>
      <c r="G2724">
        <f>Skills!G17*IF(Skills!H17&gt;0,Skills!I17/Skills!H17,1)</f>
        <v/>
      </c>
      <c r="H2724">
        <f>1-(1-Skills!J17/100)^Skills!K17</f>
        <v/>
      </c>
      <c r="I2724" t="inlineStr">
        <is>
          <t>1</t>
        </is>
      </c>
      <c r="J2724" t="inlineStr"/>
      <c r="K2724" t="inlineStr"/>
      <c r="L2724" t="inlineStr"/>
      <c r="M2724" t="inlineStr"/>
      <c r="N2724" t="inlineStr"/>
      <c r="O2724">
        <f>(1-Summary!$B$11)*T2724+Summary!$B$11*V2724</f>
        <v/>
      </c>
      <c r="P2724">
        <f>IF(B2742=0,0,O2724/B2742)</f>
        <v/>
      </c>
      <c r="Q2724" t="n">
        <v>0</v>
      </c>
      <c r="R2724" t="n">
        <v>0</v>
      </c>
      <c r="S2724">
        <f>IFERROR(O2724/N2724,0)</f>
        <v/>
      </c>
      <c r="T2724" t="n">
        <v>0</v>
      </c>
      <c r="V2724" t="n">
        <v>0</v>
      </c>
    </row>
    <row r="2725">
      <c r="A2725">
        <f>Skills!A18</f>
        <v/>
      </c>
      <c r="B2725">
        <f>Skills!B18</f>
        <v/>
      </c>
      <c r="C2725">
        <f>Inputs!$B$3&gt;=33</f>
        <v/>
      </c>
      <c r="D2725">
        <f>IF(Skills!C18=1,60+Inputs!$B$25+Inputs!$B$29,IF(Skills!C18=2,90+Inputs!$B$26+Inputs!$B$29,IF(Skills!C18=3,120+Inputs!$B$27+Inputs!$B$29,MAX(0,(Inputs!$B$3-100)*3)+Inputs!$B$28+Inputs!$B$29)))</f>
        <v/>
      </c>
      <c r="E2725">
        <f>INDEX(FactorTable!$B$2:$Y$301, MATCH(ROUND(MIN(300,MAX(1,D2725)),0), FactorTable!$A$2:$A$301,0), Skills!M18+1)</f>
        <v/>
      </c>
      <c r="F2725">
        <f>IF(Skills!N18=TRUE,(Skills!L18/10)*(E2725/1000),Skills!L18/10)+Skills!O18</f>
        <v/>
      </c>
      <c r="G2725">
        <f>Skills!G18*IF(Skills!H18&gt;0,Skills!I18/Skills!H18,1)</f>
        <v/>
      </c>
      <c r="H2725">
        <f>1-(1-Skills!J18/100)^Skills!K18</f>
        <v/>
      </c>
      <c r="I2725" t="inlineStr">
        <is>
          <t>1</t>
        </is>
      </c>
      <c r="J2725" t="inlineStr"/>
      <c r="K2725" t="inlineStr"/>
      <c r="L2725" t="inlineStr"/>
      <c r="M2725" t="inlineStr"/>
      <c r="N2725" t="inlineStr"/>
      <c r="O2725">
        <f>(1-Summary!$B$11)*T2725+Summary!$B$11*V2725</f>
        <v/>
      </c>
      <c r="P2725">
        <f>IF(B2742=0,0,O2725/B2742)</f>
        <v/>
      </c>
      <c r="Q2725" t="n">
        <v>0</v>
      </c>
      <c r="R2725" t="n">
        <v>0</v>
      </c>
      <c r="S2725">
        <f>IFERROR(O2725/N2725,0)</f>
        <v/>
      </c>
      <c r="T2725" t="n">
        <v>0</v>
      </c>
      <c r="V2725" t="n">
        <v>0</v>
      </c>
    </row>
    <row r="2726">
      <c r="A2726">
        <f>Skills!A19</f>
        <v/>
      </c>
      <c r="B2726">
        <f>Skills!B19</f>
        <v/>
      </c>
      <c r="C2726">
        <f>Inputs!$B$3&gt;=40</f>
        <v/>
      </c>
      <c r="D2726">
        <f>IF(Skills!C19=1,60+Inputs!$B$25+Inputs!$B$29,IF(Skills!C19=2,90+Inputs!$B$26+Inputs!$B$29,IF(Skills!C19=3,120+Inputs!$B$27+Inputs!$B$29,MAX(0,(Inputs!$B$3-100)*3)+Inputs!$B$28+Inputs!$B$29)))</f>
        <v/>
      </c>
      <c r="E2726">
        <f>INDEX(FactorTable!$B$2:$Y$301, MATCH(ROUND(MIN(300,MAX(1,D2726)),0), FactorTable!$A$2:$A$301,0), Skills!M19+1)</f>
        <v/>
      </c>
      <c r="F2726">
        <f>IF(Skills!N19=TRUE,(Skills!L19/10)*(E2726/1000),Skills!L19/10)+Skills!O19</f>
        <v/>
      </c>
      <c r="G2726">
        <f>Skills!G19*IF(Skills!H19&gt;0,Skills!I19/Skills!H19,1)</f>
        <v/>
      </c>
      <c r="H2726">
        <f>1-(1-Skills!J19/100)^Skills!K19</f>
        <v/>
      </c>
      <c r="I2726" t="inlineStr">
        <is>
          <t>1</t>
        </is>
      </c>
      <c r="J2726" t="inlineStr"/>
      <c r="K2726" t="inlineStr"/>
      <c r="L2726" t="inlineStr"/>
      <c r="M2726" t="inlineStr"/>
      <c r="N2726" t="inlineStr"/>
      <c r="O2726">
        <f>(1-Summary!$B$11)*T2726+Summary!$B$11*V2726</f>
        <v/>
      </c>
      <c r="P2726">
        <f>IF(B2742=0,0,O2726/B2742)</f>
        <v/>
      </c>
      <c r="Q2726" t="n">
        <v>0</v>
      </c>
      <c r="R2726" t="n">
        <v>0</v>
      </c>
      <c r="S2726">
        <f>IFERROR(O2726/N2726,0)</f>
        <v/>
      </c>
      <c r="T2726" t="n">
        <v>0</v>
      </c>
      <c r="V2726" t="n">
        <v>0</v>
      </c>
    </row>
    <row r="2727">
      <c r="A2727">
        <f>Skills!A20</f>
        <v/>
      </c>
      <c r="B2727">
        <f>Skills!B20</f>
        <v/>
      </c>
      <c r="C2727">
        <f>Inputs!$B$3&gt;=43</f>
        <v/>
      </c>
      <c r="D2727">
        <f>IF(Skills!C20=1,60+Inputs!$B$25+Inputs!$B$29,IF(Skills!C20=2,90+Inputs!$B$26+Inputs!$B$29,IF(Skills!C20=3,120+Inputs!$B$27+Inputs!$B$29,MAX(0,(Inputs!$B$3-100)*3)+Inputs!$B$28+Inputs!$B$29)))</f>
        <v/>
      </c>
      <c r="E2727">
        <f>INDEX(FactorTable!$B$2:$Y$301, MATCH(ROUND(MIN(300,MAX(1,D2727)),0), FactorTable!$A$2:$A$301,0), Skills!M20+1)</f>
        <v/>
      </c>
      <c r="F2727">
        <f>IF(Skills!N20=TRUE,(Skills!L20/10)*(E2727/1000),Skills!L20/10)+Skills!O20</f>
        <v/>
      </c>
      <c r="G2727">
        <f>Skills!G20*IF(Skills!H20&gt;0,Skills!I20/Skills!H20,1)</f>
        <v/>
      </c>
      <c r="H2727">
        <f>1-(1-Skills!J20/100)^Skills!K20</f>
        <v/>
      </c>
      <c r="I2727" t="inlineStr">
        <is>
          <t>1</t>
        </is>
      </c>
      <c r="J2727" t="inlineStr"/>
      <c r="K2727" t="inlineStr"/>
      <c r="L2727" t="inlineStr"/>
      <c r="M2727" t="inlineStr"/>
      <c r="N2727" t="inlineStr"/>
      <c r="O2727">
        <f>(1-Summary!$B$11)*T2727+Summary!$B$11*V2727</f>
        <v/>
      </c>
      <c r="P2727">
        <f>IF(B2742=0,0,O2727/B2742)</f>
        <v/>
      </c>
      <c r="Q2727" t="n">
        <v>0</v>
      </c>
      <c r="R2727" t="n">
        <v>0</v>
      </c>
      <c r="S2727">
        <f>IFERROR(O2727/N2727,0)</f>
        <v/>
      </c>
      <c r="T2727" t="n">
        <v>0</v>
      </c>
      <c r="V2727" t="n">
        <v>0</v>
      </c>
    </row>
    <row r="2728">
      <c r="A2728">
        <f>Skills!A21</f>
        <v/>
      </c>
      <c r="B2728">
        <f>Skills!B21</f>
        <v/>
      </c>
      <c r="C2728">
        <f>Inputs!$B$3&gt;=38</f>
        <v/>
      </c>
      <c r="D2728">
        <f>IF(Skills!C21=1,60+Inputs!$B$25+Inputs!$B$29,IF(Skills!C21=2,90+Inputs!$B$26+Inputs!$B$29,IF(Skills!C21=3,120+Inputs!$B$27+Inputs!$B$29,MAX(0,(Inputs!$B$3-100)*3)+Inputs!$B$28+Inputs!$B$29)))</f>
        <v/>
      </c>
      <c r="E2728">
        <f>INDEX(FactorTable!$B$2:$Y$301, MATCH(ROUND(MIN(300,MAX(1,D2728)),0), FactorTable!$A$2:$A$301,0), Skills!M21+1)</f>
        <v/>
      </c>
      <c r="F2728">
        <f>IF(Skills!N21=TRUE,(Skills!L21/10)*(E2728/1000),Skills!L21/10)+Skills!O21</f>
        <v/>
      </c>
      <c r="G2728">
        <f>Skills!G21*IF(Skills!H21&gt;0,Skills!I21/Skills!H21,1)</f>
        <v/>
      </c>
      <c r="H2728">
        <f>1-(1-Skills!J21/100)^Skills!K21</f>
        <v/>
      </c>
      <c r="I2728" t="inlineStr">
        <is>
          <t>1</t>
        </is>
      </c>
      <c r="J2728" t="inlineStr"/>
      <c r="K2728" t="inlineStr"/>
      <c r="L2728" t="inlineStr"/>
      <c r="M2728" t="inlineStr"/>
      <c r="N2728" t="inlineStr"/>
      <c r="O2728">
        <f>(1-Summary!$B$11)*T2728+Summary!$B$11*V2728</f>
        <v/>
      </c>
      <c r="P2728">
        <f>IF(B2742=0,0,O2728/B2742)</f>
        <v/>
      </c>
      <c r="Q2728" t="n">
        <v>0</v>
      </c>
      <c r="R2728" t="n">
        <v>0</v>
      </c>
      <c r="S2728">
        <f>IFERROR(O2728/N2728,0)</f>
        <v/>
      </c>
      <c r="T2728" t="n">
        <v>0</v>
      </c>
      <c r="V2728" t="n">
        <v>0</v>
      </c>
    </row>
    <row r="2729">
      <c r="A2729">
        <f>Skills!A22</f>
        <v/>
      </c>
      <c r="B2729">
        <f>Skills!B22</f>
        <v/>
      </c>
      <c r="C2729">
        <f>Inputs!$B$3&gt;=75</f>
        <v/>
      </c>
      <c r="D2729">
        <f>IF(Skills!C22=1,60+Inputs!$B$25+Inputs!$B$29,IF(Skills!C22=2,90+Inputs!$B$26+Inputs!$B$29,IF(Skills!C22=3,120+Inputs!$B$27+Inputs!$B$29,MAX(0,(Inputs!$B$3-100)*3)+Inputs!$B$28+Inputs!$B$29)))</f>
        <v/>
      </c>
      <c r="E2729">
        <f>INDEX(FactorTable!$B$2:$Y$301, MATCH(ROUND(MIN(300,MAX(1,D2729)),0), FactorTable!$A$2:$A$301,0), Skills!M22+1)</f>
        <v/>
      </c>
      <c r="F2729">
        <f>IF(Skills!N22=TRUE,(Skills!L22/10)*(E2729/1000),Skills!L22/10)+Skills!O22</f>
        <v/>
      </c>
      <c r="G2729">
        <f>Skills!G22*IF(Skills!H22&gt;0,Skills!I22/Skills!H22,1)</f>
        <v/>
      </c>
      <c r="H2729">
        <f>1-(1-Skills!J22/100)^Skills!K22</f>
        <v/>
      </c>
      <c r="I2729" t="inlineStr">
        <is>
          <t>1</t>
        </is>
      </c>
      <c r="J2729" t="inlineStr"/>
      <c r="K2729" t="inlineStr"/>
      <c r="L2729" t="inlineStr"/>
      <c r="M2729" t="inlineStr"/>
      <c r="N2729" t="inlineStr"/>
      <c r="O2729">
        <f>(1-Summary!$B$11)*T2729+Summary!$B$11*V2729</f>
        <v/>
      </c>
      <c r="P2729">
        <f>IF(B2742=0,0,O2729/B2742)</f>
        <v/>
      </c>
      <c r="Q2729" t="n">
        <v>0</v>
      </c>
      <c r="R2729" t="n">
        <v>0</v>
      </c>
      <c r="S2729">
        <f>IFERROR(O2729/N2729,0)</f>
        <v/>
      </c>
      <c r="T2729" t="n">
        <v>0</v>
      </c>
      <c r="V2729" t="n">
        <v>0</v>
      </c>
    </row>
    <row r="2731">
      <c r="A2731" t="inlineStr">
        <is>
          <t>Attack% Bucket Multiplier</t>
        </is>
      </c>
      <c r="B2731">
        <f>(1+(((C2720=TRUE)*F2720)+((C2726=TRUE)*(F2726-Calc!F19))+(IF(ArtifactsInput!$M$21,CHOOSE(ArtifactsInput!$N$21+1,25,30,35,40,45,50)*(IF(OR(Inputs!$B$4="Chapter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32">
      <c r="A2732" t="inlineStr">
        <is>
          <t>Global Crit Rate Bonus %</t>
        </is>
      </c>
      <c r="B2732" t="n">
        <v>0</v>
      </c>
    </row>
    <row r="2733">
      <c r="A2733" t="inlineStr">
        <is>
          <t>Attack Speed Buff Bonus % (unused)</t>
        </is>
      </c>
      <c r="B2733" t="n">
        <v>0</v>
      </c>
    </row>
    <row r="2734">
      <c r="A2734" t="inlineStr">
        <is>
          <t>Actions Per Second</t>
        </is>
      </c>
      <c r="B2734">
        <f>1+MIN(150,150*(1-(1-(Inputs!$B$11+((C2724=TRUE)*(F2724-Calc!F17))+((C2725=TRUE)*(F2725-Calc!F18)))/150)*(1-B2733/150)))/100</f>
        <v/>
      </c>
    </row>
    <row r="2735">
      <c r="A2735" t="inlineStr">
        <is>
          <t>Skill + Buff Cast Rate</t>
        </is>
      </c>
      <c r="B2735">
        <f>IF(AND(Inputs!$B$38&lt;&gt;"pvp",Inputs!$B$43&gt;0),SUMPRODUCT((Skills!E2:E22=TRUE)*(C2709:C2729=TRUE)*R2709:R2729*Skills!F2:F22)/Inputs!$B$43,SUMPRODUCT((Skills!E2:E22=TRUE)*(C2709:C2729=TRUE)*Q2709:Q2729*Skills!F2:F22))</f>
        <v/>
      </c>
    </row>
    <row r="2736">
      <c r="A2736" t="inlineStr">
        <is>
          <t>Hook Bomber Casts Per Second</t>
        </is>
      </c>
      <c r="B2736">
        <f>MAX(0,B2734-B2735)</f>
        <v/>
      </c>
    </row>
    <row r="2737">
      <c r="A2737" t="inlineStr">
        <is>
          <t>Global Critical Damage Bonus % (unused)</t>
        </is>
      </c>
      <c r="B2737" t="n">
        <v>0</v>
      </c>
    </row>
    <row r="2738">
      <c r="A2738" t="inlineStr">
        <is>
          <t>Global Final Damage Bonus % (Serpent Scale + Crossbones + Time Leap + Speed Infusion)</t>
        </is>
      </c>
      <c r="B2738">
        <f>((C2712=TRUE)*F2712*((10+IF(Inputs!$B$3&gt;=94,5,0))/((10+IF(Inputs!$B$3&gt;=94,5,0))+5/(B2736*(1+IF(Inputs!$B$3&gt;=104,1,0))))))+((C2721=TRUE)*F2721)+((C2722=TRUE)*F2722)+((Inputs!$B$3&gt;=110)*20*(B2734-1))</f>
        <v/>
      </c>
    </row>
    <row r="2739">
      <c r="A2739" t="inlineStr">
        <is>
          <t>Buff-Casting Startup Delay (s, fixed-duration only)</t>
        </is>
      </c>
      <c r="B2739">
        <f>IF(AND(Inputs!$B$38&lt;&gt;"pvp",Inputs!$B$43&gt;0),SUMPRODUCT((Skills!T2:T22&gt;0)*(Skills!E2:E22=TRUE)*(C2709:C2729=TRUE))/B2734,0)</f>
        <v/>
      </c>
    </row>
    <row r="2740">
      <c r="A2740" t="inlineStr">
        <is>
          <t>Boss-Only Total DPS (this block's swept value)</t>
        </is>
      </c>
      <c r="B2740">
        <f>SUM(T2709:T2729)</f>
        <v/>
      </c>
    </row>
    <row r="2741">
      <c r="A2741" t="inlineStr">
        <is>
          <t>Normal-Only Total DPS (this block's swept value)</t>
        </is>
      </c>
      <c r="B2741">
        <f>SUM(V2709:V2729)</f>
        <v/>
      </c>
    </row>
    <row r="2742">
      <c r="A2742" s="6" t="inlineStr">
        <is>
          <t>TOTAL DPS</t>
        </is>
      </c>
      <c r="B2742" s="6">
        <f>SUM(O2709:O2729)</f>
        <v/>
      </c>
    </row>
    <row r="2745">
      <c r="A2745" s="6" t="inlineStr">
        <is>
          <t>Stat: CDR = 4.5s</t>
        </is>
      </c>
    </row>
    <row r="2746">
      <c r="A2746" s="5" t="inlineStr">
        <is>
          <t>Key</t>
        </is>
      </c>
      <c r="B2746" s="5" t="inlineStr">
        <is>
          <t>Name</t>
        </is>
      </c>
      <c r="C2746" s="5" t="inlineStr">
        <is>
          <t>Unlocked</t>
        </is>
      </c>
      <c r="D2746" s="5" t="inlineStr">
        <is>
          <t>InputLevel</t>
        </is>
      </c>
      <c r="E2746" s="5" t="inlineStr">
        <is>
          <t>Factor</t>
        </is>
      </c>
      <c r="F2746" s="5" t="inlineStr">
        <is>
          <t>CoefficientPercent</t>
        </is>
      </c>
      <c r="G2746" s="5" t="inlineStr">
        <is>
          <t>EffectiveHits</t>
        </is>
      </c>
      <c r="H2746" s="5" t="inlineStr">
        <is>
          <t>ProcProbability</t>
        </is>
      </c>
      <c r="I2746" s="5" t="inlineStr">
        <is>
          <t>MapleHeroMultiplier</t>
        </is>
      </c>
      <c r="J2746" s="5" t="inlineStr">
        <is>
          <t>BaseDamage</t>
        </is>
      </c>
      <c r="K2746" s="5" t="inlineStr">
        <is>
          <t>BaseHitDamage</t>
        </is>
      </c>
      <c r="L2746" s="5" t="inlineStr">
        <is>
          <t>NonCritAvg</t>
        </is>
      </c>
      <c r="M2746" s="5" t="inlineStr">
        <is>
          <t>CritAvg</t>
        </is>
      </c>
      <c r="N2746" s="5" t="inlineStr">
        <is>
          <t>ExpectedDamage(perHit)</t>
        </is>
      </c>
      <c r="O2746" s="5" t="inlineStr">
        <is>
          <t>DPS</t>
        </is>
      </c>
      <c r="P2746" s="5" t="inlineStr">
        <is>
          <t>% of Total</t>
        </is>
      </c>
      <c r="Q2746" s="5" t="inlineStr">
        <is>
          <t>InvCooldown</t>
        </is>
      </c>
      <c r="R2746" s="5" t="inlineStr">
        <is>
          <t>CastsInFight</t>
        </is>
      </c>
      <c r="S2746" s="5" t="inlineStr">
        <is>
          <t>HitRate(perSec)</t>
        </is>
      </c>
      <c r="U2746" t="inlineStr">
        <is>
          <t>helpers</t>
        </is>
      </c>
    </row>
    <row r="2747">
      <c r="A2747">
        <f>Skills!A2</f>
        <v/>
      </c>
      <c r="B2747">
        <f>Skills!B2</f>
        <v/>
      </c>
      <c r="C2747">
        <f>Inputs!$B$3&gt;=100</f>
        <v/>
      </c>
      <c r="D2747" t="inlineStr"/>
      <c r="E2747" t="inlineStr"/>
      <c r="F2747">
        <f>U2749+Skills!O2</f>
        <v/>
      </c>
      <c r="G2747">
        <f>Skills!G2*IF(Skills!H2&gt;0,Skills!I2/Skills!H2,1)</f>
        <v/>
      </c>
      <c r="H2747">
        <f>1-(1-Skills!J2/100)^Skills!K2</f>
        <v/>
      </c>
      <c r="I2747" t="inlineStr">
        <is>
          <t>1</t>
        </is>
      </c>
      <c r="J2747">
        <f>((Inputs!$B$6*(1+Inputs!$B$7/100))+(((Inputs!$B$12*(1+Inputs!$B$13/100))-(Inputs!$B$12*(1+Inputs!$B$13/100)))+0.25*(Inputs!$B$14-Inputs!$B$14))*(1+Inputs!$B$7/100))*(F2747/100)</f>
        <v/>
      </c>
      <c r="K2747">
        <f>J2747*(1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2747)</f>
        <v/>
      </c>
      <c r="L2747">
        <f>K2747*(MIN(Inputs!$B$22+((C2765=TRUE)*(F2765-Calc!F20)),(Inputs!$B$23+0+(IF(ArtifactsInput!$M$15,CHOOSE(ArtifactsInput!$N$15+1,25,30,35,40,45,50)/100*(Inputs!$B$11-Inputs!$B$11),0))))/100+(Inputs!$B$23+0+(IF(ArtifactsInput!$M$15,CHOOSE(ArtifactsInput!$N$15+1,25,30,35,40,45,50)/100*(Inputs!$B$11-Inputs!$B$11),0)))/100)/2</f>
        <v/>
      </c>
      <c r="M2747">
        <f>L2747*(1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7">
        <f>L2747*(1-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2747*(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7">
        <f>(1-Summary!$B$11)*T2747+Summary!$B$11*V2747</f>
        <v/>
      </c>
      <c r="P2747">
        <f>IF(B2780=0,0,O2747/B2780)</f>
        <v/>
      </c>
      <c r="Q2747" t="n">
        <v>0</v>
      </c>
      <c r="R2747" t="n">
        <v>0</v>
      </c>
      <c r="S2747">
        <f>IFERROR(O2747/N2747,0)</f>
        <v/>
      </c>
      <c r="T2747">
        <f>IF(C2747,(Skills!G2*N2747*B2774)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2747*(1-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2747*(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2747*(1-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2747*(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7">
        <f>MAX(0,(Inputs!$B$3-100)*3)+Inputs!$B$28+Inputs!$B$29</f>
        <v/>
      </c>
      <c r="V2747">
        <f>IF(C2747,(Skills!G2*N2747*B2774)*IF(Inputs!$B$38="pvp",1,(1+(Inputs!$B$21+Skills!Q2+(IF(ArtifactsInput!$M$33,CHOOSE(ArtifactsInput!$N$33+1,30,36,42,48,54,60),0))+(IF(AND(ArtifactsInput!$M$35,Inputs!$B$4&lt;&gt;"Chapter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8">
      <c r="A2748">
        <f>Skills!A3</f>
        <v/>
      </c>
      <c r="B2748">
        <f>Skills!B3</f>
        <v/>
      </c>
      <c r="C2748">
        <f>Inputs!$B$3&gt;=35</f>
        <v/>
      </c>
      <c r="D2748">
        <f>IF(Skills!C3=1,60+Inputs!$B$25+Inputs!$B$29,IF(Skills!C3=2,90+Inputs!$B$26+Inputs!$B$29,IF(Skills!C3=3,120+Inputs!$B$27+Inputs!$B$29,MAX(0,(Inputs!$B$3-100)*3)+Inputs!$B$28+Inputs!$B$29)))</f>
        <v/>
      </c>
      <c r="E2748">
        <f>INDEX(FactorTable!$B$2:$Y$301, MATCH(ROUND(MIN(300,MAX(1,D2748)),0), FactorTable!$A$2:$A$301,0), Skills!M3+1)</f>
        <v/>
      </c>
      <c r="F2748">
        <f>IF(Skills!N3=TRUE,(Skills!L3/10)*(E2748/1000),Skills!L3/10)+Skills!O3</f>
        <v/>
      </c>
      <c r="G2748">
        <f>Skills!G3*IF(Skills!H3&gt;0,Skills!I3/Skills!H3,1)</f>
        <v/>
      </c>
      <c r="H2748">
        <f>1-(1-Skills!J3/100)^Skills!K3</f>
        <v/>
      </c>
      <c r="I2748" t="inlineStr">
        <is>
          <t>1</t>
        </is>
      </c>
      <c r="J2748">
        <f>((Inputs!$B$6*(1+Inputs!$B$7/100))+(((Inputs!$B$12*(1+Inputs!$B$13/100))-(Inputs!$B$12*(1+Inputs!$B$13/100)))+0.25*(Inputs!$B$14-Inputs!$B$14))*(1+Inputs!$B$7/100))*(F2748/100)</f>
        <v/>
      </c>
      <c r="K2748">
        <f>J2748*(1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2748)</f>
        <v/>
      </c>
      <c r="L2748">
        <f>K2748*(MIN(Inputs!$B$22+((C2765=TRUE)*(F2765-Calc!F20)),(Inputs!$B$23+0+(IF(ArtifactsInput!$M$15,CHOOSE(ArtifactsInput!$N$15+1,25,30,35,40,45,50)/100*(Inputs!$B$11-Inputs!$B$11),0))))/100+(Inputs!$B$23+0+(IF(ArtifactsInput!$M$15,CHOOSE(ArtifactsInput!$N$15+1,25,30,35,40,45,50)/100*(Inputs!$B$11-Inputs!$B$11),0)))/100)/2</f>
        <v/>
      </c>
      <c r="M2748">
        <f>L2748*(1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8">
        <f>L2748*(1-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2748*(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8">
        <f>(1-Summary!$B$11)*T2748+Summary!$B$11*V2748</f>
        <v/>
      </c>
      <c r="P2748">
        <f>IF(B2780=0,0,O2748/B2780)</f>
        <v/>
      </c>
      <c r="Q2748" t="n">
        <v>0</v>
      </c>
      <c r="R2748" t="n">
        <v>0</v>
      </c>
      <c r="S2748">
        <f>IFERROR(O2748/N2748,0)</f>
        <v/>
      </c>
      <c r="T2748">
        <f>IF(C2748,(Skills!G3*H2748*N2748*B2774)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2748*(1-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2748*(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2748*(1-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2748*(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8">
        <f>INDEX(FactorTable!$B$2:$Y$301, MATCH(ROUND(MIN(300,MAX(1,U2747)),0), FactorTable!$A$2:$A$301,0), 22)</f>
        <v/>
      </c>
      <c r="V2748">
        <f>IF(C2748,(Skills!G3*H2748*N2748*B2774)*IF(Inputs!$B$38="pvp",1,(1+(Inputs!$B$21+Skills!Q3+(IF(ArtifactsInput!$M$33,CHOOSE(ArtifactsInput!$N$33+1,30,36,42,48,54,60),0))+(IF(AND(ArtifactsInput!$M$35,Inputs!$B$4&lt;&gt;"Chapter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9">
      <c r="A2749">
        <f>Skills!A4</f>
        <v/>
      </c>
      <c r="B2749">
        <f>Skills!B4</f>
        <v/>
      </c>
      <c r="C2749">
        <f>Inputs!$B$3&gt;=60</f>
        <v/>
      </c>
      <c r="D2749">
        <f>IF(Skills!C4=1,60+Inputs!$B$25+Inputs!$B$29,IF(Skills!C4=2,90+Inputs!$B$26+Inputs!$B$29,IF(Skills!C4=3,120+Inputs!$B$27+Inputs!$B$29,MAX(0,(Inputs!$B$3-100)*3)+Inputs!$B$28+Inputs!$B$29)))</f>
        <v/>
      </c>
      <c r="E2749">
        <f>INDEX(FactorTable!$B$2:$Y$301, MATCH(ROUND(MIN(300,MAX(1,D2749)),0), FactorTable!$A$2:$A$301,0), Skills!M4+1)</f>
        <v/>
      </c>
      <c r="F2749">
        <f>IF(Skills!N4=TRUE,(Skills!L4/10)*(E2749/1000),Skills!L4/10)+Skills!O4</f>
        <v/>
      </c>
      <c r="G2749">
        <f>Skills!G4*IF(Skills!H4&gt;0,Skills!I4/Skills!H4,1)</f>
        <v/>
      </c>
      <c r="H2749">
        <f>1-(1-Skills!J4/100)^Skills!K4</f>
        <v/>
      </c>
      <c r="I2749" t="inlineStr">
        <is>
          <t>1</t>
        </is>
      </c>
      <c r="J2749">
        <f>((Inputs!$B$6*(1+Inputs!$B$7/100))+(((Inputs!$B$12*(1+Inputs!$B$13/100))-(Inputs!$B$12*(1+Inputs!$B$13/100)))+0.25*(Inputs!$B$14-Inputs!$B$14))*(1+Inputs!$B$7/100))*(F2749/100)</f>
        <v/>
      </c>
      <c r="K2749">
        <f>J2749*(1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2757=TRUE,F2757,0)/100)*(1+(IF(Skills!A4="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2749)</f>
        <v/>
      </c>
      <c r="L2749">
        <f>K2749*(MIN(Inputs!$B$22+((C2765=TRUE)*(F2765-Calc!F20)),(Inputs!$B$23+0+(IF(ArtifactsInput!$M$15,CHOOSE(ArtifactsInput!$N$15+1,25,30,35,40,45,50)/100*(Inputs!$B$11-Inputs!$B$11),0))))/100+(Inputs!$B$23+0+(IF(ArtifactsInput!$M$15,CHOOSE(ArtifactsInput!$N$15+1,25,30,35,40,45,50)/100*(Inputs!$B$11-Inputs!$B$11),0)))/100)/2</f>
        <v/>
      </c>
      <c r="M2749">
        <f>L2749*(1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9">
        <f>L2749*(1-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2749*(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9">
        <f>(1-Summary!$B$11)*T2749+Summary!$B$11*V2749</f>
        <v/>
      </c>
      <c r="P2749">
        <f>IF(B2780=0,0,O2749/B2780)</f>
        <v/>
      </c>
      <c r="Q2749" t="n">
        <v>0</v>
      </c>
      <c r="R2749" t="n">
        <v>0</v>
      </c>
      <c r="S2749">
        <f>IFERROR(O2749/N2749,0)</f>
        <v/>
      </c>
      <c r="T2749">
        <f>IF(C2749,(Skills!G4*H2749*N2749*B2774)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2749*(1-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2749*(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2749*(1-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2749*(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9">
        <f>290*U2748/1000</f>
        <v/>
      </c>
      <c r="V2749">
        <f>IF(C2749,(Skills!G4*H2749*N2749*B2774)*IF(Inputs!$B$38="pvp",1,(1+(Inputs!$B$21+Skills!Q4+(IF(ArtifactsInput!$M$33,CHOOSE(ArtifactsInput!$N$33+1,30,36,42,48,54,60),0))+(IF(AND(ArtifactsInput!$M$35,Inputs!$B$4&lt;&gt;"Chapter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0">
      <c r="A2750">
        <f>Skills!A5</f>
        <v/>
      </c>
      <c r="B2750">
        <f>Skills!B5</f>
        <v/>
      </c>
      <c r="C2750">
        <f>Inputs!$B$3&gt;=60</f>
        <v/>
      </c>
      <c r="D2750">
        <f>IF(Skills!C5=1,60+Inputs!$B$25+Inputs!$B$29,IF(Skills!C5=2,90+Inputs!$B$26+Inputs!$B$29,IF(Skills!C5=3,120+Inputs!$B$27+Inputs!$B$29,MAX(0,(Inputs!$B$3-100)*3)+Inputs!$B$28+Inputs!$B$29)))</f>
        <v/>
      </c>
      <c r="E2750">
        <f>INDEX(FactorTable!$B$2:$Y$301, MATCH(ROUND(MIN(300,MAX(1,D2750)),0), FactorTable!$A$2:$A$301,0), Skills!M5+1)</f>
        <v/>
      </c>
      <c r="F2750">
        <f>IF(Skills!N5=TRUE,(Skills!L5/10)*(E2750/1000),Skills!L5/10)+Skills!O5</f>
        <v/>
      </c>
      <c r="G2750">
        <f>Skills!G5*IF(Skills!H5&gt;0,Skills!I5/Skills!H5,1)</f>
        <v/>
      </c>
      <c r="H2750">
        <f>1-(1-Skills!J5/100)^Skills!K5</f>
        <v/>
      </c>
      <c r="I2750" t="inlineStr">
        <is>
          <t>1</t>
        </is>
      </c>
      <c r="J2750" t="inlineStr"/>
      <c r="K2750" t="inlineStr"/>
      <c r="L2750" t="inlineStr"/>
      <c r="M2750" t="inlineStr"/>
      <c r="N2750" t="inlineStr"/>
      <c r="O2750">
        <f>(1-Summary!$B$11)*T2750+Summary!$B$11*V2750</f>
        <v/>
      </c>
      <c r="P2750">
        <f>IF(B2780=0,0,O2750/B2780)</f>
        <v/>
      </c>
      <c r="Q2750" t="n">
        <v>0</v>
      </c>
      <c r="R2750" t="n">
        <v>0</v>
      </c>
      <c r="S2750">
        <f>IFERROR(O2750/N2750,0)</f>
        <v/>
      </c>
      <c r="T2750" t="n">
        <v>0</v>
      </c>
      <c r="V2750" t="n">
        <v>0</v>
      </c>
    </row>
    <row r="2751">
      <c r="A2751">
        <f>Skills!A6</f>
        <v/>
      </c>
      <c r="B2751">
        <f>Skills!B6</f>
        <v/>
      </c>
      <c r="C2751">
        <f>Inputs!$B$3&gt;=63</f>
        <v/>
      </c>
      <c r="D2751">
        <f>IF(Skills!C6=1,60+Inputs!$B$25+Inputs!$B$29,IF(Skills!C6=2,90+Inputs!$B$26+Inputs!$B$29,IF(Skills!C6=3,120+Inputs!$B$27+Inputs!$B$29,MAX(0,(Inputs!$B$3-100)*3)+Inputs!$B$28+Inputs!$B$29)))</f>
        <v/>
      </c>
      <c r="E2751">
        <f>INDEX(FactorTable!$B$2:$Y$301, MATCH(ROUND(MIN(300,MAX(1,D2751)),0), FactorTable!$A$2:$A$301,0), Skills!M6+1)</f>
        <v/>
      </c>
      <c r="F2751">
        <f>IF(Skills!N6=TRUE,(Skills!L6/10)*(E2751/1000),Skills!L6/10)+Skills!O6</f>
        <v/>
      </c>
      <c r="G2751">
        <f>Skills!G6*IF(Skills!H6&gt;0,Skills!I6/Skills!H6,1)</f>
        <v/>
      </c>
      <c r="H2751">
        <f>1-(1-Skills!J6/100)^Skills!K6</f>
        <v/>
      </c>
      <c r="I2751" t="inlineStr">
        <is>
          <t>1</t>
        </is>
      </c>
      <c r="J2751">
        <f>((Inputs!$B$6*(1+Inputs!$B$7/100))+(((Inputs!$B$12*(1+Inputs!$B$13/100))-(Inputs!$B$12*(1+Inputs!$B$13/100)))+0.25*(Inputs!$B$14-Inputs!$B$14))*(1+Inputs!$B$7/100))*(F2751/100)</f>
        <v/>
      </c>
      <c r="K2751">
        <f>J2751*(1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2751)</f>
        <v/>
      </c>
      <c r="L2751">
        <f>K2751*(MIN(Inputs!$B$22+((C2765=TRUE)*(F2765-Calc!F20)),(Inputs!$B$23+0+(IF(ArtifactsInput!$M$15,CHOOSE(ArtifactsInput!$N$15+1,25,30,35,40,45,50)/100*(Inputs!$B$11-Inputs!$B$11),0))))/100+(Inputs!$B$23+0+(IF(ArtifactsInput!$M$15,CHOOSE(ArtifactsInput!$N$15+1,25,30,35,40,45,50)/100*(Inputs!$B$11-Inputs!$B$11),0)))/100)/2</f>
        <v/>
      </c>
      <c r="M2751">
        <f>L2751*(1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1">
        <f>L2751*(1-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1">
        <f>(1-Summary!$B$11)*T2751+Summary!$B$11*V2751</f>
        <v/>
      </c>
      <c r="P2751">
        <f>IF(B2780=0,0,O2751/B2780)</f>
        <v/>
      </c>
      <c r="Q2751">
        <f>IFERROR(1/(IF(Inputs!$B$38="pvp",15,MAX(0.1,Skills!D6-IF(Skills!E6=TRUE,4.5,0)))*(1-IF(AND(ArtifactsInput!$M$27,Inputs!$B$4="Chapter Hunt"),CHOOSE(ArtifactsInput!$N$27+1,20,24,28,32,36,40),0)/100)),0)</f>
        <v/>
      </c>
      <c r="R2751">
        <f>IF(AND(Inputs!$B$38&lt;&gt;"pvp",Inputs!$B$43&gt;0),IF(MAX(0,Inputs!$B$43-B2777)&lt;=0,0,(INT(MAX(0,Inputs!$B$43-B2777)/(IF(Inputs!$B$38="pvp",15,MAX(0.1,Skills!D6-IF(Skills!E6=TRUE,4.5,0)))*(1-IF(AND(ArtifactsInput!$M$27,Inputs!$B$4="Chapter Hunt"),CHOOSE(ArtifactsInput!$N$27+1,20,24,28,32,36,40),0)/100)))+1)),0)</f>
        <v/>
      </c>
      <c r="S2751">
        <f>IFERROR(O2751/N2751,0)</f>
        <v/>
      </c>
      <c r="T2751">
        <f>IF(C2751,(H2751*N2751*IF(AND(Inputs!$B$38&lt;&gt;"pvp",Inputs!$B$43&gt;0),((Skills!G6*((R2751-1)*IF(Skills!H6&gt;0,Skills!I6/Skills!H6,1)+IF(Skills!H6&gt;0,MIN(Skills!I6,MAX(0,MAX(0,Inputs!$B$43-B2777)-((R2751-1)*(IF(Inputs!$B$38="pvp",15,MAX(0.1,Skills!D6-IF(Skills!E6=TRUE,4.5,0)))*(1-IF(AND(ArtifactsInput!$M$27,Inputs!$B$4="Chapter Hunt"),CHOOSE(ArtifactsInput!$N$27+1,20,24,28,32,36,40),0)/100)))))/Skills!H6,1)))/Inputs!$B$43),G2751*Q2751)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2751*(1-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1">
        <f>IF(C2751,(H2751*N2751*IF(AND(Inputs!$B$38&lt;&gt;"pvp",Inputs!$B$43&gt;0),((Skills!G6*((R2751-1)*IF(Skills!H6&gt;0,Skills!I6/Skills!H6,1)+IF(Skills!H6&gt;0,MIN(Skills!I6,MAX(0,MAX(0,Inputs!$B$43-B2777)-((R2751-1)*(IF(Inputs!$B$38="pvp",15,MAX(0.1,Skills!D6-IF(Skills!E6=TRUE,4.5,0)))*(1-IF(AND(ArtifactsInput!$M$27,Inputs!$B$4="Chapter Hunt"),CHOOSE(ArtifactsInput!$N$27+1,20,24,28,32,36,40),0)/100)))))/Skills!H6,1)))/Inputs!$B$43),G2751*Q2751))*IF(Inputs!$B$38="pvp",1,(1+(Inputs!$B$21+Skills!Q6+(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2">
      <c r="A2752">
        <f>Skills!A7</f>
        <v/>
      </c>
      <c r="B2752">
        <f>Skills!B7</f>
        <v/>
      </c>
      <c r="C2752">
        <f>Inputs!$B$3&gt;=100</f>
        <v/>
      </c>
      <c r="D2752">
        <f>IF(Skills!C7=1,60+Inputs!$B$25+Inputs!$B$29,IF(Skills!C7=2,90+Inputs!$B$26+Inputs!$B$29,IF(Skills!C7=3,120+Inputs!$B$27+Inputs!$B$29,MAX(0,(Inputs!$B$3-100)*3)+Inputs!$B$28+Inputs!$B$29)))</f>
        <v/>
      </c>
      <c r="E2752">
        <f>INDEX(FactorTable!$B$2:$Y$301, MATCH(ROUND(MIN(300,MAX(1,D2752)),0), FactorTable!$A$2:$A$301,0), Skills!M7+1)</f>
        <v/>
      </c>
      <c r="F2752">
        <f>IF(Skills!N7=TRUE,(Skills!L7/10)*(E2752/1000),Skills!L7/10)+Skills!O7</f>
        <v/>
      </c>
      <c r="G2752">
        <f>Skills!G7*IF(Skills!H7&gt;0,Skills!I7/Skills!H7,1)</f>
        <v/>
      </c>
      <c r="H2752">
        <f>1-(1-Skills!J7/100)^Skills!K7</f>
        <v/>
      </c>
      <c r="I2752" t="inlineStr">
        <is>
          <t>1</t>
        </is>
      </c>
      <c r="J2752">
        <f>((Inputs!$B$6*(1+Inputs!$B$7/100))+(((Inputs!$B$12*(1+Inputs!$B$13/100))-(Inputs!$B$12*(1+Inputs!$B$13/100)))+0.25*(Inputs!$B$14-Inputs!$B$14))*(1+Inputs!$B$7/100))*(F2752/100)</f>
        <v/>
      </c>
      <c r="K2752">
        <f>J2752*(1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2752)</f>
        <v/>
      </c>
      <c r="L2752">
        <f>K2752*(MIN(Inputs!$B$22+((C2765=TRUE)*(F2765-Calc!F20)),(Inputs!$B$23+0+(IF(ArtifactsInput!$M$15,CHOOSE(ArtifactsInput!$N$15+1,25,30,35,40,45,50)/100*(Inputs!$B$11-Inputs!$B$11),0))))/100+(Inputs!$B$23+0+(IF(ArtifactsInput!$M$15,CHOOSE(ArtifactsInput!$N$15+1,25,30,35,40,45,50)/100*(Inputs!$B$11-Inputs!$B$11),0)))/100)/2</f>
        <v/>
      </c>
      <c r="M2752">
        <f>L2752*(1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2">
        <f>L2752*(1-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2752*(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2">
        <f>(1-Summary!$B$11)*T2752+Summary!$B$11*V2752</f>
        <v/>
      </c>
      <c r="P2752">
        <f>IF(B2780=0,0,O2752/B2780)</f>
        <v/>
      </c>
      <c r="Q2752">
        <f>IFERROR(1/(IF(Inputs!$B$38="pvp",15,MAX(0.1,Skills!D7-IF(Skills!E7=TRUE,4.5,0)))*(1-IF(AND(ArtifactsInput!$M$27,Inputs!$B$4="Chapter Hunt"),CHOOSE(ArtifactsInput!$N$27+1,20,24,28,32,36,40),0)/100)),0)</f>
        <v/>
      </c>
      <c r="R2752">
        <f>IF(AND(Inputs!$B$38&lt;&gt;"pvp",Inputs!$B$43&gt;0),IF(MAX(0,Inputs!$B$43-B2777)&lt;=0,0,(INT(MAX(0,Inputs!$B$43-B2777)/(IF(Inputs!$B$38="pvp",15,MAX(0.1,Skills!D7-IF(Skills!E7=TRUE,4.5,0)))*(1-IF(AND(ArtifactsInput!$M$27,Inputs!$B$4="Chapter Hunt"),CHOOSE(ArtifactsInput!$N$27+1,20,24,28,32,36,40),0)/100)))+1)),0)</f>
        <v/>
      </c>
      <c r="S2752">
        <f>IFERROR(O2752/N2752,0)</f>
        <v/>
      </c>
      <c r="T2752">
        <f>IF(C2752,(H2752*N2752*IF(AND(Inputs!$B$38&lt;&gt;"pvp",Inputs!$B$43&gt;0),((Skills!G7*((R2752-1)*IF(Skills!H7&gt;0,Skills!I7/Skills!H7,1)+IF(Skills!H7&gt;0,MIN(Skills!I7,MAX(0,MAX(0,Inputs!$B$43-B2777)-((R2752-1)*(IF(Inputs!$B$38="pvp",15,MAX(0.1,Skills!D7-IF(Skills!E7=TRUE,4.5,0)))*(1-IF(AND(ArtifactsInput!$M$27,Inputs!$B$4="Chapter Hunt"),CHOOSE(ArtifactsInput!$N$27+1,20,24,28,32,36,40),0)/100)))))/Skills!H7,1)))/Inputs!$B$43),G2752*Q2752)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2752*(1-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2752*(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2752*(1-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2752*(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2">
        <f>IF(C2752,(H2752*N2752*IF(AND(Inputs!$B$38&lt;&gt;"pvp",Inputs!$B$43&gt;0),((Skills!G7*((R2752-1)*IF(Skills!H7&gt;0,Skills!I7/Skills!H7,1)+IF(Skills!H7&gt;0,MIN(Skills!I7,MAX(0,MAX(0,Inputs!$B$43-B2777)-((R2752-1)*(IF(Inputs!$B$38="pvp",15,MAX(0.1,Skills!D7-IF(Skills!E7=TRUE,4.5,0)))*(1-IF(AND(ArtifactsInput!$M$27,Inputs!$B$4="Chapter Hunt"),CHOOSE(ArtifactsInput!$N$27+1,20,24,28,32,36,40),0)/100)))))/Skills!H7,1)))/Inputs!$B$43),G2752*Q2752))*IF(Inputs!$B$38="pvp",1,(1+(Inputs!$B$21+Skills!Q7+(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3">
      <c r="A2753">
        <f>Skills!A8</f>
        <v/>
      </c>
      <c r="B2753">
        <f>Skills!B8</f>
        <v/>
      </c>
      <c r="C2753">
        <f>Inputs!$B$3&gt;=110</f>
        <v/>
      </c>
      <c r="D2753">
        <f>IF(Skills!C8=1,60+Inputs!$B$25+Inputs!$B$29,IF(Skills!C8=2,90+Inputs!$B$26+Inputs!$B$29,IF(Skills!C8=3,120+Inputs!$B$27+Inputs!$B$29,MAX(0,(Inputs!$B$3-100)*3)+Inputs!$B$28+Inputs!$B$29)))</f>
        <v/>
      </c>
      <c r="E2753">
        <f>INDEX(FactorTable!$B$2:$Y$301, MATCH(ROUND(MIN(300,MAX(1,D2753)),0), FactorTable!$A$2:$A$301,0), Skills!M8+1)</f>
        <v/>
      </c>
      <c r="F2753">
        <f>IF(Skills!N8=TRUE,(Skills!L8/10)*(E2753/1000),Skills!L8/10)+Skills!O8</f>
        <v/>
      </c>
      <c r="G2753">
        <f>Skills!G8*IF(Skills!H8&gt;0,Skills!I8/Skills!H8,1)</f>
        <v/>
      </c>
      <c r="H2753">
        <f>1-(1-Skills!J8/100)^Skills!K8</f>
        <v/>
      </c>
      <c r="I2753" t="inlineStr">
        <is>
          <t>1</t>
        </is>
      </c>
      <c r="J2753">
        <f>((Inputs!$B$6*(1+Inputs!$B$7/100))+(((Inputs!$B$12*(1+Inputs!$B$13/100))-(Inputs!$B$12*(1+Inputs!$B$13/100)))+0.25*(Inputs!$B$14-Inputs!$B$14))*(1+Inputs!$B$7/100))*(F2753/100)</f>
        <v/>
      </c>
      <c r="K2753">
        <f>J2753*(1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2753)</f>
        <v/>
      </c>
      <c r="L2753">
        <f>K2753*(MIN(Inputs!$B$22+((C2765=TRUE)*(F2765-Calc!F20)),(Inputs!$B$23+0+(IF(ArtifactsInput!$M$15,CHOOSE(ArtifactsInput!$N$15+1,25,30,35,40,45,50)/100*(Inputs!$B$11-Inputs!$B$11),0))))/100+(Inputs!$B$23+0+(IF(ArtifactsInput!$M$15,CHOOSE(ArtifactsInput!$N$15+1,25,30,35,40,45,50)/100*(Inputs!$B$11-Inputs!$B$11),0)))/100)/2</f>
        <v/>
      </c>
      <c r="M2753">
        <f>L2753*(1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3">
        <f>L2753*(1-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2753*(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3">
        <f>(1-Summary!$B$11)*T2753+Summary!$B$11*V2753</f>
        <v/>
      </c>
      <c r="P2753">
        <f>IF(B2780=0,0,O2753/B2780)</f>
        <v/>
      </c>
      <c r="Q2753">
        <f>IFERROR(1/(IF(Inputs!$B$38="pvp",15,MAX(0.1,Skills!D8-IF(Skills!E8=TRUE,4.5,0)))*(1-IF(AND(ArtifactsInput!$M$27,Inputs!$B$4="Chapter Hunt"),CHOOSE(ArtifactsInput!$N$27+1,20,24,28,32,36,40),0)/100)),0)</f>
        <v/>
      </c>
      <c r="R2753">
        <f>IF(AND(Inputs!$B$38&lt;&gt;"pvp",Inputs!$B$43&gt;0),IF(MAX(0,Inputs!$B$43-B2777)&lt;=0,0,(INT(MAX(0,Inputs!$B$43-B2777)/(IF(Inputs!$B$38="pvp",15,MAX(0.1,Skills!D8-IF(Skills!E8=TRUE,4.5,0)))*(1-IF(AND(ArtifactsInput!$M$27,Inputs!$B$4="Chapter Hunt"),CHOOSE(ArtifactsInput!$N$27+1,20,24,28,32,36,40),0)/100)))+1)),0)</f>
        <v/>
      </c>
      <c r="S2753">
        <f>IFERROR(O2753/N2753,0)</f>
        <v/>
      </c>
      <c r="T2753">
        <f>IF(C2753,(H2753*N2753*IF(AND(Inputs!$B$38&lt;&gt;"pvp",Inputs!$B$43&gt;0),((Skills!G8*((R2753-1)*IF(Skills!H8&gt;0,Skills!I8/Skills!H8,1)+IF(Skills!H8&gt;0,MIN(Skills!I8,MAX(0,MAX(0,Inputs!$B$43-B2777)-((R2753-1)*(IF(Inputs!$B$38="pvp",15,MAX(0.1,Skills!D8-IF(Skills!E8=TRUE,4.5,0)))*(1-IF(AND(ArtifactsInput!$M$27,Inputs!$B$4="Chapter Hunt"),CHOOSE(ArtifactsInput!$N$27+1,20,24,28,32,36,40),0)/100)))))/Skills!H8,1)))/Inputs!$B$43),G2753*Q2753)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2753*(1-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2753*(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2753*(1-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2753*(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3">
        <f>IF(C2753,(H2753*N2753*IF(AND(Inputs!$B$38&lt;&gt;"pvp",Inputs!$B$43&gt;0),((Skills!G8*((R2753-1)*IF(Skills!H8&gt;0,Skills!I8/Skills!H8,1)+IF(Skills!H8&gt;0,MIN(Skills!I8,MAX(0,MAX(0,Inputs!$B$43-B2777)-((R2753-1)*(IF(Inputs!$B$38="pvp",15,MAX(0.1,Skills!D8-IF(Skills!E8=TRUE,4.5,0)))*(1-IF(AND(ArtifactsInput!$M$27,Inputs!$B$4="Chapter Hunt"),CHOOSE(ArtifactsInput!$N$27+1,20,24,28,32,36,40),0)/100)))))/Skills!H8,1)))/Inputs!$B$43),G2753*Q2753))*IF(Inputs!$B$38="pvp",1,(1+(Inputs!$B$21+Skills!Q8+(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4">
      <c r="A2754">
        <f>Skills!A9</f>
        <v/>
      </c>
      <c r="B2754">
        <f>Skills!B9</f>
        <v/>
      </c>
      <c r="C2754">
        <f>Inputs!$B$3&gt;=110</f>
        <v/>
      </c>
      <c r="D2754">
        <f>IF(Skills!C9=1,60+Inputs!$B$25+Inputs!$B$29,IF(Skills!C9=2,90+Inputs!$B$26+Inputs!$B$29,IF(Skills!C9=3,120+Inputs!$B$27+Inputs!$B$29,MAX(0,(Inputs!$B$3-100)*3)+Inputs!$B$28+Inputs!$B$29)))</f>
        <v/>
      </c>
      <c r="E2754">
        <f>INDEX(FactorTable!$B$2:$Y$301, MATCH(ROUND(MIN(300,MAX(1,D2754)),0), FactorTable!$A$2:$A$301,0), Skills!M9+1)</f>
        <v/>
      </c>
      <c r="F2754">
        <f>IF(Skills!N9=TRUE,(Skills!L9/10)*(E2754/1000),Skills!L9/10)+Skills!O9</f>
        <v/>
      </c>
      <c r="G2754">
        <f>Skills!G9*IF(Skills!H9&gt;0,Skills!I9/Skills!H9,1)</f>
        <v/>
      </c>
      <c r="H2754">
        <f>1-(1-Skills!J9/100)^Skills!K9</f>
        <v/>
      </c>
      <c r="I2754" t="inlineStr">
        <is>
          <t>1</t>
        </is>
      </c>
      <c r="J2754">
        <f>((Inputs!$B$6*(1+Inputs!$B$7/100))+(((Inputs!$B$12*(1+Inputs!$B$13/100))-(Inputs!$B$12*(1+Inputs!$B$13/100)))+0.25*(Inputs!$B$14-Inputs!$B$14))*(1+Inputs!$B$7/100))*(F2754/100)</f>
        <v/>
      </c>
      <c r="K2754">
        <f>J2754*(1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2754)</f>
        <v/>
      </c>
      <c r="L2754">
        <f>K2754*(MIN(Inputs!$B$22+((C2765=TRUE)*(F2765-Calc!F20)),(Inputs!$B$23+0+(IF(ArtifactsInput!$M$15,CHOOSE(ArtifactsInput!$N$15+1,25,30,35,40,45,50)/100*(Inputs!$B$11-Inputs!$B$11),0))))/100+(Inputs!$B$23+0+(IF(ArtifactsInput!$M$15,CHOOSE(ArtifactsInput!$N$15+1,25,30,35,40,45,50)/100*(Inputs!$B$11-Inputs!$B$11),0)))/100)/2</f>
        <v/>
      </c>
      <c r="M2754">
        <f>L2754*(1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4">
        <f>L2754*(1-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2754*(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4">
        <f>(1-Summary!$B$11)*T2754+Summary!$B$11*V2754</f>
        <v/>
      </c>
      <c r="P2754">
        <f>IF(B2780=0,0,O2754/B2780)</f>
        <v/>
      </c>
      <c r="Q2754">
        <f>IFERROR(1/(IF(Inputs!$B$38="pvp",15,MAX(0.1,Skills!D9-IF(Skills!E9=TRUE,4.5,0)))*(1-IF(AND(ArtifactsInput!$M$27,Inputs!$B$4="Chapter Hunt"),CHOOSE(ArtifactsInput!$N$27+1,20,24,28,32,36,40),0)/100)),0)</f>
        <v/>
      </c>
      <c r="R2754">
        <f>IF(AND(Inputs!$B$38&lt;&gt;"pvp",Inputs!$B$43&gt;0),IF(MAX(0,Inputs!$B$43-B2777)&lt;=0,0,(INT(MAX(0,Inputs!$B$43-B2777)/(IF(Inputs!$B$38="pvp",15,MAX(0.1,Skills!D9-IF(Skills!E9=TRUE,4.5,0)))*(1-IF(AND(ArtifactsInput!$M$27,Inputs!$B$4="Chapter Hunt"),CHOOSE(ArtifactsInput!$N$27+1,20,24,28,32,36,40),0)/100)))+1)),0)</f>
        <v/>
      </c>
      <c r="S2754">
        <f>IFERROR(O2754/N2754,0)</f>
        <v/>
      </c>
      <c r="T2754">
        <f>IF(C2754,(H2754*N2754*IF(AND(Inputs!$B$38&lt;&gt;"pvp",Inputs!$B$43&gt;0),((Skills!G9*((R2754-1)*IF(Skills!H9&gt;0,Skills!I9/Skills!H9,1)+IF(Skills!H9&gt;0,MIN(Skills!I9,MAX(0,MAX(0,Inputs!$B$43-B2777)-((R2754-1)*(IF(Inputs!$B$38="pvp",15,MAX(0.1,Skills!D9-IF(Skills!E9=TRUE,4.5,0)))*(1-IF(AND(ArtifactsInput!$M$27,Inputs!$B$4="Chapter Hunt"),CHOOSE(ArtifactsInput!$N$27+1,20,24,28,32,36,40),0)/100)))))/Skills!H9,1)))/Inputs!$B$43),G2754*Q2754)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2754*(1-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2754*(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2754*(1-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2754*(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4">
        <f>IF(C2754,(H2754*N2754*IF(AND(Inputs!$B$38&lt;&gt;"pvp",Inputs!$B$43&gt;0),((Skills!G9*((R2754-1)*IF(Skills!H9&gt;0,Skills!I9/Skills!H9,1)+IF(Skills!H9&gt;0,MIN(Skills!I9,MAX(0,MAX(0,Inputs!$B$43-B2777)-((R2754-1)*(IF(Inputs!$B$38="pvp",15,MAX(0.1,Skills!D9-IF(Skills!E9=TRUE,4.5,0)))*(1-IF(AND(ArtifactsInput!$M$27,Inputs!$B$4="Chapter Hunt"),CHOOSE(ArtifactsInput!$N$27+1,20,24,28,32,36,40),0)/100)))))/Skills!H9,1)))/Inputs!$B$43),G2754*Q2754))*IF(Inputs!$B$38="pvp",1,(1+(Inputs!$B$21+Skills!Q9+(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5">
      <c r="A2755">
        <f>Skills!A10</f>
        <v/>
      </c>
      <c r="B2755">
        <f>Skills!B10</f>
        <v/>
      </c>
      <c r="C2755">
        <f>Inputs!$B$3&gt;=103</f>
        <v/>
      </c>
      <c r="D2755">
        <f>IF(Skills!C10=1,60+Inputs!$B$25+Inputs!$B$29,IF(Skills!C10=2,90+Inputs!$B$26+Inputs!$B$29,IF(Skills!C10=3,120+Inputs!$B$27+Inputs!$B$29,MAX(0,(Inputs!$B$3-100)*3)+Inputs!$B$28+Inputs!$B$29)))</f>
        <v/>
      </c>
      <c r="E2755">
        <f>INDEX(FactorTable!$B$2:$Y$301, MATCH(ROUND(MIN(300,MAX(1,D2755)),0), FactorTable!$A$2:$A$301,0), Skills!M10+1)</f>
        <v/>
      </c>
      <c r="F2755">
        <f>IF(Skills!N10=TRUE,(Skills!L10/10)*(E2755/1000),Skills!L10/10)+Skills!O10</f>
        <v/>
      </c>
      <c r="G2755">
        <f>Skills!G10*IF(Skills!H10&gt;0,Skills!I10/Skills!H10,1)</f>
        <v/>
      </c>
      <c r="H2755">
        <f>1-(1-Skills!J10/100)^Skills!K10</f>
        <v/>
      </c>
      <c r="I2755" t="inlineStr">
        <is>
          <t>1</t>
        </is>
      </c>
      <c r="J2755">
        <f>((Inputs!$B$6*(1+Inputs!$B$7/100))+(((Inputs!$B$12*(1+Inputs!$B$13/100))-(Inputs!$B$12*(1+Inputs!$B$13/100)))+0.25*(Inputs!$B$14-Inputs!$B$14))*(1+Inputs!$B$7/100))*(F2755/100)</f>
        <v/>
      </c>
      <c r="K2755">
        <f>J2755*(1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2755)</f>
        <v/>
      </c>
      <c r="L2755">
        <f>K2755*(MIN(Inputs!$B$22+((C2765=TRUE)*(F2765-Calc!F20)),(Inputs!$B$23+0+(IF(ArtifactsInput!$M$15,CHOOSE(ArtifactsInput!$N$15+1,25,30,35,40,45,50)/100*(Inputs!$B$11-Inputs!$B$11),0))))/100+(Inputs!$B$23+0+(IF(ArtifactsInput!$M$15,CHOOSE(ArtifactsInput!$N$15+1,25,30,35,40,45,50)/100*(Inputs!$B$11-Inputs!$B$11),0)))/100)/2</f>
        <v/>
      </c>
      <c r="M2755">
        <f>L2755*(1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5">
        <f>L2755*(1-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2755*(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5">
        <f>(1-Summary!$B$11)*T2755+Summary!$B$11*V2755</f>
        <v/>
      </c>
      <c r="P2755">
        <f>IF(B2780=0,0,O2755/B2780)</f>
        <v/>
      </c>
      <c r="Q2755">
        <f>IFERROR(1/(IF(Inputs!$B$38="pvp",15,MAX(0.1,Skills!D10-IF(Skills!E10=TRUE,4.5,0)))*(1-IF(AND(ArtifactsInput!$M$27,Inputs!$B$4="Chapter Hunt"),CHOOSE(ArtifactsInput!$N$27+1,20,24,28,32,36,40),0)/100)),0)</f>
        <v/>
      </c>
      <c r="R2755">
        <f>IF(AND(Inputs!$B$38&lt;&gt;"pvp",Inputs!$B$43&gt;0),IF(MAX(0,Inputs!$B$43-B2777)&lt;=0,0,(INT(MAX(0,Inputs!$B$43-B2777)/(IF(Inputs!$B$38="pvp",15,MAX(0.1,Skills!D10-IF(Skills!E10=TRUE,4.5,0)))*(1-IF(AND(ArtifactsInput!$M$27,Inputs!$B$4="Chapter Hunt"),CHOOSE(ArtifactsInput!$N$27+1,20,24,28,32,36,40),0)/100)))+1)),0)</f>
        <v/>
      </c>
      <c r="S2755">
        <f>IFERROR(O2755/N2755,0)</f>
        <v/>
      </c>
      <c r="T2755">
        <f>IF(C2755,(H2755*N2755*IF(AND(Inputs!$B$38&lt;&gt;"pvp",Inputs!$B$43&gt;0),((Skills!G10*((R2755-1)*IF(Skills!H10&gt;0,Skills!I10/Skills!H10,1)+IF(Skills!H10&gt;0,MIN(Skills!I10,MAX(0,MAX(0,Inputs!$B$43-B2777)-((R2755-1)*(IF(Inputs!$B$38="pvp",15,MAX(0.1,Skills!D10-IF(Skills!E10=TRUE,4.5,0)))*(1-IF(AND(ArtifactsInput!$M$27,Inputs!$B$4="Chapter Hunt"),CHOOSE(ArtifactsInput!$N$27+1,20,24,28,32,36,40),0)/100)))))/Skills!H10,1)))/Inputs!$B$43),G2755*Q2755)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2755*(1-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2755*(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2755*(1-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2755*(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5">
        <f>IF(C2755,(H2755*N2755*IF(AND(Inputs!$B$38&lt;&gt;"pvp",Inputs!$B$43&gt;0),((Skills!G10*((R2755-1)*IF(Skills!H10&gt;0,Skills!I10/Skills!H10,1)+IF(Skills!H10&gt;0,MIN(Skills!I10,MAX(0,MAX(0,Inputs!$B$43-B2777)-((R2755-1)*(IF(Inputs!$B$38="pvp",15,MAX(0.1,Skills!D10-IF(Skills!E10=TRUE,4.5,0)))*(1-IF(AND(ArtifactsInput!$M$27,Inputs!$B$4="Chapter Hunt"),CHOOSE(ArtifactsInput!$N$27+1,20,24,28,32,36,40),0)/100)))))/Skills!H10,1)))/Inputs!$B$43),G2755*Q2755))*IF(Inputs!$B$38="pvp",1,(1+(Inputs!$B$21+Skills!Q10+(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6">
      <c r="A2756">
        <f>Skills!A11</f>
        <v/>
      </c>
      <c r="B2756">
        <f>Skills!B11</f>
        <v/>
      </c>
      <c r="C2756">
        <f>Inputs!$B$3&gt;=113</f>
        <v/>
      </c>
      <c r="D2756">
        <f>IF(Skills!C11=1,60+Inputs!$B$25+Inputs!$B$29,IF(Skills!C11=2,90+Inputs!$B$26+Inputs!$B$29,IF(Skills!C11=3,120+Inputs!$B$27+Inputs!$B$29,MAX(0,(Inputs!$B$3-100)*3)+Inputs!$B$28+Inputs!$B$29)))</f>
        <v/>
      </c>
      <c r="E2756">
        <f>INDEX(FactorTable!$B$2:$Y$301, MATCH(ROUND(MIN(300,MAX(1,D2756)),0), FactorTable!$A$2:$A$301,0), Skills!M11+1)</f>
        <v/>
      </c>
      <c r="F2756">
        <f>IF(Skills!N11=TRUE,(Skills!L11/10)*(E2756/1000),Skills!L11/10)+Skills!O11</f>
        <v/>
      </c>
      <c r="G2756">
        <f>Skills!G11*IF(Skills!H11&gt;0,Skills!I11/Skills!H11,1)</f>
        <v/>
      </c>
      <c r="H2756">
        <f>1-(1-Skills!J11/100)^Skills!K11</f>
        <v/>
      </c>
      <c r="I2756" t="inlineStr">
        <is>
          <t>1</t>
        </is>
      </c>
      <c r="J2756">
        <f>((Inputs!$B$6*(1+Inputs!$B$7/100))+(((Inputs!$B$12*(1+Inputs!$B$13/100))-(Inputs!$B$12*(1+Inputs!$B$13/100)))+0.25*(Inputs!$B$14-Inputs!$B$14))*(1+Inputs!$B$7/100))*(F2756/100)</f>
        <v/>
      </c>
      <c r="K2756">
        <f>J2756*(1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2756)</f>
        <v/>
      </c>
      <c r="L2756">
        <f>K2756*(MIN(Inputs!$B$22+((C2765=TRUE)*(F2765-Calc!F20)),(Inputs!$B$23+0+(IF(ArtifactsInput!$M$15,CHOOSE(ArtifactsInput!$N$15+1,25,30,35,40,45,50)/100*(Inputs!$B$11-Inputs!$B$11),0))))/100+(Inputs!$B$23+0+(IF(ArtifactsInput!$M$15,CHOOSE(ArtifactsInput!$N$15+1,25,30,35,40,45,50)/100*(Inputs!$B$11-Inputs!$B$11),0)))/100)/2</f>
        <v/>
      </c>
      <c r="M2756">
        <f>L2756*(1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6">
        <f>L2756*(1-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2756*(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6">
        <f>(1-Summary!$B$11)*T2756+Summary!$B$11*V2756</f>
        <v/>
      </c>
      <c r="P2756">
        <f>IF(B2780=0,0,O2756/B2780)</f>
        <v/>
      </c>
      <c r="Q2756">
        <f>IFERROR(1/(IF(Inputs!$B$38="pvp",15,MAX(0.1,Skills!D11-IF(Skills!E11=TRUE,4.5,0)))*(1-IF(AND(ArtifactsInput!$M$27,Inputs!$B$4="Chapter Hunt"),CHOOSE(ArtifactsInput!$N$27+1,20,24,28,32,36,40),0)/100)),0)</f>
        <v/>
      </c>
      <c r="R2756">
        <f>IF(AND(Inputs!$B$38&lt;&gt;"pvp",Inputs!$B$43&gt;0),IF(MAX(0,Inputs!$B$43-B2777)&lt;=0,0,(INT(MAX(0,Inputs!$B$43-B2777)/(IF(Inputs!$B$38="pvp",15,MAX(0.1,Skills!D11-IF(Skills!E11=TRUE,4.5,0)))*(1-IF(AND(ArtifactsInput!$M$27,Inputs!$B$4="Chapter Hunt"),CHOOSE(ArtifactsInput!$N$27+1,20,24,28,32,36,40),0)/100)))+1)),0)</f>
        <v/>
      </c>
      <c r="S2756">
        <f>IFERROR(O2756/N2756,0)</f>
        <v/>
      </c>
      <c r="T2756">
        <f>IF(C2756,(H2756*N2756*IF(AND(Inputs!$B$38&lt;&gt;"pvp",Inputs!$B$43&gt;0),((Skills!G11*((R2756-1)*IF(Skills!H11&gt;0,Skills!I11/Skills!H11,1)+IF(Skills!H11&gt;0,MIN(Skills!I11,MAX(0,MAX(0,Inputs!$B$43-B2777)-((R2756-1)*(IF(Inputs!$B$38="pvp",15,MAX(0.1,Skills!D11-IF(Skills!E11=TRUE,4.5,0)))*(1-IF(AND(ArtifactsInput!$M$27,Inputs!$B$4="Chapter Hunt"),CHOOSE(ArtifactsInput!$N$27+1,20,24,28,32,36,40),0)/100)))))/Skills!H11,1)))/Inputs!$B$43),G2756*Q2756)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2756*(1-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2756*(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2756*(1-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2756*(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6">
        <f>IF(C2756,(H2756*N2756*IF(AND(Inputs!$B$38&lt;&gt;"pvp",Inputs!$B$43&gt;0),((Skills!G11*((R2756-1)*IF(Skills!H11&gt;0,Skills!I11/Skills!H11,1)+IF(Skills!H11&gt;0,MIN(Skills!I11,MAX(0,MAX(0,Inputs!$B$43-B2777)-((R2756-1)*(IF(Inputs!$B$38="pvp",15,MAX(0.1,Skills!D11-IF(Skills!E11=TRUE,4.5,0)))*(1-IF(AND(ArtifactsInput!$M$27,Inputs!$B$4="Chapter Hunt"),CHOOSE(ArtifactsInput!$N$27+1,20,24,28,32,36,40),0)/100)))))/Skills!H11,1)))/Inputs!$B$43),G2756*Q2756))*IF(Inputs!$B$38="pvp",1,(1+(Inputs!$B$21+Skills!Q11+(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7">
      <c r="A2757">
        <f>Skills!A12</f>
        <v/>
      </c>
      <c r="B2757">
        <f>Skills!B12</f>
        <v/>
      </c>
      <c r="C2757">
        <f>Inputs!$B$3&gt;=100</f>
        <v/>
      </c>
      <c r="D2757">
        <f>IF(Skills!C12=1,60+Inputs!$B$25+Inputs!$B$29,IF(Skills!C12=2,90+Inputs!$B$26+Inputs!$B$29,IF(Skills!C12=3,120+Inputs!$B$27+Inputs!$B$29,MAX(0,(Inputs!$B$3-100)*3)+Inputs!$B$28+Inputs!$B$29)))</f>
        <v/>
      </c>
      <c r="E2757">
        <f>INDEX(FactorTable!$B$2:$Y$301, MATCH(ROUND(MIN(300,MAX(1,D2757)),0), FactorTable!$A$2:$A$301,0), Skills!M12+1)</f>
        <v/>
      </c>
      <c r="F2757">
        <f>IF(Skills!N12=TRUE,(Skills!L12/10)*(E2757/1000),Skills!L12/10)+Skills!O12</f>
        <v/>
      </c>
      <c r="G2757" t="inlineStr"/>
      <c r="H2757" t="inlineStr"/>
      <c r="I2757" t="inlineStr">
        <is>
          <t>1</t>
        </is>
      </c>
      <c r="J2757" t="inlineStr"/>
      <c r="K2757" t="inlineStr"/>
      <c r="L2757" t="inlineStr"/>
      <c r="M2757" t="inlineStr"/>
      <c r="N2757" t="inlineStr"/>
      <c r="O2757" t="inlineStr"/>
      <c r="P2757" t="inlineStr"/>
      <c r="Q2757" t="inlineStr"/>
      <c r="R2757" t="inlineStr"/>
      <c r="S2757" t="inlineStr"/>
      <c r="T2757" t="inlineStr"/>
      <c r="V2757" t="inlineStr"/>
    </row>
    <row r="2758">
      <c r="A2758">
        <f>Skills!A13</f>
        <v/>
      </c>
      <c r="B2758">
        <f>Skills!B13</f>
        <v/>
      </c>
      <c r="C2758">
        <f>Inputs!$B$3&gt;=66</f>
        <v/>
      </c>
      <c r="D2758">
        <f>IF(Skills!C13=1,60+Inputs!$B$25+Inputs!$B$29,IF(Skills!C13=2,90+Inputs!$B$26+Inputs!$B$29,IF(Skills!C13=3,120+Inputs!$B$27+Inputs!$B$29,MAX(0,(Inputs!$B$3-100)*3)+Inputs!$B$28+Inputs!$B$29)))</f>
        <v/>
      </c>
      <c r="E2758">
        <f>INDEX(FactorTable!$B$2:$Y$301, MATCH(ROUND(MIN(300,MAX(1,D2758)),0), FactorTable!$A$2:$A$301,0), Skills!M13+1)</f>
        <v/>
      </c>
      <c r="F2758">
        <f>IF(Skills!N13=TRUE,(Skills!L13/10)*(E2758/1000),Skills!L13/10)+Skills!O13</f>
        <v/>
      </c>
      <c r="G2758">
        <f>Skills!G13*IF(Skills!H13&gt;0,Skills!I13/Skills!H13,1)</f>
        <v/>
      </c>
      <c r="H2758">
        <f>1-(1-Skills!J13/100)^Skills!K13</f>
        <v/>
      </c>
      <c r="I2758" t="inlineStr">
        <is>
          <t>1</t>
        </is>
      </c>
      <c r="J2758" t="inlineStr"/>
      <c r="K2758" t="inlineStr"/>
      <c r="L2758" t="inlineStr"/>
      <c r="M2758" t="inlineStr"/>
      <c r="N2758" t="inlineStr"/>
      <c r="O2758">
        <f>(1-Summary!$B$11)*T2758+Summary!$B$11*V2758</f>
        <v/>
      </c>
      <c r="P2758">
        <f>IF(B2780=0,0,O2758/B2780)</f>
        <v/>
      </c>
      <c r="Q2758" t="n">
        <v>0</v>
      </c>
      <c r="R2758" t="n">
        <v>0</v>
      </c>
      <c r="S2758">
        <f>IFERROR(O2758/N2758,0)</f>
        <v/>
      </c>
      <c r="T2758" t="n">
        <v>0</v>
      </c>
      <c r="V2758" t="n">
        <v>0</v>
      </c>
    </row>
    <row r="2759">
      <c r="A2759">
        <f>Skills!A14</f>
        <v/>
      </c>
      <c r="B2759">
        <f>Skills!B14</f>
        <v/>
      </c>
      <c r="C2759">
        <f>Inputs!$B$3&gt;=107</f>
        <v/>
      </c>
      <c r="D2759">
        <f>IF(Skills!C14=1,60+Inputs!$B$25+Inputs!$B$29,IF(Skills!C14=2,90+Inputs!$B$26+Inputs!$B$29,IF(Skills!C14=3,120+Inputs!$B$27+Inputs!$B$29,MAX(0,(Inputs!$B$3-100)*3)+Inputs!$B$28+Inputs!$B$29)))</f>
        <v/>
      </c>
      <c r="E2759">
        <f>INDEX(FactorTable!$B$2:$Y$301, MATCH(ROUND(MIN(300,MAX(1,D2759)),0), FactorTable!$A$2:$A$301,0), Skills!M14+1)</f>
        <v/>
      </c>
      <c r="F2759">
        <f>IF(Skills!N14=TRUE,(Skills!L14/10)*(E2759/1000),Skills!L14/10)+Skills!O14</f>
        <v/>
      </c>
      <c r="G2759">
        <f>Skills!G14*IF(Skills!H14&gt;0,Skills!I14/Skills!H14,1)</f>
        <v/>
      </c>
      <c r="H2759">
        <f>1-(1-Skills!J14/100)^Skills!K14</f>
        <v/>
      </c>
      <c r="I2759" t="inlineStr">
        <is>
          <t>1</t>
        </is>
      </c>
      <c r="J2759" t="inlineStr"/>
      <c r="K2759" t="inlineStr"/>
      <c r="L2759" t="inlineStr"/>
      <c r="M2759" t="inlineStr"/>
      <c r="N2759" t="inlineStr"/>
      <c r="O2759">
        <f>(1-Summary!$B$11)*T2759+Summary!$B$11*V2759</f>
        <v/>
      </c>
      <c r="P2759">
        <f>IF(B2780=0,0,O2759/B2780)</f>
        <v/>
      </c>
      <c r="Q2759" t="n">
        <v>0</v>
      </c>
      <c r="R2759" t="n">
        <v>0</v>
      </c>
      <c r="S2759">
        <f>IFERROR(O2759/N2759,0)</f>
        <v/>
      </c>
      <c r="T2759" t="n">
        <v>0</v>
      </c>
      <c r="V2759" t="n">
        <v>0</v>
      </c>
    </row>
    <row r="2760">
      <c r="A2760">
        <f>Skills!A15</f>
        <v/>
      </c>
      <c r="B2760">
        <f>Skills!B15</f>
        <v/>
      </c>
      <c r="C2760">
        <f>Inputs!$B$3&gt;=115</f>
        <v/>
      </c>
      <c r="D2760">
        <f>IF(Skills!C15=1,60+Inputs!$B$25+Inputs!$B$29,IF(Skills!C15=2,90+Inputs!$B$26+Inputs!$B$29,IF(Skills!C15=3,120+Inputs!$B$27+Inputs!$B$29,MAX(0,(Inputs!$B$3-100)*3)+Inputs!$B$28+Inputs!$B$29)))</f>
        <v/>
      </c>
      <c r="E2760">
        <f>INDEX(FactorTable!$B$2:$Y$301, MATCH(ROUND(MIN(300,MAX(1,D2760)),0), FactorTable!$A$2:$A$301,0), Skills!M15+1)</f>
        <v/>
      </c>
      <c r="F2760">
        <f>IF(Skills!N15=TRUE,(Skills!L15/10)*(E2760/1000),Skills!L15/10)+Skills!O15</f>
        <v/>
      </c>
      <c r="G2760">
        <f>Skills!G15*IF(Skills!H15&gt;0,Skills!I15/Skills!H15,1)</f>
        <v/>
      </c>
      <c r="H2760">
        <f>1-(1-Skills!J15/100)^Skills!K15</f>
        <v/>
      </c>
      <c r="I2760" t="inlineStr">
        <is>
          <t>1</t>
        </is>
      </c>
      <c r="J2760" t="inlineStr"/>
      <c r="K2760" t="inlineStr"/>
      <c r="L2760" t="inlineStr"/>
      <c r="M2760" t="inlineStr"/>
      <c r="N2760" t="inlineStr"/>
      <c r="O2760">
        <f>(1-Summary!$B$11)*T2760+Summary!$B$11*V2760</f>
        <v/>
      </c>
      <c r="P2760">
        <f>IF(B2780=0,0,O2760/B2780)</f>
        <v/>
      </c>
      <c r="Q2760" t="n">
        <v>0</v>
      </c>
      <c r="R2760" t="n">
        <v>0</v>
      </c>
      <c r="S2760">
        <f>IFERROR(O2760/N2760,0)</f>
        <v/>
      </c>
      <c r="T2760" t="n">
        <v>0</v>
      </c>
      <c r="V2760" t="n">
        <v>0</v>
      </c>
    </row>
    <row r="2761">
      <c r="A2761">
        <f>Skills!A16</f>
        <v/>
      </c>
      <c r="B2761">
        <f>Skills!B16</f>
        <v/>
      </c>
      <c r="C2761">
        <f>Inputs!$B$3&gt;=15</f>
        <v/>
      </c>
      <c r="D2761">
        <f>IF(Skills!C16=1,60+Inputs!$B$25+Inputs!$B$29,IF(Skills!C16=2,90+Inputs!$B$26+Inputs!$B$29,IF(Skills!C16=3,120+Inputs!$B$27+Inputs!$B$29,MAX(0,(Inputs!$B$3-100)*3)+Inputs!$B$28+Inputs!$B$29)))</f>
        <v/>
      </c>
      <c r="E2761">
        <f>INDEX(FactorTable!$B$2:$Y$301, MATCH(ROUND(MIN(300,MAX(1,D2761)),0), FactorTable!$A$2:$A$301,0), Skills!M16+1)</f>
        <v/>
      </c>
      <c r="F2761">
        <f>IF(Skills!N16=TRUE,(Skills!L16/10)*(E2761/1000),Skills!L16/10)+Skills!O16</f>
        <v/>
      </c>
      <c r="G2761">
        <f>Skills!G16*IF(Skills!H16&gt;0,Skills!I16/Skills!H16,1)</f>
        <v/>
      </c>
      <c r="H2761">
        <f>1-(1-Skills!J16/100)^Skills!K16</f>
        <v/>
      </c>
      <c r="I2761" t="inlineStr">
        <is>
          <t>1</t>
        </is>
      </c>
      <c r="J2761" t="inlineStr"/>
      <c r="K2761" t="inlineStr"/>
      <c r="L2761" t="inlineStr"/>
      <c r="M2761" t="inlineStr"/>
      <c r="N2761" t="inlineStr"/>
      <c r="O2761">
        <f>(1-Summary!$B$11)*T2761+Summary!$B$11*V2761</f>
        <v/>
      </c>
      <c r="P2761">
        <f>IF(B2780=0,0,O2761/B2780)</f>
        <v/>
      </c>
      <c r="Q2761" t="n">
        <v>0</v>
      </c>
      <c r="R2761" t="n">
        <v>0</v>
      </c>
      <c r="S2761">
        <f>IFERROR(O2761/N2761,0)</f>
        <v/>
      </c>
      <c r="T2761" t="n">
        <v>0</v>
      </c>
      <c r="V2761" t="n">
        <v>0</v>
      </c>
    </row>
    <row r="2762">
      <c r="A2762">
        <f>Skills!A17</f>
        <v/>
      </c>
      <c r="B2762">
        <f>Skills!B17</f>
        <v/>
      </c>
      <c r="C2762">
        <f>Inputs!$B$3&gt;=10</f>
        <v/>
      </c>
      <c r="D2762">
        <f>IF(Skills!C17=1,60+Inputs!$B$25+Inputs!$B$29,IF(Skills!C17=2,90+Inputs!$B$26+Inputs!$B$29,IF(Skills!C17=3,120+Inputs!$B$27+Inputs!$B$29,MAX(0,(Inputs!$B$3-100)*3)+Inputs!$B$28+Inputs!$B$29)))</f>
        <v/>
      </c>
      <c r="E2762">
        <f>INDEX(FactorTable!$B$2:$Y$301, MATCH(ROUND(MIN(300,MAX(1,D2762)),0), FactorTable!$A$2:$A$301,0), Skills!M17+1)</f>
        <v/>
      </c>
      <c r="F2762">
        <f>IF(Skills!N17=TRUE,(Skills!L17/10)*(E2762/1000),Skills!L17/10)+Skills!O17</f>
        <v/>
      </c>
      <c r="G2762">
        <f>Skills!G17*IF(Skills!H17&gt;0,Skills!I17/Skills!H17,1)</f>
        <v/>
      </c>
      <c r="H2762">
        <f>1-(1-Skills!J17/100)^Skills!K17</f>
        <v/>
      </c>
      <c r="I2762" t="inlineStr">
        <is>
          <t>1</t>
        </is>
      </c>
      <c r="J2762" t="inlineStr"/>
      <c r="K2762" t="inlineStr"/>
      <c r="L2762" t="inlineStr"/>
      <c r="M2762" t="inlineStr"/>
      <c r="N2762" t="inlineStr"/>
      <c r="O2762">
        <f>(1-Summary!$B$11)*T2762+Summary!$B$11*V2762</f>
        <v/>
      </c>
      <c r="P2762">
        <f>IF(B2780=0,0,O2762/B2780)</f>
        <v/>
      </c>
      <c r="Q2762" t="n">
        <v>0</v>
      </c>
      <c r="R2762" t="n">
        <v>0</v>
      </c>
      <c r="S2762">
        <f>IFERROR(O2762/N2762,0)</f>
        <v/>
      </c>
      <c r="T2762" t="n">
        <v>0</v>
      </c>
      <c r="V2762" t="n">
        <v>0</v>
      </c>
    </row>
    <row r="2763">
      <c r="A2763">
        <f>Skills!A18</f>
        <v/>
      </c>
      <c r="B2763">
        <f>Skills!B18</f>
        <v/>
      </c>
      <c r="C2763">
        <f>Inputs!$B$3&gt;=33</f>
        <v/>
      </c>
      <c r="D2763">
        <f>IF(Skills!C18=1,60+Inputs!$B$25+Inputs!$B$29,IF(Skills!C18=2,90+Inputs!$B$26+Inputs!$B$29,IF(Skills!C18=3,120+Inputs!$B$27+Inputs!$B$29,MAX(0,(Inputs!$B$3-100)*3)+Inputs!$B$28+Inputs!$B$29)))</f>
        <v/>
      </c>
      <c r="E2763">
        <f>INDEX(FactorTable!$B$2:$Y$301, MATCH(ROUND(MIN(300,MAX(1,D2763)),0), FactorTable!$A$2:$A$301,0), Skills!M18+1)</f>
        <v/>
      </c>
      <c r="F2763">
        <f>IF(Skills!N18=TRUE,(Skills!L18/10)*(E2763/1000),Skills!L18/10)+Skills!O18</f>
        <v/>
      </c>
      <c r="G2763">
        <f>Skills!G18*IF(Skills!H18&gt;0,Skills!I18/Skills!H18,1)</f>
        <v/>
      </c>
      <c r="H2763">
        <f>1-(1-Skills!J18/100)^Skills!K18</f>
        <v/>
      </c>
      <c r="I2763" t="inlineStr">
        <is>
          <t>1</t>
        </is>
      </c>
      <c r="J2763" t="inlineStr"/>
      <c r="K2763" t="inlineStr"/>
      <c r="L2763" t="inlineStr"/>
      <c r="M2763" t="inlineStr"/>
      <c r="N2763" t="inlineStr"/>
      <c r="O2763">
        <f>(1-Summary!$B$11)*T2763+Summary!$B$11*V2763</f>
        <v/>
      </c>
      <c r="P2763">
        <f>IF(B2780=0,0,O2763/B2780)</f>
        <v/>
      </c>
      <c r="Q2763" t="n">
        <v>0</v>
      </c>
      <c r="R2763" t="n">
        <v>0</v>
      </c>
      <c r="S2763">
        <f>IFERROR(O2763/N2763,0)</f>
        <v/>
      </c>
      <c r="T2763" t="n">
        <v>0</v>
      </c>
      <c r="V2763" t="n">
        <v>0</v>
      </c>
    </row>
    <row r="2764">
      <c r="A2764">
        <f>Skills!A19</f>
        <v/>
      </c>
      <c r="B2764">
        <f>Skills!B19</f>
        <v/>
      </c>
      <c r="C2764">
        <f>Inputs!$B$3&gt;=40</f>
        <v/>
      </c>
      <c r="D2764">
        <f>IF(Skills!C19=1,60+Inputs!$B$25+Inputs!$B$29,IF(Skills!C19=2,90+Inputs!$B$26+Inputs!$B$29,IF(Skills!C19=3,120+Inputs!$B$27+Inputs!$B$29,MAX(0,(Inputs!$B$3-100)*3)+Inputs!$B$28+Inputs!$B$29)))</f>
        <v/>
      </c>
      <c r="E2764">
        <f>INDEX(FactorTable!$B$2:$Y$301, MATCH(ROUND(MIN(300,MAX(1,D2764)),0), FactorTable!$A$2:$A$301,0), Skills!M19+1)</f>
        <v/>
      </c>
      <c r="F2764">
        <f>IF(Skills!N19=TRUE,(Skills!L19/10)*(E2764/1000),Skills!L19/10)+Skills!O19</f>
        <v/>
      </c>
      <c r="G2764">
        <f>Skills!G19*IF(Skills!H19&gt;0,Skills!I19/Skills!H19,1)</f>
        <v/>
      </c>
      <c r="H2764">
        <f>1-(1-Skills!J19/100)^Skills!K19</f>
        <v/>
      </c>
      <c r="I2764" t="inlineStr">
        <is>
          <t>1</t>
        </is>
      </c>
      <c r="J2764" t="inlineStr"/>
      <c r="K2764" t="inlineStr"/>
      <c r="L2764" t="inlineStr"/>
      <c r="M2764" t="inlineStr"/>
      <c r="N2764" t="inlineStr"/>
      <c r="O2764">
        <f>(1-Summary!$B$11)*T2764+Summary!$B$11*V2764</f>
        <v/>
      </c>
      <c r="P2764">
        <f>IF(B2780=0,0,O2764/B2780)</f>
        <v/>
      </c>
      <c r="Q2764" t="n">
        <v>0</v>
      </c>
      <c r="R2764" t="n">
        <v>0</v>
      </c>
      <c r="S2764">
        <f>IFERROR(O2764/N2764,0)</f>
        <v/>
      </c>
      <c r="T2764" t="n">
        <v>0</v>
      </c>
      <c r="V2764" t="n">
        <v>0</v>
      </c>
    </row>
    <row r="2765">
      <c r="A2765">
        <f>Skills!A20</f>
        <v/>
      </c>
      <c r="B2765">
        <f>Skills!B20</f>
        <v/>
      </c>
      <c r="C2765">
        <f>Inputs!$B$3&gt;=43</f>
        <v/>
      </c>
      <c r="D2765">
        <f>IF(Skills!C20=1,60+Inputs!$B$25+Inputs!$B$29,IF(Skills!C20=2,90+Inputs!$B$26+Inputs!$B$29,IF(Skills!C20=3,120+Inputs!$B$27+Inputs!$B$29,MAX(0,(Inputs!$B$3-100)*3)+Inputs!$B$28+Inputs!$B$29)))</f>
        <v/>
      </c>
      <c r="E2765">
        <f>INDEX(FactorTable!$B$2:$Y$301, MATCH(ROUND(MIN(300,MAX(1,D2765)),0), FactorTable!$A$2:$A$301,0), Skills!M20+1)</f>
        <v/>
      </c>
      <c r="F2765">
        <f>IF(Skills!N20=TRUE,(Skills!L20/10)*(E2765/1000),Skills!L20/10)+Skills!O20</f>
        <v/>
      </c>
      <c r="G2765">
        <f>Skills!G20*IF(Skills!H20&gt;0,Skills!I20/Skills!H20,1)</f>
        <v/>
      </c>
      <c r="H2765">
        <f>1-(1-Skills!J20/100)^Skills!K20</f>
        <v/>
      </c>
      <c r="I2765" t="inlineStr">
        <is>
          <t>1</t>
        </is>
      </c>
      <c r="J2765" t="inlineStr"/>
      <c r="K2765" t="inlineStr"/>
      <c r="L2765" t="inlineStr"/>
      <c r="M2765" t="inlineStr"/>
      <c r="N2765" t="inlineStr"/>
      <c r="O2765">
        <f>(1-Summary!$B$11)*T2765+Summary!$B$11*V2765</f>
        <v/>
      </c>
      <c r="P2765">
        <f>IF(B2780=0,0,O2765/B2780)</f>
        <v/>
      </c>
      <c r="Q2765" t="n">
        <v>0</v>
      </c>
      <c r="R2765" t="n">
        <v>0</v>
      </c>
      <c r="S2765">
        <f>IFERROR(O2765/N2765,0)</f>
        <v/>
      </c>
      <c r="T2765" t="n">
        <v>0</v>
      </c>
      <c r="V2765" t="n">
        <v>0</v>
      </c>
    </row>
    <row r="2766">
      <c r="A2766">
        <f>Skills!A21</f>
        <v/>
      </c>
      <c r="B2766">
        <f>Skills!B21</f>
        <v/>
      </c>
      <c r="C2766">
        <f>Inputs!$B$3&gt;=38</f>
        <v/>
      </c>
      <c r="D2766">
        <f>IF(Skills!C21=1,60+Inputs!$B$25+Inputs!$B$29,IF(Skills!C21=2,90+Inputs!$B$26+Inputs!$B$29,IF(Skills!C21=3,120+Inputs!$B$27+Inputs!$B$29,MAX(0,(Inputs!$B$3-100)*3)+Inputs!$B$28+Inputs!$B$29)))</f>
        <v/>
      </c>
      <c r="E2766">
        <f>INDEX(FactorTable!$B$2:$Y$301, MATCH(ROUND(MIN(300,MAX(1,D2766)),0), FactorTable!$A$2:$A$301,0), Skills!M21+1)</f>
        <v/>
      </c>
      <c r="F2766">
        <f>IF(Skills!N21=TRUE,(Skills!L21/10)*(E2766/1000),Skills!L21/10)+Skills!O21</f>
        <v/>
      </c>
      <c r="G2766">
        <f>Skills!G21*IF(Skills!H21&gt;0,Skills!I21/Skills!H21,1)</f>
        <v/>
      </c>
      <c r="H2766">
        <f>1-(1-Skills!J21/100)^Skills!K21</f>
        <v/>
      </c>
      <c r="I2766" t="inlineStr">
        <is>
          <t>1</t>
        </is>
      </c>
      <c r="J2766" t="inlineStr"/>
      <c r="K2766" t="inlineStr"/>
      <c r="L2766" t="inlineStr"/>
      <c r="M2766" t="inlineStr"/>
      <c r="N2766" t="inlineStr"/>
      <c r="O2766">
        <f>(1-Summary!$B$11)*T2766+Summary!$B$11*V2766</f>
        <v/>
      </c>
      <c r="P2766">
        <f>IF(B2780=0,0,O2766/B2780)</f>
        <v/>
      </c>
      <c r="Q2766" t="n">
        <v>0</v>
      </c>
      <c r="R2766" t="n">
        <v>0</v>
      </c>
      <c r="S2766">
        <f>IFERROR(O2766/N2766,0)</f>
        <v/>
      </c>
      <c r="T2766" t="n">
        <v>0</v>
      </c>
      <c r="V2766" t="n">
        <v>0</v>
      </c>
    </row>
    <row r="2767">
      <c r="A2767">
        <f>Skills!A22</f>
        <v/>
      </c>
      <c r="B2767">
        <f>Skills!B22</f>
        <v/>
      </c>
      <c r="C2767">
        <f>Inputs!$B$3&gt;=75</f>
        <v/>
      </c>
      <c r="D2767">
        <f>IF(Skills!C22=1,60+Inputs!$B$25+Inputs!$B$29,IF(Skills!C22=2,90+Inputs!$B$26+Inputs!$B$29,IF(Skills!C22=3,120+Inputs!$B$27+Inputs!$B$29,MAX(0,(Inputs!$B$3-100)*3)+Inputs!$B$28+Inputs!$B$29)))</f>
        <v/>
      </c>
      <c r="E2767">
        <f>INDEX(FactorTable!$B$2:$Y$301, MATCH(ROUND(MIN(300,MAX(1,D2767)),0), FactorTable!$A$2:$A$301,0), Skills!M22+1)</f>
        <v/>
      </c>
      <c r="F2767">
        <f>IF(Skills!N22=TRUE,(Skills!L22/10)*(E2767/1000),Skills!L22/10)+Skills!O22</f>
        <v/>
      </c>
      <c r="G2767">
        <f>Skills!G22*IF(Skills!H22&gt;0,Skills!I22/Skills!H22,1)</f>
        <v/>
      </c>
      <c r="H2767">
        <f>1-(1-Skills!J22/100)^Skills!K22</f>
        <v/>
      </c>
      <c r="I2767" t="inlineStr">
        <is>
          <t>1</t>
        </is>
      </c>
      <c r="J2767" t="inlineStr"/>
      <c r="K2767" t="inlineStr"/>
      <c r="L2767" t="inlineStr"/>
      <c r="M2767" t="inlineStr"/>
      <c r="N2767" t="inlineStr"/>
      <c r="O2767">
        <f>(1-Summary!$B$11)*T2767+Summary!$B$11*V2767</f>
        <v/>
      </c>
      <c r="P2767">
        <f>IF(B2780=0,0,O2767/B2780)</f>
        <v/>
      </c>
      <c r="Q2767" t="n">
        <v>0</v>
      </c>
      <c r="R2767" t="n">
        <v>0</v>
      </c>
      <c r="S2767">
        <f>IFERROR(O2767/N2767,0)</f>
        <v/>
      </c>
      <c r="T2767" t="n">
        <v>0</v>
      </c>
      <c r="V2767" t="n">
        <v>0</v>
      </c>
    </row>
    <row r="2769">
      <c r="A2769" t="inlineStr">
        <is>
          <t>Attack% Bucket Multiplier</t>
        </is>
      </c>
      <c r="B2769">
        <f>(1+(((C2758=TRUE)*F2758)+((C2764=TRUE)*(F2764-Calc!F19))+(IF(ArtifactsInput!$M$21,CHOOSE(ArtifactsInput!$N$21+1,25,30,35,40,45,50)*(IF(OR(Inputs!$B$4="Chapter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70">
      <c r="A2770" t="inlineStr">
        <is>
          <t>Global Crit Rate Bonus %</t>
        </is>
      </c>
      <c r="B2770" t="n">
        <v>0</v>
      </c>
    </row>
    <row r="2771">
      <c r="A2771" t="inlineStr">
        <is>
          <t>Attack Speed Buff Bonus % (unused)</t>
        </is>
      </c>
      <c r="B2771" t="n">
        <v>0</v>
      </c>
    </row>
    <row r="2772">
      <c r="A2772" t="inlineStr">
        <is>
          <t>Actions Per Second</t>
        </is>
      </c>
      <c r="B2772">
        <f>1+MIN(150,150*(1-(1-(Inputs!$B$11+((C2762=TRUE)*(F2762-Calc!F17))+((C2763=TRUE)*(F2763-Calc!F18)))/150)*(1-B2771/150)))/100</f>
        <v/>
      </c>
    </row>
    <row r="2773">
      <c r="A2773" t="inlineStr">
        <is>
          <t>Skill + Buff Cast Rate</t>
        </is>
      </c>
      <c r="B2773">
        <f>IF(AND(Inputs!$B$38&lt;&gt;"pvp",Inputs!$B$43&gt;0),SUMPRODUCT((Skills!E2:E22=TRUE)*(C2747:C2767=TRUE)*R2747:R2767*Skills!F2:F22)/Inputs!$B$43,SUMPRODUCT((Skills!E2:E22=TRUE)*(C2747:C2767=TRUE)*Q2747:Q2767*Skills!F2:F22))</f>
        <v/>
      </c>
    </row>
    <row r="2774">
      <c r="A2774" t="inlineStr">
        <is>
          <t>Hook Bomber Casts Per Second</t>
        </is>
      </c>
      <c r="B2774">
        <f>MAX(0,B2772-B2773)</f>
        <v/>
      </c>
    </row>
    <row r="2775">
      <c r="A2775" t="inlineStr">
        <is>
          <t>Global Critical Damage Bonus % (unused)</t>
        </is>
      </c>
      <c r="B2775" t="n">
        <v>0</v>
      </c>
    </row>
    <row r="2776">
      <c r="A2776" t="inlineStr">
        <is>
          <t>Global Final Damage Bonus % (Serpent Scale + Crossbones + Time Leap + Speed Infusion)</t>
        </is>
      </c>
      <c r="B2776">
        <f>((C2750=TRUE)*F2750*((10+IF(Inputs!$B$3&gt;=94,5,0))/((10+IF(Inputs!$B$3&gt;=94,5,0))+5/(B2774*(1+IF(Inputs!$B$3&gt;=104,1,0))))))+((C2759=TRUE)*F2759)+((C2760=TRUE)*F2760)+((Inputs!$B$3&gt;=110)*20*(B2772-1))</f>
        <v/>
      </c>
    </row>
    <row r="2777">
      <c r="A2777" t="inlineStr">
        <is>
          <t>Buff-Casting Startup Delay (s, fixed-duration only)</t>
        </is>
      </c>
      <c r="B2777">
        <f>IF(AND(Inputs!$B$38&lt;&gt;"pvp",Inputs!$B$43&gt;0),SUMPRODUCT((Skills!T2:T22&gt;0)*(Skills!E2:E22=TRUE)*(C2747:C2767=TRUE))/B2772,0)</f>
        <v/>
      </c>
    </row>
    <row r="2778">
      <c r="A2778" t="inlineStr">
        <is>
          <t>Boss-Only Total DPS (this block's swept value)</t>
        </is>
      </c>
      <c r="B2778">
        <f>SUM(T2747:T2767)</f>
        <v/>
      </c>
    </row>
    <row r="2779">
      <c r="A2779" t="inlineStr">
        <is>
          <t>Normal-Only Total DPS (this block's swept value)</t>
        </is>
      </c>
      <c r="B2779">
        <f>SUM(V2747:V2767)</f>
        <v/>
      </c>
    </row>
    <row r="2780">
      <c r="A2780" s="6" t="inlineStr">
        <is>
          <t>TOTAL DPS</t>
        </is>
      </c>
      <c r="B2780" s="6">
        <f>SUM(O2747:O2767)</f>
        <v/>
      </c>
    </row>
    <row r="2783">
      <c r="A2783" s="6" t="inlineStr">
        <is>
          <t>Stat: CDR = 5.0s</t>
        </is>
      </c>
    </row>
    <row r="2784">
      <c r="A2784" s="5" t="inlineStr">
        <is>
          <t>Key</t>
        </is>
      </c>
      <c r="B2784" s="5" t="inlineStr">
        <is>
          <t>Name</t>
        </is>
      </c>
      <c r="C2784" s="5" t="inlineStr">
        <is>
          <t>Unlocked</t>
        </is>
      </c>
      <c r="D2784" s="5" t="inlineStr">
        <is>
          <t>InputLevel</t>
        </is>
      </c>
      <c r="E2784" s="5" t="inlineStr">
        <is>
          <t>Factor</t>
        </is>
      </c>
      <c r="F2784" s="5" t="inlineStr">
        <is>
          <t>CoefficientPercent</t>
        </is>
      </c>
      <c r="G2784" s="5" t="inlineStr">
        <is>
          <t>EffectiveHits</t>
        </is>
      </c>
      <c r="H2784" s="5" t="inlineStr">
        <is>
          <t>ProcProbability</t>
        </is>
      </c>
      <c r="I2784" s="5" t="inlineStr">
        <is>
          <t>MapleHeroMultiplier</t>
        </is>
      </c>
      <c r="J2784" s="5" t="inlineStr">
        <is>
          <t>BaseDamage</t>
        </is>
      </c>
      <c r="K2784" s="5" t="inlineStr">
        <is>
          <t>BaseHitDamage</t>
        </is>
      </c>
      <c r="L2784" s="5" t="inlineStr">
        <is>
          <t>NonCritAvg</t>
        </is>
      </c>
      <c r="M2784" s="5" t="inlineStr">
        <is>
          <t>CritAvg</t>
        </is>
      </c>
      <c r="N2784" s="5" t="inlineStr">
        <is>
          <t>ExpectedDamage(perHit)</t>
        </is>
      </c>
      <c r="O2784" s="5" t="inlineStr">
        <is>
          <t>DPS</t>
        </is>
      </c>
      <c r="P2784" s="5" t="inlineStr">
        <is>
          <t>% of Total</t>
        </is>
      </c>
      <c r="Q2784" s="5" t="inlineStr">
        <is>
          <t>InvCooldown</t>
        </is>
      </c>
      <c r="R2784" s="5" t="inlineStr">
        <is>
          <t>CastsInFight</t>
        </is>
      </c>
      <c r="S2784" s="5" t="inlineStr">
        <is>
          <t>HitRate(perSec)</t>
        </is>
      </c>
      <c r="U2784" t="inlineStr">
        <is>
          <t>helpers</t>
        </is>
      </c>
    </row>
    <row r="2785">
      <c r="A2785">
        <f>Skills!A2</f>
        <v/>
      </c>
      <c r="B2785">
        <f>Skills!B2</f>
        <v/>
      </c>
      <c r="C2785">
        <f>Inputs!$B$3&gt;=100</f>
        <v/>
      </c>
      <c r="D2785" t="inlineStr"/>
      <c r="E2785" t="inlineStr"/>
      <c r="F2785">
        <f>U2787+Skills!O2</f>
        <v/>
      </c>
      <c r="G2785">
        <f>Skills!G2*IF(Skills!H2&gt;0,Skills!I2/Skills!H2,1)</f>
        <v/>
      </c>
      <c r="H2785">
        <f>1-(1-Skills!J2/100)^Skills!K2</f>
        <v/>
      </c>
      <c r="I2785" t="inlineStr">
        <is>
          <t>1</t>
        </is>
      </c>
      <c r="J2785">
        <f>((Inputs!$B$6*(1+Inputs!$B$7/100))+(((Inputs!$B$12*(1+Inputs!$B$13/100))-(Inputs!$B$12*(1+Inputs!$B$13/100)))+0.25*(Inputs!$B$14-Inputs!$B$14))*(1+Inputs!$B$7/100))*(F2785/100)</f>
        <v/>
      </c>
      <c r="K2785">
        <f>J2785*(1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2785)</f>
        <v/>
      </c>
      <c r="L2785">
        <f>K2785*(MIN(Inputs!$B$22+((C2803=TRUE)*(F2803-Calc!F20)),(Inputs!$B$23+0+(IF(ArtifactsInput!$M$15,CHOOSE(ArtifactsInput!$N$15+1,25,30,35,40,45,50)/100*(Inputs!$B$11-Inputs!$B$11),0))))/100+(Inputs!$B$23+0+(IF(ArtifactsInput!$M$15,CHOOSE(ArtifactsInput!$N$15+1,25,30,35,40,45,50)/100*(Inputs!$B$11-Inputs!$B$11),0)))/100)/2</f>
        <v/>
      </c>
      <c r="M2785">
        <f>L2785*(1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5">
        <f>L2785*(1-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2785*(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5">
        <f>(1-Summary!$B$11)*T2785+Summary!$B$11*V2785</f>
        <v/>
      </c>
      <c r="P2785">
        <f>IF(B2818=0,0,O2785/B2818)</f>
        <v/>
      </c>
      <c r="Q2785" t="n">
        <v>0</v>
      </c>
      <c r="R2785" t="n">
        <v>0</v>
      </c>
      <c r="S2785">
        <f>IFERROR(O2785/N2785,0)</f>
        <v/>
      </c>
      <c r="T2785">
        <f>IF(C2785,(Skills!G2*N2785*B2812)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2785*(1-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2785*(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2785*(1-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2785*(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5">
        <f>MAX(0,(Inputs!$B$3-100)*3)+Inputs!$B$28+Inputs!$B$29</f>
        <v/>
      </c>
      <c r="V2785">
        <f>IF(C2785,(Skills!G2*N2785*B2812)*IF(Inputs!$B$38="pvp",1,(1+(Inputs!$B$21+Skills!Q2+(IF(ArtifactsInput!$M$33,CHOOSE(ArtifactsInput!$N$33+1,30,36,42,48,54,60),0))+(IF(AND(ArtifactsInput!$M$35,Inputs!$B$4&lt;&gt;"Chapter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6">
      <c r="A2786">
        <f>Skills!A3</f>
        <v/>
      </c>
      <c r="B2786">
        <f>Skills!B3</f>
        <v/>
      </c>
      <c r="C2786">
        <f>Inputs!$B$3&gt;=35</f>
        <v/>
      </c>
      <c r="D2786">
        <f>IF(Skills!C3=1,60+Inputs!$B$25+Inputs!$B$29,IF(Skills!C3=2,90+Inputs!$B$26+Inputs!$B$29,IF(Skills!C3=3,120+Inputs!$B$27+Inputs!$B$29,MAX(0,(Inputs!$B$3-100)*3)+Inputs!$B$28+Inputs!$B$29)))</f>
        <v/>
      </c>
      <c r="E2786">
        <f>INDEX(FactorTable!$B$2:$Y$301, MATCH(ROUND(MIN(300,MAX(1,D2786)),0), FactorTable!$A$2:$A$301,0), Skills!M3+1)</f>
        <v/>
      </c>
      <c r="F2786">
        <f>IF(Skills!N3=TRUE,(Skills!L3/10)*(E2786/1000),Skills!L3/10)+Skills!O3</f>
        <v/>
      </c>
      <c r="G2786">
        <f>Skills!G3*IF(Skills!H3&gt;0,Skills!I3/Skills!H3,1)</f>
        <v/>
      </c>
      <c r="H2786">
        <f>1-(1-Skills!J3/100)^Skills!K3</f>
        <v/>
      </c>
      <c r="I2786" t="inlineStr">
        <is>
          <t>1</t>
        </is>
      </c>
      <c r="J2786">
        <f>((Inputs!$B$6*(1+Inputs!$B$7/100))+(((Inputs!$B$12*(1+Inputs!$B$13/100))-(Inputs!$B$12*(1+Inputs!$B$13/100)))+0.25*(Inputs!$B$14-Inputs!$B$14))*(1+Inputs!$B$7/100))*(F2786/100)</f>
        <v/>
      </c>
      <c r="K2786">
        <f>J2786*(1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2786)</f>
        <v/>
      </c>
      <c r="L2786">
        <f>K2786*(MIN(Inputs!$B$22+((C2803=TRUE)*(F2803-Calc!F20)),(Inputs!$B$23+0+(IF(ArtifactsInput!$M$15,CHOOSE(ArtifactsInput!$N$15+1,25,30,35,40,45,50)/100*(Inputs!$B$11-Inputs!$B$11),0))))/100+(Inputs!$B$23+0+(IF(ArtifactsInput!$M$15,CHOOSE(ArtifactsInput!$N$15+1,25,30,35,40,45,50)/100*(Inputs!$B$11-Inputs!$B$11),0)))/100)/2</f>
        <v/>
      </c>
      <c r="M2786">
        <f>L2786*(1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6">
        <f>L2786*(1-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2786*(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6">
        <f>(1-Summary!$B$11)*T2786+Summary!$B$11*V2786</f>
        <v/>
      </c>
      <c r="P2786">
        <f>IF(B2818=0,0,O2786/B2818)</f>
        <v/>
      </c>
      <c r="Q2786" t="n">
        <v>0</v>
      </c>
      <c r="R2786" t="n">
        <v>0</v>
      </c>
      <c r="S2786">
        <f>IFERROR(O2786/N2786,0)</f>
        <v/>
      </c>
      <c r="T2786">
        <f>IF(C2786,(Skills!G3*H2786*N2786*B2812)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2786*(1-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2786*(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2786*(1-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2786*(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6">
        <f>INDEX(FactorTable!$B$2:$Y$301, MATCH(ROUND(MIN(300,MAX(1,U2785)),0), FactorTable!$A$2:$A$301,0), 22)</f>
        <v/>
      </c>
      <c r="V2786">
        <f>IF(C2786,(Skills!G3*H2786*N2786*B2812)*IF(Inputs!$B$38="pvp",1,(1+(Inputs!$B$21+Skills!Q3+(IF(ArtifactsInput!$M$33,CHOOSE(ArtifactsInput!$N$33+1,30,36,42,48,54,60),0))+(IF(AND(ArtifactsInput!$M$35,Inputs!$B$4&lt;&gt;"Chapter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7">
      <c r="A2787">
        <f>Skills!A4</f>
        <v/>
      </c>
      <c r="B2787">
        <f>Skills!B4</f>
        <v/>
      </c>
      <c r="C2787">
        <f>Inputs!$B$3&gt;=60</f>
        <v/>
      </c>
      <c r="D2787">
        <f>IF(Skills!C4=1,60+Inputs!$B$25+Inputs!$B$29,IF(Skills!C4=2,90+Inputs!$B$26+Inputs!$B$29,IF(Skills!C4=3,120+Inputs!$B$27+Inputs!$B$29,MAX(0,(Inputs!$B$3-100)*3)+Inputs!$B$28+Inputs!$B$29)))</f>
        <v/>
      </c>
      <c r="E2787">
        <f>INDEX(FactorTable!$B$2:$Y$301, MATCH(ROUND(MIN(300,MAX(1,D2787)),0), FactorTable!$A$2:$A$301,0), Skills!M4+1)</f>
        <v/>
      </c>
      <c r="F2787">
        <f>IF(Skills!N4=TRUE,(Skills!L4/10)*(E2787/1000),Skills!L4/10)+Skills!O4</f>
        <v/>
      </c>
      <c r="G2787">
        <f>Skills!G4*IF(Skills!H4&gt;0,Skills!I4/Skills!H4,1)</f>
        <v/>
      </c>
      <c r="H2787">
        <f>1-(1-Skills!J4/100)^Skills!K4</f>
        <v/>
      </c>
      <c r="I2787" t="inlineStr">
        <is>
          <t>1</t>
        </is>
      </c>
      <c r="J2787">
        <f>((Inputs!$B$6*(1+Inputs!$B$7/100))+(((Inputs!$B$12*(1+Inputs!$B$13/100))-(Inputs!$B$12*(1+Inputs!$B$13/100)))+0.25*(Inputs!$B$14-Inputs!$B$14))*(1+Inputs!$B$7/100))*(F2787/100)</f>
        <v/>
      </c>
      <c r="K2787">
        <f>J2787*(1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2795=TRUE,F2795,0)/100)*(1+(IF(Skills!A4="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2787)</f>
        <v/>
      </c>
      <c r="L2787">
        <f>K2787*(MIN(Inputs!$B$22+((C2803=TRUE)*(F2803-Calc!F20)),(Inputs!$B$23+0+(IF(ArtifactsInput!$M$15,CHOOSE(ArtifactsInput!$N$15+1,25,30,35,40,45,50)/100*(Inputs!$B$11-Inputs!$B$11),0))))/100+(Inputs!$B$23+0+(IF(ArtifactsInput!$M$15,CHOOSE(ArtifactsInput!$N$15+1,25,30,35,40,45,50)/100*(Inputs!$B$11-Inputs!$B$11),0)))/100)/2</f>
        <v/>
      </c>
      <c r="M2787">
        <f>L2787*(1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7">
        <f>L2787*(1-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2787*(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7">
        <f>(1-Summary!$B$11)*T2787+Summary!$B$11*V2787</f>
        <v/>
      </c>
      <c r="P2787">
        <f>IF(B2818=0,0,O2787/B2818)</f>
        <v/>
      </c>
      <c r="Q2787" t="n">
        <v>0</v>
      </c>
      <c r="R2787" t="n">
        <v>0</v>
      </c>
      <c r="S2787">
        <f>IFERROR(O2787/N2787,0)</f>
        <v/>
      </c>
      <c r="T2787">
        <f>IF(C2787,(Skills!G4*H2787*N2787*B2812)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2787*(1-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2787*(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2787*(1-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2787*(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7">
        <f>290*U2786/1000</f>
        <v/>
      </c>
      <c r="V2787">
        <f>IF(C2787,(Skills!G4*H2787*N2787*B2812)*IF(Inputs!$B$38="pvp",1,(1+(Inputs!$B$21+Skills!Q4+(IF(ArtifactsInput!$M$33,CHOOSE(ArtifactsInput!$N$33+1,30,36,42,48,54,60),0))+(IF(AND(ArtifactsInput!$M$35,Inputs!$B$4&lt;&gt;"Chapter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8">
      <c r="A2788">
        <f>Skills!A5</f>
        <v/>
      </c>
      <c r="B2788">
        <f>Skills!B5</f>
        <v/>
      </c>
      <c r="C2788">
        <f>Inputs!$B$3&gt;=60</f>
        <v/>
      </c>
      <c r="D2788">
        <f>IF(Skills!C5=1,60+Inputs!$B$25+Inputs!$B$29,IF(Skills!C5=2,90+Inputs!$B$26+Inputs!$B$29,IF(Skills!C5=3,120+Inputs!$B$27+Inputs!$B$29,MAX(0,(Inputs!$B$3-100)*3)+Inputs!$B$28+Inputs!$B$29)))</f>
        <v/>
      </c>
      <c r="E2788">
        <f>INDEX(FactorTable!$B$2:$Y$301, MATCH(ROUND(MIN(300,MAX(1,D2788)),0), FactorTable!$A$2:$A$301,0), Skills!M5+1)</f>
        <v/>
      </c>
      <c r="F2788">
        <f>IF(Skills!N5=TRUE,(Skills!L5/10)*(E2788/1000),Skills!L5/10)+Skills!O5</f>
        <v/>
      </c>
      <c r="G2788">
        <f>Skills!G5*IF(Skills!H5&gt;0,Skills!I5/Skills!H5,1)</f>
        <v/>
      </c>
      <c r="H2788">
        <f>1-(1-Skills!J5/100)^Skills!K5</f>
        <v/>
      </c>
      <c r="I2788" t="inlineStr">
        <is>
          <t>1</t>
        </is>
      </c>
      <c r="J2788" t="inlineStr"/>
      <c r="K2788" t="inlineStr"/>
      <c r="L2788" t="inlineStr"/>
      <c r="M2788" t="inlineStr"/>
      <c r="N2788" t="inlineStr"/>
      <c r="O2788">
        <f>(1-Summary!$B$11)*T2788+Summary!$B$11*V2788</f>
        <v/>
      </c>
      <c r="P2788">
        <f>IF(B2818=0,0,O2788/B2818)</f>
        <v/>
      </c>
      <c r="Q2788" t="n">
        <v>0</v>
      </c>
      <c r="R2788" t="n">
        <v>0</v>
      </c>
      <c r="S2788">
        <f>IFERROR(O2788/N2788,0)</f>
        <v/>
      </c>
      <c r="T2788" t="n">
        <v>0</v>
      </c>
      <c r="V2788" t="n">
        <v>0</v>
      </c>
    </row>
    <row r="2789">
      <c r="A2789">
        <f>Skills!A6</f>
        <v/>
      </c>
      <c r="B2789">
        <f>Skills!B6</f>
        <v/>
      </c>
      <c r="C2789">
        <f>Inputs!$B$3&gt;=63</f>
        <v/>
      </c>
      <c r="D2789">
        <f>IF(Skills!C6=1,60+Inputs!$B$25+Inputs!$B$29,IF(Skills!C6=2,90+Inputs!$B$26+Inputs!$B$29,IF(Skills!C6=3,120+Inputs!$B$27+Inputs!$B$29,MAX(0,(Inputs!$B$3-100)*3)+Inputs!$B$28+Inputs!$B$29)))</f>
        <v/>
      </c>
      <c r="E2789">
        <f>INDEX(FactorTable!$B$2:$Y$301, MATCH(ROUND(MIN(300,MAX(1,D2789)),0), FactorTable!$A$2:$A$301,0), Skills!M6+1)</f>
        <v/>
      </c>
      <c r="F2789">
        <f>IF(Skills!N6=TRUE,(Skills!L6/10)*(E2789/1000),Skills!L6/10)+Skills!O6</f>
        <v/>
      </c>
      <c r="G2789">
        <f>Skills!G6*IF(Skills!H6&gt;0,Skills!I6/Skills!H6,1)</f>
        <v/>
      </c>
      <c r="H2789">
        <f>1-(1-Skills!J6/100)^Skills!K6</f>
        <v/>
      </c>
      <c r="I2789" t="inlineStr">
        <is>
          <t>1</t>
        </is>
      </c>
      <c r="J2789">
        <f>((Inputs!$B$6*(1+Inputs!$B$7/100))+(((Inputs!$B$12*(1+Inputs!$B$13/100))-(Inputs!$B$12*(1+Inputs!$B$13/100)))+0.25*(Inputs!$B$14-Inputs!$B$14))*(1+Inputs!$B$7/100))*(F2789/100)</f>
        <v/>
      </c>
      <c r="K2789">
        <f>J2789*(1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2789)</f>
        <v/>
      </c>
      <c r="L2789">
        <f>K2789*(MIN(Inputs!$B$22+((C2803=TRUE)*(F2803-Calc!F20)),(Inputs!$B$23+0+(IF(ArtifactsInput!$M$15,CHOOSE(ArtifactsInput!$N$15+1,25,30,35,40,45,50)/100*(Inputs!$B$11-Inputs!$B$11),0))))/100+(Inputs!$B$23+0+(IF(ArtifactsInput!$M$15,CHOOSE(ArtifactsInput!$N$15+1,25,30,35,40,45,50)/100*(Inputs!$B$11-Inputs!$B$11),0)))/100)/2</f>
        <v/>
      </c>
      <c r="M2789">
        <f>L2789*(1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9">
        <f>L2789*(1-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2789*(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9">
        <f>(1-Summary!$B$11)*T2789+Summary!$B$11*V2789</f>
        <v/>
      </c>
      <c r="P2789">
        <f>IF(B2818=0,0,O2789/B2818)</f>
        <v/>
      </c>
      <c r="Q2789">
        <f>IFERROR(1/(IF(Inputs!$B$38="pvp",15,MAX(0.1,Skills!D6-IF(Skills!E6=TRUE,5.0,0)))*(1-IF(AND(ArtifactsInput!$M$27,Inputs!$B$4="Chapter Hunt"),CHOOSE(ArtifactsInput!$N$27+1,20,24,28,32,36,40),0)/100)),0)</f>
        <v/>
      </c>
      <c r="R2789">
        <f>IF(AND(Inputs!$B$38&lt;&gt;"pvp",Inputs!$B$43&gt;0),IF(MAX(0,Inputs!$B$43-B2815)&lt;=0,0,(INT(MAX(0,Inputs!$B$43-B2815)/(IF(Inputs!$B$38="pvp",15,MAX(0.1,Skills!D6-IF(Skills!E6=TRUE,5.0,0)))*(1-IF(AND(ArtifactsInput!$M$27,Inputs!$B$4="Chapter Hunt"),CHOOSE(ArtifactsInput!$N$27+1,20,24,28,32,36,40),0)/100)))+1)),0)</f>
        <v/>
      </c>
      <c r="S2789">
        <f>IFERROR(O2789/N2789,0)</f>
        <v/>
      </c>
      <c r="T2789">
        <f>IF(C2789,(H2789*N2789*IF(AND(Inputs!$B$38&lt;&gt;"pvp",Inputs!$B$43&gt;0),((Skills!G6*((R2789-1)*IF(Skills!H6&gt;0,Skills!I6/Skills!H6,1)+IF(Skills!H6&gt;0,MIN(Skills!I6,MAX(0,MAX(0,Inputs!$B$43-B2815)-((R2789-1)*(IF(Inputs!$B$38="pvp",15,MAX(0.1,Skills!D6-IF(Skills!E6=TRUE,5.0,0)))*(1-IF(AND(ArtifactsInput!$M$27,Inputs!$B$4="Chapter Hunt"),CHOOSE(ArtifactsInput!$N$27+1,20,24,28,32,36,40),0)/100)))))/Skills!H6,1)))/Inputs!$B$43),G2789*Q2789)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2789*(1-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2789*(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2789*(1-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2789*(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9">
        <f>IF(C2789,(H2789*N2789*IF(AND(Inputs!$B$38&lt;&gt;"pvp",Inputs!$B$43&gt;0),((Skills!G6*((R2789-1)*IF(Skills!H6&gt;0,Skills!I6/Skills!H6,1)+IF(Skills!H6&gt;0,MIN(Skills!I6,MAX(0,MAX(0,Inputs!$B$43-B2815)-((R2789-1)*(IF(Inputs!$B$38="pvp",15,MAX(0.1,Skills!D6-IF(Skills!E6=TRUE,5.0,0)))*(1-IF(AND(ArtifactsInput!$M$27,Inputs!$B$4="Chapter Hunt"),CHOOSE(ArtifactsInput!$N$27+1,20,24,28,32,36,40),0)/100)))))/Skills!H6,1)))/Inputs!$B$43),G2789*Q2789))*IF(Inputs!$B$38="pvp",1,(1+(Inputs!$B$21+Skills!Q6+(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0">
      <c r="A2790">
        <f>Skills!A7</f>
        <v/>
      </c>
      <c r="B2790">
        <f>Skills!B7</f>
        <v/>
      </c>
      <c r="C2790">
        <f>Inputs!$B$3&gt;=100</f>
        <v/>
      </c>
      <c r="D2790">
        <f>IF(Skills!C7=1,60+Inputs!$B$25+Inputs!$B$29,IF(Skills!C7=2,90+Inputs!$B$26+Inputs!$B$29,IF(Skills!C7=3,120+Inputs!$B$27+Inputs!$B$29,MAX(0,(Inputs!$B$3-100)*3)+Inputs!$B$28+Inputs!$B$29)))</f>
        <v/>
      </c>
      <c r="E2790">
        <f>INDEX(FactorTable!$B$2:$Y$301, MATCH(ROUND(MIN(300,MAX(1,D2790)),0), FactorTable!$A$2:$A$301,0), Skills!M7+1)</f>
        <v/>
      </c>
      <c r="F2790">
        <f>IF(Skills!N7=TRUE,(Skills!L7/10)*(E2790/1000),Skills!L7/10)+Skills!O7</f>
        <v/>
      </c>
      <c r="G2790">
        <f>Skills!G7*IF(Skills!H7&gt;0,Skills!I7/Skills!H7,1)</f>
        <v/>
      </c>
      <c r="H2790">
        <f>1-(1-Skills!J7/100)^Skills!K7</f>
        <v/>
      </c>
      <c r="I2790" t="inlineStr">
        <is>
          <t>1</t>
        </is>
      </c>
      <c r="J2790">
        <f>((Inputs!$B$6*(1+Inputs!$B$7/100))+(((Inputs!$B$12*(1+Inputs!$B$13/100))-(Inputs!$B$12*(1+Inputs!$B$13/100)))+0.25*(Inputs!$B$14-Inputs!$B$14))*(1+Inputs!$B$7/100))*(F2790/100)</f>
        <v/>
      </c>
      <c r="K2790">
        <f>J2790*(1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2790)</f>
        <v/>
      </c>
      <c r="L2790">
        <f>K2790*(MIN(Inputs!$B$22+((C2803=TRUE)*(F2803-Calc!F20)),(Inputs!$B$23+0+(IF(ArtifactsInput!$M$15,CHOOSE(ArtifactsInput!$N$15+1,25,30,35,40,45,50)/100*(Inputs!$B$11-Inputs!$B$11),0))))/100+(Inputs!$B$23+0+(IF(ArtifactsInput!$M$15,CHOOSE(ArtifactsInput!$N$15+1,25,30,35,40,45,50)/100*(Inputs!$B$11-Inputs!$B$11),0)))/100)/2</f>
        <v/>
      </c>
      <c r="M2790">
        <f>L2790*(1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0">
        <f>L2790*(1-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2790*(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0">
        <f>(1-Summary!$B$11)*T2790+Summary!$B$11*V2790</f>
        <v/>
      </c>
      <c r="P2790">
        <f>IF(B2818=0,0,O2790/B2818)</f>
        <v/>
      </c>
      <c r="Q2790">
        <f>IFERROR(1/(IF(Inputs!$B$38="pvp",15,MAX(0.1,Skills!D7-IF(Skills!E7=TRUE,5.0,0)))*(1-IF(AND(ArtifactsInput!$M$27,Inputs!$B$4="Chapter Hunt"),CHOOSE(ArtifactsInput!$N$27+1,20,24,28,32,36,40),0)/100)),0)</f>
        <v/>
      </c>
      <c r="R2790">
        <f>IF(AND(Inputs!$B$38&lt;&gt;"pvp",Inputs!$B$43&gt;0),IF(MAX(0,Inputs!$B$43-B2815)&lt;=0,0,(INT(MAX(0,Inputs!$B$43-B2815)/(IF(Inputs!$B$38="pvp",15,MAX(0.1,Skills!D7-IF(Skills!E7=TRUE,5.0,0)))*(1-IF(AND(ArtifactsInput!$M$27,Inputs!$B$4="Chapter Hunt"),CHOOSE(ArtifactsInput!$N$27+1,20,24,28,32,36,40),0)/100)))+1)),0)</f>
        <v/>
      </c>
      <c r="S2790">
        <f>IFERROR(O2790/N2790,0)</f>
        <v/>
      </c>
      <c r="T2790">
        <f>IF(C2790,(H2790*N2790*IF(AND(Inputs!$B$38&lt;&gt;"pvp",Inputs!$B$43&gt;0),((Skills!G7*((R2790-1)*IF(Skills!H7&gt;0,Skills!I7/Skills!H7,1)+IF(Skills!H7&gt;0,MIN(Skills!I7,MAX(0,MAX(0,Inputs!$B$43-B2815)-((R2790-1)*(IF(Inputs!$B$38="pvp",15,MAX(0.1,Skills!D7-IF(Skills!E7=TRUE,5.0,0)))*(1-IF(AND(ArtifactsInput!$M$27,Inputs!$B$4="Chapter Hunt"),CHOOSE(ArtifactsInput!$N$27+1,20,24,28,32,36,40),0)/100)))))/Skills!H7,1)))/Inputs!$B$43),G2790*Q2790)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2790*(1-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2790*(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2790*(1-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2790*(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0">
        <f>IF(C2790,(H2790*N2790*IF(AND(Inputs!$B$38&lt;&gt;"pvp",Inputs!$B$43&gt;0),((Skills!G7*((R2790-1)*IF(Skills!H7&gt;0,Skills!I7/Skills!H7,1)+IF(Skills!H7&gt;0,MIN(Skills!I7,MAX(0,MAX(0,Inputs!$B$43-B2815)-((R2790-1)*(IF(Inputs!$B$38="pvp",15,MAX(0.1,Skills!D7-IF(Skills!E7=TRUE,5.0,0)))*(1-IF(AND(ArtifactsInput!$M$27,Inputs!$B$4="Chapter Hunt"),CHOOSE(ArtifactsInput!$N$27+1,20,24,28,32,36,40),0)/100)))))/Skills!H7,1)))/Inputs!$B$43),G2790*Q2790))*IF(Inputs!$B$38="pvp",1,(1+(Inputs!$B$21+Skills!Q7+(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1">
      <c r="A2791">
        <f>Skills!A8</f>
        <v/>
      </c>
      <c r="B2791">
        <f>Skills!B8</f>
        <v/>
      </c>
      <c r="C2791">
        <f>Inputs!$B$3&gt;=110</f>
        <v/>
      </c>
      <c r="D2791">
        <f>IF(Skills!C8=1,60+Inputs!$B$25+Inputs!$B$29,IF(Skills!C8=2,90+Inputs!$B$26+Inputs!$B$29,IF(Skills!C8=3,120+Inputs!$B$27+Inputs!$B$29,MAX(0,(Inputs!$B$3-100)*3)+Inputs!$B$28+Inputs!$B$29)))</f>
        <v/>
      </c>
      <c r="E2791">
        <f>INDEX(FactorTable!$B$2:$Y$301, MATCH(ROUND(MIN(300,MAX(1,D2791)),0), FactorTable!$A$2:$A$301,0), Skills!M8+1)</f>
        <v/>
      </c>
      <c r="F2791">
        <f>IF(Skills!N8=TRUE,(Skills!L8/10)*(E2791/1000),Skills!L8/10)+Skills!O8</f>
        <v/>
      </c>
      <c r="G2791">
        <f>Skills!G8*IF(Skills!H8&gt;0,Skills!I8/Skills!H8,1)</f>
        <v/>
      </c>
      <c r="H2791">
        <f>1-(1-Skills!J8/100)^Skills!K8</f>
        <v/>
      </c>
      <c r="I2791" t="inlineStr">
        <is>
          <t>1</t>
        </is>
      </c>
      <c r="J2791">
        <f>((Inputs!$B$6*(1+Inputs!$B$7/100))+(((Inputs!$B$12*(1+Inputs!$B$13/100))-(Inputs!$B$12*(1+Inputs!$B$13/100)))+0.25*(Inputs!$B$14-Inputs!$B$14))*(1+Inputs!$B$7/100))*(F2791/100)</f>
        <v/>
      </c>
      <c r="K2791">
        <f>J2791*(1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2791)</f>
        <v/>
      </c>
      <c r="L2791">
        <f>K2791*(MIN(Inputs!$B$22+((C2803=TRUE)*(F2803-Calc!F20)),(Inputs!$B$23+0+(IF(ArtifactsInput!$M$15,CHOOSE(ArtifactsInput!$N$15+1,25,30,35,40,45,50)/100*(Inputs!$B$11-Inputs!$B$11),0))))/100+(Inputs!$B$23+0+(IF(ArtifactsInput!$M$15,CHOOSE(ArtifactsInput!$N$15+1,25,30,35,40,45,50)/100*(Inputs!$B$11-Inputs!$B$11),0)))/100)/2</f>
        <v/>
      </c>
      <c r="M2791">
        <f>L2791*(1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1">
        <f>L2791*(1-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1">
        <f>(1-Summary!$B$11)*T2791+Summary!$B$11*V2791</f>
        <v/>
      </c>
      <c r="P2791">
        <f>IF(B2818=0,0,O2791/B2818)</f>
        <v/>
      </c>
      <c r="Q2791">
        <f>IFERROR(1/(IF(Inputs!$B$38="pvp",15,MAX(0.1,Skills!D8-IF(Skills!E8=TRUE,5.0,0)))*(1-IF(AND(ArtifactsInput!$M$27,Inputs!$B$4="Chapter Hunt"),CHOOSE(ArtifactsInput!$N$27+1,20,24,28,32,36,40),0)/100)),0)</f>
        <v/>
      </c>
      <c r="R2791">
        <f>IF(AND(Inputs!$B$38&lt;&gt;"pvp",Inputs!$B$43&gt;0),IF(MAX(0,Inputs!$B$43-B2815)&lt;=0,0,(INT(MAX(0,Inputs!$B$43-B2815)/(IF(Inputs!$B$38="pvp",15,MAX(0.1,Skills!D8-IF(Skills!E8=TRUE,5.0,0)))*(1-IF(AND(ArtifactsInput!$M$27,Inputs!$B$4="Chapter Hunt"),CHOOSE(ArtifactsInput!$N$27+1,20,24,28,32,36,40),0)/100)))+1)),0)</f>
        <v/>
      </c>
      <c r="S2791">
        <f>IFERROR(O2791/N2791,0)</f>
        <v/>
      </c>
      <c r="T2791">
        <f>IF(C2791,(H2791*N2791*IF(AND(Inputs!$B$38&lt;&gt;"pvp",Inputs!$B$43&gt;0),((Skills!G8*((R2791-1)*IF(Skills!H8&gt;0,Skills!I8/Skills!H8,1)+IF(Skills!H8&gt;0,MIN(Skills!I8,MAX(0,MAX(0,Inputs!$B$43-B2815)-((R2791-1)*(IF(Inputs!$B$38="pvp",15,MAX(0.1,Skills!D8-IF(Skills!E8=TRUE,5.0,0)))*(1-IF(AND(ArtifactsInput!$M$27,Inputs!$B$4="Chapter Hunt"),CHOOSE(ArtifactsInput!$N$27+1,20,24,28,32,36,40),0)/100)))))/Skills!H8,1)))/Inputs!$B$43),G2791*Q2791)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2791*(1-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2791*(1-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1">
        <f>IF(C2791,(H2791*N2791*IF(AND(Inputs!$B$38&lt;&gt;"pvp",Inputs!$B$43&gt;0),((Skills!G8*((R2791-1)*IF(Skills!H8&gt;0,Skills!I8/Skills!H8,1)+IF(Skills!H8&gt;0,MIN(Skills!I8,MAX(0,MAX(0,Inputs!$B$43-B2815)-((R2791-1)*(IF(Inputs!$B$38="pvp",15,MAX(0.1,Skills!D8-IF(Skills!E8=TRUE,5.0,0)))*(1-IF(AND(ArtifactsInput!$M$27,Inputs!$B$4="Chapter Hunt"),CHOOSE(ArtifactsInput!$N$27+1,20,24,28,32,36,40),0)/100)))))/Skills!H8,1)))/Inputs!$B$43),G2791*Q2791))*IF(Inputs!$B$38="pvp",1,(1+(Inputs!$B$21+Skills!Q8+(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2">
      <c r="A2792">
        <f>Skills!A9</f>
        <v/>
      </c>
      <c r="B2792">
        <f>Skills!B9</f>
        <v/>
      </c>
      <c r="C2792">
        <f>Inputs!$B$3&gt;=110</f>
        <v/>
      </c>
      <c r="D2792">
        <f>IF(Skills!C9=1,60+Inputs!$B$25+Inputs!$B$29,IF(Skills!C9=2,90+Inputs!$B$26+Inputs!$B$29,IF(Skills!C9=3,120+Inputs!$B$27+Inputs!$B$29,MAX(0,(Inputs!$B$3-100)*3)+Inputs!$B$28+Inputs!$B$29)))</f>
        <v/>
      </c>
      <c r="E2792">
        <f>INDEX(FactorTable!$B$2:$Y$301, MATCH(ROUND(MIN(300,MAX(1,D2792)),0), FactorTable!$A$2:$A$301,0), Skills!M9+1)</f>
        <v/>
      </c>
      <c r="F2792">
        <f>IF(Skills!N9=TRUE,(Skills!L9/10)*(E2792/1000),Skills!L9/10)+Skills!O9</f>
        <v/>
      </c>
      <c r="G2792">
        <f>Skills!G9*IF(Skills!H9&gt;0,Skills!I9/Skills!H9,1)</f>
        <v/>
      </c>
      <c r="H2792">
        <f>1-(1-Skills!J9/100)^Skills!K9</f>
        <v/>
      </c>
      <c r="I2792" t="inlineStr">
        <is>
          <t>1</t>
        </is>
      </c>
      <c r="J2792">
        <f>((Inputs!$B$6*(1+Inputs!$B$7/100))+(((Inputs!$B$12*(1+Inputs!$B$13/100))-(Inputs!$B$12*(1+Inputs!$B$13/100)))+0.25*(Inputs!$B$14-Inputs!$B$14))*(1+Inputs!$B$7/100))*(F2792/100)</f>
        <v/>
      </c>
      <c r="K2792">
        <f>J2792*(1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2792)</f>
        <v/>
      </c>
      <c r="L2792">
        <f>K2792*(MIN(Inputs!$B$22+((C2803=TRUE)*(F2803-Calc!F20)),(Inputs!$B$23+0+(IF(ArtifactsInput!$M$15,CHOOSE(ArtifactsInput!$N$15+1,25,30,35,40,45,50)/100*(Inputs!$B$11-Inputs!$B$11),0))))/100+(Inputs!$B$23+0+(IF(ArtifactsInput!$M$15,CHOOSE(ArtifactsInput!$N$15+1,25,30,35,40,45,50)/100*(Inputs!$B$11-Inputs!$B$11),0)))/100)/2</f>
        <v/>
      </c>
      <c r="M2792">
        <f>L2792*(1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2">
        <f>L2792*(1-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2792*(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2">
        <f>(1-Summary!$B$11)*T2792+Summary!$B$11*V2792</f>
        <v/>
      </c>
      <c r="P2792">
        <f>IF(B2818=0,0,O2792/B2818)</f>
        <v/>
      </c>
      <c r="Q2792">
        <f>IFERROR(1/(IF(Inputs!$B$38="pvp",15,MAX(0.1,Skills!D9-IF(Skills!E9=TRUE,5.0,0)))*(1-IF(AND(ArtifactsInput!$M$27,Inputs!$B$4="Chapter Hunt"),CHOOSE(ArtifactsInput!$N$27+1,20,24,28,32,36,40),0)/100)),0)</f>
        <v/>
      </c>
      <c r="R2792">
        <f>IF(AND(Inputs!$B$38&lt;&gt;"pvp",Inputs!$B$43&gt;0),IF(MAX(0,Inputs!$B$43-B2815)&lt;=0,0,(INT(MAX(0,Inputs!$B$43-B2815)/(IF(Inputs!$B$38="pvp",15,MAX(0.1,Skills!D9-IF(Skills!E9=TRUE,5.0,0)))*(1-IF(AND(ArtifactsInput!$M$27,Inputs!$B$4="Chapter Hunt"),CHOOSE(ArtifactsInput!$N$27+1,20,24,28,32,36,40),0)/100)))+1)),0)</f>
        <v/>
      </c>
      <c r="S2792">
        <f>IFERROR(O2792/N2792,0)</f>
        <v/>
      </c>
      <c r="T2792">
        <f>IF(C2792,(H2792*N2792*IF(AND(Inputs!$B$38&lt;&gt;"pvp",Inputs!$B$43&gt;0),((Skills!G9*((R2792-1)*IF(Skills!H9&gt;0,Skills!I9/Skills!H9,1)+IF(Skills!H9&gt;0,MIN(Skills!I9,MAX(0,MAX(0,Inputs!$B$43-B2815)-((R2792-1)*(IF(Inputs!$B$38="pvp",15,MAX(0.1,Skills!D9-IF(Skills!E9=TRUE,5.0,0)))*(1-IF(AND(ArtifactsInput!$M$27,Inputs!$B$4="Chapter Hunt"),CHOOSE(ArtifactsInput!$N$27+1,20,24,28,32,36,40),0)/100)))))/Skills!H9,1)))/Inputs!$B$43),G2792*Q2792)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2792*(1-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2792*(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2792*(1-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2792*(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2">
        <f>IF(C2792,(H2792*N2792*IF(AND(Inputs!$B$38&lt;&gt;"pvp",Inputs!$B$43&gt;0),((Skills!G9*((R2792-1)*IF(Skills!H9&gt;0,Skills!I9/Skills!H9,1)+IF(Skills!H9&gt;0,MIN(Skills!I9,MAX(0,MAX(0,Inputs!$B$43-B2815)-((R2792-1)*(IF(Inputs!$B$38="pvp",15,MAX(0.1,Skills!D9-IF(Skills!E9=TRUE,5.0,0)))*(1-IF(AND(ArtifactsInput!$M$27,Inputs!$B$4="Chapter Hunt"),CHOOSE(ArtifactsInput!$N$27+1,20,24,28,32,36,40),0)/100)))))/Skills!H9,1)))/Inputs!$B$43),G2792*Q2792))*IF(Inputs!$B$38="pvp",1,(1+(Inputs!$B$21+Skills!Q9+(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3">
      <c r="A2793">
        <f>Skills!A10</f>
        <v/>
      </c>
      <c r="B2793">
        <f>Skills!B10</f>
        <v/>
      </c>
      <c r="C2793">
        <f>Inputs!$B$3&gt;=103</f>
        <v/>
      </c>
      <c r="D2793">
        <f>IF(Skills!C10=1,60+Inputs!$B$25+Inputs!$B$29,IF(Skills!C10=2,90+Inputs!$B$26+Inputs!$B$29,IF(Skills!C10=3,120+Inputs!$B$27+Inputs!$B$29,MAX(0,(Inputs!$B$3-100)*3)+Inputs!$B$28+Inputs!$B$29)))</f>
        <v/>
      </c>
      <c r="E2793">
        <f>INDEX(FactorTable!$B$2:$Y$301, MATCH(ROUND(MIN(300,MAX(1,D2793)),0), FactorTable!$A$2:$A$301,0), Skills!M10+1)</f>
        <v/>
      </c>
      <c r="F2793">
        <f>IF(Skills!N10=TRUE,(Skills!L10/10)*(E2793/1000),Skills!L10/10)+Skills!O10</f>
        <v/>
      </c>
      <c r="G2793">
        <f>Skills!G10*IF(Skills!H10&gt;0,Skills!I10/Skills!H10,1)</f>
        <v/>
      </c>
      <c r="H2793">
        <f>1-(1-Skills!J10/100)^Skills!K10</f>
        <v/>
      </c>
      <c r="I2793" t="inlineStr">
        <is>
          <t>1</t>
        </is>
      </c>
      <c r="J2793">
        <f>((Inputs!$B$6*(1+Inputs!$B$7/100))+(((Inputs!$B$12*(1+Inputs!$B$13/100))-(Inputs!$B$12*(1+Inputs!$B$13/100)))+0.25*(Inputs!$B$14-Inputs!$B$14))*(1+Inputs!$B$7/100))*(F2793/100)</f>
        <v/>
      </c>
      <c r="K2793">
        <f>J2793*(1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2793)</f>
        <v/>
      </c>
      <c r="L2793">
        <f>K2793*(MIN(Inputs!$B$22+((C2803=TRUE)*(F2803-Calc!F20)),(Inputs!$B$23+0+(IF(ArtifactsInput!$M$15,CHOOSE(ArtifactsInput!$N$15+1,25,30,35,40,45,50)/100*(Inputs!$B$11-Inputs!$B$11),0))))/100+(Inputs!$B$23+0+(IF(ArtifactsInput!$M$15,CHOOSE(ArtifactsInput!$N$15+1,25,30,35,40,45,50)/100*(Inputs!$B$11-Inputs!$B$11),0)))/100)/2</f>
        <v/>
      </c>
      <c r="M2793">
        <f>L2793*(1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3">
        <f>L2793*(1-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2793*(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3">
        <f>(1-Summary!$B$11)*T2793+Summary!$B$11*V2793</f>
        <v/>
      </c>
      <c r="P2793">
        <f>IF(B2818=0,0,O2793/B2818)</f>
        <v/>
      </c>
      <c r="Q2793">
        <f>IFERROR(1/(IF(Inputs!$B$38="pvp",15,MAX(0.1,Skills!D10-IF(Skills!E10=TRUE,5.0,0)))*(1-IF(AND(ArtifactsInput!$M$27,Inputs!$B$4="Chapter Hunt"),CHOOSE(ArtifactsInput!$N$27+1,20,24,28,32,36,40),0)/100)),0)</f>
        <v/>
      </c>
      <c r="R2793">
        <f>IF(AND(Inputs!$B$38&lt;&gt;"pvp",Inputs!$B$43&gt;0),IF(MAX(0,Inputs!$B$43-B2815)&lt;=0,0,(INT(MAX(0,Inputs!$B$43-B2815)/(IF(Inputs!$B$38="pvp",15,MAX(0.1,Skills!D10-IF(Skills!E10=TRUE,5.0,0)))*(1-IF(AND(ArtifactsInput!$M$27,Inputs!$B$4="Chapter Hunt"),CHOOSE(ArtifactsInput!$N$27+1,20,24,28,32,36,40),0)/100)))+1)),0)</f>
        <v/>
      </c>
      <c r="S2793">
        <f>IFERROR(O2793/N2793,0)</f>
        <v/>
      </c>
      <c r="T2793">
        <f>IF(C2793,(H2793*N2793*IF(AND(Inputs!$B$38&lt;&gt;"pvp",Inputs!$B$43&gt;0),((Skills!G10*((R2793-1)*IF(Skills!H10&gt;0,Skills!I10/Skills!H10,1)+IF(Skills!H10&gt;0,MIN(Skills!I10,MAX(0,MAX(0,Inputs!$B$43-B2815)-((R2793-1)*(IF(Inputs!$B$38="pvp",15,MAX(0.1,Skills!D10-IF(Skills!E10=TRUE,5.0,0)))*(1-IF(AND(ArtifactsInput!$M$27,Inputs!$B$4="Chapter Hunt"),CHOOSE(ArtifactsInput!$N$27+1,20,24,28,32,36,40),0)/100)))))/Skills!H10,1)))/Inputs!$B$43),G2793*Q2793)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2793*(1-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2793*(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2793*(1-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2793*(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3">
        <f>IF(C2793,(H2793*N2793*IF(AND(Inputs!$B$38&lt;&gt;"pvp",Inputs!$B$43&gt;0),((Skills!G10*((R2793-1)*IF(Skills!H10&gt;0,Skills!I10/Skills!H10,1)+IF(Skills!H10&gt;0,MIN(Skills!I10,MAX(0,MAX(0,Inputs!$B$43-B2815)-((R2793-1)*(IF(Inputs!$B$38="pvp",15,MAX(0.1,Skills!D10-IF(Skills!E10=TRUE,5.0,0)))*(1-IF(AND(ArtifactsInput!$M$27,Inputs!$B$4="Chapter Hunt"),CHOOSE(ArtifactsInput!$N$27+1,20,24,28,32,36,40),0)/100)))))/Skills!H10,1)))/Inputs!$B$43),G2793*Q2793))*IF(Inputs!$B$38="pvp",1,(1+(Inputs!$B$21+Skills!Q10+(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4">
      <c r="A2794">
        <f>Skills!A11</f>
        <v/>
      </c>
      <c r="B2794">
        <f>Skills!B11</f>
        <v/>
      </c>
      <c r="C2794">
        <f>Inputs!$B$3&gt;=113</f>
        <v/>
      </c>
      <c r="D2794">
        <f>IF(Skills!C11=1,60+Inputs!$B$25+Inputs!$B$29,IF(Skills!C11=2,90+Inputs!$B$26+Inputs!$B$29,IF(Skills!C11=3,120+Inputs!$B$27+Inputs!$B$29,MAX(0,(Inputs!$B$3-100)*3)+Inputs!$B$28+Inputs!$B$29)))</f>
        <v/>
      </c>
      <c r="E2794">
        <f>INDEX(FactorTable!$B$2:$Y$301, MATCH(ROUND(MIN(300,MAX(1,D2794)),0), FactorTable!$A$2:$A$301,0), Skills!M11+1)</f>
        <v/>
      </c>
      <c r="F2794">
        <f>IF(Skills!N11=TRUE,(Skills!L11/10)*(E2794/1000),Skills!L11/10)+Skills!O11</f>
        <v/>
      </c>
      <c r="G2794">
        <f>Skills!G11*IF(Skills!H11&gt;0,Skills!I11/Skills!H11,1)</f>
        <v/>
      </c>
      <c r="H2794">
        <f>1-(1-Skills!J11/100)^Skills!K11</f>
        <v/>
      </c>
      <c r="I2794" t="inlineStr">
        <is>
          <t>1</t>
        </is>
      </c>
      <c r="J2794">
        <f>((Inputs!$B$6*(1+Inputs!$B$7/100))+(((Inputs!$B$12*(1+Inputs!$B$13/100))-(Inputs!$B$12*(1+Inputs!$B$13/100)))+0.25*(Inputs!$B$14-Inputs!$B$14))*(1+Inputs!$B$7/100))*(F2794/100)</f>
        <v/>
      </c>
      <c r="K2794">
        <f>J2794*(1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2794)</f>
        <v/>
      </c>
      <c r="L2794">
        <f>K2794*(MIN(Inputs!$B$22+((C2803=TRUE)*(F2803-Calc!F20)),(Inputs!$B$23+0+(IF(ArtifactsInput!$M$15,CHOOSE(ArtifactsInput!$N$15+1,25,30,35,40,45,50)/100*(Inputs!$B$11-Inputs!$B$11),0))))/100+(Inputs!$B$23+0+(IF(ArtifactsInput!$M$15,CHOOSE(ArtifactsInput!$N$15+1,25,30,35,40,45,50)/100*(Inputs!$B$11-Inputs!$B$11),0)))/100)/2</f>
        <v/>
      </c>
      <c r="M2794">
        <f>L2794*(1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4">
        <f>L2794*(1-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2794*(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4">
        <f>(1-Summary!$B$11)*T2794+Summary!$B$11*V2794</f>
        <v/>
      </c>
      <c r="P2794">
        <f>IF(B2818=0,0,O2794/B2818)</f>
        <v/>
      </c>
      <c r="Q2794">
        <f>IFERROR(1/(IF(Inputs!$B$38="pvp",15,MAX(0.1,Skills!D11-IF(Skills!E11=TRUE,5.0,0)))*(1-IF(AND(ArtifactsInput!$M$27,Inputs!$B$4="Chapter Hunt"),CHOOSE(ArtifactsInput!$N$27+1,20,24,28,32,36,40),0)/100)),0)</f>
        <v/>
      </c>
      <c r="R2794">
        <f>IF(AND(Inputs!$B$38&lt;&gt;"pvp",Inputs!$B$43&gt;0),IF(MAX(0,Inputs!$B$43-B2815)&lt;=0,0,(INT(MAX(0,Inputs!$B$43-B2815)/(IF(Inputs!$B$38="pvp",15,MAX(0.1,Skills!D11-IF(Skills!E11=TRUE,5.0,0)))*(1-IF(AND(ArtifactsInput!$M$27,Inputs!$B$4="Chapter Hunt"),CHOOSE(ArtifactsInput!$N$27+1,20,24,28,32,36,40),0)/100)))+1)),0)</f>
        <v/>
      </c>
      <c r="S2794">
        <f>IFERROR(O2794/N2794,0)</f>
        <v/>
      </c>
      <c r="T2794">
        <f>IF(C2794,(H2794*N2794*IF(AND(Inputs!$B$38&lt;&gt;"pvp",Inputs!$B$43&gt;0),((Skills!G11*((R2794-1)*IF(Skills!H11&gt;0,Skills!I11/Skills!H11,1)+IF(Skills!H11&gt;0,MIN(Skills!I11,MAX(0,MAX(0,Inputs!$B$43-B2815)-((R2794-1)*(IF(Inputs!$B$38="pvp",15,MAX(0.1,Skills!D11-IF(Skills!E11=TRUE,5.0,0)))*(1-IF(AND(ArtifactsInput!$M$27,Inputs!$B$4="Chapter Hunt"),CHOOSE(ArtifactsInput!$N$27+1,20,24,28,32,36,40),0)/100)))))/Skills!H11,1)))/Inputs!$B$43),G2794*Q2794)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2794*(1-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2794*(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2794*(1-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2794*(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4">
        <f>IF(C2794,(H2794*N2794*IF(AND(Inputs!$B$38&lt;&gt;"pvp",Inputs!$B$43&gt;0),((Skills!G11*((R2794-1)*IF(Skills!H11&gt;0,Skills!I11/Skills!H11,1)+IF(Skills!H11&gt;0,MIN(Skills!I11,MAX(0,MAX(0,Inputs!$B$43-B2815)-((R2794-1)*(IF(Inputs!$B$38="pvp",15,MAX(0.1,Skills!D11-IF(Skills!E11=TRUE,5.0,0)))*(1-IF(AND(ArtifactsInput!$M$27,Inputs!$B$4="Chapter Hunt"),CHOOSE(ArtifactsInput!$N$27+1,20,24,28,32,36,40),0)/100)))))/Skills!H11,1)))/Inputs!$B$43),G2794*Q2794))*IF(Inputs!$B$38="pvp",1,(1+(Inputs!$B$21+Skills!Q11+(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5">
      <c r="A2795">
        <f>Skills!A12</f>
        <v/>
      </c>
      <c r="B2795">
        <f>Skills!B12</f>
        <v/>
      </c>
      <c r="C2795">
        <f>Inputs!$B$3&gt;=100</f>
        <v/>
      </c>
      <c r="D2795">
        <f>IF(Skills!C12=1,60+Inputs!$B$25+Inputs!$B$29,IF(Skills!C12=2,90+Inputs!$B$26+Inputs!$B$29,IF(Skills!C12=3,120+Inputs!$B$27+Inputs!$B$29,MAX(0,(Inputs!$B$3-100)*3)+Inputs!$B$28+Inputs!$B$29)))</f>
        <v/>
      </c>
      <c r="E2795">
        <f>INDEX(FactorTable!$B$2:$Y$301, MATCH(ROUND(MIN(300,MAX(1,D2795)),0), FactorTable!$A$2:$A$301,0), Skills!M12+1)</f>
        <v/>
      </c>
      <c r="F2795">
        <f>IF(Skills!N12=TRUE,(Skills!L12/10)*(E2795/1000),Skills!L12/10)+Skills!O12</f>
        <v/>
      </c>
      <c r="G2795" t="inlineStr"/>
      <c r="H2795" t="inlineStr"/>
      <c r="I2795" t="inlineStr">
        <is>
          <t>1</t>
        </is>
      </c>
      <c r="J2795" t="inlineStr"/>
      <c r="K2795" t="inlineStr"/>
      <c r="L2795" t="inlineStr"/>
      <c r="M2795" t="inlineStr"/>
      <c r="N2795" t="inlineStr"/>
      <c r="O2795" t="inlineStr"/>
      <c r="P2795" t="inlineStr"/>
      <c r="Q2795" t="inlineStr"/>
      <c r="R2795" t="inlineStr"/>
      <c r="S2795" t="inlineStr"/>
      <c r="T2795" t="inlineStr"/>
      <c r="V2795" t="inlineStr"/>
    </row>
    <row r="2796">
      <c r="A2796">
        <f>Skills!A13</f>
        <v/>
      </c>
      <c r="B2796">
        <f>Skills!B13</f>
        <v/>
      </c>
      <c r="C2796">
        <f>Inputs!$B$3&gt;=66</f>
        <v/>
      </c>
      <c r="D2796">
        <f>IF(Skills!C13=1,60+Inputs!$B$25+Inputs!$B$29,IF(Skills!C13=2,90+Inputs!$B$26+Inputs!$B$29,IF(Skills!C13=3,120+Inputs!$B$27+Inputs!$B$29,MAX(0,(Inputs!$B$3-100)*3)+Inputs!$B$28+Inputs!$B$29)))</f>
        <v/>
      </c>
      <c r="E2796">
        <f>INDEX(FactorTable!$B$2:$Y$301, MATCH(ROUND(MIN(300,MAX(1,D2796)),0), FactorTable!$A$2:$A$301,0), Skills!M13+1)</f>
        <v/>
      </c>
      <c r="F2796">
        <f>IF(Skills!N13=TRUE,(Skills!L13/10)*(E2796/1000),Skills!L13/10)+Skills!O13</f>
        <v/>
      </c>
      <c r="G2796">
        <f>Skills!G13*IF(Skills!H13&gt;0,Skills!I13/Skills!H13,1)</f>
        <v/>
      </c>
      <c r="H2796">
        <f>1-(1-Skills!J13/100)^Skills!K13</f>
        <v/>
      </c>
      <c r="I2796" t="inlineStr">
        <is>
          <t>1</t>
        </is>
      </c>
      <c r="J2796" t="inlineStr"/>
      <c r="K2796" t="inlineStr"/>
      <c r="L2796" t="inlineStr"/>
      <c r="M2796" t="inlineStr"/>
      <c r="N2796" t="inlineStr"/>
      <c r="O2796">
        <f>(1-Summary!$B$11)*T2796+Summary!$B$11*V2796</f>
        <v/>
      </c>
      <c r="P2796">
        <f>IF(B2818=0,0,O2796/B2818)</f>
        <v/>
      </c>
      <c r="Q2796" t="n">
        <v>0</v>
      </c>
      <c r="R2796" t="n">
        <v>0</v>
      </c>
      <c r="S2796">
        <f>IFERROR(O2796/N2796,0)</f>
        <v/>
      </c>
      <c r="T2796" t="n">
        <v>0</v>
      </c>
      <c r="V2796" t="n">
        <v>0</v>
      </c>
    </row>
    <row r="2797">
      <c r="A2797">
        <f>Skills!A14</f>
        <v/>
      </c>
      <c r="B2797">
        <f>Skills!B14</f>
        <v/>
      </c>
      <c r="C2797">
        <f>Inputs!$B$3&gt;=107</f>
        <v/>
      </c>
      <c r="D2797">
        <f>IF(Skills!C14=1,60+Inputs!$B$25+Inputs!$B$29,IF(Skills!C14=2,90+Inputs!$B$26+Inputs!$B$29,IF(Skills!C14=3,120+Inputs!$B$27+Inputs!$B$29,MAX(0,(Inputs!$B$3-100)*3)+Inputs!$B$28+Inputs!$B$29)))</f>
        <v/>
      </c>
      <c r="E2797">
        <f>INDEX(FactorTable!$B$2:$Y$301, MATCH(ROUND(MIN(300,MAX(1,D2797)),0), FactorTable!$A$2:$A$301,0), Skills!M14+1)</f>
        <v/>
      </c>
      <c r="F2797">
        <f>IF(Skills!N14=TRUE,(Skills!L14/10)*(E2797/1000),Skills!L14/10)+Skills!O14</f>
        <v/>
      </c>
      <c r="G2797">
        <f>Skills!G14*IF(Skills!H14&gt;0,Skills!I14/Skills!H14,1)</f>
        <v/>
      </c>
      <c r="H2797">
        <f>1-(1-Skills!J14/100)^Skills!K14</f>
        <v/>
      </c>
      <c r="I2797" t="inlineStr">
        <is>
          <t>1</t>
        </is>
      </c>
      <c r="J2797" t="inlineStr"/>
      <c r="K2797" t="inlineStr"/>
      <c r="L2797" t="inlineStr"/>
      <c r="M2797" t="inlineStr"/>
      <c r="N2797" t="inlineStr"/>
      <c r="O2797">
        <f>(1-Summary!$B$11)*T2797+Summary!$B$11*V2797</f>
        <v/>
      </c>
      <c r="P2797">
        <f>IF(B2818=0,0,O2797/B2818)</f>
        <v/>
      </c>
      <c r="Q2797" t="n">
        <v>0</v>
      </c>
      <c r="R2797" t="n">
        <v>0</v>
      </c>
      <c r="S2797">
        <f>IFERROR(O2797/N2797,0)</f>
        <v/>
      </c>
      <c r="T2797" t="n">
        <v>0</v>
      </c>
      <c r="V2797" t="n">
        <v>0</v>
      </c>
    </row>
    <row r="2798">
      <c r="A2798">
        <f>Skills!A15</f>
        <v/>
      </c>
      <c r="B2798">
        <f>Skills!B15</f>
        <v/>
      </c>
      <c r="C2798">
        <f>Inputs!$B$3&gt;=115</f>
        <v/>
      </c>
      <c r="D2798">
        <f>IF(Skills!C15=1,60+Inputs!$B$25+Inputs!$B$29,IF(Skills!C15=2,90+Inputs!$B$26+Inputs!$B$29,IF(Skills!C15=3,120+Inputs!$B$27+Inputs!$B$29,MAX(0,(Inputs!$B$3-100)*3)+Inputs!$B$28+Inputs!$B$29)))</f>
        <v/>
      </c>
      <c r="E2798">
        <f>INDEX(FactorTable!$B$2:$Y$301, MATCH(ROUND(MIN(300,MAX(1,D2798)),0), FactorTable!$A$2:$A$301,0), Skills!M15+1)</f>
        <v/>
      </c>
      <c r="F2798">
        <f>IF(Skills!N15=TRUE,(Skills!L15/10)*(E2798/1000),Skills!L15/10)+Skills!O15</f>
        <v/>
      </c>
      <c r="G2798">
        <f>Skills!G15*IF(Skills!H15&gt;0,Skills!I15/Skills!H15,1)</f>
        <v/>
      </c>
      <c r="H2798">
        <f>1-(1-Skills!J15/100)^Skills!K15</f>
        <v/>
      </c>
      <c r="I2798" t="inlineStr">
        <is>
          <t>1</t>
        </is>
      </c>
      <c r="J2798" t="inlineStr"/>
      <c r="K2798" t="inlineStr"/>
      <c r="L2798" t="inlineStr"/>
      <c r="M2798" t="inlineStr"/>
      <c r="N2798" t="inlineStr"/>
      <c r="O2798">
        <f>(1-Summary!$B$11)*T2798+Summary!$B$11*V2798</f>
        <v/>
      </c>
      <c r="P2798">
        <f>IF(B2818=0,0,O2798/B2818)</f>
        <v/>
      </c>
      <c r="Q2798" t="n">
        <v>0</v>
      </c>
      <c r="R2798" t="n">
        <v>0</v>
      </c>
      <c r="S2798">
        <f>IFERROR(O2798/N2798,0)</f>
        <v/>
      </c>
      <c r="T2798" t="n">
        <v>0</v>
      </c>
      <c r="V2798" t="n">
        <v>0</v>
      </c>
    </row>
    <row r="2799">
      <c r="A2799">
        <f>Skills!A16</f>
        <v/>
      </c>
      <c r="B2799">
        <f>Skills!B16</f>
        <v/>
      </c>
      <c r="C2799">
        <f>Inputs!$B$3&gt;=15</f>
        <v/>
      </c>
      <c r="D2799">
        <f>IF(Skills!C16=1,60+Inputs!$B$25+Inputs!$B$29,IF(Skills!C16=2,90+Inputs!$B$26+Inputs!$B$29,IF(Skills!C16=3,120+Inputs!$B$27+Inputs!$B$29,MAX(0,(Inputs!$B$3-100)*3)+Inputs!$B$28+Inputs!$B$29)))</f>
        <v/>
      </c>
      <c r="E2799">
        <f>INDEX(FactorTable!$B$2:$Y$301, MATCH(ROUND(MIN(300,MAX(1,D2799)),0), FactorTable!$A$2:$A$301,0), Skills!M16+1)</f>
        <v/>
      </c>
      <c r="F2799">
        <f>IF(Skills!N16=TRUE,(Skills!L16/10)*(E2799/1000),Skills!L16/10)+Skills!O16</f>
        <v/>
      </c>
      <c r="G2799">
        <f>Skills!G16*IF(Skills!H16&gt;0,Skills!I16/Skills!H16,1)</f>
        <v/>
      </c>
      <c r="H2799">
        <f>1-(1-Skills!J16/100)^Skills!K16</f>
        <v/>
      </c>
      <c r="I2799" t="inlineStr">
        <is>
          <t>1</t>
        </is>
      </c>
      <c r="J2799" t="inlineStr"/>
      <c r="K2799" t="inlineStr"/>
      <c r="L2799" t="inlineStr"/>
      <c r="M2799" t="inlineStr"/>
      <c r="N2799" t="inlineStr"/>
      <c r="O2799">
        <f>(1-Summary!$B$11)*T2799+Summary!$B$11*V2799</f>
        <v/>
      </c>
      <c r="P2799">
        <f>IF(B2818=0,0,O2799/B2818)</f>
        <v/>
      </c>
      <c r="Q2799" t="n">
        <v>0</v>
      </c>
      <c r="R2799" t="n">
        <v>0</v>
      </c>
      <c r="S2799">
        <f>IFERROR(O2799/N2799,0)</f>
        <v/>
      </c>
      <c r="T2799" t="n">
        <v>0</v>
      </c>
      <c r="V2799" t="n">
        <v>0</v>
      </c>
    </row>
    <row r="2800">
      <c r="A2800">
        <f>Skills!A17</f>
        <v/>
      </c>
      <c r="B2800">
        <f>Skills!B17</f>
        <v/>
      </c>
      <c r="C2800">
        <f>Inputs!$B$3&gt;=10</f>
        <v/>
      </c>
      <c r="D2800">
        <f>IF(Skills!C17=1,60+Inputs!$B$25+Inputs!$B$29,IF(Skills!C17=2,90+Inputs!$B$26+Inputs!$B$29,IF(Skills!C17=3,120+Inputs!$B$27+Inputs!$B$29,MAX(0,(Inputs!$B$3-100)*3)+Inputs!$B$28+Inputs!$B$29)))</f>
        <v/>
      </c>
      <c r="E2800">
        <f>INDEX(FactorTable!$B$2:$Y$301, MATCH(ROUND(MIN(300,MAX(1,D2800)),0), FactorTable!$A$2:$A$301,0), Skills!M17+1)</f>
        <v/>
      </c>
      <c r="F2800">
        <f>IF(Skills!N17=TRUE,(Skills!L17/10)*(E2800/1000),Skills!L17/10)+Skills!O17</f>
        <v/>
      </c>
      <c r="G2800">
        <f>Skills!G17*IF(Skills!H17&gt;0,Skills!I17/Skills!H17,1)</f>
        <v/>
      </c>
      <c r="H2800">
        <f>1-(1-Skills!J17/100)^Skills!K17</f>
        <v/>
      </c>
      <c r="I2800" t="inlineStr">
        <is>
          <t>1</t>
        </is>
      </c>
      <c r="J2800" t="inlineStr"/>
      <c r="K2800" t="inlineStr"/>
      <c r="L2800" t="inlineStr"/>
      <c r="M2800" t="inlineStr"/>
      <c r="N2800" t="inlineStr"/>
      <c r="O2800">
        <f>(1-Summary!$B$11)*T2800+Summary!$B$11*V2800</f>
        <v/>
      </c>
      <c r="P2800">
        <f>IF(B2818=0,0,O2800/B2818)</f>
        <v/>
      </c>
      <c r="Q2800" t="n">
        <v>0</v>
      </c>
      <c r="R2800" t="n">
        <v>0</v>
      </c>
      <c r="S2800">
        <f>IFERROR(O2800/N2800,0)</f>
        <v/>
      </c>
      <c r="T2800" t="n">
        <v>0</v>
      </c>
      <c r="V2800" t="n">
        <v>0</v>
      </c>
    </row>
    <row r="2801">
      <c r="A2801">
        <f>Skills!A18</f>
        <v/>
      </c>
      <c r="B2801">
        <f>Skills!B18</f>
        <v/>
      </c>
      <c r="C2801">
        <f>Inputs!$B$3&gt;=33</f>
        <v/>
      </c>
      <c r="D2801">
        <f>IF(Skills!C18=1,60+Inputs!$B$25+Inputs!$B$29,IF(Skills!C18=2,90+Inputs!$B$26+Inputs!$B$29,IF(Skills!C18=3,120+Inputs!$B$27+Inputs!$B$29,MAX(0,(Inputs!$B$3-100)*3)+Inputs!$B$28+Inputs!$B$29)))</f>
        <v/>
      </c>
      <c r="E2801">
        <f>INDEX(FactorTable!$B$2:$Y$301, MATCH(ROUND(MIN(300,MAX(1,D2801)),0), FactorTable!$A$2:$A$301,0), Skills!M18+1)</f>
        <v/>
      </c>
      <c r="F2801">
        <f>IF(Skills!N18=TRUE,(Skills!L18/10)*(E2801/1000),Skills!L18/10)+Skills!O18</f>
        <v/>
      </c>
      <c r="G2801">
        <f>Skills!G18*IF(Skills!H18&gt;0,Skills!I18/Skills!H18,1)</f>
        <v/>
      </c>
      <c r="H2801">
        <f>1-(1-Skills!J18/100)^Skills!K18</f>
        <v/>
      </c>
      <c r="I2801" t="inlineStr">
        <is>
          <t>1</t>
        </is>
      </c>
      <c r="J2801" t="inlineStr"/>
      <c r="K2801" t="inlineStr"/>
      <c r="L2801" t="inlineStr"/>
      <c r="M2801" t="inlineStr"/>
      <c r="N2801" t="inlineStr"/>
      <c r="O2801">
        <f>(1-Summary!$B$11)*T2801+Summary!$B$11*V2801</f>
        <v/>
      </c>
      <c r="P2801">
        <f>IF(B2818=0,0,O2801/B2818)</f>
        <v/>
      </c>
      <c r="Q2801" t="n">
        <v>0</v>
      </c>
      <c r="R2801" t="n">
        <v>0</v>
      </c>
      <c r="S2801">
        <f>IFERROR(O2801/N2801,0)</f>
        <v/>
      </c>
      <c r="T2801" t="n">
        <v>0</v>
      </c>
      <c r="V2801" t="n">
        <v>0</v>
      </c>
    </row>
    <row r="2802">
      <c r="A2802">
        <f>Skills!A19</f>
        <v/>
      </c>
      <c r="B2802">
        <f>Skills!B19</f>
        <v/>
      </c>
      <c r="C2802">
        <f>Inputs!$B$3&gt;=40</f>
        <v/>
      </c>
      <c r="D2802">
        <f>IF(Skills!C19=1,60+Inputs!$B$25+Inputs!$B$29,IF(Skills!C19=2,90+Inputs!$B$26+Inputs!$B$29,IF(Skills!C19=3,120+Inputs!$B$27+Inputs!$B$29,MAX(0,(Inputs!$B$3-100)*3)+Inputs!$B$28+Inputs!$B$29)))</f>
        <v/>
      </c>
      <c r="E2802">
        <f>INDEX(FactorTable!$B$2:$Y$301, MATCH(ROUND(MIN(300,MAX(1,D2802)),0), FactorTable!$A$2:$A$301,0), Skills!M19+1)</f>
        <v/>
      </c>
      <c r="F2802">
        <f>IF(Skills!N19=TRUE,(Skills!L19/10)*(E2802/1000),Skills!L19/10)+Skills!O19</f>
        <v/>
      </c>
      <c r="G2802">
        <f>Skills!G19*IF(Skills!H19&gt;0,Skills!I19/Skills!H19,1)</f>
        <v/>
      </c>
      <c r="H2802">
        <f>1-(1-Skills!J19/100)^Skills!K19</f>
        <v/>
      </c>
      <c r="I2802" t="inlineStr">
        <is>
          <t>1</t>
        </is>
      </c>
      <c r="J2802" t="inlineStr"/>
      <c r="K2802" t="inlineStr"/>
      <c r="L2802" t="inlineStr"/>
      <c r="M2802" t="inlineStr"/>
      <c r="N2802" t="inlineStr"/>
      <c r="O2802">
        <f>(1-Summary!$B$11)*T2802+Summary!$B$11*V2802</f>
        <v/>
      </c>
      <c r="P2802">
        <f>IF(B2818=0,0,O2802/B2818)</f>
        <v/>
      </c>
      <c r="Q2802" t="n">
        <v>0</v>
      </c>
      <c r="R2802" t="n">
        <v>0</v>
      </c>
      <c r="S2802">
        <f>IFERROR(O2802/N2802,0)</f>
        <v/>
      </c>
      <c r="T2802" t="n">
        <v>0</v>
      </c>
      <c r="V2802" t="n">
        <v>0</v>
      </c>
    </row>
    <row r="2803">
      <c r="A2803">
        <f>Skills!A20</f>
        <v/>
      </c>
      <c r="B2803">
        <f>Skills!B20</f>
        <v/>
      </c>
      <c r="C2803">
        <f>Inputs!$B$3&gt;=43</f>
        <v/>
      </c>
      <c r="D2803">
        <f>IF(Skills!C20=1,60+Inputs!$B$25+Inputs!$B$29,IF(Skills!C20=2,90+Inputs!$B$26+Inputs!$B$29,IF(Skills!C20=3,120+Inputs!$B$27+Inputs!$B$29,MAX(0,(Inputs!$B$3-100)*3)+Inputs!$B$28+Inputs!$B$29)))</f>
        <v/>
      </c>
      <c r="E2803">
        <f>INDEX(FactorTable!$B$2:$Y$301, MATCH(ROUND(MIN(300,MAX(1,D2803)),0), FactorTable!$A$2:$A$301,0), Skills!M20+1)</f>
        <v/>
      </c>
      <c r="F2803">
        <f>IF(Skills!N20=TRUE,(Skills!L20/10)*(E2803/1000),Skills!L20/10)+Skills!O20</f>
        <v/>
      </c>
      <c r="G2803">
        <f>Skills!G20*IF(Skills!H20&gt;0,Skills!I20/Skills!H20,1)</f>
        <v/>
      </c>
      <c r="H2803">
        <f>1-(1-Skills!J20/100)^Skills!K20</f>
        <v/>
      </c>
      <c r="I2803" t="inlineStr">
        <is>
          <t>1</t>
        </is>
      </c>
      <c r="J2803" t="inlineStr"/>
      <c r="K2803" t="inlineStr"/>
      <c r="L2803" t="inlineStr"/>
      <c r="M2803" t="inlineStr"/>
      <c r="N2803" t="inlineStr"/>
      <c r="O2803">
        <f>(1-Summary!$B$11)*T2803+Summary!$B$11*V2803</f>
        <v/>
      </c>
      <c r="P2803">
        <f>IF(B2818=0,0,O2803/B2818)</f>
        <v/>
      </c>
      <c r="Q2803" t="n">
        <v>0</v>
      </c>
      <c r="R2803" t="n">
        <v>0</v>
      </c>
      <c r="S2803">
        <f>IFERROR(O2803/N2803,0)</f>
        <v/>
      </c>
      <c r="T2803" t="n">
        <v>0</v>
      </c>
      <c r="V2803" t="n">
        <v>0</v>
      </c>
    </row>
    <row r="2804">
      <c r="A2804">
        <f>Skills!A21</f>
        <v/>
      </c>
      <c r="B2804">
        <f>Skills!B21</f>
        <v/>
      </c>
      <c r="C2804">
        <f>Inputs!$B$3&gt;=38</f>
        <v/>
      </c>
      <c r="D2804">
        <f>IF(Skills!C21=1,60+Inputs!$B$25+Inputs!$B$29,IF(Skills!C21=2,90+Inputs!$B$26+Inputs!$B$29,IF(Skills!C21=3,120+Inputs!$B$27+Inputs!$B$29,MAX(0,(Inputs!$B$3-100)*3)+Inputs!$B$28+Inputs!$B$29)))</f>
        <v/>
      </c>
      <c r="E2804">
        <f>INDEX(FactorTable!$B$2:$Y$301, MATCH(ROUND(MIN(300,MAX(1,D2804)),0), FactorTable!$A$2:$A$301,0), Skills!M21+1)</f>
        <v/>
      </c>
      <c r="F2804">
        <f>IF(Skills!N21=TRUE,(Skills!L21/10)*(E2804/1000),Skills!L21/10)+Skills!O21</f>
        <v/>
      </c>
      <c r="G2804">
        <f>Skills!G21*IF(Skills!H21&gt;0,Skills!I21/Skills!H21,1)</f>
        <v/>
      </c>
      <c r="H2804">
        <f>1-(1-Skills!J21/100)^Skills!K21</f>
        <v/>
      </c>
      <c r="I2804" t="inlineStr">
        <is>
          <t>1</t>
        </is>
      </c>
      <c r="J2804" t="inlineStr"/>
      <c r="K2804" t="inlineStr"/>
      <c r="L2804" t="inlineStr"/>
      <c r="M2804" t="inlineStr"/>
      <c r="N2804" t="inlineStr"/>
      <c r="O2804">
        <f>(1-Summary!$B$11)*T2804+Summary!$B$11*V2804</f>
        <v/>
      </c>
      <c r="P2804">
        <f>IF(B2818=0,0,O2804/B2818)</f>
        <v/>
      </c>
      <c r="Q2804" t="n">
        <v>0</v>
      </c>
      <c r="R2804" t="n">
        <v>0</v>
      </c>
      <c r="S2804">
        <f>IFERROR(O2804/N2804,0)</f>
        <v/>
      </c>
      <c r="T2804" t="n">
        <v>0</v>
      </c>
      <c r="V2804" t="n">
        <v>0</v>
      </c>
    </row>
    <row r="2805">
      <c r="A2805">
        <f>Skills!A22</f>
        <v/>
      </c>
      <c r="B2805">
        <f>Skills!B22</f>
        <v/>
      </c>
      <c r="C2805">
        <f>Inputs!$B$3&gt;=75</f>
        <v/>
      </c>
      <c r="D2805">
        <f>IF(Skills!C22=1,60+Inputs!$B$25+Inputs!$B$29,IF(Skills!C22=2,90+Inputs!$B$26+Inputs!$B$29,IF(Skills!C22=3,120+Inputs!$B$27+Inputs!$B$29,MAX(0,(Inputs!$B$3-100)*3)+Inputs!$B$28+Inputs!$B$29)))</f>
        <v/>
      </c>
      <c r="E2805">
        <f>INDEX(FactorTable!$B$2:$Y$301, MATCH(ROUND(MIN(300,MAX(1,D2805)),0), FactorTable!$A$2:$A$301,0), Skills!M22+1)</f>
        <v/>
      </c>
      <c r="F2805">
        <f>IF(Skills!N22=TRUE,(Skills!L22/10)*(E2805/1000),Skills!L22/10)+Skills!O22</f>
        <v/>
      </c>
      <c r="G2805">
        <f>Skills!G22*IF(Skills!H22&gt;0,Skills!I22/Skills!H22,1)</f>
        <v/>
      </c>
      <c r="H2805">
        <f>1-(1-Skills!J22/100)^Skills!K22</f>
        <v/>
      </c>
      <c r="I2805" t="inlineStr">
        <is>
          <t>1</t>
        </is>
      </c>
      <c r="J2805" t="inlineStr"/>
      <c r="K2805" t="inlineStr"/>
      <c r="L2805" t="inlineStr"/>
      <c r="M2805" t="inlineStr"/>
      <c r="N2805" t="inlineStr"/>
      <c r="O2805">
        <f>(1-Summary!$B$11)*T2805+Summary!$B$11*V2805</f>
        <v/>
      </c>
      <c r="P2805">
        <f>IF(B2818=0,0,O2805/B2818)</f>
        <v/>
      </c>
      <c r="Q2805" t="n">
        <v>0</v>
      </c>
      <c r="R2805" t="n">
        <v>0</v>
      </c>
      <c r="S2805">
        <f>IFERROR(O2805/N2805,0)</f>
        <v/>
      </c>
      <c r="T2805" t="n">
        <v>0</v>
      </c>
      <c r="V2805" t="n">
        <v>0</v>
      </c>
    </row>
    <row r="2807">
      <c r="A2807" t="inlineStr">
        <is>
          <t>Attack% Bucket Multiplier</t>
        </is>
      </c>
      <c r="B2807">
        <f>(1+(((C2796=TRUE)*F2796)+((C2802=TRUE)*(F2802-Calc!F19))+(IF(ArtifactsInput!$M$21,CHOOSE(ArtifactsInput!$N$21+1,25,30,35,40,45,50)*(IF(OR(Inputs!$B$4="Chapter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8">
      <c r="A2808" t="inlineStr">
        <is>
          <t>Global Crit Rate Bonus %</t>
        </is>
      </c>
      <c r="B2808" t="n">
        <v>0</v>
      </c>
    </row>
    <row r="2809">
      <c r="A2809" t="inlineStr">
        <is>
          <t>Attack Speed Buff Bonus % (unused)</t>
        </is>
      </c>
      <c r="B2809" t="n">
        <v>0</v>
      </c>
    </row>
    <row r="2810">
      <c r="A2810" t="inlineStr">
        <is>
          <t>Actions Per Second</t>
        </is>
      </c>
      <c r="B2810">
        <f>1+MIN(150,150*(1-(1-(Inputs!$B$11+((C2800=TRUE)*(F2800-Calc!F17))+((C2801=TRUE)*(F2801-Calc!F18)))/150)*(1-B2809/150)))/100</f>
        <v/>
      </c>
    </row>
    <row r="2811">
      <c r="A2811" t="inlineStr">
        <is>
          <t>Skill + Buff Cast Rate</t>
        </is>
      </c>
      <c r="B2811">
        <f>IF(AND(Inputs!$B$38&lt;&gt;"pvp",Inputs!$B$43&gt;0),SUMPRODUCT((Skills!E2:E22=TRUE)*(C2785:C2805=TRUE)*R2785:R2805*Skills!F2:F22)/Inputs!$B$43,SUMPRODUCT((Skills!E2:E22=TRUE)*(C2785:C2805=TRUE)*Q2785:Q2805*Skills!F2:F22))</f>
        <v/>
      </c>
    </row>
    <row r="2812">
      <c r="A2812" t="inlineStr">
        <is>
          <t>Hook Bomber Casts Per Second</t>
        </is>
      </c>
      <c r="B2812">
        <f>MAX(0,B2810-B2811)</f>
        <v/>
      </c>
    </row>
    <row r="2813">
      <c r="A2813" t="inlineStr">
        <is>
          <t>Global Critical Damage Bonus % (unused)</t>
        </is>
      </c>
      <c r="B2813" t="n">
        <v>0</v>
      </c>
    </row>
    <row r="2814">
      <c r="A2814" t="inlineStr">
        <is>
          <t>Global Final Damage Bonus % (Serpent Scale + Crossbones + Time Leap + Speed Infusion)</t>
        </is>
      </c>
      <c r="B2814">
        <f>((C2788=TRUE)*F2788*((10+IF(Inputs!$B$3&gt;=94,5,0))/((10+IF(Inputs!$B$3&gt;=94,5,0))+5/(B2812*(1+IF(Inputs!$B$3&gt;=104,1,0))))))+((C2797=TRUE)*F2797)+((C2798=TRUE)*F2798)+((Inputs!$B$3&gt;=110)*20*(B2810-1))</f>
        <v/>
      </c>
    </row>
    <row r="2815">
      <c r="A2815" t="inlineStr">
        <is>
          <t>Buff-Casting Startup Delay (s, fixed-duration only)</t>
        </is>
      </c>
      <c r="B2815">
        <f>IF(AND(Inputs!$B$38&lt;&gt;"pvp",Inputs!$B$43&gt;0),SUMPRODUCT((Skills!T2:T22&gt;0)*(Skills!E2:E22=TRUE)*(C2785:C2805=TRUE))/B2810,0)</f>
        <v/>
      </c>
    </row>
    <row r="2816">
      <c r="A2816" t="inlineStr">
        <is>
          <t>Boss-Only Total DPS (this block's swept value)</t>
        </is>
      </c>
      <c r="B2816">
        <f>SUM(T2785:T2805)</f>
        <v/>
      </c>
    </row>
    <row r="2817">
      <c r="A2817" t="inlineStr">
        <is>
          <t>Normal-Only Total DPS (this block's swept value)</t>
        </is>
      </c>
      <c r="B2817">
        <f>SUM(V2785:V2805)</f>
        <v/>
      </c>
    </row>
    <row r="2818">
      <c r="A2818" s="6" t="inlineStr">
        <is>
          <t>TOTAL DPS</t>
        </is>
      </c>
      <c r="B2818" s="6">
        <f>SUM(O2785:O2805)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Buccaneer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Buccaneer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2026-09-25T12:13:12Z</dcterms:created>
  <dcterms:modified xsi:type="dcterms:W3CDTF">2026-09-25T12:13:12Z</dcterms:modified>
</cp:coreProperties>
</file>