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100*((10+IF(Inputs!$B$3&gt;=94,5,0))/((10+IF(Inputs!$B$3&gt;=94,5,0))+5/(Summary!$B$19*(1+IF(Inputs!$B$3&gt;=104,1,0)))))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Confirmed via maplestoryidle.info cross-reference (same wording as the wiki, now with no ambiguity): 'Increases Attack by 20%. Rolls a six-sided die every 7 sec to increase Attack by 0-5% in proportion to the number on the die for 5 sec. A number that has appeared once does not appear again for 30 sec.' The flat, unconditional +20% Attack base effect is Magic-Critical-pattern (assumed already reflected in your own Inputs!ATTACK_PCT, see PASSIVE_DELTA_SLOT) —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so the row's own use site (the Attack%% bucket multiplier) multiplies this row's coefficient by 5/7, not treated as always-active (previously a FLAGGED ASSUMPTION gap; ProcChance% is left at 100/unused since this row type reads Calc!F directly rather than through the ProcChance-derived column — see the 5/7 factor at its use site instead). factorIndex 22 (matches every other Magic-Critical-pattern flat buff row, e.g. Crossbones/Jolly Roger) — a wiki table showing no per-level growth on THIS component isn't reliable evidence it's truly non-scaling (same lesson as Bowmaster's Hurricane/Flash Mirage/Soul Arrow, all previously mis-flagged factorIndex 0 for the same reason).</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IFERROR(1/(IF(Inputs!$B$38="pvp",15,MAX(0.1,Skills!D23-IF(Skills!E23=TRUE,Inputs!$B$32,0)))*(1-IF(AND(ArtifactsInput!$M$27,Inputs!$B$4="Chapter Hunt"),CHOOSE(ArtifactsInput!$N$27+1,20,24,28,32,36,40),0)/100)),0)</f>
        <v/>
      </c>
      <c r="R23">
        <f>IF(AND(Inputs!$B$38&lt;&gt;"pvp",Inputs!$B$43&gt;0),IF(Inputs!$B$43&lt;=0,0,(INT(Inputs!$B$43/(IF(Inputs!$B$38="pvp",15,MAX(0.1,Skills!D23-IF(Skills!E23=TRUE,Inputs!$B$32,0)))*(1-IF(AND(ArtifactsInput!$M$27,Inputs!$B$4="Chapter Hunt"),CHOOSE(ArtifactsInput!$N$27+1,20,24,28,32,36,40),0)/100)))+1)),0)</f>
        <v/>
      </c>
      <c r="S23">
        <f>IFERROR(O23/N23,0)</f>
        <v/>
      </c>
      <c r="T23" t="n">
        <v>0</v>
      </c>
      <c r="V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23=TRUE)*Calc!F23*IF(AND(Inputs!$B$38&lt;&gt;"pvp",Inputs!$B$43&gt;0),(((Calc!R23-1)*(Skills!T23*(1+Inputs!$B$34/100))+MIN((Skills!T23*(1+Inputs!$B$34/100)),MAX(0,Inputs!$B$43-((Calc!R23-1)*Skills!D23))))/Inputs!$B$43),IF(Inputs!$B$38="pvp",MIN((Skills!T23*(1+Inputs!$B$34/100)),15)/15,(Skills!T23*(1+Inputs!$B$34/100))/Skills!D23)))</f>
        <v/>
      </c>
    </row>
    <row r="17">
      <c r="A17" t="inlineStr">
        <is>
          <t>Actions Per Second</t>
        </is>
      </c>
      <c r="B17">
        <f>1+MIN(150,150*(1-(1-Inputs!$B$11/150)*(1-B16/150)))/100</f>
        <v/>
      </c>
    </row>
    <row r="18">
      <c r="A18" t="inlineStr">
        <is>
          <t>Skill + Buff Cast Rate (subtracted from Hook Bomber, 1/s)</t>
        </is>
      </c>
      <c r="B18">
        <f>IF(AND(Inputs!$B$38&lt;&gt;"pvp",Inputs!$B$43&gt;0),SUMPRODUCT((Skills!E2:E23=TRUE)*(Calc!C2:C23=TRUE)*Calc!R2:R23*Skills!F2:F23)/Inputs!$B$43,SUMPRODUCT((Skills!E2:E23=TRUE)*(Calc!C2:C23=TRUE)*Calc!Q2:Q23*Skills!F2:F23))</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((Calc!C5=TRUE)*Calc!F5*((10+IF(Inputs!$B$3&gt;=94,5,0))/((10+IF(Inputs!$B$3&gt;=94,5,0))+5/(Summary!$B$19*(1+IF(Inputs!$B$3&gt;=104,1,0))))))+((Calc!C14=TRUE)*Calc!F14)+((Calc!C15=TRUE)*Calc!F15)+((Inputs!$B$3&gt;=110)*20*(B17-1))</f>
        <v/>
      </c>
    </row>
    <row r="22">
      <c r="A22" t="inlineStr">
        <is>
          <t>Hook Bomber (Basic Attack) DPS</t>
        </is>
      </c>
      <c r="B22">
        <f>Calc!O2</f>
        <v/>
      </c>
    </row>
    <row r="23">
      <c r="A23" t="inlineStr">
        <is>
          <t>Buff-Casting Startup Delay (s, before first damage-skill cast; fixed-duration only)</t>
        </is>
      </c>
      <c r="B23">
        <f>IF(AND(Inputs!$B$38&lt;&gt;"pvp",Inputs!$B$43&gt;0),SUMPRODUCT((Skills!T2:T23&gt;0)*(Skills!E2:E23=TRUE)*(Calc!C2:C23=TRUE))/B17,0)</f>
        <v/>
      </c>
    </row>
    <row r="24">
      <c r="A24" t="inlineStr">
        <is>
          <t>Boss-Only Total DPS (Sensitivity baseline)</t>
        </is>
      </c>
      <c r="B24">
        <f>SUM(Calc!T2:T23)</f>
        <v/>
      </c>
    </row>
    <row r="25">
      <c r="A25" t="inlineStr">
        <is>
          <t>Normal-Only Total DPS (Sensitivity baseline)</t>
        </is>
      </c>
      <c r="B25">
        <f>SUM(Calc!V2:V23)</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9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B107</f>
        <v/>
      </c>
      <c r="H5">
        <f>Summary!$B$3*(((1-Summary!$B$11)*IFERROR(B105/Summary!$B$24,1)+Summary!$B$11*IFERROR(B106/Summary!$B$25,1))-1)</f>
        <v/>
      </c>
      <c r="I5">
        <f>((1-Summary!$B$11)*IFERROR(B105/Summary!$B$24,1)+Summary!$B$11*IFERROR(B106/Summary!$B$25,1))*100</f>
        <v/>
      </c>
    </row>
    <row r="6">
      <c r="A6" t="inlineStr">
        <is>
          <t>STR %</t>
        </is>
      </c>
      <c r="B6">
        <f>IFERROR(1/(I6-100),"n/a")</f>
        <v/>
      </c>
      <c r="C6" t="inlineStr">
        <is>
          <t>pct</t>
        </is>
      </c>
      <c r="D6">
        <f>Inputs!$B$13+0</f>
        <v/>
      </c>
      <c r="E6">
        <f>(Inputs!$B$13+1)+0</f>
        <v/>
      </c>
      <c r="F6">
        <f>Summary!$B$3</f>
        <v/>
      </c>
      <c r="G6">
        <f>B146</f>
        <v/>
      </c>
      <c r="H6">
        <f>Summary!$B$3*(((1-Summary!$B$11)*IFERROR(B144/Summary!$B$24,1)+Summary!$B$11*IFERROR(B145/Summary!$B$25,1))-1)</f>
        <v/>
      </c>
      <c r="I6">
        <f>((1-Summary!$B$11)*IFERROR(B144/Summary!$B$24,1)+Summary!$B$11*IFERROR(B145/Summary!$B$25,1))*100</f>
        <v/>
      </c>
    </row>
    <row r="7">
      <c r="A7" t="inlineStr">
        <is>
          <t>DEX</t>
        </is>
      </c>
      <c r="B7">
        <f>IFERROR(1/(I7-100),"n/a")</f>
        <v/>
      </c>
      <c r="C7" t="inlineStr">
        <is>
          <t>flat</t>
        </is>
      </c>
      <c r="D7">
        <f>Inputs!$B$14+0</f>
        <v/>
      </c>
      <c r="E7">
        <f>(Inputs!$B$14+1)+0</f>
        <v/>
      </c>
      <c r="F7">
        <f>Summary!$B$3</f>
        <v/>
      </c>
      <c r="G7">
        <f>B185</f>
        <v/>
      </c>
      <c r="H7">
        <f>Summary!$B$3*(((1-Summary!$B$11)*IFERROR(B183/Summary!$B$24,1)+Summary!$B$11*IFERROR(B184/Summary!$B$25,1))-1)</f>
        <v/>
      </c>
      <c r="I7">
        <f>((1-Summary!$B$11)*IFERROR(B183/Summary!$B$24,1)+Summary!$B$11*IFERROR(B184/Summary!$B$25,1))*100</f>
        <v/>
      </c>
    </row>
    <row r="8">
      <c r="A8" t="inlineStr">
        <is>
          <t>DAMAGE %</t>
        </is>
      </c>
      <c r="B8">
        <f>IFERROR(1/(I8-100),"n/a")</f>
        <v/>
      </c>
      <c r="C8" t="inlineStr">
        <is>
          <t>pct</t>
        </is>
      </c>
      <c r="D8">
        <f>Inputs!$B$15+0</f>
        <v/>
      </c>
      <c r="E8">
        <f>(Inputs!$B$15+1)+0</f>
        <v/>
      </c>
      <c r="F8">
        <f>Summary!$B$3</f>
        <v/>
      </c>
      <c r="G8">
        <f>B224</f>
        <v/>
      </c>
      <c r="H8">
        <f>Summary!$B$3*(((1-Summary!$B$11)*IFERROR(B222/Summary!$B$24,1)+Summary!$B$11*IFERROR(B223/Summary!$B$25,1))-1)</f>
        <v/>
      </c>
      <c r="I8">
        <f>((1-Summary!$B$11)*IFERROR(B222/Summary!$B$24,1)+Summary!$B$11*IFERROR(B223/Summary!$B$25,1))*100</f>
        <v/>
      </c>
    </row>
    <row r="9">
      <c r="A9" t="inlineStr">
        <is>
          <t>DAMAGE_AMP %</t>
        </is>
      </c>
      <c r="B9">
        <f>IFERROR(1/(I9-100),"n/a")</f>
        <v/>
      </c>
      <c r="C9" t="inlineStr">
        <is>
          <t>pct</t>
        </is>
      </c>
      <c r="D9">
        <f>Inputs!$B$16+0</f>
        <v/>
      </c>
      <c r="E9">
        <f>(Inputs!$B$16+1)+0</f>
        <v/>
      </c>
      <c r="F9">
        <f>Summary!$B$3</f>
        <v/>
      </c>
      <c r="G9">
        <f>B263</f>
        <v/>
      </c>
      <c r="H9">
        <f>Summary!$B$3*(((1-Summary!$B$11)*IFERROR(B261/Summary!$B$24,1)+Summary!$B$11*IFERROR(B262/Summary!$B$25,1))-1)</f>
        <v/>
      </c>
      <c r="I9">
        <f>((1-Summary!$B$11)*IFERROR(B261/Summary!$B$24,1)+Summary!$B$11*IFERROR(B262/Summary!$B$25,1))*100</f>
        <v/>
      </c>
    </row>
    <row r="10">
      <c r="A10" t="inlineStr">
        <is>
          <t>BOSS_DAMAGE %</t>
        </is>
      </c>
      <c r="B10">
        <f>IFERROR(1/(I10-100),"n/a")</f>
        <v/>
      </c>
      <c r="C10" t="inlineStr">
        <is>
          <t>pct</t>
        </is>
      </c>
      <c r="D10">
        <f>Inputs!$B$20+0</f>
        <v/>
      </c>
      <c r="E10">
        <f>(Inputs!$B$20+1)+0</f>
        <v/>
      </c>
      <c r="F10">
        <f>Summary!$B$3</f>
        <v/>
      </c>
      <c r="G10">
        <f>B302</f>
        <v/>
      </c>
      <c r="H10">
        <f>Summary!$B$3*(((1-Summary!$B$11)*IFERROR(B300/Summary!$B$24,1)+Summary!$B$11*IFERROR(B301/Summary!$B$25,1))-1)</f>
        <v/>
      </c>
      <c r="I10">
        <f>((1-Summary!$B$11)*IFERROR(B300/Summary!$B$24,1)+Summary!$B$11*IFERROR(B301/Summary!$B$25,1))*100</f>
        <v/>
      </c>
    </row>
    <row r="11">
      <c r="A11" t="inlineStr">
        <is>
          <t>NORMAL_DAMAGE %</t>
        </is>
      </c>
      <c r="B11">
        <f>IFERROR(1/(I11-100),"n/a")</f>
        <v/>
      </c>
      <c r="C11" t="inlineStr">
        <is>
          <t>pct</t>
        </is>
      </c>
      <c r="D11">
        <f>Inputs!$B$21+0</f>
        <v/>
      </c>
      <c r="E11">
        <f>(Inputs!$B$21+1)+0</f>
        <v/>
      </c>
      <c r="F11">
        <f>Summary!$B$3</f>
        <v/>
      </c>
      <c r="G11">
        <f>B341</f>
        <v/>
      </c>
      <c r="H11">
        <f>Summary!$B$3*(((1-Summary!$B$11)*IFERROR(B339/Summary!$B$24,1)+Summary!$B$11*IFERROR(B340/Summary!$B$25,1))-1)</f>
        <v/>
      </c>
      <c r="I11">
        <f>((1-Summary!$B$11)*IFERROR(B339/Summary!$B$24,1)+Summary!$B$11*IFERROR(B340/Summary!$B$25,1))*100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B380</f>
        <v/>
      </c>
      <c r="H12">
        <f>Summary!$B$3*(((1-Summary!$B$11)*IFERROR(B378/Summary!$B$24,1)+Summary!$B$11*IFERROR(B379/Summary!$B$25,1))-1)</f>
        <v/>
      </c>
      <c r="I12">
        <f>((1-Summary!$B$11)*IFERROR(B378/Summary!$B$24,1)+Summary!$B$11*IFERROR(B379/Summary!$B$25,1))*100</f>
        <v/>
      </c>
    </row>
    <row r="13">
      <c r="A13" t="inlineStr">
        <is>
          <t>MIN_DAMAGE %</t>
        </is>
      </c>
      <c r="B13">
        <f>IFERROR(1/(I13-100),"n/a")</f>
        <v/>
      </c>
      <c r="C13" t="inlineStr">
        <is>
          <t>pct</t>
        </is>
      </c>
      <c r="D13">
        <f>Inputs!$B$22+0</f>
        <v/>
      </c>
      <c r="E13">
        <f>(Inputs!$B$22+1)+0</f>
        <v/>
      </c>
      <c r="F13">
        <f>Summary!$B$3</f>
        <v/>
      </c>
      <c r="G13">
        <f>B419</f>
        <v/>
      </c>
      <c r="H13">
        <f>Summary!$B$3*(((1-Summary!$B$11)*IFERROR(B417/Summary!$B$24,1)+Summary!$B$11*IFERROR(B418/Summary!$B$25,1))-1)</f>
        <v/>
      </c>
      <c r="I13">
        <f>((1-Summary!$B$11)*IFERROR(B417/Summary!$B$24,1)+Summary!$B$11*IFERROR(B418/Summary!$B$25,1))*100</f>
        <v/>
      </c>
    </row>
    <row r="14">
      <c r="A14" t="inlineStr">
        <is>
          <t>MAX_DAMAGE %</t>
        </is>
      </c>
      <c r="B14">
        <f>IFERROR(1/(I14-100),"n/a")</f>
        <v/>
      </c>
      <c r="C14" t="inlineStr">
        <is>
          <t>pct</t>
        </is>
      </c>
      <c r="D14">
        <f>Inputs!$B$23+0</f>
        <v/>
      </c>
      <c r="E14">
        <f>(Inputs!$B$23+1)+0</f>
        <v/>
      </c>
      <c r="F14">
        <f>Summary!$B$3</f>
        <v/>
      </c>
      <c r="G14">
        <f>B458</f>
        <v/>
      </c>
      <c r="H14">
        <f>Summary!$B$3*(((1-Summary!$B$11)*IFERROR(B456/Summary!$B$24,1)+Summary!$B$11*IFERROR(B457/Summary!$B$25,1))-1)</f>
        <v/>
      </c>
      <c r="I14">
        <f>((1-Summary!$B$11)*IFERROR(B456/Summary!$B$24,1)+Summary!$B$11*IFERROR(B457/Summary!$B$25,1))*100</f>
        <v/>
      </c>
    </row>
    <row r="15">
      <c r="A15" t="inlineStr">
        <is>
          <t>CRIT_RATE %</t>
        </is>
      </c>
      <c r="B15">
        <f>IFERROR(1/(I15-100),"n/a")</f>
        <v/>
      </c>
      <c r="C15" t="inlineStr">
        <is>
          <t>pct</t>
        </is>
      </c>
      <c r="D15">
        <f>Inputs!$B$9+0</f>
        <v/>
      </c>
      <c r="E15">
        <f>(Inputs!$B$9+1)+0</f>
        <v/>
      </c>
      <c r="F15">
        <f>Summary!$B$3</f>
        <v/>
      </c>
      <c r="G15">
        <f>B497</f>
        <v/>
      </c>
      <c r="H15">
        <f>Summary!$B$3*(((1-Summary!$B$11)*IFERROR(B495/Summary!$B$24,1)+Summary!$B$11*IFERROR(B496/Summary!$B$25,1))-1)</f>
        <v/>
      </c>
      <c r="I15">
        <f>((1-Summary!$B$11)*IFERROR(B495/Summary!$B$24,1)+Summary!$B$11*IFERROR(B496/Summary!$B$25,1))*100</f>
        <v/>
      </c>
    </row>
    <row r="16">
      <c r="A16" t="inlineStr">
        <is>
          <t>CRIT_DAMAGE %</t>
        </is>
      </c>
      <c r="B16">
        <f>IFERROR(1/(I16-100),"n/a")</f>
        <v/>
      </c>
      <c r="C16" t="inlineStr">
        <is>
          <t>pct</t>
        </is>
      </c>
      <c r="D16">
        <f>Inputs!$B$10+0</f>
        <v/>
      </c>
      <c r="E16">
        <f>(Inputs!$B$10+1)+0</f>
        <v/>
      </c>
      <c r="F16">
        <f>Summary!$B$3</f>
        <v/>
      </c>
      <c r="G16">
        <f>B536</f>
        <v/>
      </c>
      <c r="H16">
        <f>Summary!$B$3*(((1-Summary!$B$11)*IFERROR(B534/Summary!$B$24,1)+Summary!$B$11*IFERROR(B535/Summary!$B$25,1))-1)</f>
        <v/>
      </c>
      <c r="I16">
        <f>((1-Summary!$B$11)*IFERROR(B534/Summary!$B$24,1)+Summary!$B$11*IFERROR(B535/Summary!$B$25,1))*100</f>
        <v/>
      </c>
    </row>
    <row r="17">
      <c r="A17" t="inlineStr">
        <is>
          <t>ATTACK_SPEED % (diminishing returns, factor 150)</t>
        </is>
      </c>
      <c r="B17">
        <f>IFERROR(1/(I17-100),"n/a")</f>
        <v/>
      </c>
      <c r="C17" t="inlineStr">
        <is>
          <t>dr150</t>
        </is>
      </c>
      <c r="D17">
        <f>Inputs!$B$11+0</f>
        <v/>
      </c>
      <c r="E17">
        <f>((1-(1-Inputs!$B$11/150)*(1-1/150))*150)+0</f>
        <v/>
      </c>
      <c r="F17">
        <f>Summary!$B$3</f>
        <v/>
      </c>
      <c r="G17">
        <f>B575</f>
        <v/>
      </c>
      <c r="H17">
        <f>Summary!$B$3*(((1-Summary!$B$11)*IFERROR(B573/Summary!$B$24,1)+Summary!$B$11*IFERROR(B574/Summary!$B$25,1))-1)</f>
        <v/>
      </c>
      <c r="I17">
        <f>((1-Summary!$B$11)*IFERROR(B573/Summary!$B$24,1)+Summary!$B$11*IFERROR(B574/Summary!$B$25,1))*100</f>
        <v/>
      </c>
    </row>
    <row r="18">
      <c r="A18" t="inlineStr">
        <is>
          <t>DEF_PEN % (diminishing returns, factor 100)</t>
        </is>
      </c>
      <c r="B18">
        <f>IFERROR(1/(I18-100),"n/a")</f>
        <v/>
      </c>
      <c r="C18" t="inlineStr">
        <is>
          <t>dr100</t>
        </is>
      </c>
      <c r="D18">
        <f>Inputs!$B$19+0</f>
        <v/>
      </c>
      <c r="E18">
        <f>((1-(1-Inputs!$B$19/100)*(1-1/100))*100)+0</f>
        <v/>
      </c>
      <c r="F18">
        <f>Summary!$B$3</f>
        <v/>
      </c>
      <c r="G18">
        <f>B614</f>
        <v/>
      </c>
      <c r="H18">
        <f>Summary!$B$3*(((1-Summary!$B$11)*IFERROR(B612/Summary!$B$24,1)+Summary!$B$11*IFERROR(B613/Summary!$B$25,1))-1)</f>
        <v/>
      </c>
      <c r="I18">
        <f>((1-Summary!$B$11)*IFERROR(B612/Summary!$B$24,1)+Summary!$B$11*IFERROR(B613/Summary!$B$25,1))*100</f>
        <v/>
      </c>
    </row>
    <row r="19">
      <c r="A19" t="inlineStr">
        <is>
          <t>BASIC_ATTACK_DAMAGE %</t>
        </is>
      </c>
      <c r="B19">
        <f>IFERROR(1/(I19-100),"n/a")</f>
        <v/>
      </c>
      <c r="C19" t="inlineStr">
        <is>
          <t>pct</t>
        </is>
      </c>
      <c r="D19">
        <f>Inputs!$B$17+0</f>
        <v/>
      </c>
      <c r="E19">
        <f>(Inputs!$B$17+1)+0</f>
        <v/>
      </c>
      <c r="F19">
        <f>Summary!$B$3</f>
        <v/>
      </c>
      <c r="G19">
        <f>B653</f>
        <v/>
      </c>
      <c r="H19">
        <f>Summary!$B$3*(((1-Summary!$B$11)*IFERROR(B651/Summary!$B$24,1)+Summary!$B$11*IFERROR(B652/Summary!$B$25,1))-1)</f>
        <v/>
      </c>
      <c r="I19">
        <f>((1-Summary!$B$11)*IFERROR(B651/Summary!$B$24,1)+Summary!$B$11*IFERROR(B652/Summary!$B$25,1))*100</f>
        <v/>
      </c>
    </row>
    <row r="20">
      <c r="A20" t="inlineStr">
        <is>
          <t>SKILL_DAMAGE %</t>
        </is>
      </c>
      <c r="B20">
        <f>IFERROR(1/(I20-100),"n/a")</f>
        <v/>
      </c>
      <c r="C20" t="inlineStr">
        <is>
          <t>pct</t>
        </is>
      </c>
      <c r="D20">
        <f>Inputs!$B$18+0</f>
        <v/>
      </c>
      <c r="E20">
        <f>(Inputs!$B$18+1)+0</f>
        <v/>
      </c>
      <c r="F20">
        <f>Summary!$B$3</f>
        <v/>
      </c>
      <c r="G20">
        <f>B692</f>
        <v/>
      </c>
      <c r="H20">
        <f>Summary!$B$3*(((1-Summary!$B$11)*IFERROR(B690/Summary!$B$24,1)+Summary!$B$11*IFERROR(B691/Summary!$B$25,1))-1)</f>
        <v/>
      </c>
      <c r="I20">
        <f>((1-Summary!$B$11)*IFERROR(B690/Summary!$B$24,1)+Summary!$B$11*IFERROR(B691/Summary!$B$25,1))*100</f>
        <v/>
      </c>
    </row>
    <row r="21">
      <c r="A21" t="inlineStr">
        <is>
          <t>Skill Level Bonus — 1st Job</t>
        </is>
      </c>
      <c r="B21">
        <f>IFERROR(1/(I21-100),"n/a")</f>
        <v/>
      </c>
      <c r="C21" t="inlineStr">
        <is>
          <t>level</t>
        </is>
      </c>
      <c r="D21">
        <f>Inputs!$B$25+0</f>
        <v/>
      </c>
      <c r="E21">
        <f>(Inputs!$B$25+1)+0</f>
        <v/>
      </c>
      <c r="F21">
        <f>Summary!$B$3</f>
        <v/>
      </c>
      <c r="G21">
        <f>B731</f>
        <v/>
      </c>
      <c r="H21">
        <f>Summary!$B$3*(((1-Summary!$B$11)*IFERROR(B729/Summary!$B$24,1)+Summary!$B$11*IFERROR(B730/Summary!$B$25,1))-1)</f>
        <v/>
      </c>
      <c r="I21">
        <f>((1-Summary!$B$11)*IFERROR(B729/Summary!$B$24,1)+Summary!$B$11*IFERROR(B730/Summary!$B$25,1))*100</f>
        <v/>
      </c>
    </row>
    <row r="22">
      <c r="A22" t="inlineStr">
        <is>
          <t>Skill Level Bonus — 2nd Job</t>
        </is>
      </c>
      <c r="B22">
        <f>IFERROR(1/(I22-100),"n/a")</f>
        <v/>
      </c>
      <c r="C22" t="inlineStr">
        <is>
          <t>level</t>
        </is>
      </c>
      <c r="D22">
        <f>Inputs!$B$26+0</f>
        <v/>
      </c>
      <c r="E22">
        <f>(Inputs!$B$26+1)+0</f>
        <v/>
      </c>
      <c r="F22">
        <f>Summary!$B$3</f>
        <v/>
      </c>
      <c r="G22">
        <f>B770</f>
        <v/>
      </c>
      <c r="H22">
        <f>Summary!$B$3*(((1-Summary!$B$11)*IFERROR(B768/Summary!$B$24,1)+Summary!$B$11*IFERROR(B769/Summary!$B$25,1))-1)</f>
        <v/>
      </c>
      <c r="I22">
        <f>((1-Summary!$B$11)*IFERROR(B768/Summary!$B$24,1)+Summary!$B$11*IFERROR(B769/Summary!$B$25,1))*100</f>
        <v/>
      </c>
    </row>
    <row r="23">
      <c r="A23" t="inlineStr">
        <is>
          <t>Skill Level Bonus — 3rd Job</t>
        </is>
      </c>
      <c r="B23">
        <f>IFERROR(1/(I23-100),"n/a")</f>
        <v/>
      </c>
      <c r="C23" t="inlineStr">
        <is>
          <t>level</t>
        </is>
      </c>
      <c r="D23">
        <f>Inputs!$B$27+0</f>
        <v/>
      </c>
      <c r="E23">
        <f>(Inputs!$B$27+1)+0</f>
        <v/>
      </c>
      <c r="F23">
        <f>Summary!$B$3</f>
        <v/>
      </c>
      <c r="G23">
        <f>B809</f>
        <v/>
      </c>
      <c r="H23">
        <f>Summary!$B$3*(((1-Summary!$B$11)*IFERROR(B807/Summary!$B$24,1)+Summary!$B$11*IFERROR(B808/Summary!$B$25,1))-1)</f>
        <v/>
      </c>
      <c r="I23">
        <f>((1-Summary!$B$11)*IFERROR(B807/Summary!$B$24,1)+Summary!$B$11*IFERROR(B808/Summary!$B$25,1))*100</f>
        <v/>
      </c>
    </row>
    <row r="24">
      <c r="A24" t="inlineStr">
        <is>
          <t>Skill Level Bonus — 4th Job</t>
        </is>
      </c>
      <c r="B24">
        <f>IFERROR(1/(I24-100),"n/a")</f>
        <v/>
      </c>
      <c r="C24" t="inlineStr">
        <is>
          <t>level</t>
        </is>
      </c>
      <c r="D24">
        <f>Inputs!$B$28+0</f>
        <v/>
      </c>
      <c r="E24">
        <f>(Inputs!$B$28+1)+0</f>
        <v/>
      </c>
      <c r="F24">
        <f>Summary!$B$3</f>
        <v/>
      </c>
      <c r="G24">
        <f>B848</f>
        <v/>
      </c>
      <c r="H24">
        <f>Summary!$B$3*(((1-Summary!$B$11)*IFERROR(B846/Summary!$B$24,1)+Summary!$B$11*IFERROR(B847/Summary!$B$25,1))-1)</f>
        <v/>
      </c>
      <c r="I24">
        <f>((1-Summary!$B$11)*IFERROR(B846/Summary!$B$24,1)+Summary!$B$11*IFERROR(B847/Summary!$B$25,1))*100</f>
        <v/>
      </c>
    </row>
    <row r="25">
      <c r="A25" t="inlineStr">
        <is>
          <t>Skill Level Bonus — All Skills</t>
        </is>
      </c>
      <c r="B25">
        <f>IFERROR(1/(I25-100),"n/a")</f>
        <v/>
      </c>
      <c r="C25" t="inlineStr">
        <is>
          <t>level</t>
        </is>
      </c>
      <c r="D25">
        <f>Inputs!$B$29+0</f>
        <v/>
      </c>
      <c r="E25">
        <f>(Inputs!$B$29+1)+0</f>
        <v/>
      </c>
      <c r="F25">
        <f>Summary!$B$3</f>
        <v/>
      </c>
      <c r="G25">
        <f>B887</f>
        <v/>
      </c>
      <c r="H25">
        <f>Summary!$B$3*(((1-Summary!$B$11)*IFERROR(B885/Summary!$B$24,1)+Summary!$B$11*IFERROR(B886/Summary!$B$25,1))-1)</f>
        <v/>
      </c>
      <c r="I25">
        <f>((1-Summary!$B$11)*IFERROR(B885/Summary!$B$24,1)+Summary!$B$11*IFERROR(B886/Summary!$B$25,1))*100</f>
        <v/>
      </c>
    </row>
    <row r="26">
      <c r="A26" t="inlineStr">
        <is>
          <t>Flat ATTACK</t>
        </is>
      </c>
      <c r="B26">
        <f>IFERROR(1/(I26-100),"n/a")</f>
        <v/>
      </c>
      <c r="C26" t="inlineStr">
        <is>
          <t>flat</t>
        </is>
      </c>
      <c r="D26">
        <f>Inputs!$B$6+0</f>
        <v/>
      </c>
      <c r="E26">
        <f>(Inputs!$B$6+1)+0</f>
        <v/>
      </c>
      <c r="F26">
        <f>Summary!$B$3</f>
        <v/>
      </c>
      <c r="G26">
        <f>B926</f>
        <v/>
      </c>
      <c r="H26">
        <f>Summary!$B$3*(((1-Summary!$B$11)*IFERROR(B924/Summary!$B$24,1)+Summary!$B$11*IFERROR(B925/Summary!$B$25,1))-1)</f>
        <v/>
      </c>
      <c r="I26">
        <f>((1-Summary!$B$11)*IFERROR(B924/Summary!$B$24,1)+Summary!$B$11*IFERROR(B925/Summary!$B$25,1))*100</f>
        <v/>
      </c>
    </row>
    <row r="27">
      <c r="A27" t="inlineStr">
        <is>
          <t>ATTACK %</t>
        </is>
      </c>
      <c r="B27">
        <f>IFERROR(1/(I27-100),"n/a")</f>
        <v/>
      </c>
      <c r="C27" t="inlineStr">
        <is>
          <t>pct</t>
        </is>
      </c>
      <c r="D27">
        <f>Inputs!$B$7+0</f>
        <v/>
      </c>
      <c r="E27">
        <f>(Inputs!$B$7+1)+0</f>
        <v/>
      </c>
      <c r="F27">
        <f>Summary!$B$3</f>
        <v/>
      </c>
      <c r="G27">
        <f>B965</f>
        <v/>
      </c>
      <c r="H27">
        <f>Summary!$B$3*(((1-Summary!$B$11)*IFERROR(B963/Summary!$B$24,1)+Summary!$B$11*IFERROR(B964/Summary!$B$25,1))-1)</f>
        <v/>
      </c>
      <c r="I27">
        <f>((1-Summary!$B$11)*IFERROR(B963/Summary!$B$24,1)+Summary!$B$11*IFERROR(B964/Summary!$B$25,1))*100</f>
        <v/>
      </c>
    </row>
    <row r="28">
      <c r="A28" t="inlineStr">
        <is>
          <t>Skill Cooldown Decrease (seconds)</t>
        </is>
      </c>
      <c r="B28">
        <f>IFERROR(1/(I28-100),"n/a")</f>
        <v/>
      </c>
      <c r="C28" t="inlineStr">
        <is>
          <t>flat</t>
        </is>
      </c>
      <c r="D28">
        <f>Inputs!$B$32+0</f>
        <v/>
      </c>
      <c r="E28">
        <f>(Inputs!$B$32+1)+0</f>
        <v/>
      </c>
      <c r="F28">
        <f>Summary!$B$3</f>
        <v/>
      </c>
      <c r="G28">
        <f>B1004</f>
        <v/>
      </c>
      <c r="H28">
        <f>Summary!$B$3*(((1-Summary!$B$11)*IFERROR(B1002/Summary!$B$24,1)+Summary!$B$11*IFERROR(B1003/Summary!$B$25,1))-1)</f>
        <v/>
      </c>
      <c r="I28">
        <f>((1-Summary!$B$11)*IFERROR(B1002/Summary!$B$24,1)+Summary!$B$11*IFERROR(B1003/Summary!$B$25,1))*100</f>
        <v/>
      </c>
    </row>
    <row r="29">
      <c r="A29" t="inlineStr">
        <is>
          <t>Basic Attack Target Increase (flat)</t>
        </is>
      </c>
      <c r="B29">
        <f>IFERROR(1/(I29-100),"n/a")</f>
        <v/>
      </c>
      <c r="C29" t="inlineStr">
        <is>
          <t>flat</t>
        </is>
      </c>
      <c r="D29">
        <f>Inputs!$B$33+0</f>
        <v/>
      </c>
      <c r="E29">
        <f>(Inputs!$B$33+1)+0</f>
        <v/>
      </c>
      <c r="F29">
        <f>Summary!$B$3</f>
        <v/>
      </c>
      <c r="G29">
        <f>B1043</f>
        <v/>
      </c>
      <c r="H29">
        <f>Summary!$B$3*(((1-Summary!$B$11)*IFERROR(B1041/Summary!$B$24,1)+Summary!$B$11*IFERROR(B1042/Summary!$B$25,1))-1)</f>
        <v/>
      </c>
      <c r="I29">
        <f>((1-Summary!$B$11)*IFERROR(B1041/Summary!$B$24,1)+Summary!$B$11*IFERROR(B1042/Summary!$B$25,1))*100</f>
        <v/>
      </c>
    </row>
    <row r="30">
      <c r="A30" t="inlineStr">
        <is>
          <t>Buff Duration Increase %</t>
        </is>
      </c>
      <c r="B30">
        <f>IFERROR(1/(I30-100),"n/a")</f>
        <v/>
      </c>
      <c r="C30" t="inlineStr">
        <is>
          <t>pct</t>
        </is>
      </c>
      <c r="D30">
        <f>Inputs!$B$34+0</f>
        <v/>
      </c>
      <c r="E30">
        <f>(Inputs!$B$34+1)+0</f>
        <v/>
      </c>
      <c r="F30">
        <f>Summary!$B$3</f>
        <v/>
      </c>
      <c r="G30">
        <f>B1082</f>
        <v/>
      </c>
      <c r="H30">
        <f>Summary!$B$3*(((1-Summary!$B$11)*IFERROR(B1080/Summary!$B$24,1)+Summary!$B$11*IFERROR(B1081/Summary!$B$25,1))-1)</f>
        <v/>
      </c>
      <c r="I30">
        <f>((1-Summary!$B$11)*IFERROR(B1080/Summary!$B$24,1)+Summary!$B$11*IFERROR(B1081/Summary!$B$25,1))*100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(IF(ArtifactsInput!$M$5,-1,1)*Summary!$B$3*(((1-Summary!$B$11)*IFERROR(B1119/Summary!$B$24,1)+Summary!$B$11*IFERROR(B1120/Summary!$B$25,1))-1)+ArtifactsInput!$L$5)</f>
        <v/>
      </c>
      <c r="AC33">
        <f>(Summary!$B$3+(IF(ArtifactsInput!$M$5,-1,1)*Summary!$B$3*(((1-Summary!$B$11)*IFERROR(B1119/Summary!$B$24,1)+Summary!$B$11*IFERROR(B1120/Summary!$B$25,1))-1)+ArtifactsInput!$L$5))/Summary!$B$3*100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(IF(ArtifactsInput!$M$6,-1,1)*Summary!$B$3*(((1-Summary!$B$11)*IFERROR(B1158/Summary!$B$24,1)+Summary!$B$11*IFERROR(B1159/Summary!$B$25,1))-1)+ArtifactsInput!$L$6)</f>
        <v/>
      </c>
      <c r="AC34">
        <f>(Summary!$B$3+(IF(ArtifactsInput!$M$6,-1,1)*Summary!$B$3*(((1-Summary!$B$11)*IFERROR(B1158/Summary!$B$24,1)+Summary!$B$11*IFERROR(B1159/Summary!$B$25,1))-1)+ArtifactsInput!$L$6))/Summary!$B$3*100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(IF(ArtifactsInput!$M$7,-1,1)*Summary!$B$3*(((1-Summary!$B$11)*IFERROR(B1197/Summary!$B$24,1)+Summary!$B$11*IFERROR(B1198/Summary!$B$25,1))-1)+ArtifactsInput!$L$7)</f>
        <v/>
      </c>
      <c r="AC35">
        <f>(Summary!$B$3+(IF(ArtifactsInput!$M$7,-1,1)*Summary!$B$3*(((1-Summary!$B$11)*IFERROR(B1197/Summary!$B$24,1)+Summary!$B$11*IFERROR(B1198/Summary!$B$25,1))-1)+ArtifactsInput!$L$7))/Summary!$B$3*100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(IF(ArtifactsInput!$M$8,-1,1)*Summary!$B$3*(((1-Summary!$B$11)*IFERROR(B1236/Summary!$B$24,1)+Summary!$B$11*IFERROR(B1237/Summary!$B$25,1))-1)+ArtifactsInput!$L$8)</f>
        <v/>
      </c>
      <c r="AC36">
        <f>(Summary!$B$3+(IF(ArtifactsInput!$M$8,-1,1)*Summary!$B$3*(((1-Summary!$B$11)*IFERROR(B1236/Summary!$B$24,1)+Summary!$B$11*IFERROR(B1237/Summary!$B$25,1))-1)+ArtifactsInput!$L$8))/Summary!$B$3*100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(IF(ArtifactsInput!$M$10,-1,1)*Summary!$B$3*(((1-Summary!$B$11)*IFERROR(B1275/Summary!$B$24,1)+Summary!$B$11*IFERROR(B1276/Summary!$B$25,1))-1)+ArtifactsInput!$L$10)</f>
        <v/>
      </c>
      <c r="AC37">
        <f>(Summary!$B$3+(IF(ArtifactsInput!$M$10,-1,1)*Summary!$B$3*(((1-Summary!$B$11)*IFERROR(B1275/Summary!$B$24,1)+Summary!$B$11*IFERROR(B1276/Summary!$B$25,1))-1)+ArtifactsInput!$L$10))/Summary!$B$3*100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(IF(ArtifactsInput!$M$11,-1,1)*Summary!$B$3*(((1-Summary!$B$11)*IFERROR(B1314/Summary!$B$24,1)+Summary!$B$11*IFERROR(B1315/Summary!$B$25,1))-1)+ArtifactsInput!$L$11)</f>
        <v/>
      </c>
      <c r="AC38">
        <f>(Summary!$B$3+(IF(ArtifactsInput!$M$11,-1,1)*Summary!$B$3*(((1-Summary!$B$11)*IFERROR(B1314/Summary!$B$24,1)+Summary!$B$11*IFERROR(B1315/Summary!$B$25,1))-1)+ArtifactsInput!$L$11))/Summary!$B$3*100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(IF(ArtifactsInput!$M$12,-1,1)*Summary!$B$3*(((1-Summary!$B$11)*IFERROR(B1353/Summary!$B$24,1)+Summary!$B$11*IFERROR(B1354/Summary!$B$25,1))-1)+ArtifactsInput!$L$12)</f>
        <v/>
      </c>
      <c r="AC39">
        <f>(Summary!$B$3+(IF(ArtifactsInput!$M$12,-1,1)*Summary!$B$3*(((1-Summary!$B$11)*IFERROR(B1353/Summary!$B$24,1)+Summary!$B$11*IFERROR(B1354/Summary!$B$25,1))-1)+ArtifactsInput!$L$12))/Summary!$B$3*100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(IF(ArtifactsInput!$M$13,-1,1)*Summary!$B$3*(((1-Summary!$B$11)*IFERROR(B1392/Summary!$B$24,1)+Summary!$B$11*IFERROR(B1393/Summary!$B$25,1))-1)+ArtifactsInput!$L$13)</f>
        <v/>
      </c>
      <c r="AC40">
        <f>(Summary!$B$3+(IF(ArtifactsInput!$M$13,-1,1)*Summary!$B$3*(((1-Summary!$B$11)*IFERROR(B1392/Summary!$B$24,1)+Summary!$B$11*IFERROR(B1393/Summary!$B$25,1))-1)+ArtifactsInput!$L$13))/Summary!$B$3*100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(IF(ArtifactsInput!$M$14,-1,1)*Summary!$B$3*(((1-Summary!$B$11)*IFERROR(B1431/Summary!$B$24,1)+Summary!$B$11*IFERROR(B1432/Summary!$B$25,1))-1)+ArtifactsInput!$L$14)</f>
        <v/>
      </c>
      <c r="AC41">
        <f>(Summary!$B$3+(IF(ArtifactsInput!$M$14,-1,1)*Summary!$B$3*(((1-Summary!$B$11)*IFERROR(B1431/Summary!$B$24,1)+Summary!$B$11*IFERROR(B1432/Summary!$B$25,1))-1)+ArtifactsInput!$L$14))/Summary!$B$3*100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(IF(ArtifactsInput!$M$15,-1,1)*Summary!$B$3*(((1-Summary!$B$11)*IFERROR(B1470/Summary!$B$24,1)+Summary!$B$11*IFERROR(B1471/Summary!$B$25,1))-1)+ArtifactsInput!$L$15)</f>
        <v/>
      </c>
      <c r="AC42">
        <f>(Summary!$B$3+(IF(ArtifactsInput!$M$15,-1,1)*Summary!$B$3*(((1-Summary!$B$11)*IFERROR(B1470/Summary!$B$24,1)+Summary!$B$11*IFERROR(B1471/Summary!$B$25,1))-1)+ArtifactsInput!$L$15))/Summary!$B$3*100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(IF(ArtifactsInput!$M$16,-1,1)*Summary!$B$3*(((1-Summary!$B$11)*IFERROR(B1509/Summary!$B$24,1)+Summary!$B$11*IFERROR(B1510/Summary!$B$25,1))-1)+ArtifactsInput!$L$16)</f>
        <v/>
      </c>
      <c r="AC43">
        <f>(Summary!$B$3+(IF(ArtifactsInput!$M$16,-1,1)*Summary!$B$3*(((1-Summary!$B$11)*IFERROR(B1509/Summary!$B$24,1)+Summary!$B$11*IFERROR(B1510/Summary!$B$25,1))-1)+ArtifactsInput!$L$16))/Summary!$B$3*100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(IF(ArtifactsInput!$M$17,-1,1)*Summary!$B$3*(((1-Summary!$B$11)*IFERROR(B1548/Summary!$B$24,1)+Summary!$B$11*IFERROR(B1549/Summary!$B$25,1))-1)+ArtifactsInput!$L$17)</f>
        <v/>
      </c>
      <c r="AC44">
        <f>(Summary!$B$3+(IF(ArtifactsInput!$M$17,-1,1)*Summary!$B$3*(((1-Summary!$B$11)*IFERROR(B1548/Summary!$B$24,1)+Summary!$B$11*IFERROR(B1549/Summary!$B$25,1))-1)+ArtifactsInput!$L$17))/Summary!$B$3*100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(IF(ArtifactsInput!$M$18,-1,1)*Summary!$B$3*(((1-Summary!$B$11)*IFERROR(B1587/Summary!$B$24,1)+Summary!$B$11*IFERROR(B1588/Summary!$B$25,1))-1)+ArtifactsInput!$L$18)</f>
        <v/>
      </c>
      <c r="AC45">
        <f>(Summary!$B$3+(IF(ArtifactsInput!$M$18,-1,1)*Summary!$B$3*(((1-Summary!$B$11)*IFERROR(B1587/Summary!$B$24,1)+Summary!$B$11*IFERROR(B1588/Summary!$B$25,1))-1)+ArtifactsInput!$L$18))/Summary!$B$3*100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(IF(ArtifactsInput!$M$20,-1,1)*Summary!$B$3*(((1-Summary!$B$11)*IFERROR(B1626/Summary!$B$24,1)+Summary!$B$11*IFERROR(B1627/Summary!$B$25,1))-1)+ArtifactsInput!$L$20)</f>
        <v/>
      </c>
      <c r="AC46">
        <f>(Summary!$B$3+(IF(ArtifactsInput!$M$20,-1,1)*Summary!$B$3*(((1-Summary!$B$11)*IFERROR(B1626/Summary!$B$24,1)+Summary!$B$11*IFERROR(B1627/Summary!$B$25,1))-1)+ArtifactsInput!$L$20))/Summary!$B$3*100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(IF(ArtifactsInput!$M$21,-1,1)*Summary!$B$3*(((1-Summary!$B$11)*IFERROR(B1665/Summary!$B$24,1)+Summary!$B$11*IFERROR(B1666/Summary!$B$25,1))-1)+ArtifactsInput!$L$21)</f>
        <v/>
      </c>
      <c r="AC47">
        <f>(Summary!$B$3+(IF(ArtifactsInput!$M$21,-1,1)*Summary!$B$3*(((1-Summary!$B$11)*IFERROR(B1665/Summary!$B$24,1)+Summary!$B$11*IFERROR(B1666/Summary!$B$25,1))-1)+ArtifactsInput!$L$21))/Summary!$B$3*100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(IF(ArtifactsInput!$M$22,-1,1)*Summary!$B$3*(((1-Summary!$B$11)*IFERROR(B1704/Summary!$B$24,1)+Summary!$B$11*IFERROR(B1705/Summary!$B$25,1))-1)+ArtifactsInput!$L$22)</f>
        <v/>
      </c>
      <c r="AC48">
        <f>(Summary!$B$3+(IF(ArtifactsInput!$M$22,-1,1)*Summary!$B$3*(((1-Summary!$B$11)*IFERROR(B1704/Summary!$B$24,1)+Summary!$B$11*IFERROR(B1705/Summary!$B$25,1))-1)+ArtifactsInput!$L$22))/Summary!$B$3*100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(IF(ArtifactsInput!$M$23,-1,1)*Summary!$B$3*(((1-Summary!$B$11)*IFERROR(B1743/Summary!$B$24,1)+Summary!$B$11*IFERROR(B1744/Summary!$B$25,1))-1)+ArtifactsInput!$L$23)</f>
        <v/>
      </c>
      <c r="AC49">
        <f>(Summary!$B$3+(IF(ArtifactsInput!$M$23,-1,1)*Summary!$B$3*(((1-Summary!$B$11)*IFERROR(B1743/Summary!$B$24,1)+Summary!$B$11*IFERROR(B1744/Summary!$B$25,1))-1)+ArtifactsInput!$L$23))/Summary!$B$3*100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(IF(ArtifactsInput!$M$24,-1,1)*Summary!$B$3*(((1-Summary!$B$11)*IFERROR(B1782/Summary!$B$24,1)+Summary!$B$11*IFERROR(B1783/Summary!$B$25,1))-1)+ArtifactsInput!$L$24)</f>
        <v/>
      </c>
      <c r="AC50">
        <f>(Summary!$B$3+(IF(ArtifactsInput!$M$24,-1,1)*Summary!$B$3*(((1-Summary!$B$11)*IFERROR(B1782/Summary!$B$24,1)+Summary!$B$11*IFERROR(B1783/Summary!$B$25,1))-1)+ArtifactsInput!$L$24))/Summary!$B$3*100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(IF(ArtifactsInput!$M$25,-1,1)*Summary!$B$3*(((1-Summary!$B$11)*IFERROR(B1821/Summary!$B$24,1)+Summary!$B$11*IFERROR(B1822/Summary!$B$25,1))-1)+ArtifactsInput!$L$25)</f>
        <v/>
      </c>
      <c r="AC51">
        <f>(Summary!$B$3+(IF(ArtifactsInput!$M$25,-1,1)*Summary!$B$3*(((1-Summary!$B$11)*IFERROR(B1821/Summary!$B$24,1)+Summary!$B$11*IFERROR(B1822/Summary!$B$25,1))-1)+ArtifactsInput!$L$25))/Summary!$B$3*100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(IF(ArtifactsInput!$M$26,-1,1)*Summary!$B$3*(((1-Summary!$B$11)*IFERROR(B1860/Summary!$B$24,1)+Summary!$B$11*IFERROR(B1861/Summary!$B$25,1))-1)+ArtifactsInput!$L$26)</f>
        <v/>
      </c>
      <c r="AC52">
        <f>(Summary!$B$3+(IF(ArtifactsInput!$M$26,-1,1)*Summary!$B$3*(((1-Summary!$B$11)*IFERROR(B1860/Summary!$B$24,1)+Summary!$B$11*IFERROR(B1861/Summary!$B$25,1))-1)+ArtifactsInput!$L$26))/Summary!$B$3*100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(IF(ArtifactsInput!$M$27,-1,1)*Summary!$B$3*(((1-Summary!$B$11)*IFERROR(B1899/Summary!$B$24,1)+Summary!$B$11*IFERROR(B1900/Summary!$B$25,1))-1)+ArtifactsInput!$L$27)</f>
        <v/>
      </c>
      <c r="AC53">
        <f>(Summary!$B$3+(IF(ArtifactsInput!$M$27,-1,1)*Summary!$B$3*(((1-Summary!$B$11)*IFERROR(B1899/Summary!$B$24,1)+Summary!$B$11*IFERROR(B1900/Summary!$B$25,1))-1)+ArtifactsInput!$L$27))/Summary!$B$3*100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(IF(ArtifactsInput!$M$28,-1,1)*Summary!$B$3*(((1-Summary!$B$11)*IFERROR(B1938/Summary!$B$24,1)+Summary!$B$11*IFERROR(B1939/Summary!$B$25,1))-1)+ArtifactsInput!$L$28)</f>
        <v/>
      </c>
      <c r="AC54">
        <f>(Summary!$B$3+(IF(ArtifactsInput!$M$28,-1,1)*Summary!$B$3*(((1-Summary!$B$11)*IFERROR(B1938/Summary!$B$24,1)+Summary!$B$11*IFERROR(B1939/Summary!$B$25,1))-1)+ArtifactsInput!$L$28))/Summary!$B$3*100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(IF(ArtifactsInput!$M$29,-1,1)*Summary!$B$3*(((1-Summary!$B$11)*IFERROR(B1977/Summary!$B$24,1)+Summary!$B$11*IFERROR(B1978/Summary!$B$25,1))-1)+ArtifactsInput!$L$29)</f>
        <v/>
      </c>
      <c r="AC55">
        <f>(Summary!$B$3+(IF(ArtifactsInput!$M$29,-1,1)*Summary!$B$3*(((1-Summary!$B$11)*IFERROR(B1977/Summary!$B$24,1)+Summary!$B$11*IFERROR(B1978/Summary!$B$25,1))-1)+ArtifactsInput!$L$29))/Summary!$B$3*100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(IF(ArtifactsInput!$M$30,-1,1)*Summary!$B$3*(((1-Summary!$B$11)*IFERROR(B2016/Summary!$B$24,1)+Summary!$B$11*IFERROR(B2017/Summary!$B$25,1))-1)+ArtifactsInput!$L$30)</f>
        <v/>
      </c>
      <c r="AC56">
        <f>(Summary!$B$3+(IF(ArtifactsInput!$M$30,-1,1)*Summary!$B$3*(((1-Summary!$B$11)*IFERROR(B2016/Summary!$B$24,1)+Summary!$B$11*IFERROR(B2017/Summary!$B$25,1))-1)+ArtifactsInput!$L$30))/Summary!$B$3*100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(IF(ArtifactsInput!$M$31,-1,1)*Summary!$B$3*(((1-Summary!$B$11)*IFERROR(B2055/Summary!$B$24,1)+Summary!$B$11*IFERROR(B2056/Summary!$B$25,1))-1)+ArtifactsInput!$L$31)</f>
        <v/>
      </c>
      <c r="AC57">
        <f>(Summary!$B$3+(IF(ArtifactsInput!$M$31,-1,1)*Summary!$B$3*(((1-Summary!$B$11)*IFERROR(B2055/Summary!$B$24,1)+Summary!$B$11*IFERROR(B2056/Summary!$B$25,1))-1)+ArtifactsInput!$L$31))/Summary!$B$3*100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(IF(ArtifactsInput!$M$32,-1,1)*Summary!$B$3*(((1-Summary!$B$11)*IFERROR(B2094/Summary!$B$24,1)+Summary!$B$11*IFERROR(B2095/Summary!$B$25,1))-1)+ArtifactsInput!$L$32)</f>
        <v/>
      </c>
      <c r="AC58">
        <f>(Summary!$B$3+(IF(ArtifactsInput!$M$32,-1,1)*Summary!$B$3*(((1-Summary!$B$11)*IFERROR(B2094/Summary!$B$24,1)+Summary!$B$11*IFERROR(B2095/Summary!$B$25,1))-1)+ArtifactsInput!$L$32))/Summary!$B$3*100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(IF(ArtifactsInput!$M$33,-1,1)*Summary!$B$3*(((1-Summary!$B$11)*IFERROR(B2133/Summary!$B$24,1)+Summary!$B$11*IFERROR(B2134/Summary!$B$25,1))-1)+ArtifactsInput!$L$33)</f>
        <v/>
      </c>
      <c r="AC59">
        <f>(Summary!$B$3+(IF(ArtifactsInput!$M$33,-1,1)*Summary!$B$3*(((1-Summary!$B$11)*IFERROR(B2133/Summary!$B$24,1)+Summary!$B$11*IFERROR(B2134/Summary!$B$25,1))-1)+ArtifactsInput!$L$33))/Summary!$B$3*100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(IF(ArtifactsInput!$M$34,-1,1)*Summary!$B$3*(((1-Summary!$B$11)*IFERROR(B2172/Summary!$B$24,1)+Summary!$B$11*IFERROR(B2173/Summary!$B$25,1))-1)+ArtifactsInput!$L$34)</f>
        <v/>
      </c>
      <c r="AC60">
        <f>(Summary!$B$3+(IF(ArtifactsInput!$M$34,-1,1)*Summary!$B$3*(((1-Summary!$B$11)*IFERROR(B2172/Summary!$B$24,1)+Summary!$B$11*IFERROR(B2173/Summary!$B$25,1))-1)+ArtifactsInput!$L$34))/Summary!$B$3*100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(IF(ArtifactsInput!$M$35,-1,1)*Summary!$B$3*(((1-Summary!$B$11)*IFERROR(B2211/Summary!$B$24,1)+Summary!$B$11*IFERROR(B2212/Summary!$B$25,1))-1)+ArtifactsInput!$L$35)</f>
        <v/>
      </c>
      <c r="AC61">
        <f>(Summary!$B$3+(IF(ArtifactsInput!$M$35,-1,1)*Summary!$B$3*(((1-Summary!$B$11)*IFERROR(B2211/Summary!$B$24,1)+Summary!$B$11*IFERROR(B2212/Summary!$B$25,1))-1)+ArtifactsInput!$L$35))/Summary!$B$3*100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(IF(ArtifactsInput!$M$36,-1,1)*Summary!$B$3*(((1-Summary!$B$11)*IFERROR(B2250/Summary!$B$24,1)+Summary!$B$11*IFERROR(B2251/Summary!$B$25,1))-1)+ArtifactsInput!$L$36)</f>
        <v/>
      </c>
      <c r="AC62">
        <f>(Summary!$B$3+(IF(ArtifactsInput!$M$36,-1,1)*Summary!$B$3*(((1-Summary!$B$11)*IFERROR(B2250/Summary!$B$24,1)+Summary!$B$11*IFERROR(B2251/Summary!$B$25,1))-1)+ArtifactsInput!$L$36))/Summary!$B$3*100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(IF(ArtifactsInput!$M$37,-1,1)*Summary!$B$3*(((1-Summary!$B$11)*IFERROR(B2289/Summary!$B$24,1)+Summary!$B$11*IFERROR(B2290/Summary!$B$25,1))-1)+ArtifactsInput!$L$37)</f>
        <v/>
      </c>
      <c r="AC63">
        <f>(Summary!$B$3+(IF(ArtifactsInput!$M$37,-1,1)*Summary!$B$3*(((1-Summary!$B$11)*IFERROR(B2289/Summary!$B$24,1)+Summary!$B$11*IFERROR(B2290/Summary!$B$25,1))-1)+ArtifactsInput!$L$37))/Summary!$B$3*100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(IF(ArtifactsInput!$M$38,-1,1)*Summary!$B$3*(((1-Summary!$B$11)*IFERROR(B2328/Summary!$B$24,1)+Summary!$B$11*IFERROR(B2329/Summary!$B$25,1))-1)+ArtifactsInput!$L$38)</f>
        <v/>
      </c>
      <c r="AC64">
        <f>(Summary!$B$3+(IF(ArtifactsInput!$M$38,-1,1)*Summary!$B$3*(((1-Summary!$B$11)*IFERROR(B2328/Summary!$B$24,1)+Summary!$B$11*IFERROR(B2329/Summary!$B$25,1))-1)+ArtifactsInput!$L$38))/Summary!$B$3*100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(IF(ArtifactsInput!$M$39,-1,1)*Summary!$B$3*(((1-Summary!$B$11)*IFERROR(B2367/Summary!$B$24,1)+Summary!$B$11*IFERROR(B2368/Summary!$B$25,1))-1)+ArtifactsInput!$L$39)</f>
        <v/>
      </c>
      <c r="AC65">
        <f>(Summary!$B$3+(IF(ArtifactsInput!$M$39,-1,1)*Summary!$B$3*(((1-Summary!$B$11)*IFERROR(B2367/Summary!$B$24,1)+Summary!$B$11*IFERROR(B2368/Summary!$B$25,1))-1)+ArtifactsInput!$L$39))/Summary!$B$3*100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(IF(ArtifactsInput!$M$40,-1,1)*Summary!$B$3*(((1-Summary!$B$11)*IFERROR(B2406/Summary!$B$24,1)+Summary!$B$11*IFERROR(B2407/Summary!$B$25,1))-1)+ArtifactsInput!$L$40)</f>
        <v/>
      </c>
      <c r="AC66">
        <f>(Summary!$B$3+(IF(ArtifactsInput!$M$40,-1,1)*Summary!$B$3*(((1-Summary!$B$11)*IFERROR(B2406/Summary!$B$24,1)+Summary!$B$11*IFERROR(B2407/Summary!$B$25,1))-1)+ArtifactsInput!$L$40))/Summary!$B$3*100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(IF(ArtifactsInput!$M$41,-1,1)*Summary!$B$3*(((1-Summary!$B$11)*IFERROR(B2445/Summary!$B$24,1)+Summary!$B$11*IFERROR(B2446/Summary!$B$25,1))-1)+ArtifactsInput!$L$41)</f>
        <v/>
      </c>
      <c r="AC67">
        <f>(Summary!$B$3+(IF(ArtifactsInput!$M$41,-1,1)*Summary!$B$3*(((1-Summary!$B$11)*IFERROR(B2445/Summary!$B$24,1)+Summary!$B$11*IFERROR(B2446/Summary!$B$25,1))-1)+ArtifactsInput!$L$41))/Summary!$B$3*100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(IF(ArtifactsInput!$M$42,-1,1)*Summary!$B$3*(((1-Summary!$B$11)*IFERROR(B2484/Summary!$B$24,1)+Summary!$B$11*IFERROR(B2485/Summary!$B$25,1))-1)+ArtifactsInput!$L$42)</f>
        <v/>
      </c>
      <c r="AC68">
        <f>(Summary!$B$3+(IF(ArtifactsInput!$M$42,-1,1)*Summary!$B$3*(((1-Summary!$B$11)*IFERROR(B2484/Summary!$B$24,1)+Summary!$B$11*IFERROR(B2485/Summary!$B$25,1))-1)+ArtifactsInput!$L$42))/Summary!$B$3*100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IF(B107=0,0,O73/B107)</f>
        <v/>
      </c>
      <c r="Q73" t="n">
        <v>0</v>
      </c>
      <c r="R73" t="n">
        <v>0</v>
      </c>
      <c r="S73">
        <f>IFERROR(O73/N73,0)</f>
        <v/>
      </c>
      <c r="T73">
        <f>IF(C73,(Skills!G2*N73*B101)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IF(C73,(Skills!G2*N73*B101)*IF(Inputs!$B$38="pvp",1,(1+(Inputs!$B$21+Skills!Q2+(IF(ArtifactsInput!$M$33,CHOOSE(ArtifactsInput!$N$33+1,30,36,42,48,54,60),0))+(IF(AND(ArtifactsInput!$M$35,Inputs!$B$4&lt;&gt;"Chapter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IF(B107=0,0,O74/B107)</f>
        <v/>
      </c>
      <c r="Q74" t="n">
        <v>0</v>
      </c>
      <c r="R74" t="n">
        <v>0</v>
      </c>
      <c r="S74">
        <f>IFERROR(O74/N74,0)</f>
        <v/>
      </c>
      <c r="T74">
        <f>IF(C74,(Skills!G3*H74*N74*B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IF(C74,(Skills!G3*H74*N74*B101)*IF(Inputs!$B$38="pvp",1,(1+(Inputs!$B$21+Skills!Q3+(IF(ArtifactsInput!$M$33,CHOOSE(ArtifactsInput!$N$33+1,30,36,42,48,54,60),0))+(IF(AND(ArtifactsInput!$M$35,Inputs!$B$4&lt;&gt;"Chapter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IF(B107=0,0,O75/B107)</f>
        <v/>
      </c>
      <c r="Q75" t="n">
        <v>0</v>
      </c>
      <c r="R75" t="n">
        <v>0</v>
      </c>
      <c r="S75">
        <f>IFERROR(O75/N75,0)</f>
        <v/>
      </c>
      <c r="T75">
        <f>IF(C75,(Skills!G4*H75*N75*B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IF(C75,(Skills!G4*H75*N75*B101)*IF(Inputs!$B$38="pvp",1,(1+(Inputs!$B$21+Skills!Q4+(IF(ArtifactsInput!$M$33,CHOOSE(ArtifactsInput!$N$33+1,30,36,42,48,54,60),0))+(IF(AND(ArtifactsInput!$M$35,Inputs!$B$4&lt;&gt;"Chapter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IF(B107=0,0,O76/B107)</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IF(B107=0,0,O77/B107)</f>
        <v/>
      </c>
      <c r="Q77">
        <f>IFERROR(1/(IF(Inputs!$B$38="pvp",15,MAX(0.1,Skills!D6-IF(Skills!E6=TRUE,Inputs!$B$32,0)))*(1-IF(AND(ArtifactsInput!$M$27,Inputs!$B$4="Chapter Hunt"),CHOOSE(ArtifactsInput!$N$27+1,20,24,28,32,36,40),0)/100)),0)</f>
        <v/>
      </c>
      <c r="R77">
        <f>IF(AND(Inputs!$B$38&lt;&gt;"pvp",Inputs!$B$43&gt;0),IF(MAX(0,Inputs!$B$43-B104)&lt;=0,0,(INT(MAX(0,Inputs!$B$43-B104)/(IF(Inputs!$B$38="pvp",15,MAX(0.1,Skills!D6-IF(Skills!E6=TRUE,Inputs!$B$32,0)))*(1-IF(AND(ArtifactsInput!$M$27,Inputs!$B$4="Chapter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IF(B107=0,0,O78/B107)</f>
        <v/>
      </c>
      <c r="Q78">
        <f>IFERROR(1/(IF(Inputs!$B$38="pvp",15,MAX(0.1,Skills!D7-IF(Skills!E7=TRUE,Inputs!$B$32,0)))*(1-IF(AND(ArtifactsInput!$M$27,Inputs!$B$4="Chapter Hunt"),CHOOSE(ArtifactsInput!$N$27+1,20,24,28,32,36,40),0)/100)),0)</f>
        <v/>
      </c>
      <c r="R78">
        <f>IF(AND(Inputs!$B$38&lt;&gt;"pvp",Inputs!$B$43&gt;0),IF(MAX(0,Inputs!$B$43-B104)&lt;=0,0,(INT(MAX(0,Inputs!$B$43-B104)/(IF(Inputs!$B$38="pvp",15,MAX(0.1,Skills!D7-IF(Skills!E7=TRUE,Inputs!$B$32,0)))*(1-IF(AND(ArtifactsInput!$M$27,Inputs!$B$4="Chapter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IF(B107=0,0,O79/B107)</f>
        <v/>
      </c>
      <c r="Q79">
        <f>IFERROR(1/(IF(Inputs!$B$38="pvp",15,MAX(0.1,Skills!D8-IF(Skills!E8=TRUE,Inputs!$B$32,0)))*(1-IF(AND(ArtifactsInput!$M$27,Inputs!$B$4="Chapter Hunt"),CHOOSE(ArtifactsInput!$N$27+1,20,24,28,32,36,40),0)/100)),0)</f>
        <v/>
      </c>
      <c r="R79">
        <f>IF(AND(Inputs!$B$38&lt;&gt;"pvp",Inputs!$B$43&gt;0),IF(MAX(0,Inputs!$B$43-B104)&lt;=0,0,(INT(MAX(0,Inputs!$B$43-B104)/(IF(Inputs!$B$38="pvp",15,MAX(0.1,Skills!D8-IF(Skills!E8=TRUE,Inputs!$B$32,0)))*(1-IF(AND(ArtifactsInput!$M$27,Inputs!$B$4="Chapter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IF(B107=0,0,O80/B107)</f>
        <v/>
      </c>
      <c r="Q80">
        <f>IFERROR(1/(IF(Inputs!$B$38="pvp",15,MAX(0.1,Skills!D9-IF(Skills!E9=TRUE,Inputs!$B$32,0)))*(1-IF(AND(ArtifactsInput!$M$27,Inputs!$B$4="Chapter Hunt"),CHOOSE(ArtifactsInput!$N$27+1,20,24,28,32,36,40),0)/100)),0)</f>
        <v/>
      </c>
      <c r="R80">
        <f>IF(AND(Inputs!$B$38&lt;&gt;"pvp",Inputs!$B$43&gt;0),IF(MAX(0,Inputs!$B$43-B104)&lt;=0,0,(INT(MAX(0,Inputs!$B$43-B104)/(IF(Inputs!$B$38="pvp",15,MAX(0.1,Skills!D9-IF(Skills!E9=TRUE,Inputs!$B$32,0)))*(1-IF(AND(ArtifactsInput!$M$27,Inputs!$B$4="Chapter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IF(B107=0,0,O81/B107)</f>
        <v/>
      </c>
      <c r="Q81">
        <f>IFERROR(1/(IF(Inputs!$B$38="pvp",15,MAX(0.1,Skills!D10-IF(Skills!E10=TRUE,Inputs!$B$32,0)))*(1-IF(AND(ArtifactsInput!$M$27,Inputs!$B$4="Chapter Hunt"),CHOOSE(ArtifactsInput!$N$27+1,20,24,28,32,36,40),0)/100)),0)</f>
        <v/>
      </c>
      <c r="R81">
        <f>IF(AND(Inputs!$B$38&lt;&gt;"pvp",Inputs!$B$43&gt;0),IF(MAX(0,Inputs!$B$43-B104)&lt;=0,0,(INT(MAX(0,Inputs!$B$43-B104)/(IF(Inputs!$B$38="pvp",15,MAX(0.1,Skills!D10-IF(Skills!E10=TRUE,Inputs!$B$32,0)))*(1-IF(AND(ArtifactsInput!$M$27,Inputs!$B$4="Chapter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IF(B107=0,0,O82/B107)</f>
        <v/>
      </c>
      <c r="Q82">
        <f>IFERROR(1/(IF(Inputs!$B$38="pvp",15,MAX(0.1,Skills!D11-IF(Skills!E11=TRUE,Inputs!$B$32,0)))*(1-IF(AND(ArtifactsInput!$M$27,Inputs!$B$4="Chapter Hunt"),CHOOSE(ArtifactsInput!$N$27+1,20,24,28,32,36,40),0)/100)),0)</f>
        <v/>
      </c>
      <c r="R82">
        <f>IF(AND(Inputs!$B$38&lt;&gt;"pvp",Inputs!$B$43&gt;0),IF(MAX(0,Inputs!$B$43-B104)&lt;=0,0,(INT(MAX(0,Inputs!$B$43-B104)/(IF(Inputs!$B$38="pvp",15,MAX(0.1,Skills!D11-IF(Skills!E11=TRUE,Inputs!$B$32,0)))*(1-IF(AND(ArtifactsInput!$M$27,Inputs!$B$4="Chapter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IF(B107=0,0,O84/B107)</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IF(B107=0,0,O85/B107)</f>
        <v/>
      </c>
      <c r="Q85" t="n">
        <v>0</v>
      </c>
      <c r="R85" t="n">
        <v>0</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IF(B107=0,0,O86/B107)</f>
        <v/>
      </c>
      <c r="Q86" t="n">
        <v>0</v>
      </c>
      <c r="R86" t="n">
        <v>0</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IF(B107=0,0,O87/B107)</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IF(B107=0,0,O88/B107)</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IF(B107=0,0,O89/B107)</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IF(B107=0,0,O90/B107)</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IF(B107=0,0,O91/B107)</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IF(B107=0,0,O92/B107)</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IF(B107=0,0,O93/B107)</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IF(B107=0,0,O94/B107)</f>
        <v/>
      </c>
      <c r="Q94">
        <f>IFERROR(1/(IF(Inputs!$B$38="pvp",15,MAX(0.1,Skills!D23-IF(Skills!E23=TRUE,Inputs!$B$32,0)))*(1-IF(AND(ArtifactsInput!$M$27,Inputs!$B$4="Chapter Hunt"),CHOOSE(ArtifactsInput!$N$27+1,20,24,28,32,36,40),0)/100)),0)</f>
        <v/>
      </c>
      <c r="R94">
        <f>IF(AND(Inputs!$B$38&lt;&gt;"pvp",Inputs!$B$43&gt;0),IF(Inputs!$B$43&lt;=0,0,(INT(Inputs!$B$43/(IF(Inputs!$B$38="pvp",15,MAX(0.1,Skills!D23-IF(Skills!E23=TRUE,Inputs!$B$32,0)))*(1-IF(AND(ArtifactsInput!$M$27,Inputs!$B$4="Chapter Hunt"),CHOOSE(ArtifactsInput!$N$27+1,20,24,28,32,36,40),0)/100)))+1)),0)</f>
        <v/>
      </c>
      <c r="S94">
        <f>IFERROR(O94/N94,0)</f>
        <v/>
      </c>
      <c r="T94" t="n">
        <v>0</v>
      </c>
      <c r="V94" t="n">
        <v>0</v>
      </c>
    </row>
    <row r="96">
      <c r="A96" t="inlineStr">
        <is>
          <t>Attack% Bucket Multiplier</t>
        </is>
      </c>
      <c r="B96">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
      <c r="A97" t="inlineStr">
        <is>
          <t>Global Crit Rate Bonus %</t>
        </is>
      </c>
      <c r="B97" t="n">
        <v>0</v>
      </c>
    </row>
    <row r="98">
      <c r="A98" t="inlineStr">
        <is>
          <t>Attack Speed Buff Bonus % (Nimble Feet, duty-cycle averaged)</t>
        </is>
      </c>
      <c r="B98">
        <f>((C94=TRUE)*F94*IF(AND(Inputs!$B$38&lt;&gt;"pvp",Inputs!$B$43&gt;0),(((R94-1)*(Skills!T23*(1+Inputs!$B$34/100))+MIN((Skills!T23*(1+Inputs!$B$34/100)),MAX(0,Inputs!$B$43-((R94-1)*Skills!D23))))/Inputs!$B$43),IF(Inputs!$B$38="pvp",MIN((Skills!T23*(1+Inputs!$B$34/100)),15)/15,(Skills!T23*(1+Inputs!$B$34/100))/Skills!D23)))</f>
        <v/>
      </c>
    </row>
    <row r="99">
      <c r="A99" t="inlineStr">
        <is>
          <t>Actions Per Second</t>
        </is>
      </c>
      <c r="B99">
        <f>1+MIN(150,150*(1-(1-(Inputs!$B$11+((C88=TRUE)*(F88-Calc!F17))+((C89=TRUE)*(F89-Calc!F18)))/150)*(1-B98/150)))/100</f>
        <v/>
      </c>
    </row>
    <row r="100">
      <c r="A100" t="inlineStr">
        <is>
          <t>Skill + Buff Cast Rate</t>
        </is>
      </c>
      <c r="B100">
        <f>IF(AND(Inputs!$B$38&lt;&gt;"pvp",Inputs!$B$43&gt;0),SUMPRODUCT((Skills!E2:E23=TRUE)*(C73:C94=TRUE)*R73:R94*Skills!F2:F23)/Inputs!$B$43,SUMPRODUCT((Skills!E2:E23=TRUE)*(C73:C94=TRUE)*Q73:Q94*Skills!F2:F23))</f>
        <v/>
      </c>
    </row>
    <row r="101">
      <c r="A101" t="inlineStr">
        <is>
          <t>Hook Bomber Casts Per Second</t>
        </is>
      </c>
      <c r="B101">
        <f>MAX(0,B99-B100)</f>
        <v/>
      </c>
    </row>
    <row r="102">
      <c r="A102" t="inlineStr">
        <is>
          <t>Global Critical Damage Bonus % (unused)</t>
        </is>
      </c>
      <c r="B102" t="n">
        <v>0</v>
      </c>
    </row>
    <row r="103">
      <c r="A103" t="inlineStr">
        <is>
          <t>Global Final Damage Bonus % (Serpent Scale + Crossbones + Time Leap + Speed Infusion)</t>
        </is>
      </c>
      <c r="B103">
        <f>((C76=TRUE)*F76*((10+IF(Inputs!$B$3&gt;=94,5,0))/((10+IF(Inputs!$B$3&gt;=94,5,0))+5/(B101*(1+IF(Inputs!$B$3&gt;=104,1,0))))))+((C85=TRUE)*F85)+((C86=TRUE)*F86)+((Inputs!$B$3&gt;=110)*20*(B99-1))</f>
        <v/>
      </c>
    </row>
    <row r="104">
      <c r="A104" t="inlineStr">
        <is>
          <t>Buff-Casting Startup Delay (s, fixed-duration only)</t>
        </is>
      </c>
      <c r="B104">
        <f>IF(AND(Inputs!$B$38&lt;&gt;"pvp",Inputs!$B$43&gt;0),SUMPRODUCT((Skills!T2:T23&gt;0)*(Skills!E2:E23=TRUE)*(C73:C94=TRUE))/B99,0)</f>
        <v/>
      </c>
    </row>
    <row r="105">
      <c r="A105" t="inlineStr">
        <is>
          <t>Boss-Only Total DPS (this block's swept value)</t>
        </is>
      </c>
      <c r="B105">
        <f>SUM(T73:T94)</f>
        <v/>
      </c>
    </row>
    <row r="106">
      <c r="A106" t="inlineStr">
        <is>
          <t>Normal-Only Total DPS (this block's swept value)</t>
        </is>
      </c>
      <c r="B106">
        <f>SUM(V73:V94)</f>
        <v/>
      </c>
    </row>
    <row r="107">
      <c r="A107" s="6" t="inlineStr">
        <is>
          <t>TOTAL DPS</t>
        </is>
      </c>
      <c r="B107" s="6">
        <f>SUM(O73:O94)</f>
        <v/>
      </c>
    </row>
    <row r="110">
      <c r="A110" s="6" t="inlineStr">
        <is>
          <t>Stat: STR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Q111" s="5" t="inlineStr">
        <is>
          <t>InvCooldown</t>
        </is>
      </c>
      <c r="R111" s="5" t="inlineStr">
        <is>
          <t>CastsInFight</t>
        </is>
      </c>
      <c r="S111" s="5" t="inlineStr">
        <is>
          <t>HitRate(perSec)</t>
        </is>
      </c>
      <c r="U111" t="inlineStr">
        <is>
          <t>helpers</t>
        </is>
      </c>
    </row>
    <row r="112">
      <c r="A112">
        <f>Skills!A2</f>
        <v/>
      </c>
      <c r="B112">
        <f>Skills!B2</f>
        <v/>
      </c>
      <c r="C112">
        <f>Inputs!$B$3&gt;=100</f>
        <v/>
      </c>
      <c r="D112" t="inlineStr"/>
      <c r="E112" t="inlineStr"/>
      <c r="F112">
        <f>U114+Skills!O2</f>
        <v/>
      </c>
      <c r="G112">
        <f>Skills!G2*IF(Skills!H2&gt;0,Skills!I2/Skills!H2,1)</f>
        <v/>
      </c>
      <c r="H112">
        <f>1-(1-Skills!J2/100)^Skills!K2</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130=TRUE)*(F130-Calc!F20)),(Inputs!$B$23+0+(IF(ArtifactsInput!$M$15,CHOOSE(ArtifactsInput!$N$15+1,25,30,35,40,45,50)/100*(Inputs!$B$11-Inputs!$B$11),0))))/100+(Inputs!$B$23+0+(IF(ArtifactsInput!$M$15,CHOOSE(ArtifactsInput!$N$15+1,25,30,35,40,45,50)/100*(Inputs!$B$11-Inputs!$B$11),0)))/100)/2</f>
        <v/>
      </c>
      <c r="M112">
        <f>L112*(1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IF(B146=0,0,O112/B146)</f>
        <v/>
      </c>
      <c r="Q112" t="n">
        <v>0</v>
      </c>
      <c r="R112" t="n">
        <v>0</v>
      </c>
      <c r="S112">
        <f>IFERROR(O112/N112,0)</f>
        <v/>
      </c>
      <c r="T112">
        <f>IF(C112,(Skills!G2*N112*B140)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MAX(0,(Inputs!$B$3-100)*3)+Inputs!$B$28+Inputs!$B$29</f>
        <v/>
      </c>
      <c r="V112">
        <f>IF(C112,(Skills!G2*N112*B140)*IF(Inputs!$B$38="pvp",1,(1+(Inputs!$B$21+Skills!Q2+(IF(ArtifactsInput!$M$33,CHOOSE(ArtifactsInput!$N$33+1,30,36,42,48,54,60),0))+(IF(AND(ArtifactsInput!$M$35,Inputs!$B$4&lt;&gt;"Chapter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Skills!A3</f>
        <v/>
      </c>
      <c r="B113">
        <f>Skills!B3</f>
        <v/>
      </c>
      <c r="C113">
        <f>Inputs!$B$3&gt;=35</f>
        <v/>
      </c>
      <c r="D113">
        <f>IF(Skills!C3=1,60+Inputs!$B$25+Inputs!$B$29,IF(Skills!C3=2,90+Inputs!$B$26+Inputs!$B$29,IF(Skills!C3=3,120+Inputs!$B$27+Inputs!$B$29,MAX(0,(Inputs!$B$3-100)*3)+Inputs!$B$28+Inputs!$B$29)))</f>
        <v/>
      </c>
      <c r="E113">
        <f>INDEX(FactorTable!$B$2:$Y$301, MATCH(ROUND(MIN(300,MAX(1,D113)),0), FactorTable!$A$2:$A$301,0), Skills!M3+1)</f>
        <v/>
      </c>
      <c r="F113">
        <f>IF(Skills!N3=TRUE,(Skills!L3/10)*(E113/1000),Skills!L3/10)+Skills!O3</f>
        <v/>
      </c>
      <c r="G113">
        <f>Skills!G3*IF(Skills!H3&gt;0,Skills!I3/Skills!H3,1)</f>
        <v/>
      </c>
      <c r="H113">
        <f>1-(1-Skills!J3/100)^Skills!K3</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130=TRUE)*(F130-Calc!F20)),(Inputs!$B$23+0+(IF(ArtifactsInput!$M$15,CHOOSE(ArtifactsInput!$N$15+1,25,30,35,40,45,50)/100*(Inputs!$B$11-Inputs!$B$11),0))))/100+(Inputs!$B$23+0+(IF(ArtifactsInput!$M$15,CHOOSE(ArtifactsInput!$N$15+1,25,30,35,40,45,50)/100*(Inputs!$B$11-Inputs!$B$11),0)))/100)/2</f>
        <v/>
      </c>
      <c r="M113">
        <f>L113*(1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IF(B146=0,0,O113/B146)</f>
        <v/>
      </c>
      <c r="Q113" t="n">
        <v>0</v>
      </c>
      <c r="R113" t="n">
        <v>0</v>
      </c>
      <c r="S113">
        <f>IFERROR(O113/N113,0)</f>
        <v/>
      </c>
      <c r="T113">
        <f>IF(C113,(Skills!G3*H113*N113*B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INDEX(FactorTable!$B$2:$Y$301, MATCH(ROUND(MIN(300,MAX(1,U112)),0), FactorTable!$A$2:$A$301,0), 22)</f>
        <v/>
      </c>
      <c r="V113">
        <f>IF(C113,(Skills!G3*H113*N113*B140)*IF(Inputs!$B$38="pvp",1,(1+(Inputs!$B$21+Skills!Q3+(IF(ArtifactsInput!$M$33,CHOOSE(ArtifactsInput!$N$33+1,30,36,42,48,54,60),0))+(IF(AND(ArtifactsInput!$M$35,Inputs!$B$4&lt;&gt;"Chapter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Skills!A4</f>
        <v/>
      </c>
      <c r="B114">
        <f>Skills!B4</f>
        <v/>
      </c>
      <c r="C114">
        <f>Inputs!$B$3&gt;=60</f>
        <v/>
      </c>
      <c r="D114">
        <f>IF(Skills!C4=1,60+Inputs!$B$25+Inputs!$B$29,IF(Skills!C4=2,90+Inputs!$B$26+Inputs!$B$29,IF(Skills!C4=3,120+Inputs!$B$27+Inputs!$B$29,MAX(0,(Inputs!$B$3-100)*3)+Inputs!$B$28+Inputs!$B$29)))</f>
        <v/>
      </c>
      <c r="E114">
        <f>INDEX(FactorTable!$B$2:$Y$301, MATCH(ROUND(MIN(300,MAX(1,D114)),0), FactorTable!$A$2:$A$301,0), Skills!M4+1)</f>
        <v/>
      </c>
      <c r="F114">
        <f>IF(Skills!N4=TRUE,(Skills!L4/10)*(E114/1000),Skills!L4/10)+Skills!O4</f>
        <v/>
      </c>
      <c r="G114">
        <f>Skills!G4*IF(Skills!H4&gt;0,Skills!I4/Skills!H4,1)</f>
        <v/>
      </c>
      <c r="H114">
        <f>1-(1-Skills!J4/100)^Skills!K4</f>
        <v/>
      </c>
      <c r="I114" t="inlineStr">
        <is>
          <t>1</t>
        </is>
      </c>
      <c r="J114">
        <f>((Inputs!$B$6*(1+Inputs!$B$7/100))+(((Inputs!$B$12*(1+(Inputs!$B$13+1)/100))-(Inputs!$B$12*(1+Inputs!$B$13/100)))+0.25*(Inputs!$B$14-Inputs!$B$14))*(1+Inputs!$B$7/100))*(F114/100)</f>
        <v/>
      </c>
      <c r="K114">
        <f>J114*(1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TRUE,F122,0)/100)*(1+(IF(Skills!A4="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C130=TRUE)*(F130-Calc!F20)),(Inputs!$B$23+0+(IF(ArtifactsInput!$M$15,CHOOSE(ArtifactsInput!$N$15+1,25,30,35,40,45,50)/100*(Inputs!$B$11-Inputs!$B$11),0))))/100+(Inputs!$B$23+0+(IF(ArtifactsInput!$M$15,CHOOSE(ArtifactsInput!$N$15+1,25,30,35,40,45,50)/100*(Inputs!$B$11-Inputs!$B$11),0)))/100)/2</f>
        <v/>
      </c>
      <c r="M114">
        <f>L114*(1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(1-Summary!$B$11)*T114+Summary!$B$11*V114</f>
        <v/>
      </c>
      <c r="P114">
        <f>IF(B146=0,0,O114/B146)</f>
        <v/>
      </c>
      <c r="Q114" t="n">
        <v>0</v>
      </c>
      <c r="R114" t="n">
        <v>0</v>
      </c>
      <c r="S114">
        <f>IFERROR(O114/N114,0)</f>
        <v/>
      </c>
      <c r="T114">
        <f>IF(C114,(Skills!G4*H114*N114*B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290*U113/1000</f>
        <v/>
      </c>
      <c r="V114">
        <f>IF(C114,(Skills!G4*H114*N114*B140)*IF(Inputs!$B$38="pvp",1,(1+(Inputs!$B$21+Skills!Q4+(IF(ArtifactsInput!$M$33,CHOOSE(ArtifactsInput!$N$33+1,30,36,42,48,54,60),0))+(IF(AND(ArtifactsInput!$M$35,Inputs!$B$4&lt;&gt;"Chapter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Skills!A5</f>
        <v/>
      </c>
      <c r="B115">
        <f>Skills!B5</f>
        <v/>
      </c>
      <c r="C115">
        <f>Inputs!$B$3&gt;=60</f>
        <v/>
      </c>
      <c r="D115">
        <f>IF(Skills!C5=1,60+Inputs!$B$25+Inputs!$B$29,IF(Skills!C5=2,90+Inputs!$B$26+Inputs!$B$29,IF(Skills!C5=3,120+Inputs!$B$27+Inputs!$B$29,MAX(0,(Inputs!$B$3-100)*3)+Inputs!$B$28+Inputs!$B$29)))</f>
        <v/>
      </c>
      <c r="E115">
        <f>INDEX(FactorTable!$B$2:$Y$301, MATCH(ROUND(MIN(300,MAX(1,D115)),0), FactorTable!$A$2:$A$301,0), Skills!M5+1)</f>
        <v/>
      </c>
      <c r="F115">
        <f>IF(Skills!N5=TRUE,(Skills!L5/10)*(E115/1000),Skills!L5/10)+Skills!O5</f>
        <v/>
      </c>
      <c r="G115">
        <f>Skills!G5*IF(Skills!H5&gt;0,Skills!I5/Skills!H5,1)</f>
        <v/>
      </c>
      <c r="H115">
        <f>1-(1-Skills!J5/100)^Skills!K5</f>
        <v/>
      </c>
      <c r="I115" t="inlineStr">
        <is>
          <t>1</t>
        </is>
      </c>
      <c r="J115" t="inlineStr"/>
      <c r="K115" t="inlineStr"/>
      <c r="L115" t="inlineStr"/>
      <c r="M115" t="inlineStr"/>
      <c r="N115" t="inlineStr"/>
      <c r="O115">
        <f>(1-Summary!$B$11)*T115+Summary!$B$11*V115</f>
        <v/>
      </c>
      <c r="P115">
        <f>IF(B146=0,0,O115/B146)</f>
        <v/>
      </c>
      <c r="Q115" t="n">
        <v>0</v>
      </c>
      <c r="R115" t="n">
        <v>0</v>
      </c>
      <c r="S115">
        <f>IFERROR(O115/N115,0)</f>
        <v/>
      </c>
      <c r="T115" t="n">
        <v>0</v>
      </c>
      <c r="V115" t="n">
        <v>0</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Skills!M6+1)</f>
        <v/>
      </c>
      <c r="F116">
        <f>IF(Skills!N6=TRUE,(Skills!L6/10)*(E116/1000),Skills!L6/10)+Skills!O6</f>
        <v/>
      </c>
      <c r="G116">
        <f>Skills!G6*IF(Skills!H6&gt;0,Skills!I6/Skills!H6,1)</f>
        <v/>
      </c>
      <c r="H116">
        <f>1-(1-Skills!J6/100)^Skills!K6</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130=TRUE)*(F130-Calc!F20)),(Inputs!$B$23+0+(IF(ArtifactsInput!$M$15,CHOOSE(ArtifactsInput!$N$15+1,25,30,35,40,45,50)/100*(Inputs!$B$11-Inputs!$B$11),0))))/100+(Inputs!$B$23+0+(IF(ArtifactsInput!$M$15,CHOOSE(ArtifactsInput!$N$15+1,25,30,35,40,45,50)/100*(Inputs!$B$11-Inputs!$B$11),0)))/100)/2</f>
        <v/>
      </c>
      <c r="M116">
        <f>L116*(1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IF(B146=0,0,O116/B146)</f>
        <v/>
      </c>
      <c r="Q116">
        <f>IFERROR(1/(IF(Inputs!$B$38="pvp",15,MAX(0.1,Skills!D6-IF(Skills!E6=TRUE,Inputs!$B$32,0)))*(1-IF(AND(ArtifactsInput!$M$27,Inputs!$B$4="Chapter Hunt"),CHOOSE(ArtifactsInput!$N$27+1,20,24,28,32,36,40),0)/100)),0)</f>
        <v/>
      </c>
      <c r="R116">
        <f>IF(AND(Inputs!$B$38&lt;&gt;"pvp",Inputs!$B$43&gt;0),IF(MAX(0,Inputs!$B$43-B143)&lt;=0,0,(INT(MAX(0,Inputs!$B$43-B143)/(IF(Inputs!$B$38="pvp",15,MAX(0.1,Skills!D6-IF(Skills!E6=TRUE,Inputs!$B$32,0)))*(1-IF(AND(ArtifactsInput!$M$27,Inputs!$B$4="Chapter Hunt"),CHOOSE(ArtifactsInput!$N$27+1,20,24,28,32,36,40),0)/100)))+1)),0)</f>
        <v/>
      </c>
      <c r="S116">
        <f>IFERROR(O116/N116,0)</f>
        <v/>
      </c>
      <c r="T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$21+Skills!Q6+(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Inputs!$B$3&gt;=100</f>
        <v/>
      </c>
      <c r="D117">
        <f>IF(Skills!C7=1,60+Inputs!$B$25+Inputs!$B$29,IF(Skills!C7=2,90+Inputs!$B$26+Inputs!$B$29,IF(Skills!C7=3,120+Inputs!$B$27+Inputs!$B$29,MAX(0,(Inputs!$B$3-100)*3)+Inputs!$B$28+Inputs!$B$29)))</f>
        <v/>
      </c>
      <c r="E117">
        <f>INDEX(FactorTable!$B$2:$Y$301, MATCH(ROUND(MIN(300,MAX(1,D117)),0), FactorTable!$A$2:$A$301,0), Skills!M7+1)</f>
        <v/>
      </c>
      <c r="F117">
        <f>IF(Skills!N7=TRUE,(Skills!L7/10)*(E117/1000),Skills!L7/10)+Skills!O7</f>
        <v/>
      </c>
      <c r="G117">
        <f>Skills!G7*IF(Skills!H7&gt;0,Skills!I7/Skills!H7,1)</f>
        <v/>
      </c>
      <c r="H117">
        <f>1-(1-Skills!J7/100)^Skills!K7</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130=TRUE)*(F130-Calc!F20)),(Inputs!$B$23+0+(IF(ArtifactsInput!$M$15,CHOOSE(ArtifactsInput!$N$15+1,25,30,35,40,45,50)/100*(Inputs!$B$11-Inputs!$B$11),0))))/100+(Inputs!$B$23+0+(IF(ArtifactsInput!$M$15,CHOOSE(ArtifactsInput!$N$15+1,25,30,35,40,45,50)/100*(Inputs!$B$11-Inputs!$B$11),0)))/100)/2</f>
        <v/>
      </c>
      <c r="M117">
        <f>L117*(1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IF(B146=0,0,O117/B146)</f>
        <v/>
      </c>
      <c r="Q117">
        <f>IFERROR(1/(IF(Inputs!$B$38="pvp",15,MAX(0.1,Skills!D7-IF(Skills!E7=TRUE,Inputs!$B$32,0)))*(1-IF(AND(ArtifactsInput!$M$27,Inputs!$B$4="Chapter Hunt"),CHOOSE(ArtifactsInput!$N$27+1,20,24,28,32,36,40),0)/100)),0)</f>
        <v/>
      </c>
      <c r="R117">
        <f>IF(AND(Inputs!$B$38&lt;&gt;"pvp",Inputs!$B$43&gt;0),IF(MAX(0,Inputs!$B$43-B143)&lt;=0,0,(INT(MAX(0,Inputs!$B$43-B143)/(IF(Inputs!$B$38="pvp",15,MAX(0.1,Skills!D7-IF(Skills!E7=TRUE,Inputs!$B$32,0)))*(1-IF(AND(ArtifactsInput!$M$27,Inputs!$B$4="Chapter Hunt"),CHOOSE(ArtifactsInput!$N$27+1,20,24,28,32,36,40),0)/100)))+1)),0)</f>
        <v/>
      </c>
      <c r="S117">
        <f>IFERROR(O117/N117,0)</f>
        <v/>
      </c>
      <c r="T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$21+Skills!Q7+(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Inputs!$B$3&gt;=110</f>
        <v/>
      </c>
      <c r="D118">
        <f>IF(Skills!C8=1,60+Inputs!$B$25+Inputs!$B$29,IF(Skills!C8=2,90+Inputs!$B$26+Inputs!$B$29,IF(Skills!C8=3,120+Inputs!$B$27+Inputs!$B$29,MAX(0,(Inputs!$B$3-100)*3)+Inputs!$B$28+Inputs!$B$29)))</f>
        <v/>
      </c>
      <c r="E118">
        <f>INDEX(FactorTable!$B$2:$Y$301, MATCH(ROUND(MIN(300,MAX(1,D118)),0), FactorTable!$A$2:$A$301,0), Skills!M8+1)</f>
        <v/>
      </c>
      <c r="F118">
        <f>IF(Skills!N8=TRUE,(Skills!L8/10)*(E118/1000),Skills!L8/10)+Skills!O8</f>
        <v/>
      </c>
      <c r="G118">
        <f>Skills!G8*IF(Skills!H8&gt;0,Skills!I8/Skills!H8,1)</f>
        <v/>
      </c>
      <c r="H118">
        <f>1-(1-Skills!J8/100)^Skills!K8</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130=TRUE)*(F130-Calc!F20)),(Inputs!$B$23+0+(IF(ArtifactsInput!$M$15,CHOOSE(ArtifactsInput!$N$15+1,25,30,35,40,45,50)/100*(Inputs!$B$11-Inputs!$B$11),0))))/100+(Inputs!$B$23+0+(IF(ArtifactsInput!$M$15,CHOOSE(ArtifactsInput!$N$15+1,25,30,35,40,45,50)/100*(Inputs!$B$11-Inputs!$B$11),0)))/100)/2</f>
        <v/>
      </c>
      <c r="M118">
        <f>L118*(1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IF(B146=0,0,O118/B146)</f>
        <v/>
      </c>
      <c r="Q118">
        <f>IFERROR(1/(IF(Inputs!$B$38="pvp",15,MAX(0.1,Skills!D8-IF(Skills!E8=TRUE,Inputs!$B$32,0)))*(1-IF(AND(ArtifactsInput!$M$27,Inputs!$B$4="Chapter Hunt"),CHOOSE(ArtifactsInput!$N$27+1,20,24,28,32,36,40),0)/100)),0)</f>
        <v/>
      </c>
      <c r="R118">
        <f>IF(AND(Inputs!$B$38&lt;&gt;"pvp",Inputs!$B$43&gt;0),IF(MAX(0,Inputs!$B$43-B143)&lt;=0,0,(INT(MAX(0,Inputs!$B$43-B143)/(IF(Inputs!$B$38="pvp",15,MAX(0.1,Skills!D8-IF(Skills!E8=TRUE,Inputs!$B$32,0)))*(1-IF(AND(ArtifactsInput!$M$27,Inputs!$B$4="Chapter Hunt"),CHOOSE(ArtifactsInput!$N$27+1,20,24,28,32,36,40),0)/100)))+1)),0)</f>
        <v/>
      </c>
      <c r="S118">
        <f>IFERROR(O118/N118,0)</f>
        <v/>
      </c>
      <c r="T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$21+Skills!Q8+(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Inputs!$B$3&gt;=110</f>
        <v/>
      </c>
      <c r="D119">
        <f>IF(Skills!C9=1,60+Inputs!$B$25+Inputs!$B$29,IF(Skills!C9=2,90+Inputs!$B$26+Inputs!$B$29,IF(Skills!C9=3,120+Inputs!$B$27+Inputs!$B$29,MAX(0,(Inputs!$B$3-100)*3)+Inputs!$B$28+Inputs!$B$29)))</f>
        <v/>
      </c>
      <c r="E119">
        <f>INDEX(FactorTable!$B$2:$Y$301, MATCH(ROUND(MIN(300,MAX(1,D119)),0), FactorTable!$A$2:$A$301,0), Skills!M9+1)</f>
        <v/>
      </c>
      <c r="F119">
        <f>IF(Skills!N9=TRUE,(Skills!L9/10)*(E119/1000),Skills!L9/10)+Skills!O9</f>
        <v/>
      </c>
      <c r="G119">
        <f>Skills!G9*IF(Skills!H9&gt;0,Skills!I9/Skills!H9,1)</f>
        <v/>
      </c>
      <c r="H119">
        <f>1-(1-Skills!J9/100)^Skills!K9</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130=TRUE)*(F130-Calc!F20)),(Inputs!$B$23+0+(IF(ArtifactsInput!$M$15,CHOOSE(ArtifactsInput!$N$15+1,25,30,35,40,45,50)/100*(Inputs!$B$11-Inputs!$B$11),0))))/100+(Inputs!$B$23+0+(IF(ArtifactsInput!$M$15,CHOOSE(ArtifactsInput!$N$15+1,25,30,35,40,45,50)/100*(Inputs!$B$11-Inputs!$B$11),0)))/100)/2</f>
        <v/>
      </c>
      <c r="M119">
        <f>L119*(1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IF(B146=0,0,O119/B146)</f>
        <v/>
      </c>
      <c r="Q119">
        <f>IFERROR(1/(IF(Inputs!$B$38="pvp",15,MAX(0.1,Skills!D9-IF(Skills!E9=TRUE,Inputs!$B$32,0)))*(1-IF(AND(ArtifactsInput!$M$27,Inputs!$B$4="Chapter Hunt"),CHOOSE(ArtifactsInput!$N$27+1,20,24,28,32,36,40),0)/100)),0)</f>
        <v/>
      </c>
      <c r="R119">
        <f>IF(AND(Inputs!$B$38&lt;&gt;"pvp",Inputs!$B$43&gt;0),IF(MAX(0,Inputs!$B$43-B143)&lt;=0,0,(INT(MAX(0,Inputs!$B$43-B143)/(IF(Inputs!$B$38="pvp",15,MAX(0.1,Skills!D9-IF(Skills!E9=TRUE,Inputs!$B$32,0)))*(1-IF(AND(ArtifactsInput!$M$27,Inputs!$B$4="Chapter Hunt"),CHOOSE(ArtifactsInput!$N$27+1,20,24,28,32,36,40),0)/100)))+1)),0)</f>
        <v/>
      </c>
      <c r="S119">
        <f>IFERROR(O119/N119,0)</f>
        <v/>
      </c>
      <c r="T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$21+Skills!Q9+(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Inputs!$B$3&gt;=103</f>
        <v/>
      </c>
      <c r="D120">
        <f>IF(Skills!C10=1,60+Inputs!$B$25+Inputs!$B$29,IF(Skills!C10=2,90+Inputs!$B$26+Inputs!$B$29,IF(Skills!C10=3,120+Inputs!$B$27+Inputs!$B$29,MAX(0,(Inputs!$B$3-100)*3)+Inputs!$B$28+Inputs!$B$29)))</f>
        <v/>
      </c>
      <c r="E120">
        <f>INDEX(FactorTable!$B$2:$Y$301, MATCH(ROUND(MIN(300,MAX(1,D120)),0), FactorTable!$A$2:$A$301,0), Skills!M10+1)</f>
        <v/>
      </c>
      <c r="F120">
        <f>IF(Skills!N10=TRUE,(Skills!L10/10)*(E120/1000),Skills!L10/10)+Skills!O10</f>
        <v/>
      </c>
      <c r="G120">
        <f>Skills!G10*IF(Skills!H10&gt;0,Skills!I10/Skills!H10,1)</f>
        <v/>
      </c>
      <c r="H120">
        <f>1-(1-Skills!J10/100)^Skills!K10</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130=TRUE)*(F130-Calc!F20)),(Inputs!$B$23+0+(IF(ArtifactsInput!$M$15,CHOOSE(ArtifactsInput!$N$15+1,25,30,35,40,45,50)/100*(Inputs!$B$11-Inputs!$B$11),0))))/100+(Inputs!$B$23+0+(IF(ArtifactsInput!$M$15,CHOOSE(ArtifactsInput!$N$15+1,25,30,35,40,45,50)/100*(Inputs!$B$11-Inputs!$B$11),0)))/100)/2</f>
        <v/>
      </c>
      <c r="M120">
        <f>L120*(1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IF(B146=0,0,O120/B146)</f>
        <v/>
      </c>
      <c r="Q120">
        <f>IFERROR(1/(IF(Inputs!$B$38="pvp",15,MAX(0.1,Skills!D10-IF(Skills!E10=TRUE,Inputs!$B$32,0)))*(1-IF(AND(ArtifactsInput!$M$27,Inputs!$B$4="Chapter Hunt"),CHOOSE(ArtifactsInput!$N$27+1,20,24,28,32,36,40),0)/100)),0)</f>
        <v/>
      </c>
      <c r="R120">
        <f>IF(AND(Inputs!$B$38&lt;&gt;"pvp",Inputs!$B$43&gt;0),IF(MAX(0,Inputs!$B$43-B143)&lt;=0,0,(INT(MAX(0,Inputs!$B$43-B143)/(IF(Inputs!$B$38="pvp",15,MAX(0.1,Skills!D10-IF(Skills!E10=TRUE,Inputs!$B$32,0)))*(1-IF(AND(ArtifactsInput!$M$27,Inputs!$B$4="Chapter Hunt"),CHOOSE(ArtifactsInput!$N$27+1,20,24,28,32,36,40),0)/100)))+1)),0)</f>
        <v/>
      </c>
      <c r="S120">
        <f>IFERROR(O120/N120,0)</f>
        <v/>
      </c>
      <c r="T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$21+Skills!Q10+(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Inputs!$B$3&gt;=113</f>
        <v/>
      </c>
      <c r="D121">
        <f>IF(Skills!C11=1,60+Inputs!$B$25+Inputs!$B$29,IF(Skills!C11=2,90+Inputs!$B$26+Inputs!$B$29,IF(Skills!C11=3,120+Inputs!$B$27+Inputs!$B$29,MAX(0,(Inputs!$B$3-100)*3)+Inputs!$B$28+Inputs!$B$29)))</f>
        <v/>
      </c>
      <c r="E121">
        <f>INDEX(FactorTable!$B$2:$Y$301, MATCH(ROUND(MIN(300,MAX(1,D121)),0), FactorTable!$A$2:$A$301,0), Skills!M11+1)</f>
        <v/>
      </c>
      <c r="F121">
        <f>IF(Skills!N11=TRUE,(Skills!L11/10)*(E121/1000),Skills!L11/10)+Skills!O11</f>
        <v/>
      </c>
      <c r="G121">
        <f>Skills!G11*IF(Skills!H11&gt;0,Skills!I11/Skills!H11,1)</f>
        <v/>
      </c>
      <c r="H121">
        <f>1-(1-Skills!J11/100)^Skills!K11</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130=TRUE)*(F130-Calc!F20)),(Inputs!$B$23+0+(IF(ArtifactsInput!$M$15,CHOOSE(ArtifactsInput!$N$15+1,25,30,35,40,45,50)/100*(Inputs!$B$11-Inputs!$B$11),0))))/100+(Inputs!$B$23+0+(IF(ArtifactsInput!$M$15,CHOOSE(ArtifactsInput!$N$15+1,25,30,35,40,45,50)/100*(Inputs!$B$11-Inputs!$B$11),0)))/100)/2</f>
        <v/>
      </c>
      <c r="M121">
        <f>L121*(1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IF(B146=0,0,O121/B146)</f>
        <v/>
      </c>
      <c r="Q121">
        <f>IFERROR(1/(IF(Inputs!$B$38="pvp",15,MAX(0.1,Skills!D11-IF(Skills!E11=TRUE,Inputs!$B$32,0)))*(1-IF(AND(ArtifactsInput!$M$27,Inputs!$B$4="Chapter Hunt"),CHOOSE(ArtifactsInput!$N$27+1,20,24,28,32,36,40),0)/100)),0)</f>
        <v/>
      </c>
      <c r="R121">
        <f>IF(AND(Inputs!$B$38&lt;&gt;"pvp",Inputs!$B$43&gt;0),IF(MAX(0,Inputs!$B$43-B143)&lt;=0,0,(INT(MAX(0,Inputs!$B$43-B143)/(IF(Inputs!$B$38="pvp",15,MAX(0.1,Skills!D11-IF(Skills!E11=TRUE,Inputs!$B$32,0)))*(1-IF(AND(ArtifactsInput!$M$27,Inputs!$B$4="Chapter Hunt"),CHOOSE(ArtifactsInput!$N$27+1,20,24,28,32,36,40),0)/100)))+1)),0)</f>
        <v/>
      </c>
      <c r="S121">
        <f>IFERROR(O121/N121,0)</f>
        <v/>
      </c>
      <c r="T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$21+Skills!Q11+(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Inputs!$B$3&gt;=100</f>
        <v/>
      </c>
      <c r="D122">
        <f>IF(Skills!C12=1,60+Inputs!$B$25+Inputs!$B$29,IF(Skills!C12=2,90+Inputs!$B$26+Inputs!$B$29,IF(Skills!C12=3,120+Inputs!$B$27+Inputs!$B$29,MAX(0,(Inputs!$B$3-100)*3)+Inputs!$B$28+Inputs!$B$29)))</f>
        <v/>
      </c>
      <c r="E122">
        <f>INDEX(FactorTable!$B$2:$Y$301, MATCH(ROUND(MIN(300,MAX(1,D122)),0), FactorTable!$A$2:$A$301,0), Skills!M12+1)</f>
        <v/>
      </c>
      <c r="F122">
        <f>IF(Skills!N12=TRUE,(Skills!L12/10)*(E122/1000),Skills!L12/10)+Skills!O12</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V122" t="inlineStr"/>
    </row>
    <row r="123">
      <c r="A123">
        <f>Skills!A13</f>
        <v/>
      </c>
      <c r="B123">
        <f>Skills!B13</f>
        <v/>
      </c>
      <c r="C123">
        <f>Inputs!$B$3&gt;=66</f>
        <v/>
      </c>
      <c r="D123">
        <f>IF(Skills!C13=1,60+Inputs!$B$25+Inputs!$B$29,IF(Skills!C13=2,90+Inputs!$B$26+Inputs!$B$29,IF(Skills!C13=3,120+Inputs!$B$27+Inputs!$B$29,MAX(0,(Inputs!$B$3-100)*3)+Inputs!$B$28+Inputs!$B$29)))</f>
        <v/>
      </c>
      <c r="E123">
        <f>INDEX(FactorTable!$B$2:$Y$301, MATCH(ROUND(MIN(300,MAX(1,D123)),0), FactorTable!$A$2:$A$301,0), Skills!M13+1)</f>
        <v/>
      </c>
      <c r="F123">
        <f>IF(Skills!N13=TRUE,(Skills!L13/10)*(E123/1000),Skills!L13/10)+Skills!O13</f>
        <v/>
      </c>
      <c r="G123">
        <f>Skills!G13*IF(Skills!H13&gt;0,Skills!I13/Skills!H13,1)</f>
        <v/>
      </c>
      <c r="H123">
        <f>1-(1-Skills!J13/100)^Skills!K13</f>
        <v/>
      </c>
      <c r="I123" t="inlineStr">
        <is>
          <t>1</t>
        </is>
      </c>
      <c r="J123" t="inlineStr"/>
      <c r="K123" t="inlineStr"/>
      <c r="L123" t="inlineStr"/>
      <c r="M123" t="inlineStr"/>
      <c r="N123" t="inlineStr"/>
      <c r="O123">
        <f>(1-Summary!$B$11)*T123+Summary!$B$11*V123</f>
        <v/>
      </c>
      <c r="P123">
        <f>IF(B146=0,0,O123/B146)</f>
        <v/>
      </c>
      <c r="Q123" t="n">
        <v>0</v>
      </c>
      <c r="R123" t="n">
        <v>0</v>
      </c>
      <c r="S123">
        <f>IFERROR(O123/N123,0)</f>
        <v/>
      </c>
      <c r="T123" t="n">
        <v>0</v>
      </c>
      <c r="V123" t="n">
        <v>0</v>
      </c>
    </row>
    <row r="124">
      <c r="A124">
        <f>Skills!A14</f>
        <v/>
      </c>
      <c r="B124">
        <f>Skills!B14</f>
        <v/>
      </c>
      <c r="C124">
        <f>Inputs!$B$3&gt;=107</f>
        <v/>
      </c>
      <c r="D124">
        <f>IF(Skills!C14=1,60+Inputs!$B$25+Inputs!$B$29,IF(Skills!C14=2,90+Inputs!$B$26+Inputs!$B$29,IF(Skills!C14=3,120+Inputs!$B$27+Inputs!$B$29,MAX(0,(Inputs!$B$3-100)*3)+Inputs!$B$28+Inputs!$B$29)))</f>
        <v/>
      </c>
      <c r="E124">
        <f>INDEX(FactorTable!$B$2:$Y$301, MATCH(ROUND(MIN(300,MAX(1,D124)),0), FactorTable!$A$2:$A$301,0), Skills!M14+1)</f>
        <v/>
      </c>
      <c r="F124">
        <f>IF(Skills!N14=TRUE,(Skills!L14/10)*(E124/1000),Skills!L14/10)+Skills!O14</f>
        <v/>
      </c>
      <c r="G124">
        <f>Skills!G14*IF(Skills!H14&gt;0,Skills!I14/Skills!H14,1)</f>
        <v/>
      </c>
      <c r="H124">
        <f>1-(1-Skills!J14/100)^Skills!K14</f>
        <v/>
      </c>
      <c r="I124" t="inlineStr">
        <is>
          <t>1</t>
        </is>
      </c>
      <c r="J124" t="inlineStr"/>
      <c r="K124" t="inlineStr"/>
      <c r="L124" t="inlineStr"/>
      <c r="M124" t="inlineStr"/>
      <c r="N124" t="inlineStr"/>
      <c r="O124">
        <f>(1-Summary!$B$11)*T124+Summary!$B$11*V124</f>
        <v/>
      </c>
      <c r="P124">
        <f>IF(B146=0,0,O124/B146)</f>
        <v/>
      </c>
      <c r="Q124" t="n">
        <v>0</v>
      </c>
      <c r="R124" t="n">
        <v>0</v>
      </c>
      <c r="S124">
        <f>IFERROR(O124/N124,0)</f>
        <v/>
      </c>
      <c r="T124" t="n">
        <v>0</v>
      </c>
      <c r="V124" t="n">
        <v>0</v>
      </c>
    </row>
    <row r="125">
      <c r="A125">
        <f>Skills!A15</f>
        <v/>
      </c>
      <c r="B125">
        <f>Skills!B15</f>
        <v/>
      </c>
      <c r="C125">
        <f>Inputs!$B$3&gt;=115</f>
        <v/>
      </c>
      <c r="D125">
        <f>IF(Skills!C15=1,60+Inputs!$B$25+Inputs!$B$29,IF(Skills!C15=2,90+Inputs!$B$26+Inputs!$B$29,IF(Skills!C15=3,120+Inputs!$B$27+Inputs!$B$29,MAX(0,(Inputs!$B$3-100)*3)+Inputs!$B$28+Inputs!$B$29)))</f>
        <v/>
      </c>
      <c r="E125">
        <f>INDEX(FactorTable!$B$2:$Y$301, MATCH(ROUND(MIN(300,MAX(1,D125)),0), FactorTable!$A$2:$A$301,0), Skills!M15+1)</f>
        <v/>
      </c>
      <c r="F125">
        <f>IF(Skills!N15=TRUE,(Skills!L15/10)*(E125/1000),Skills!L15/10)+Skills!O15</f>
        <v/>
      </c>
      <c r="G125">
        <f>Skills!G15*IF(Skills!H15&gt;0,Skills!I15/Skills!H15,1)</f>
        <v/>
      </c>
      <c r="H125">
        <f>1-(1-Skills!J15/100)^Skills!K15</f>
        <v/>
      </c>
      <c r="I125" t="inlineStr">
        <is>
          <t>1</t>
        </is>
      </c>
      <c r="J125" t="inlineStr"/>
      <c r="K125" t="inlineStr"/>
      <c r="L125" t="inlineStr"/>
      <c r="M125" t="inlineStr"/>
      <c r="N125" t="inlineStr"/>
      <c r="O125">
        <f>(1-Summary!$B$11)*T125+Summary!$B$11*V125</f>
        <v/>
      </c>
      <c r="P125">
        <f>IF(B146=0,0,O125/B146)</f>
        <v/>
      </c>
      <c r="Q125" t="n">
        <v>0</v>
      </c>
      <c r="R125" t="n">
        <v>0</v>
      </c>
      <c r="S125">
        <f>IFERROR(O125/N125,0)</f>
        <v/>
      </c>
      <c r="T125" t="n">
        <v>0</v>
      </c>
      <c r="V125" t="n">
        <v>0</v>
      </c>
    </row>
    <row r="126">
      <c r="A126">
        <f>Skills!A16</f>
        <v/>
      </c>
      <c r="B126">
        <f>Skills!B16</f>
        <v/>
      </c>
      <c r="C126">
        <f>Inputs!$B$3&gt;=15</f>
        <v/>
      </c>
      <c r="D126">
        <f>IF(Skills!C16=1,60+Inputs!$B$25+Inputs!$B$29,IF(Skills!C16=2,90+Inputs!$B$26+Inputs!$B$29,IF(Skills!C16=3,120+Inputs!$B$27+Inputs!$B$29,MAX(0,(Inputs!$B$3-100)*3)+Inputs!$B$28+Inputs!$B$29)))</f>
        <v/>
      </c>
      <c r="E126">
        <f>INDEX(FactorTable!$B$2:$Y$301, MATCH(ROUND(MIN(300,MAX(1,D126)),0), FactorTable!$A$2:$A$301,0), Skills!M16+1)</f>
        <v/>
      </c>
      <c r="F126">
        <f>IF(Skills!N16=TRUE,(Skills!L16/10)*(E126/1000),Skills!L16/10)+Skills!O16</f>
        <v/>
      </c>
      <c r="G126">
        <f>Skills!G16*IF(Skills!H16&gt;0,Skills!I16/Skills!H16,1)</f>
        <v/>
      </c>
      <c r="H126">
        <f>1-(1-Skills!J16/100)^Skills!K16</f>
        <v/>
      </c>
      <c r="I126" t="inlineStr">
        <is>
          <t>1</t>
        </is>
      </c>
      <c r="J126" t="inlineStr"/>
      <c r="K126" t="inlineStr"/>
      <c r="L126" t="inlineStr"/>
      <c r="M126" t="inlineStr"/>
      <c r="N126" t="inlineStr"/>
      <c r="O126">
        <f>(1-Summary!$B$11)*T126+Summary!$B$11*V126</f>
        <v/>
      </c>
      <c r="P126">
        <f>IF(B146=0,0,O126/B146)</f>
        <v/>
      </c>
      <c r="Q126" t="n">
        <v>0</v>
      </c>
      <c r="R126" t="n">
        <v>0</v>
      </c>
      <c r="S126">
        <f>IFERROR(O126/N126,0)</f>
        <v/>
      </c>
      <c r="T126" t="n">
        <v>0</v>
      </c>
      <c r="V126" t="n">
        <v>0</v>
      </c>
    </row>
    <row r="127">
      <c r="A127">
        <f>Skills!A17</f>
        <v/>
      </c>
      <c r="B127">
        <f>Skills!B17</f>
        <v/>
      </c>
      <c r="C127">
        <f>Inputs!$B$3&gt;=10</f>
        <v/>
      </c>
      <c r="D127">
        <f>IF(Skills!C17=1,60+Inputs!$B$25+Inputs!$B$29,IF(Skills!C17=2,90+Inputs!$B$26+Inputs!$B$29,IF(Skills!C17=3,120+Inputs!$B$27+Inputs!$B$29,MAX(0,(Inputs!$B$3-100)*3)+Inputs!$B$28+Inputs!$B$29)))</f>
        <v/>
      </c>
      <c r="E127">
        <f>INDEX(FactorTable!$B$2:$Y$301, MATCH(ROUND(MIN(300,MAX(1,D127)),0), FactorTable!$A$2:$A$301,0), Skills!M17+1)</f>
        <v/>
      </c>
      <c r="F127">
        <f>IF(Skills!N17=TRUE,(Skills!L17/10)*(E127/1000),Skills!L17/10)+Skills!O17</f>
        <v/>
      </c>
      <c r="G127">
        <f>Skills!G17*IF(Skills!H17&gt;0,Skills!I17/Skills!H17,1)</f>
        <v/>
      </c>
      <c r="H127">
        <f>1-(1-Skills!J17/100)^Skills!K17</f>
        <v/>
      </c>
      <c r="I127" t="inlineStr">
        <is>
          <t>1</t>
        </is>
      </c>
      <c r="J127" t="inlineStr"/>
      <c r="K127" t="inlineStr"/>
      <c r="L127" t="inlineStr"/>
      <c r="M127" t="inlineStr"/>
      <c r="N127" t="inlineStr"/>
      <c r="O127">
        <f>(1-Summary!$B$11)*T127+Summary!$B$11*V127</f>
        <v/>
      </c>
      <c r="P127">
        <f>IF(B146=0,0,O127/B146)</f>
        <v/>
      </c>
      <c r="Q127" t="n">
        <v>0</v>
      </c>
      <c r="R127" t="n">
        <v>0</v>
      </c>
      <c r="S127">
        <f>IFERROR(O127/N127,0)</f>
        <v/>
      </c>
      <c r="T127" t="n">
        <v>0</v>
      </c>
      <c r="V127" t="n">
        <v>0</v>
      </c>
    </row>
    <row r="128">
      <c r="A128">
        <f>Skills!A18</f>
        <v/>
      </c>
      <c r="B128">
        <f>Skills!B18</f>
        <v/>
      </c>
      <c r="C128">
        <f>Inputs!$B$3&gt;=33</f>
        <v/>
      </c>
      <c r="D128">
        <f>IF(Skills!C18=1,60+Inputs!$B$25+Inputs!$B$29,IF(Skills!C18=2,90+Inputs!$B$26+Inputs!$B$29,IF(Skills!C18=3,120+Inputs!$B$27+Inputs!$B$29,MAX(0,(Inputs!$B$3-100)*3)+Inputs!$B$28+Inputs!$B$29)))</f>
        <v/>
      </c>
      <c r="E128">
        <f>INDEX(FactorTable!$B$2:$Y$301, MATCH(ROUND(MIN(300,MAX(1,D128)),0), FactorTable!$A$2:$A$301,0), Skills!M18+1)</f>
        <v/>
      </c>
      <c r="F128">
        <f>IF(Skills!N18=TRUE,(Skills!L18/10)*(E128/1000),Skills!L18/10)+Skills!O18</f>
        <v/>
      </c>
      <c r="G128">
        <f>Skills!G18*IF(Skills!H18&gt;0,Skills!I18/Skills!H18,1)</f>
        <v/>
      </c>
      <c r="H128">
        <f>1-(1-Skills!J18/100)^Skills!K18</f>
        <v/>
      </c>
      <c r="I128" t="inlineStr">
        <is>
          <t>1</t>
        </is>
      </c>
      <c r="J128" t="inlineStr"/>
      <c r="K128" t="inlineStr"/>
      <c r="L128" t="inlineStr"/>
      <c r="M128" t="inlineStr"/>
      <c r="N128" t="inlineStr"/>
      <c r="O128">
        <f>(1-Summary!$B$11)*T128+Summary!$B$11*V128</f>
        <v/>
      </c>
      <c r="P128">
        <f>IF(B146=0,0,O128/B146)</f>
        <v/>
      </c>
      <c r="Q128" t="n">
        <v>0</v>
      </c>
      <c r="R128" t="n">
        <v>0</v>
      </c>
      <c r="S128">
        <f>IFERROR(O128/N128,0)</f>
        <v/>
      </c>
      <c r="T128" t="n">
        <v>0</v>
      </c>
      <c r="V128" t="n">
        <v>0</v>
      </c>
    </row>
    <row r="129">
      <c r="A129">
        <f>Skills!A19</f>
        <v/>
      </c>
      <c r="B129">
        <f>Skills!B19</f>
        <v/>
      </c>
      <c r="C129">
        <f>Inputs!$B$3&gt;=40</f>
        <v/>
      </c>
      <c r="D129">
        <f>IF(Skills!C19=1,60+Inputs!$B$25+Inputs!$B$29,IF(Skills!C19=2,90+Inputs!$B$26+Inputs!$B$29,IF(Skills!C19=3,120+Inputs!$B$27+Inputs!$B$29,MAX(0,(Inputs!$B$3-100)*3)+Inputs!$B$28+Inputs!$B$29)))</f>
        <v/>
      </c>
      <c r="E129">
        <f>INDEX(FactorTable!$B$2:$Y$301, MATCH(ROUND(MIN(300,MAX(1,D129)),0), FactorTable!$A$2:$A$301,0), Skills!M19+1)</f>
        <v/>
      </c>
      <c r="F129">
        <f>IF(Skills!N19=TRUE,(Skills!L19/10)*(E129/1000),Skills!L19/10)+Skills!O19</f>
        <v/>
      </c>
      <c r="G129">
        <f>Skills!G19*IF(Skills!H19&gt;0,Skills!I19/Skills!H19,1)</f>
        <v/>
      </c>
      <c r="H129">
        <f>1-(1-Skills!J19/100)^Skills!K19</f>
        <v/>
      </c>
      <c r="I129" t="inlineStr">
        <is>
          <t>1</t>
        </is>
      </c>
      <c r="J129" t="inlineStr"/>
      <c r="K129" t="inlineStr"/>
      <c r="L129" t="inlineStr"/>
      <c r="M129" t="inlineStr"/>
      <c r="N129" t="inlineStr"/>
      <c r="O129">
        <f>(1-Summary!$B$11)*T129+Summary!$B$11*V129</f>
        <v/>
      </c>
      <c r="P129">
        <f>IF(B146=0,0,O129/B146)</f>
        <v/>
      </c>
      <c r="Q129" t="n">
        <v>0</v>
      </c>
      <c r="R129" t="n">
        <v>0</v>
      </c>
      <c r="S129">
        <f>IFERROR(O129/N129,0)</f>
        <v/>
      </c>
      <c r="T129" t="n">
        <v>0</v>
      </c>
      <c r="V129" t="n">
        <v>0</v>
      </c>
    </row>
    <row r="130">
      <c r="A130">
        <f>Skills!A20</f>
        <v/>
      </c>
      <c r="B130">
        <f>Skills!B20</f>
        <v/>
      </c>
      <c r="C130">
        <f>Inputs!$B$3&gt;=43</f>
        <v/>
      </c>
      <c r="D130">
        <f>IF(Skills!C20=1,60+Inputs!$B$25+Inputs!$B$29,IF(Skills!C20=2,90+Inputs!$B$26+Inputs!$B$29,IF(Skills!C20=3,120+Inputs!$B$27+Inputs!$B$29,MAX(0,(Inputs!$B$3-100)*3)+Inputs!$B$28+Inputs!$B$29)))</f>
        <v/>
      </c>
      <c r="E130">
        <f>INDEX(FactorTable!$B$2:$Y$301, MATCH(ROUND(MIN(300,MAX(1,D130)),0), FactorTable!$A$2:$A$301,0), Skills!M20+1)</f>
        <v/>
      </c>
      <c r="F130">
        <f>IF(Skills!N20=TRUE,(Skills!L20/10)*(E130/1000),Skills!L20/10)+Skills!O20</f>
        <v/>
      </c>
      <c r="G130">
        <f>Skills!G20*IF(Skills!H20&gt;0,Skills!I20/Skills!H20,1)</f>
        <v/>
      </c>
      <c r="H130">
        <f>1-(1-Skills!J20/100)^Skills!K20</f>
        <v/>
      </c>
      <c r="I130" t="inlineStr">
        <is>
          <t>1</t>
        </is>
      </c>
      <c r="J130" t="inlineStr"/>
      <c r="K130" t="inlineStr"/>
      <c r="L130" t="inlineStr"/>
      <c r="M130" t="inlineStr"/>
      <c r="N130" t="inlineStr"/>
      <c r="O130">
        <f>(1-Summary!$B$11)*T130+Summary!$B$11*V130</f>
        <v/>
      </c>
      <c r="P130">
        <f>IF(B146=0,0,O130/B146)</f>
        <v/>
      </c>
      <c r="Q130" t="n">
        <v>0</v>
      </c>
      <c r="R130" t="n">
        <v>0</v>
      </c>
      <c r="S130">
        <f>IFERROR(O130/N130,0)</f>
        <v/>
      </c>
      <c r="T130" t="n">
        <v>0</v>
      </c>
      <c r="V130" t="n">
        <v>0</v>
      </c>
    </row>
    <row r="131">
      <c r="A131">
        <f>Skills!A21</f>
        <v/>
      </c>
      <c r="B131">
        <f>Skills!B21</f>
        <v/>
      </c>
      <c r="C131">
        <f>Inputs!$B$3&gt;=38</f>
        <v/>
      </c>
      <c r="D131">
        <f>IF(Skills!C21=1,60+Inputs!$B$25+Inputs!$B$29,IF(Skills!C21=2,90+Inputs!$B$26+Inputs!$B$29,IF(Skills!C21=3,120+Inputs!$B$27+Inputs!$B$29,MAX(0,(Inputs!$B$3-100)*3)+Inputs!$B$28+Inputs!$B$29)))</f>
        <v/>
      </c>
      <c r="E131">
        <f>INDEX(FactorTable!$B$2:$Y$301, MATCH(ROUND(MIN(300,MAX(1,D131)),0), FactorTable!$A$2:$A$301,0), Skills!M21+1)</f>
        <v/>
      </c>
      <c r="F131">
        <f>IF(Skills!N21=TRUE,(Skills!L21/10)*(E131/1000),Skills!L21/10)+Skills!O21</f>
        <v/>
      </c>
      <c r="G131">
        <f>Skills!G21*IF(Skills!H21&gt;0,Skills!I21/Skills!H21,1)</f>
        <v/>
      </c>
      <c r="H131">
        <f>1-(1-Skills!J21/100)^Skills!K21</f>
        <v/>
      </c>
      <c r="I131" t="inlineStr">
        <is>
          <t>1</t>
        </is>
      </c>
      <c r="J131" t="inlineStr"/>
      <c r="K131" t="inlineStr"/>
      <c r="L131" t="inlineStr"/>
      <c r="M131" t="inlineStr"/>
      <c r="N131" t="inlineStr"/>
      <c r="O131">
        <f>(1-Summary!$B$11)*T131+Summary!$B$11*V131</f>
        <v/>
      </c>
      <c r="P131">
        <f>IF(B146=0,0,O131/B146)</f>
        <v/>
      </c>
      <c r="Q131" t="n">
        <v>0</v>
      </c>
      <c r="R131" t="n">
        <v>0</v>
      </c>
      <c r="S131">
        <f>IFERROR(O131/N131,0)</f>
        <v/>
      </c>
      <c r="T131" t="n">
        <v>0</v>
      </c>
      <c r="V131" t="n">
        <v>0</v>
      </c>
    </row>
    <row r="132">
      <c r="A132">
        <f>Skills!A22</f>
        <v/>
      </c>
      <c r="B132">
        <f>Skills!B22</f>
        <v/>
      </c>
      <c r="C132">
        <f>Inputs!$B$3&gt;=75</f>
        <v/>
      </c>
      <c r="D132">
        <f>IF(Skills!C22=1,60+Inputs!$B$25+Inputs!$B$29,IF(Skills!C22=2,90+Inputs!$B$26+Inputs!$B$29,IF(Skills!C22=3,120+Inputs!$B$27+Inputs!$B$29,MAX(0,(Inputs!$B$3-100)*3)+Inputs!$B$28+Inputs!$B$29)))</f>
        <v/>
      </c>
      <c r="E132">
        <f>INDEX(FactorTable!$B$2:$Y$301, MATCH(ROUND(MIN(300,MAX(1,D132)),0), FactorTable!$A$2:$A$301,0), Skills!M22+1)</f>
        <v/>
      </c>
      <c r="F132">
        <f>IF(Skills!N22=TRUE,(Skills!L22/10)*(E132/1000),Skills!L22/10)+Skills!O22</f>
        <v/>
      </c>
      <c r="G132">
        <f>Skills!G22*IF(Skills!H22&gt;0,Skills!I22/Skills!H22,1)</f>
        <v/>
      </c>
      <c r="H132">
        <f>1-(1-Skills!J22/100)^Skills!K22</f>
        <v/>
      </c>
      <c r="I132" t="inlineStr">
        <is>
          <t>1</t>
        </is>
      </c>
      <c r="J132" t="inlineStr"/>
      <c r="K132" t="inlineStr"/>
      <c r="L132" t="inlineStr"/>
      <c r="M132" t="inlineStr"/>
      <c r="N132" t="inlineStr"/>
      <c r="O132">
        <f>(1-Summary!$B$11)*T132+Summary!$B$11*V132</f>
        <v/>
      </c>
      <c r="P132">
        <f>IF(B146=0,0,O132/B146)</f>
        <v/>
      </c>
      <c r="Q132" t="n">
        <v>0</v>
      </c>
      <c r="R132" t="n">
        <v>0</v>
      </c>
      <c r="S132">
        <f>IFERROR(O132/N132,0)</f>
        <v/>
      </c>
      <c r="T132" t="n">
        <v>0</v>
      </c>
      <c r="V132" t="n">
        <v>0</v>
      </c>
    </row>
    <row r="133">
      <c r="A133">
        <f>Skills!A23</f>
        <v/>
      </c>
      <c r="B133">
        <f>Skills!B23</f>
        <v/>
      </c>
      <c r="C133">
        <f>TRUE</f>
        <v/>
      </c>
      <c r="D133">
        <f>IF(Skills!C23=1,60+Inputs!$B$25+Inputs!$B$29,IF(Skills!C23=2,90+Inputs!$B$26+Inputs!$B$29,IF(Skills!C23=3,120+Inputs!$B$27+Inputs!$B$29,MAX(0,(Inputs!$B$3-100)*3)+Inputs!$B$28+Inputs!$B$29)))</f>
        <v/>
      </c>
      <c r="E133">
        <f>INDEX(FactorTable!$B$2:$Y$301, MATCH(ROUND(MIN(300,MAX(1,D133)),0), FactorTable!$A$2:$A$301,0), Skills!M23+1)</f>
        <v/>
      </c>
      <c r="F133">
        <f>IF(Skills!N23=TRUE,(Skills!L23/10)*(E133/1000),Skills!L23/10)+Skills!O23</f>
        <v/>
      </c>
      <c r="G133">
        <f>Skills!G23*IF(Skills!H23&gt;0,Skills!I23/Skills!H23,1)</f>
        <v/>
      </c>
      <c r="H133">
        <f>1-(1-Skills!J23/100)^Skills!K23</f>
        <v/>
      </c>
      <c r="I133" t="inlineStr">
        <is>
          <t>1</t>
        </is>
      </c>
      <c r="J133" t="inlineStr"/>
      <c r="K133" t="inlineStr"/>
      <c r="L133" t="inlineStr"/>
      <c r="M133" t="inlineStr"/>
      <c r="N133" t="inlineStr"/>
      <c r="O133">
        <f>(1-Summary!$B$11)*T133+Summary!$B$11*V133</f>
        <v/>
      </c>
      <c r="P133">
        <f>IF(B146=0,0,O133/B146)</f>
        <v/>
      </c>
      <c r="Q133">
        <f>IFERROR(1/(IF(Inputs!$B$38="pvp",15,MAX(0.1,Skills!D23-IF(Skills!E23=TRUE,Inputs!$B$32,0)))*(1-IF(AND(ArtifactsInput!$M$27,Inputs!$B$4="Chapter Hunt"),CHOOSE(ArtifactsInput!$N$27+1,20,24,28,32,36,40),0)/100)),0)</f>
        <v/>
      </c>
      <c r="R133">
        <f>IF(AND(Inputs!$B$38&lt;&gt;"pvp",Inputs!$B$43&gt;0),IF(Inputs!$B$43&lt;=0,0,(INT(Inputs!$B$43/(IF(Inputs!$B$38="pvp",15,MAX(0.1,Skills!D23-IF(Skills!E23=TRUE,Inputs!$B$32,0)))*(1-IF(AND(ArtifactsInput!$M$27,Inputs!$B$4="Chapter Hunt"),CHOOSE(ArtifactsInput!$N$27+1,20,24,28,32,36,40),0)/100)))+1)),0)</f>
        <v/>
      </c>
      <c r="S133">
        <f>IFERROR(O133/N133,0)</f>
        <v/>
      </c>
      <c r="T133" t="n">
        <v>0</v>
      </c>
      <c r="V133" t="n">
        <v>0</v>
      </c>
    </row>
    <row r="135">
      <c r="A135" t="inlineStr">
        <is>
          <t>Attack% Bucket Multiplier</t>
        </is>
      </c>
      <c r="B135">
        <f>(1+(((C123=TRUE)*F123*5/7)+((C129=TRUE)*(F129-Calc!F19))+(IF(ArtifactsInput!$M$21,CHOOSE(ArtifactsInput!$N$21+1,25,30,35,40,45,50)*(IF(OR(Inputs!$B$4="Chapter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
      <c r="A136" t="inlineStr">
        <is>
          <t>Global Crit Rate Bonus %</t>
        </is>
      </c>
      <c r="B136" t="n">
        <v>0</v>
      </c>
    </row>
    <row r="137">
      <c r="A137" t="inlineStr">
        <is>
          <t>Attack Speed Buff Bonus % (Nimble Feet, duty-cycle averaged)</t>
        </is>
      </c>
      <c r="B137">
        <f>((C133=TRUE)*F133*IF(AND(Inputs!$B$38&lt;&gt;"pvp",Inputs!$B$43&gt;0),(((R133-1)*(Skills!T23*(1+Inputs!$B$34/100))+MIN((Skills!T23*(1+Inputs!$B$34/100)),MAX(0,Inputs!$B$43-((R133-1)*Skills!D23))))/Inputs!$B$43),IF(Inputs!$B$38="pvp",MIN((Skills!T23*(1+Inputs!$B$34/100)),15)/15,(Skills!T23*(1+Inputs!$B$34/100))/Skills!D23)))</f>
        <v/>
      </c>
    </row>
    <row r="138">
      <c r="A138" t="inlineStr">
        <is>
          <t>Actions Per Second</t>
        </is>
      </c>
      <c r="B138">
        <f>1+MIN(150,150*(1-(1-(Inputs!$B$11+((C127=TRUE)*(F127-Calc!F17))+((C128=TRUE)*(F128-Calc!F18)))/150)*(1-B137/150)))/100</f>
        <v/>
      </c>
    </row>
    <row r="139">
      <c r="A139" t="inlineStr">
        <is>
          <t>Skill + Buff Cast Rate</t>
        </is>
      </c>
      <c r="B139">
        <f>IF(AND(Inputs!$B$38&lt;&gt;"pvp",Inputs!$B$43&gt;0),SUMPRODUCT((Skills!E2:E23=TRUE)*(C112:C133=TRUE)*R112:R133*Skills!F2:F23)/Inputs!$B$43,SUMPRODUCT((Skills!E2:E23=TRUE)*(C112:C133=TRUE)*Q112:Q133*Skills!F2:F23))</f>
        <v/>
      </c>
    </row>
    <row r="140">
      <c r="A140" t="inlineStr">
        <is>
          <t>Hook Bomber Casts Per Second</t>
        </is>
      </c>
      <c r="B140">
        <f>MAX(0,B138-B139)</f>
        <v/>
      </c>
    </row>
    <row r="141">
      <c r="A141" t="inlineStr">
        <is>
          <t>Global Critical Damage Bonus % (unused)</t>
        </is>
      </c>
      <c r="B141" t="n">
        <v>0</v>
      </c>
    </row>
    <row r="142">
      <c r="A142" t="inlineStr">
        <is>
          <t>Global Final Damage Bonus % (Serpent Scale + Crossbones + Time Leap + Speed Infusion)</t>
        </is>
      </c>
      <c r="B142">
        <f>((C115=TRUE)*F115*((10+IF(Inputs!$B$3&gt;=94,5,0))/((10+IF(Inputs!$B$3&gt;=94,5,0))+5/(B140*(1+IF(Inputs!$B$3&gt;=104,1,0))))))+((C124=TRUE)*F124)+((C125=TRUE)*F125)+((Inputs!$B$3&gt;=110)*20*(B138-1))</f>
        <v/>
      </c>
    </row>
    <row r="143">
      <c r="A143" t="inlineStr">
        <is>
          <t>Buff-Casting Startup Delay (s, fixed-duration only)</t>
        </is>
      </c>
      <c r="B143">
        <f>IF(AND(Inputs!$B$38&lt;&gt;"pvp",Inputs!$B$43&gt;0),SUMPRODUCT((Skills!T2:T23&gt;0)*(Skills!E2:E23=TRUE)*(C112:C133=TRUE))/B138,0)</f>
        <v/>
      </c>
    </row>
    <row r="144">
      <c r="A144" t="inlineStr">
        <is>
          <t>Boss-Only Total DPS (this block's swept value)</t>
        </is>
      </c>
      <c r="B144">
        <f>SUM(T112:T133)</f>
        <v/>
      </c>
    </row>
    <row r="145">
      <c r="A145" t="inlineStr">
        <is>
          <t>Normal-Only Total DPS (this block's swept value)</t>
        </is>
      </c>
      <c r="B145">
        <f>SUM(V112:V133)</f>
        <v/>
      </c>
    </row>
    <row r="146">
      <c r="A146" s="6" t="inlineStr">
        <is>
          <t>TOTAL DPS</t>
        </is>
      </c>
      <c r="B146" s="6">
        <f>SUM(O112:O133)</f>
        <v/>
      </c>
    </row>
    <row r="149">
      <c r="A149" s="6" t="inlineStr">
        <is>
          <t>Stat: DEX</t>
        </is>
      </c>
    </row>
    <row r="150">
      <c r="A150" s="5" t="inlineStr">
        <is>
          <t>Key</t>
        </is>
      </c>
      <c r="B150" s="5" t="inlineStr">
        <is>
          <t>Name</t>
        </is>
      </c>
      <c r="C150" s="5" t="inlineStr">
        <is>
          <t>Unlocked</t>
        </is>
      </c>
      <c r="D150" s="5" t="inlineStr">
        <is>
          <t>InputLevel</t>
        </is>
      </c>
      <c r="E150" s="5" t="inlineStr">
        <is>
          <t>Factor</t>
        </is>
      </c>
      <c r="F150" s="5" t="inlineStr">
        <is>
          <t>CoefficientPercent</t>
        </is>
      </c>
      <c r="G150" s="5" t="inlineStr">
        <is>
          <t>EffectiveHits</t>
        </is>
      </c>
      <c r="H150" s="5" t="inlineStr">
        <is>
          <t>ProcProbability</t>
        </is>
      </c>
      <c r="I150" s="5" t="inlineStr">
        <is>
          <t>MapleHeroMultiplier</t>
        </is>
      </c>
      <c r="J150" s="5" t="inlineStr">
        <is>
          <t>BaseDamage</t>
        </is>
      </c>
      <c r="K150" s="5" t="inlineStr">
        <is>
          <t>BaseHitDamage</t>
        </is>
      </c>
      <c r="L150" s="5" t="inlineStr">
        <is>
          <t>NonCritAvg</t>
        </is>
      </c>
      <c r="M150" s="5" t="inlineStr">
        <is>
          <t>CritAvg</t>
        </is>
      </c>
      <c r="N150" s="5" t="inlineStr">
        <is>
          <t>ExpectedDamage(perHit)</t>
        </is>
      </c>
      <c r="O150" s="5" t="inlineStr">
        <is>
          <t>DPS</t>
        </is>
      </c>
      <c r="P150" s="5" t="inlineStr">
        <is>
          <t>% of Total</t>
        </is>
      </c>
      <c r="Q150" s="5" t="inlineStr">
        <is>
          <t>InvCooldown</t>
        </is>
      </c>
      <c r="R150" s="5" t="inlineStr">
        <is>
          <t>CastsInFight</t>
        </is>
      </c>
      <c r="S150" s="5" t="inlineStr">
        <is>
          <t>HitRate(perSec)</t>
        </is>
      </c>
      <c r="U150" t="inlineStr">
        <is>
          <t>helpers</t>
        </is>
      </c>
    </row>
    <row r="151">
      <c r="A151">
        <f>Skills!A2</f>
        <v/>
      </c>
      <c r="B151">
        <f>Skills!B2</f>
        <v/>
      </c>
      <c r="C151">
        <f>Inputs!$B$3&gt;=100</f>
        <v/>
      </c>
      <c r="D151" t="inlineStr"/>
      <c r="E151" t="inlineStr"/>
      <c r="F151">
        <f>U153+Skills!O2</f>
        <v/>
      </c>
      <c r="G151">
        <f>Skills!G2*IF(Skills!H2&gt;0,Skills!I2/Skills!H2,1)</f>
        <v/>
      </c>
      <c r="H151">
        <f>1-(1-Skills!J2/100)^Skills!K2</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169=TRUE)*(F169-Calc!F20)),(Inputs!$B$23+0+(IF(ArtifactsInput!$M$15,CHOOSE(ArtifactsInput!$N$15+1,25,30,35,40,45,50)/100*(Inputs!$B$11-Inputs!$B$11),0))))/100+(Inputs!$B$23+0+(IF(ArtifactsInput!$M$15,CHOOSE(ArtifactsInput!$N$15+1,25,30,35,40,45,50)/100*(Inputs!$B$11-Inputs!$B$11),0)))/100)/2</f>
        <v/>
      </c>
      <c r="M151">
        <f>L151*(1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IF(B185=0,0,O151/B185)</f>
        <v/>
      </c>
      <c r="Q151" t="n">
        <v>0</v>
      </c>
      <c r="R151" t="n">
        <v>0</v>
      </c>
      <c r="S151">
        <f>IFERROR(O151/N151,0)</f>
        <v/>
      </c>
      <c r="T151">
        <f>IF(C151,(Skills!G2*N151*B179)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MAX(0,(Inputs!$B$3-100)*3)+Inputs!$B$28+Inputs!$B$29</f>
        <v/>
      </c>
      <c r="V151">
        <f>IF(C151,(Skills!G2*N151*B179)*IF(Inputs!$B$38="pvp",1,(1+(Inputs!$B$21+Skills!Q2+(IF(ArtifactsInput!$M$33,CHOOSE(ArtifactsInput!$N$33+1,30,36,42,48,54,60),0))+(IF(AND(ArtifactsInput!$M$35,Inputs!$B$4&lt;&gt;"Chapter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Skills!A3</f>
        <v/>
      </c>
      <c r="B152">
        <f>Skills!B3</f>
        <v/>
      </c>
      <c r="C152">
        <f>Inputs!$B$3&gt;=35</f>
        <v/>
      </c>
      <c r="D152">
        <f>IF(Skills!C3=1,60+Inputs!$B$25+Inputs!$B$29,IF(Skills!C3=2,90+Inputs!$B$26+Inputs!$B$29,IF(Skills!C3=3,120+Inputs!$B$27+Inputs!$B$29,MAX(0,(Inputs!$B$3-100)*3)+Inputs!$B$28+Inputs!$B$29)))</f>
        <v/>
      </c>
      <c r="E152">
        <f>INDEX(FactorTable!$B$2:$Y$301, MATCH(ROUND(MIN(300,MAX(1,D152)),0), FactorTable!$A$2:$A$301,0), Skills!M3+1)</f>
        <v/>
      </c>
      <c r="F152">
        <f>IF(Skills!N3=TRUE,(Skills!L3/10)*(E152/1000),Skills!L3/10)+Skills!O3</f>
        <v/>
      </c>
      <c r="G152">
        <f>Skills!G3*IF(Skills!H3&gt;0,Skills!I3/Skills!H3,1)</f>
        <v/>
      </c>
      <c r="H152">
        <f>1-(1-Skills!J3/100)^Skills!K3</f>
        <v/>
      </c>
      <c r="I152" t="inlineStr">
        <is>
          <t>1</t>
        </is>
      </c>
      <c r="J152">
        <f>((Inputs!$B$6*(1+Inputs!$B$7/100))+(((Inputs!$B$12*(1+Inputs!$B$13/100))-(Inputs!$B$12*(1+Inputs!$B$13/100)))+0.25*((Inputs!$B$14+1)-Inputs!$B$14))*(1+Inputs!$B$7/100))*(F152/100)</f>
        <v/>
      </c>
      <c r="K152">
        <f>J152*(1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C169=TRUE)*(F169-Calc!F20)),(Inputs!$B$23+0+(IF(ArtifactsInput!$M$15,CHOOSE(ArtifactsInput!$N$15+1,25,30,35,40,45,50)/100*(Inputs!$B$11-Inputs!$B$11),0))))/100+(Inputs!$B$23+0+(IF(ArtifactsInput!$M$15,CHOOSE(ArtifactsInput!$N$15+1,25,30,35,40,45,50)/100*(Inputs!$B$11-Inputs!$B$11),0)))/100)/2</f>
        <v/>
      </c>
      <c r="M152">
        <f>L152*(1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(1-Summary!$B$11)*T152+Summary!$B$11*V152</f>
        <v/>
      </c>
      <c r="P152">
        <f>IF(B185=0,0,O152/B185)</f>
        <v/>
      </c>
      <c r="Q152" t="n">
        <v>0</v>
      </c>
      <c r="R152" t="n">
        <v>0</v>
      </c>
      <c r="S152">
        <f>IFERROR(O152/N152,0)</f>
        <v/>
      </c>
      <c r="T152">
        <f>IF(C152,(Skills!G3*H152*N152*B179)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
        <f>INDEX(FactorTable!$B$2:$Y$301, MATCH(ROUND(MIN(300,MAX(1,U151)),0), FactorTable!$A$2:$A$301,0), 22)</f>
        <v/>
      </c>
      <c r="V152">
        <f>IF(C152,(Skills!G3*H152*N152*B179)*IF(Inputs!$B$38="pvp",1,(1+(Inputs!$B$21+Skills!Q3+(IF(ArtifactsInput!$M$33,CHOOSE(ArtifactsInput!$N$33+1,30,36,42,48,54,60),0))+(IF(AND(ArtifactsInput!$M$35,Inputs!$B$4&lt;&gt;"Chapter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
      <c r="A153">
        <f>Skills!A4</f>
        <v/>
      </c>
      <c r="B153">
        <f>Skills!B4</f>
        <v/>
      </c>
      <c r="C153">
        <f>Inputs!$B$3&gt;=60</f>
        <v/>
      </c>
      <c r="D153">
        <f>IF(Skills!C4=1,60+Inputs!$B$25+Inputs!$B$29,IF(Skills!C4=2,90+Inputs!$B$26+Inputs!$B$29,IF(Skills!C4=3,120+Inputs!$B$27+Inputs!$B$29,MAX(0,(Inputs!$B$3-100)*3)+Inputs!$B$28+Inputs!$B$29)))</f>
        <v/>
      </c>
      <c r="E153">
        <f>INDEX(FactorTable!$B$2:$Y$301, MATCH(ROUND(MIN(300,MAX(1,D153)),0), FactorTable!$A$2:$A$301,0), Skills!M4+1)</f>
        <v/>
      </c>
      <c r="F153">
        <f>IF(Skills!N4=TRUE,(Skills!L4/10)*(E153/1000),Skills!L4/10)+Skills!O4</f>
        <v/>
      </c>
      <c r="G153">
        <f>Skills!G4*IF(Skills!H4&gt;0,Skills!I4/Skills!H4,1)</f>
        <v/>
      </c>
      <c r="H153">
        <f>1-(1-Skills!J4/100)^Skills!K4</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TRUE,F161,0)/100)*(1+(IF(Skills!A4="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169=TRUE)*(F169-Calc!F20)),(Inputs!$B$23+0+(IF(ArtifactsInput!$M$15,CHOOSE(ArtifactsInput!$N$15+1,25,30,35,40,45,50)/100*(Inputs!$B$11-Inputs!$B$11),0))))/100+(Inputs!$B$23+0+(IF(ArtifactsInput!$M$15,CHOOSE(ArtifactsInput!$N$15+1,25,30,35,40,45,50)/100*(Inputs!$B$11-Inputs!$B$11),0)))/100)/2</f>
        <v/>
      </c>
      <c r="M153">
        <f>L153*(1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IF(B185=0,0,O153/B185)</f>
        <v/>
      </c>
      <c r="Q153" t="n">
        <v>0</v>
      </c>
      <c r="R153" t="n">
        <v>0</v>
      </c>
      <c r="S153">
        <f>IFERROR(O153/N153,0)</f>
        <v/>
      </c>
      <c r="T153">
        <f>IF(C153,(Skills!G4*H153*N153*B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290*U152/1000</f>
        <v/>
      </c>
      <c r="V153">
        <f>IF(C153,(Skills!G4*H153*N153*B179)*IF(Inputs!$B$38="pvp",1,(1+(Inputs!$B$21+Skills!Q4+(IF(ArtifactsInput!$M$33,CHOOSE(ArtifactsInput!$N$33+1,30,36,42,48,54,60),0))+(IF(AND(ArtifactsInput!$M$35,Inputs!$B$4&lt;&gt;"Chapter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Skills!A5</f>
        <v/>
      </c>
      <c r="B154">
        <f>Skills!B5</f>
        <v/>
      </c>
      <c r="C154">
        <f>Inputs!$B$3&gt;=60</f>
        <v/>
      </c>
      <c r="D154">
        <f>IF(Skills!C5=1,60+Inputs!$B$25+Inputs!$B$29,IF(Skills!C5=2,90+Inputs!$B$26+Inputs!$B$29,IF(Skills!C5=3,120+Inputs!$B$27+Inputs!$B$29,MAX(0,(Inputs!$B$3-100)*3)+Inputs!$B$28+Inputs!$B$29)))</f>
        <v/>
      </c>
      <c r="E154">
        <f>INDEX(FactorTable!$B$2:$Y$301, MATCH(ROUND(MIN(300,MAX(1,D154)),0), FactorTable!$A$2:$A$301,0), Skills!M5+1)</f>
        <v/>
      </c>
      <c r="F154">
        <f>IF(Skills!N5=TRUE,(Skills!L5/10)*(E154/1000),Skills!L5/10)+Skills!O5</f>
        <v/>
      </c>
      <c r="G154">
        <f>Skills!G5*IF(Skills!H5&gt;0,Skills!I5/Skills!H5,1)</f>
        <v/>
      </c>
      <c r="H154">
        <f>1-(1-Skills!J5/100)^Skills!K5</f>
        <v/>
      </c>
      <c r="I154" t="inlineStr">
        <is>
          <t>1</t>
        </is>
      </c>
      <c r="J154" t="inlineStr"/>
      <c r="K154" t="inlineStr"/>
      <c r="L154" t="inlineStr"/>
      <c r="M154" t="inlineStr"/>
      <c r="N154" t="inlineStr"/>
      <c r="O154">
        <f>(1-Summary!$B$11)*T154+Summary!$B$11*V154</f>
        <v/>
      </c>
      <c r="P154">
        <f>IF(B185=0,0,O154/B185)</f>
        <v/>
      </c>
      <c r="Q154" t="n">
        <v>0</v>
      </c>
      <c r="R154" t="n">
        <v>0</v>
      </c>
      <c r="S154">
        <f>IFERROR(O154/N154,0)</f>
        <v/>
      </c>
      <c r="T154" t="n">
        <v>0</v>
      </c>
      <c r="V154" t="n">
        <v>0</v>
      </c>
    </row>
    <row r="155">
      <c r="A155">
        <f>Skills!A6</f>
        <v/>
      </c>
      <c r="B155">
        <f>Skills!B6</f>
        <v/>
      </c>
      <c r="C155">
        <f>Inputs!$B$3&gt;=63</f>
        <v/>
      </c>
      <c r="D155">
        <f>IF(Skills!C6=1,60+Inputs!$B$25+Inputs!$B$29,IF(Skills!C6=2,90+Inputs!$B$26+Inputs!$B$29,IF(Skills!C6=3,120+Inputs!$B$27+Inputs!$B$29,MAX(0,(Inputs!$B$3-100)*3)+Inputs!$B$28+Inputs!$B$29)))</f>
        <v/>
      </c>
      <c r="E155">
        <f>INDEX(FactorTable!$B$2:$Y$301, MATCH(ROUND(MIN(300,MAX(1,D155)),0), FactorTable!$A$2:$A$301,0), Skills!M6+1)</f>
        <v/>
      </c>
      <c r="F155">
        <f>IF(Skills!N6=TRUE,(Skills!L6/10)*(E155/1000),Skills!L6/10)+Skills!O6</f>
        <v/>
      </c>
      <c r="G155">
        <f>Skills!G6*IF(Skills!H6&gt;0,Skills!I6/Skills!H6,1)</f>
        <v/>
      </c>
      <c r="H155">
        <f>1-(1-Skills!J6/100)^Skills!K6</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169=TRUE)*(F169-Calc!F20)),(Inputs!$B$23+0+(IF(ArtifactsInput!$M$15,CHOOSE(ArtifactsInput!$N$15+1,25,30,35,40,45,50)/100*(Inputs!$B$11-Inputs!$B$11),0))))/100+(Inputs!$B$23+0+(IF(ArtifactsInput!$M$15,CHOOSE(ArtifactsInput!$N$15+1,25,30,35,40,45,50)/100*(Inputs!$B$11-Inputs!$B$11),0)))/100)/2</f>
        <v/>
      </c>
      <c r="M155">
        <f>L155*(1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IF(B185=0,0,O155/B185)</f>
        <v/>
      </c>
      <c r="Q155">
        <f>IFERROR(1/(IF(Inputs!$B$38="pvp",15,MAX(0.1,Skills!D6-IF(Skills!E6=TRUE,Inputs!$B$32,0)))*(1-IF(AND(ArtifactsInput!$M$27,Inputs!$B$4="Chapter Hunt"),CHOOSE(ArtifactsInput!$N$27+1,20,24,28,32,36,40),0)/100)),0)</f>
        <v/>
      </c>
      <c r="R155">
        <f>IF(AND(Inputs!$B$38&lt;&gt;"pvp",Inputs!$B$43&gt;0),IF(MAX(0,Inputs!$B$43-B182)&lt;=0,0,(INT(MAX(0,Inputs!$B$43-B182)/(IF(Inputs!$B$38="pvp",15,MAX(0.1,Skills!D6-IF(Skills!E6=TRUE,Inputs!$B$32,0)))*(1-IF(AND(ArtifactsInput!$M$27,Inputs!$B$4="Chapter Hunt"),CHOOSE(ArtifactsInput!$N$27+1,20,24,28,32,36,40),0)/100)))+1)),0)</f>
        <v/>
      </c>
      <c r="S155">
        <f>IFERROR(O155/N155,0)</f>
        <v/>
      </c>
      <c r="T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$21+Skills!Q6+(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Skills!A7</f>
        <v/>
      </c>
      <c r="B156">
        <f>Skills!B7</f>
        <v/>
      </c>
      <c r="C156">
        <f>Inputs!$B$3&gt;=100</f>
        <v/>
      </c>
      <c r="D156">
        <f>IF(Skills!C7=1,60+Inputs!$B$25+Inputs!$B$29,IF(Skills!C7=2,90+Inputs!$B$26+Inputs!$B$29,IF(Skills!C7=3,120+Inputs!$B$27+Inputs!$B$29,MAX(0,(Inputs!$B$3-100)*3)+Inputs!$B$28+Inputs!$B$29)))</f>
        <v/>
      </c>
      <c r="E156">
        <f>INDEX(FactorTable!$B$2:$Y$301, MATCH(ROUND(MIN(300,MAX(1,D156)),0), FactorTable!$A$2:$A$301,0), Skills!M7+1)</f>
        <v/>
      </c>
      <c r="F156">
        <f>IF(Skills!N7=TRUE,(Skills!L7/10)*(E156/1000),Skills!L7/10)+Skills!O7</f>
        <v/>
      </c>
      <c r="G156">
        <f>Skills!G7*IF(Skills!H7&gt;0,Skills!I7/Skills!H7,1)</f>
        <v/>
      </c>
      <c r="H156">
        <f>1-(1-Skills!J7/100)^Skills!K7</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169=TRUE)*(F169-Calc!F20)),(Inputs!$B$23+0+(IF(ArtifactsInput!$M$15,CHOOSE(ArtifactsInput!$N$15+1,25,30,35,40,45,50)/100*(Inputs!$B$11-Inputs!$B$11),0))))/100+(Inputs!$B$23+0+(IF(ArtifactsInput!$M$15,CHOOSE(ArtifactsInput!$N$15+1,25,30,35,40,45,50)/100*(Inputs!$B$11-Inputs!$B$11),0)))/100)/2</f>
        <v/>
      </c>
      <c r="M156">
        <f>L156*(1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IF(B185=0,0,O156/B185)</f>
        <v/>
      </c>
      <c r="Q156">
        <f>IFERROR(1/(IF(Inputs!$B$38="pvp",15,MAX(0.1,Skills!D7-IF(Skills!E7=TRUE,Inputs!$B$32,0)))*(1-IF(AND(ArtifactsInput!$M$27,Inputs!$B$4="Chapter Hunt"),CHOOSE(ArtifactsInput!$N$27+1,20,24,28,32,36,40),0)/100)),0)</f>
        <v/>
      </c>
      <c r="R156">
        <f>IF(AND(Inputs!$B$38&lt;&gt;"pvp",Inputs!$B$43&gt;0),IF(MAX(0,Inputs!$B$43-B182)&lt;=0,0,(INT(MAX(0,Inputs!$B$43-B182)/(IF(Inputs!$B$38="pvp",15,MAX(0.1,Skills!D7-IF(Skills!E7=TRUE,Inputs!$B$32,0)))*(1-IF(AND(ArtifactsInput!$M$27,Inputs!$B$4="Chapter Hunt"),CHOOSE(ArtifactsInput!$N$27+1,20,24,28,32,36,40),0)/100)))+1)),0)</f>
        <v/>
      </c>
      <c r="S156">
        <f>IFERROR(O156/N156,0)</f>
        <v/>
      </c>
      <c r="T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$21+Skills!Q7+(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Skills!A8</f>
        <v/>
      </c>
      <c r="B157">
        <f>Skills!B8</f>
        <v/>
      </c>
      <c r="C157">
        <f>Inputs!$B$3&gt;=110</f>
        <v/>
      </c>
      <c r="D157">
        <f>IF(Skills!C8=1,60+Inputs!$B$25+Inputs!$B$29,IF(Skills!C8=2,90+Inputs!$B$26+Inputs!$B$29,IF(Skills!C8=3,120+Inputs!$B$27+Inputs!$B$29,MAX(0,(Inputs!$B$3-100)*3)+Inputs!$B$28+Inputs!$B$29)))</f>
        <v/>
      </c>
      <c r="E157">
        <f>INDEX(FactorTable!$B$2:$Y$301, MATCH(ROUND(MIN(300,MAX(1,D157)),0), FactorTable!$A$2:$A$301,0), Skills!M8+1)</f>
        <v/>
      </c>
      <c r="F157">
        <f>IF(Skills!N8=TRUE,(Skills!L8/10)*(E157/1000),Skills!L8/10)+Skills!O8</f>
        <v/>
      </c>
      <c r="G157">
        <f>Skills!G8*IF(Skills!H8&gt;0,Skills!I8/Skills!H8,1)</f>
        <v/>
      </c>
      <c r="H157">
        <f>1-(1-Skills!J8/100)^Skills!K8</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169=TRUE)*(F169-Calc!F20)),(Inputs!$B$23+0+(IF(ArtifactsInput!$M$15,CHOOSE(ArtifactsInput!$N$15+1,25,30,35,40,45,50)/100*(Inputs!$B$11-Inputs!$B$11),0))))/100+(Inputs!$B$23+0+(IF(ArtifactsInput!$M$15,CHOOSE(ArtifactsInput!$N$15+1,25,30,35,40,45,50)/100*(Inputs!$B$11-Inputs!$B$11),0)))/100)/2</f>
        <v/>
      </c>
      <c r="M157">
        <f>L157*(1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IF(B185=0,0,O157/B185)</f>
        <v/>
      </c>
      <c r="Q157">
        <f>IFERROR(1/(IF(Inputs!$B$38="pvp",15,MAX(0.1,Skills!D8-IF(Skills!E8=TRUE,Inputs!$B$32,0)))*(1-IF(AND(ArtifactsInput!$M$27,Inputs!$B$4="Chapter Hunt"),CHOOSE(ArtifactsInput!$N$27+1,20,24,28,32,36,40),0)/100)),0)</f>
        <v/>
      </c>
      <c r="R157">
        <f>IF(AND(Inputs!$B$38&lt;&gt;"pvp",Inputs!$B$43&gt;0),IF(MAX(0,Inputs!$B$43-B182)&lt;=0,0,(INT(MAX(0,Inputs!$B$43-B182)/(IF(Inputs!$B$38="pvp",15,MAX(0.1,Skills!D8-IF(Skills!E8=TRUE,Inputs!$B$32,0)))*(1-IF(AND(ArtifactsInput!$M$27,Inputs!$B$4="Chapter Hunt"),CHOOSE(ArtifactsInput!$N$27+1,20,24,28,32,36,40),0)/100)))+1)),0)</f>
        <v/>
      </c>
      <c r="S157">
        <f>IFERROR(O157/N157,0)</f>
        <v/>
      </c>
      <c r="T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$21+Skills!Q8+(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Skills!A9</f>
        <v/>
      </c>
      <c r="B158">
        <f>Skills!B9</f>
        <v/>
      </c>
      <c r="C158">
        <f>Inputs!$B$3&gt;=110</f>
        <v/>
      </c>
      <c r="D158">
        <f>IF(Skills!C9=1,60+Inputs!$B$25+Inputs!$B$29,IF(Skills!C9=2,90+Inputs!$B$26+Inputs!$B$29,IF(Skills!C9=3,120+Inputs!$B$27+Inputs!$B$29,MAX(0,(Inputs!$B$3-100)*3)+Inputs!$B$28+Inputs!$B$29)))</f>
        <v/>
      </c>
      <c r="E158">
        <f>INDEX(FactorTable!$B$2:$Y$301, MATCH(ROUND(MIN(300,MAX(1,D158)),0), FactorTable!$A$2:$A$301,0), Skills!M9+1)</f>
        <v/>
      </c>
      <c r="F158">
        <f>IF(Skills!N9=TRUE,(Skills!L9/10)*(E158/1000),Skills!L9/10)+Skills!O9</f>
        <v/>
      </c>
      <c r="G158">
        <f>Skills!G9*IF(Skills!H9&gt;0,Skills!I9/Skills!H9,1)</f>
        <v/>
      </c>
      <c r="H158">
        <f>1-(1-Skills!J9/100)^Skills!K9</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169=TRUE)*(F169-Calc!F20)),(Inputs!$B$23+0+(IF(ArtifactsInput!$M$15,CHOOSE(ArtifactsInput!$N$15+1,25,30,35,40,45,50)/100*(Inputs!$B$11-Inputs!$B$11),0))))/100+(Inputs!$B$23+0+(IF(ArtifactsInput!$M$15,CHOOSE(ArtifactsInput!$N$15+1,25,30,35,40,45,50)/100*(Inputs!$B$11-Inputs!$B$11),0)))/100)/2</f>
        <v/>
      </c>
      <c r="M158">
        <f>L158*(1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IF(B185=0,0,O158/B185)</f>
        <v/>
      </c>
      <c r="Q158">
        <f>IFERROR(1/(IF(Inputs!$B$38="pvp",15,MAX(0.1,Skills!D9-IF(Skills!E9=TRUE,Inputs!$B$32,0)))*(1-IF(AND(ArtifactsInput!$M$27,Inputs!$B$4="Chapter Hunt"),CHOOSE(ArtifactsInput!$N$27+1,20,24,28,32,36,40),0)/100)),0)</f>
        <v/>
      </c>
      <c r="R158">
        <f>IF(AND(Inputs!$B$38&lt;&gt;"pvp",Inputs!$B$43&gt;0),IF(MAX(0,Inputs!$B$43-B182)&lt;=0,0,(INT(MAX(0,Inputs!$B$43-B182)/(IF(Inputs!$B$38="pvp",15,MAX(0.1,Skills!D9-IF(Skills!E9=TRUE,Inputs!$B$32,0)))*(1-IF(AND(ArtifactsInput!$M$27,Inputs!$B$4="Chapter Hunt"),CHOOSE(ArtifactsInput!$N$27+1,20,24,28,32,36,40),0)/100)))+1)),0)</f>
        <v/>
      </c>
      <c r="S158">
        <f>IFERROR(O158/N158,0)</f>
        <v/>
      </c>
      <c r="T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$21+Skills!Q9+(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Skills!A10</f>
        <v/>
      </c>
      <c r="B159">
        <f>Skills!B10</f>
        <v/>
      </c>
      <c r="C159">
        <f>Inputs!$B$3&gt;=103</f>
        <v/>
      </c>
      <c r="D159">
        <f>IF(Skills!C10=1,60+Inputs!$B$25+Inputs!$B$29,IF(Skills!C10=2,90+Inputs!$B$26+Inputs!$B$29,IF(Skills!C10=3,120+Inputs!$B$27+Inputs!$B$29,MAX(0,(Inputs!$B$3-100)*3)+Inputs!$B$28+Inputs!$B$29)))</f>
        <v/>
      </c>
      <c r="E159">
        <f>INDEX(FactorTable!$B$2:$Y$301, MATCH(ROUND(MIN(300,MAX(1,D159)),0), FactorTable!$A$2:$A$301,0), Skills!M10+1)</f>
        <v/>
      </c>
      <c r="F159">
        <f>IF(Skills!N10=TRUE,(Skills!L10/10)*(E159/1000),Skills!L10/10)+Skills!O10</f>
        <v/>
      </c>
      <c r="G159">
        <f>Skills!G10*IF(Skills!H10&gt;0,Skills!I10/Skills!H10,1)</f>
        <v/>
      </c>
      <c r="H159">
        <f>1-(1-Skills!J10/100)^Skills!K10</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169=TRUE)*(F169-Calc!F20)),(Inputs!$B$23+0+(IF(ArtifactsInput!$M$15,CHOOSE(ArtifactsInput!$N$15+1,25,30,35,40,45,50)/100*(Inputs!$B$11-Inputs!$B$11),0))))/100+(Inputs!$B$23+0+(IF(ArtifactsInput!$M$15,CHOOSE(ArtifactsInput!$N$15+1,25,30,35,40,45,50)/100*(Inputs!$B$11-Inputs!$B$11),0)))/100)/2</f>
        <v/>
      </c>
      <c r="M159">
        <f>L159*(1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IF(B185=0,0,O159/B185)</f>
        <v/>
      </c>
      <c r="Q159">
        <f>IFERROR(1/(IF(Inputs!$B$38="pvp",15,MAX(0.1,Skills!D10-IF(Skills!E10=TRUE,Inputs!$B$32,0)))*(1-IF(AND(ArtifactsInput!$M$27,Inputs!$B$4="Chapter Hunt"),CHOOSE(ArtifactsInput!$N$27+1,20,24,28,32,36,40),0)/100)),0)</f>
        <v/>
      </c>
      <c r="R159">
        <f>IF(AND(Inputs!$B$38&lt;&gt;"pvp",Inputs!$B$43&gt;0),IF(MAX(0,Inputs!$B$43-B182)&lt;=0,0,(INT(MAX(0,Inputs!$B$43-B182)/(IF(Inputs!$B$38="pvp",15,MAX(0.1,Skills!D10-IF(Skills!E10=TRUE,Inputs!$B$32,0)))*(1-IF(AND(ArtifactsInput!$M$27,Inputs!$B$4="Chapter Hunt"),CHOOSE(ArtifactsInput!$N$27+1,20,24,28,32,36,40),0)/100)))+1)),0)</f>
        <v/>
      </c>
      <c r="S159">
        <f>IFERROR(O159/N159,0)</f>
        <v/>
      </c>
      <c r="T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$21+Skills!Q10+(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Skills!A11</f>
        <v/>
      </c>
      <c r="B160">
        <f>Skills!B11</f>
        <v/>
      </c>
      <c r="C160">
        <f>Inputs!$B$3&gt;=113</f>
        <v/>
      </c>
      <c r="D160">
        <f>IF(Skills!C11=1,60+Inputs!$B$25+Inputs!$B$29,IF(Skills!C11=2,90+Inputs!$B$26+Inputs!$B$29,IF(Skills!C11=3,120+Inputs!$B$27+Inputs!$B$29,MAX(0,(Inputs!$B$3-100)*3)+Inputs!$B$28+Inputs!$B$29)))</f>
        <v/>
      </c>
      <c r="E160">
        <f>INDEX(FactorTable!$B$2:$Y$301, MATCH(ROUND(MIN(300,MAX(1,D160)),0), FactorTable!$A$2:$A$301,0), Skills!M11+1)</f>
        <v/>
      </c>
      <c r="F160">
        <f>IF(Skills!N11=TRUE,(Skills!L11/10)*(E160/1000),Skills!L11/10)+Skills!O11</f>
        <v/>
      </c>
      <c r="G160">
        <f>Skills!G11*IF(Skills!H11&gt;0,Skills!I11/Skills!H11,1)</f>
        <v/>
      </c>
      <c r="H160">
        <f>1-(1-Skills!J11/100)^Skills!K11</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169=TRUE)*(F169-Calc!F20)),(Inputs!$B$23+0+(IF(ArtifactsInput!$M$15,CHOOSE(ArtifactsInput!$N$15+1,25,30,35,40,45,50)/100*(Inputs!$B$11-Inputs!$B$11),0))))/100+(Inputs!$B$23+0+(IF(ArtifactsInput!$M$15,CHOOSE(ArtifactsInput!$N$15+1,25,30,35,40,45,50)/100*(Inputs!$B$11-Inputs!$B$11),0)))/100)/2</f>
        <v/>
      </c>
      <c r="M160">
        <f>L160*(1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IF(B185=0,0,O160/B185)</f>
        <v/>
      </c>
      <c r="Q160">
        <f>IFERROR(1/(IF(Inputs!$B$38="pvp",15,MAX(0.1,Skills!D11-IF(Skills!E11=TRUE,Inputs!$B$32,0)))*(1-IF(AND(ArtifactsInput!$M$27,Inputs!$B$4="Chapter Hunt"),CHOOSE(ArtifactsInput!$N$27+1,20,24,28,32,36,40),0)/100)),0)</f>
        <v/>
      </c>
      <c r="R160">
        <f>IF(AND(Inputs!$B$38&lt;&gt;"pvp",Inputs!$B$43&gt;0),IF(MAX(0,Inputs!$B$43-B182)&lt;=0,0,(INT(MAX(0,Inputs!$B$43-B182)/(IF(Inputs!$B$38="pvp",15,MAX(0.1,Skills!D11-IF(Skills!E11=TRUE,Inputs!$B$32,0)))*(1-IF(AND(ArtifactsInput!$M$27,Inputs!$B$4="Chapter Hunt"),CHOOSE(ArtifactsInput!$N$27+1,20,24,28,32,36,40),0)/100)))+1)),0)</f>
        <v/>
      </c>
      <c r="S160">
        <f>IFERROR(O160/N160,0)</f>
        <v/>
      </c>
      <c r="T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$21+Skills!Q11+(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Skills!A12</f>
        <v/>
      </c>
      <c r="B161">
        <f>Skills!B12</f>
        <v/>
      </c>
      <c r="C161">
        <f>Inputs!$B$3&gt;=100</f>
        <v/>
      </c>
      <c r="D161">
        <f>IF(Skills!C12=1,60+Inputs!$B$25+Inputs!$B$29,IF(Skills!C12=2,90+Inputs!$B$26+Inputs!$B$29,IF(Skills!C12=3,120+Inputs!$B$27+Inputs!$B$29,MAX(0,(Inputs!$B$3-100)*3)+Inputs!$B$28+Inputs!$B$29)))</f>
        <v/>
      </c>
      <c r="E161">
        <f>INDEX(FactorTable!$B$2:$Y$301, MATCH(ROUND(MIN(300,MAX(1,D161)),0), FactorTable!$A$2:$A$301,0), Skills!M12+1)</f>
        <v/>
      </c>
      <c r="F161">
        <f>IF(Skills!N12=TRUE,(Skills!L12/10)*(E161/1000),Skills!L12/10)+Skills!O12</f>
        <v/>
      </c>
      <c r="G161" t="inlineStr"/>
      <c r="H161" t="inlineStr"/>
      <c r="I161" t="inlineStr">
        <is>
          <t>1</t>
        </is>
      </c>
      <c r="J161" t="inlineStr"/>
      <c r="K161" t="inlineStr"/>
      <c r="L161" t="inlineStr"/>
      <c r="M161" t="inlineStr"/>
      <c r="N161" t="inlineStr"/>
      <c r="O161" t="inlineStr"/>
      <c r="P161" t="inlineStr"/>
      <c r="Q161" t="inlineStr"/>
      <c r="R161" t="inlineStr"/>
      <c r="S161" t="inlineStr"/>
      <c r="T161" t="inlineStr"/>
      <c r="V161" t="inlineStr"/>
    </row>
    <row r="162">
      <c r="A162">
        <f>Skills!A13</f>
        <v/>
      </c>
      <c r="B162">
        <f>Skills!B13</f>
        <v/>
      </c>
      <c r="C162">
        <f>Inputs!$B$3&gt;=66</f>
        <v/>
      </c>
      <c r="D162">
        <f>IF(Skills!C13=1,60+Inputs!$B$25+Inputs!$B$29,IF(Skills!C13=2,90+Inputs!$B$26+Inputs!$B$29,IF(Skills!C13=3,120+Inputs!$B$27+Inputs!$B$29,MAX(0,(Inputs!$B$3-100)*3)+Inputs!$B$28+Inputs!$B$29)))</f>
        <v/>
      </c>
      <c r="E162">
        <f>INDEX(FactorTable!$B$2:$Y$301, MATCH(ROUND(MIN(300,MAX(1,D162)),0), FactorTable!$A$2:$A$301,0), Skills!M13+1)</f>
        <v/>
      </c>
      <c r="F162">
        <f>IF(Skills!N13=TRUE,(Skills!L13/10)*(E162/1000),Skills!L13/10)+Skills!O13</f>
        <v/>
      </c>
      <c r="G162">
        <f>Skills!G13*IF(Skills!H13&gt;0,Skills!I13/Skills!H13,1)</f>
        <v/>
      </c>
      <c r="H162">
        <f>1-(1-Skills!J13/100)^Skills!K13</f>
        <v/>
      </c>
      <c r="I162" t="inlineStr">
        <is>
          <t>1</t>
        </is>
      </c>
      <c r="J162" t="inlineStr"/>
      <c r="K162" t="inlineStr"/>
      <c r="L162" t="inlineStr"/>
      <c r="M162" t="inlineStr"/>
      <c r="N162" t="inlineStr"/>
      <c r="O162">
        <f>(1-Summary!$B$11)*T162+Summary!$B$11*V162</f>
        <v/>
      </c>
      <c r="P162">
        <f>IF(B185=0,0,O162/B185)</f>
        <v/>
      </c>
      <c r="Q162" t="n">
        <v>0</v>
      </c>
      <c r="R162" t="n">
        <v>0</v>
      </c>
      <c r="S162">
        <f>IFERROR(O162/N162,0)</f>
        <v/>
      </c>
      <c r="T162" t="n">
        <v>0</v>
      </c>
      <c r="V162" t="n">
        <v>0</v>
      </c>
    </row>
    <row r="163">
      <c r="A163">
        <f>Skills!A14</f>
        <v/>
      </c>
      <c r="B163">
        <f>Skills!B14</f>
        <v/>
      </c>
      <c r="C163">
        <f>Inputs!$B$3&gt;=107</f>
        <v/>
      </c>
      <c r="D163">
        <f>IF(Skills!C14=1,60+Inputs!$B$25+Inputs!$B$29,IF(Skills!C14=2,90+Inputs!$B$26+Inputs!$B$29,IF(Skills!C14=3,120+Inputs!$B$27+Inputs!$B$29,MAX(0,(Inputs!$B$3-100)*3)+Inputs!$B$28+Inputs!$B$29)))</f>
        <v/>
      </c>
      <c r="E163">
        <f>INDEX(FactorTable!$B$2:$Y$301, MATCH(ROUND(MIN(300,MAX(1,D163)),0), FactorTable!$A$2:$A$301,0), Skills!M14+1)</f>
        <v/>
      </c>
      <c r="F163">
        <f>IF(Skills!N14=TRUE,(Skills!L14/10)*(E163/1000),Skills!L14/10)+Skills!O14</f>
        <v/>
      </c>
      <c r="G163">
        <f>Skills!G14*IF(Skills!H14&gt;0,Skills!I14/Skills!H14,1)</f>
        <v/>
      </c>
      <c r="H163">
        <f>1-(1-Skills!J14/100)^Skills!K14</f>
        <v/>
      </c>
      <c r="I163" t="inlineStr">
        <is>
          <t>1</t>
        </is>
      </c>
      <c r="J163" t="inlineStr"/>
      <c r="K163" t="inlineStr"/>
      <c r="L163" t="inlineStr"/>
      <c r="M163" t="inlineStr"/>
      <c r="N163" t="inlineStr"/>
      <c r="O163">
        <f>(1-Summary!$B$11)*T163+Summary!$B$11*V163</f>
        <v/>
      </c>
      <c r="P163">
        <f>IF(B185=0,0,O163/B185)</f>
        <v/>
      </c>
      <c r="Q163" t="n">
        <v>0</v>
      </c>
      <c r="R163" t="n">
        <v>0</v>
      </c>
      <c r="S163">
        <f>IFERROR(O163/N163,0)</f>
        <v/>
      </c>
      <c r="T163" t="n">
        <v>0</v>
      </c>
      <c r="V163" t="n">
        <v>0</v>
      </c>
    </row>
    <row r="164">
      <c r="A164">
        <f>Skills!A15</f>
        <v/>
      </c>
      <c r="B164">
        <f>Skills!B15</f>
        <v/>
      </c>
      <c r="C164">
        <f>Inputs!$B$3&gt;=115</f>
        <v/>
      </c>
      <c r="D164">
        <f>IF(Skills!C15=1,60+Inputs!$B$25+Inputs!$B$29,IF(Skills!C15=2,90+Inputs!$B$26+Inputs!$B$29,IF(Skills!C15=3,120+Inputs!$B$27+Inputs!$B$29,MAX(0,(Inputs!$B$3-100)*3)+Inputs!$B$28+Inputs!$B$29)))</f>
        <v/>
      </c>
      <c r="E164">
        <f>INDEX(FactorTable!$B$2:$Y$301, MATCH(ROUND(MIN(300,MAX(1,D164)),0), FactorTable!$A$2:$A$301,0), Skills!M15+1)</f>
        <v/>
      </c>
      <c r="F164">
        <f>IF(Skills!N15=TRUE,(Skills!L15/10)*(E164/1000),Skills!L15/10)+Skills!O15</f>
        <v/>
      </c>
      <c r="G164">
        <f>Skills!G15*IF(Skills!H15&gt;0,Skills!I15/Skills!H15,1)</f>
        <v/>
      </c>
      <c r="H164">
        <f>1-(1-Skills!J15/100)^Skills!K15</f>
        <v/>
      </c>
      <c r="I164" t="inlineStr">
        <is>
          <t>1</t>
        </is>
      </c>
      <c r="J164" t="inlineStr"/>
      <c r="K164" t="inlineStr"/>
      <c r="L164" t="inlineStr"/>
      <c r="M164" t="inlineStr"/>
      <c r="N164" t="inlineStr"/>
      <c r="O164">
        <f>(1-Summary!$B$11)*T164+Summary!$B$11*V164</f>
        <v/>
      </c>
      <c r="P164">
        <f>IF(B185=0,0,O164/B185)</f>
        <v/>
      </c>
      <c r="Q164" t="n">
        <v>0</v>
      </c>
      <c r="R164" t="n">
        <v>0</v>
      </c>
      <c r="S164">
        <f>IFERROR(O164/N164,0)</f>
        <v/>
      </c>
      <c r="T164" t="n">
        <v>0</v>
      </c>
      <c r="V164" t="n">
        <v>0</v>
      </c>
    </row>
    <row r="165">
      <c r="A165">
        <f>Skills!A16</f>
        <v/>
      </c>
      <c r="B165">
        <f>Skills!B16</f>
        <v/>
      </c>
      <c r="C165">
        <f>Inputs!$B$3&gt;=15</f>
        <v/>
      </c>
      <c r="D165">
        <f>IF(Skills!C16=1,60+Inputs!$B$25+Inputs!$B$29,IF(Skills!C16=2,90+Inputs!$B$26+Inputs!$B$29,IF(Skills!C16=3,120+Inputs!$B$27+Inputs!$B$29,MAX(0,(Inputs!$B$3-100)*3)+Inputs!$B$28+Inputs!$B$29)))</f>
        <v/>
      </c>
      <c r="E165">
        <f>INDEX(FactorTable!$B$2:$Y$301, MATCH(ROUND(MIN(300,MAX(1,D165)),0), FactorTable!$A$2:$A$301,0), Skills!M16+1)</f>
        <v/>
      </c>
      <c r="F165">
        <f>IF(Skills!N16=TRUE,(Skills!L16/10)*(E165/1000),Skills!L16/10)+Skills!O16</f>
        <v/>
      </c>
      <c r="G165">
        <f>Skills!G16*IF(Skills!H16&gt;0,Skills!I16/Skills!H16,1)</f>
        <v/>
      </c>
      <c r="H165">
        <f>1-(1-Skills!J16/100)^Skills!K16</f>
        <v/>
      </c>
      <c r="I165" t="inlineStr">
        <is>
          <t>1</t>
        </is>
      </c>
      <c r="J165" t="inlineStr"/>
      <c r="K165" t="inlineStr"/>
      <c r="L165" t="inlineStr"/>
      <c r="M165" t="inlineStr"/>
      <c r="N165" t="inlineStr"/>
      <c r="O165">
        <f>(1-Summary!$B$11)*T165+Summary!$B$11*V165</f>
        <v/>
      </c>
      <c r="P165">
        <f>IF(B185=0,0,O165/B185)</f>
        <v/>
      </c>
      <c r="Q165" t="n">
        <v>0</v>
      </c>
      <c r="R165" t="n">
        <v>0</v>
      </c>
      <c r="S165">
        <f>IFERROR(O165/N165,0)</f>
        <v/>
      </c>
      <c r="T165" t="n">
        <v>0</v>
      </c>
      <c r="V165" t="n">
        <v>0</v>
      </c>
    </row>
    <row r="166">
      <c r="A166">
        <f>Skills!A17</f>
        <v/>
      </c>
      <c r="B166">
        <f>Skills!B17</f>
        <v/>
      </c>
      <c r="C166">
        <f>Inputs!$B$3&gt;=10</f>
        <v/>
      </c>
      <c r="D166">
        <f>IF(Skills!C17=1,60+Inputs!$B$25+Inputs!$B$29,IF(Skills!C17=2,90+Inputs!$B$26+Inputs!$B$29,IF(Skills!C17=3,120+Inputs!$B$27+Inputs!$B$29,MAX(0,(Inputs!$B$3-100)*3)+Inputs!$B$28+Inputs!$B$29)))</f>
        <v/>
      </c>
      <c r="E166">
        <f>INDEX(FactorTable!$B$2:$Y$301, MATCH(ROUND(MIN(300,MAX(1,D166)),0), FactorTable!$A$2:$A$301,0), Skills!M17+1)</f>
        <v/>
      </c>
      <c r="F166">
        <f>IF(Skills!N17=TRUE,(Skills!L17/10)*(E166/1000),Skills!L17/10)+Skills!O17</f>
        <v/>
      </c>
      <c r="G166">
        <f>Skills!G17*IF(Skills!H17&gt;0,Skills!I17/Skills!H17,1)</f>
        <v/>
      </c>
      <c r="H166">
        <f>1-(1-Skills!J17/100)^Skills!K17</f>
        <v/>
      </c>
      <c r="I166" t="inlineStr">
        <is>
          <t>1</t>
        </is>
      </c>
      <c r="J166" t="inlineStr"/>
      <c r="K166" t="inlineStr"/>
      <c r="L166" t="inlineStr"/>
      <c r="M166" t="inlineStr"/>
      <c r="N166" t="inlineStr"/>
      <c r="O166">
        <f>(1-Summary!$B$11)*T166+Summary!$B$11*V166</f>
        <v/>
      </c>
      <c r="P166">
        <f>IF(B185=0,0,O166/B185)</f>
        <v/>
      </c>
      <c r="Q166" t="n">
        <v>0</v>
      </c>
      <c r="R166" t="n">
        <v>0</v>
      </c>
      <c r="S166">
        <f>IFERROR(O166/N166,0)</f>
        <v/>
      </c>
      <c r="T166" t="n">
        <v>0</v>
      </c>
      <c r="V166" t="n">
        <v>0</v>
      </c>
    </row>
    <row r="167">
      <c r="A167">
        <f>Skills!A18</f>
        <v/>
      </c>
      <c r="B167">
        <f>Skills!B18</f>
        <v/>
      </c>
      <c r="C167">
        <f>Inputs!$B$3&gt;=33</f>
        <v/>
      </c>
      <c r="D167">
        <f>IF(Skills!C18=1,60+Inputs!$B$25+Inputs!$B$29,IF(Skills!C18=2,90+Inputs!$B$26+Inputs!$B$29,IF(Skills!C18=3,120+Inputs!$B$27+Inputs!$B$29,MAX(0,(Inputs!$B$3-100)*3)+Inputs!$B$28+Inputs!$B$29)))</f>
        <v/>
      </c>
      <c r="E167">
        <f>INDEX(FactorTable!$B$2:$Y$301, MATCH(ROUND(MIN(300,MAX(1,D167)),0), FactorTable!$A$2:$A$301,0), Skills!M18+1)</f>
        <v/>
      </c>
      <c r="F167">
        <f>IF(Skills!N18=TRUE,(Skills!L18/10)*(E167/1000),Skills!L18/10)+Skills!O18</f>
        <v/>
      </c>
      <c r="G167">
        <f>Skills!G18*IF(Skills!H18&gt;0,Skills!I18/Skills!H18,1)</f>
        <v/>
      </c>
      <c r="H167">
        <f>1-(1-Skills!J18/100)^Skills!K18</f>
        <v/>
      </c>
      <c r="I167" t="inlineStr">
        <is>
          <t>1</t>
        </is>
      </c>
      <c r="J167" t="inlineStr"/>
      <c r="K167" t="inlineStr"/>
      <c r="L167" t="inlineStr"/>
      <c r="M167" t="inlineStr"/>
      <c r="N167" t="inlineStr"/>
      <c r="O167">
        <f>(1-Summary!$B$11)*T167+Summary!$B$11*V167</f>
        <v/>
      </c>
      <c r="P167">
        <f>IF(B185=0,0,O167/B185)</f>
        <v/>
      </c>
      <c r="Q167" t="n">
        <v>0</v>
      </c>
      <c r="R167" t="n">
        <v>0</v>
      </c>
      <c r="S167">
        <f>IFERROR(O167/N167,0)</f>
        <v/>
      </c>
      <c r="T167" t="n">
        <v>0</v>
      </c>
      <c r="V167" t="n">
        <v>0</v>
      </c>
    </row>
    <row r="168">
      <c r="A168">
        <f>Skills!A19</f>
        <v/>
      </c>
      <c r="B168">
        <f>Skills!B19</f>
        <v/>
      </c>
      <c r="C168">
        <f>Inputs!$B$3&gt;=40</f>
        <v/>
      </c>
      <c r="D168">
        <f>IF(Skills!C19=1,60+Inputs!$B$25+Inputs!$B$29,IF(Skills!C19=2,90+Inputs!$B$26+Inputs!$B$29,IF(Skills!C19=3,120+Inputs!$B$27+Inputs!$B$29,MAX(0,(Inputs!$B$3-100)*3)+Inputs!$B$28+Inputs!$B$29)))</f>
        <v/>
      </c>
      <c r="E168">
        <f>INDEX(FactorTable!$B$2:$Y$301, MATCH(ROUND(MIN(300,MAX(1,D168)),0), FactorTable!$A$2:$A$301,0), Skills!M19+1)</f>
        <v/>
      </c>
      <c r="F168">
        <f>IF(Skills!N19=TRUE,(Skills!L19/10)*(E168/1000),Skills!L19/10)+Skills!O19</f>
        <v/>
      </c>
      <c r="G168">
        <f>Skills!G19*IF(Skills!H19&gt;0,Skills!I19/Skills!H19,1)</f>
        <v/>
      </c>
      <c r="H168">
        <f>1-(1-Skills!J19/100)^Skills!K19</f>
        <v/>
      </c>
      <c r="I168" t="inlineStr">
        <is>
          <t>1</t>
        </is>
      </c>
      <c r="J168" t="inlineStr"/>
      <c r="K168" t="inlineStr"/>
      <c r="L168" t="inlineStr"/>
      <c r="M168" t="inlineStr"/>
      <c r="N168" t="inlineStr"/>
      <c r="O168">
        <f>(1-Summary!$B$11)*T168+Summary!$B$11*V168</f>
        <v/>
      </c>
      <c r="P168">
        <f>IF(B185=0,0,O168/B185)</f>
        <v/>
      </c>
      <c r="Q168" t="n">
        <v>0</v>
      </c>
      <c r="R168" t="n">
        <v>0</v>
      </c>
      <c r="S168">
        <f>IFERROR(O168/N168,0)</f>
        <v/>
      </c>
      <c r="T168" t="n">
        <v>0</v>
      </c>
      <c r="V168" t="n">
        <v>0</v>
      </c>
    </row>
    <row r="169">
      <c r="A169">
        <f>Skills!A20</f>
        <v/>
      </c>
      <c r="B169">
        <f>Skills!B20</f>
        <v/>
      </c>
      <c r="C169">
        <f>Inputs!$B$3&gt;=43</f>
        <v/>
      </c>
      <c r="D169">
        <f>IF(Skills!C20=1,60+Inputs!$B$25+Inputs!$B$29,IF(Skills!C20=2,90+Inputs!$B$26+Inputs!$B$29,IF(Skills!C20=3,120+Inputs!$B$27+Inputs!$B$29,MAX(0,(Inputs!$B$3-100)*3)+Inputs!$B$28+Inputs!$B$29)))</f>
        <v/>
      </c>
      <c r="E169">
        <f>INDEX(FactorTable!$B$2:$Y$301, MATCH(ROUND(MIN(300,MAX(1,D169)),0), FactorTable!$A$2:$A$301,0), Skills!M20+1)</f>
        <v/>
      </c>
      <c r="F169">
        <f>IF(Skills!N20=TRUE,(Skills!L20/10)*(E169/1000),Skills!L20/10)+Skills!O20</f>
        <v/>
      </c>
      <c r="G169">
        <f>Skills!G20*IF(Skills!H20&gt;0,Skills!I20/Skills!H20,1)</f>
        <v/>
      </c>
      <c r="H169">
        <f>1-(1-Skills!J20/100)^Skills!K20</f>
        <v/>
      </c>
      <c r="I169" t="inlineStr">
        <is>
          <t>1</t>
        </is>
      </c>
      <c r="J169" t="inlineStr"/>
      <c r="K169" t="inlineStr"/>
      <c r="L169" t="inlineStr"/>
      <c r="M169" t="inlineStr"/>
      <c r="N169" t="inlineStr"/>
      <c r="O169">
        <f>(1-Summary!$B$11)*T169+Summary!$B$11*V169</f>
        <v/>
      </c>
      <c r="P169">
        <f>IF(B185=0,0,O169/B185)</f>
        <v/>
      </c>
      <c r="Q169" t="n">
        <v>0</v>
      </c>
      <c r="R169" t="n">
        <v>0</v>
      </c>
      <c r="S169">
        <f>IFERROR(O169/N169,0)</f>
        <v/>
      </c>
      <c r="T169" t="n">
        <v>0</v>
      </c>
      <c r="V169" t="n">
        <v>0</v>
      </c>
    </row>
    <row r="170">
      <c r="A170">
        <f>Skills!A21</f>
        <v/>
      </c>
      <c r="B170">
        <f>Skills!B21</f>
        <v/>
      </c>
      <c r="C170">
        <f>Inputs!$B$3&gt;=38</f>
        <v/>
      </c>
      <c r="D170">
        <f>IF(Skills!C21=1,60+Inputs!$B$25+Inputs!$B$29,IF(Skills!C21=2,90+Inputs!$B$26+Inputs!$B$29,IF(Skills!C21=3,120+Inputs!$B$27+Inputs!$B$29,MAX(0,(Inputs!$B$3-100)*3)+Inputs!$B$28+Inputs!$B$29)))</f>
        <v/>
      </c>
      <c r="E170">
        <f>INDEX(FactorTable!$B$2:$Y$301, MATCH(ROUND(MIN(300,MAX(1,D170)),0), FactorTable!$A$2:$A$301,0), Skills!M21+1)</f>
        <v/>
      </c>
      <c r="F170">
        <f>IF(Skills!N21=TRUE,(Skills!L21/10)*(E170/1000),Skills!L21/10)+Skills!O21</f>
        <v/>
      </c>
      <c r="G170">
        <f>Skills!G21*IF(Skills!H21&gt;0,Skills!I21/Skills!H21,1)</f>
        <v/>
      </c>
      <c r="H170">
        <f>1-(1-Skills!J21/100)^Skills!K21</f>
        <v/>
      </c>
      <c r="I170" t="inlineStr">
        <is>
          <t>1</t>
        </is>
      </c>
      <c r="J170" t="inlineStr"/>
      <c r="K170" t="inlineStr"/>
      <c r="L170" t="inlineStr"/>
      <c r="M170" t="inlineStr"/>
      <c r="N170" t="inlineStr"/>
      <c r="O170">
        <f>(1-Summary!$B$11)*T170+Summary!$B$11*V170</f>
        <v/>
      </c>
      <c r="P170">
        <f>IF(B185=0,0,O170/B185)</f>
        <v/>
      </c>
      <c r="Q170" t="n">
        <v>0</v>
      </c>
      <c r="R170" t="n">
        <v>0</v>
      </c>
      <c r="S170">
        <f>IFERROR(O170/N170,0)</f>
        <v/>
      </c>
      <c r="T170" t="n">
        <v>0</v>
      </c>
      <c r="V170" t="n">
        <v>0</v>
      </c>
    </row>
    <row r="171">
      <c r="A171">
        <f>Skills!A22</f>
        <v/>
      </c>
      <c r="B171">
        <f>Skills!B22</f>
        <v/>
      </c>
      <c r="C171">
        <f>Inputs!$B$3&gt;=75</f>
        <v/>
      </c>
      <c r="D171">
        <f>IF(Skills!C22=1,60+Inputs!$B$25+Inputs!$B$29,IF(Skills!C22=2,90+Inputs!$B$26+Inputs!$B$29,IF(Skills!C22=3,120+Inputs!$B$27+Inputs!$B$29,MAX(0,(Inputs!$B$3-100)*3)+Inputs!$B$28+Inputs!$B$29)))</f>
        <v/>
      </c>
      <c r="E171">
        <f>INDEX(FactorTable!$B$2:$Y$301, MATCH(ROUND(MIN(300,MAX(1,D171)),0), FactorTable!$A$2:$A$301,0), Skills!M22+1)</f>
        <v/>
      </c>
      <c r="F171">
        <f>IF(Skills!N22=TRUE,(Skills!L22/10)*(E171/1000),Skills!L22/10)+Skills!O22</f>
        <v/>
      </c>
      <c r="G171">
        <f>Skills!G22*IF(Skills!H22&gt;0,Skills!I22/Skills!H22,1)</f>
        <v/>
      </c>
      <c r="H171">
        <f>1-(1-Skills!J22/100)^Skills!K22</f>
        <v/>
      </c>
      <c r="I171" t="inlineStr">
        <is>
          <t>1</t>
        </is>
      </c>
      <c r="J171" t="inlineStr"/>
      <c r="K171" t="inlineStr"/>
      <c r="L171" t="inlineStr"/>
      <c r="M171" t="inlineStr"/>
      <c r="N171" t="inlineStr"/>
      <c r="O171">
        <f>(1-Summary!$B$11)*T171+Summary!$B$11*V171</f>
        <v/>
      </c>
      <c r="P171">
        <f>IF(B185=0,0,O171/B185)</f>
        <v/>
      </c>
      <c r="Q171" t="n">
        <v>0</v>
      </c>
      <c r="R171" t="n">
        <v>0</v>
      </c>
      <c r="S171">
        <f>IFERROR(O171/N171,0)</f>
        <v/>
      </c>
      <c r="T171" t="n">
        <v>0</v>
      </c>
      <c r="V171" t="n">
        <v>0</v>
      </c>
    </row>
    <row r="172">
      <c r="A172">
        <f>Skills!A23</f>
        <v/>
      </c>
      <c r="B172">
        <f>Skills!B23</f>
        <v/>
      </c>
      <c r="C172">
        <f>TRUE</f>
        <v/>
      </c>
      <c r="D172">
        <f>IF(Skills!C23=1,60+Inputs!$B$25+Inputs!$B$29,IF(Skills!C23=2,90+Inputs!$B$26+Inputs!$B$29,IF(Skills!C23=3,120+Inputs!$B$27+Inputs!$B$29,MAX(0,(Inputs!$B$3-100)*3)+Inputs!$B$28+Inputs!$B$29)))</f>
        <v/>
      </c>
      <c r="E172">
        <f>INDEX(FactorTable!$B$2:$Y$301, MATCH(ROUND(MIN(300,MAX(1,D172)),0), FactorTable!$A$2:$A$301,0), Skills!M23+1)</f>
        <v/>
      </c>
      <c r="F172">
        <f>IF(Skills!N23=TRUE,(Skills!L23/10)*(E172/1000),Skills!L23/10)+Skills!O23</f>
        <v/>
      </c>
      <c r="G172">
        <f>Skills!G23*IF(Skills!H23&gt;0,Skills!I23/Skills!H23,1)</f>
        <v/>
      </c>
      <c r="H172">
        <f>1-(1-Skills!J23/100)^Skills!K23</f>
        <v/>
      </c>
      <c r="I172" t="inlineStr">
        <is>
          <t>1</t>
        </is>
      </c>
      <c r="J172" t="inlineStr"/>
      <c r="K172" t="inlineStr"/>
      <c r="L172" t="inlineStr"/>
      <c r="M172" t="inlineStr"/>
      <c r="N172" t="inlineStr"/>
      <c r="O172">
        <f>(1-Summary!$B$11)*T172+Summary!$B$11*V172</f>
        <v/>
      </c>
      <c r="P172">
        <f>IF(B185=0,0,O172/B185)</f>
        <v/>
      </c>
      <c r="Q172">
        <f>IFERROR(1/(IF(Inputs!$B$38="pvp",15,MAX(0.1,Skills!D23-IF(Skills!E23=TRUE,Inputs!$B$32,0)))*(1-IF(AND(ArtifactsInput!$M$27,Inputs!$B$4="Chapter Hunt"),CHOOSE(ArtifactsInput!$N$27+1,20,24,28,32,36,40),0)/100)),0)</f>
        <v/>
      </c>
      <c r="R172">
        <f>IF(AND(Inputs!$B$38&lt;&gt;"pvp",Inputs!$B$43&gt;0),IF(Inputs!$B$43&lt;=0,0,(INT(Inputs!$B$43/(IF(Inputs!$B$38="pvp",15,MAX(0.1,Skills!D23-IF(Skills!E23=TRUE,Inputs!$B$32,0)))*(1-IF(AND(ArtifactsInput!$M$27,Inputs!$B$4="Chapter Hunt"),CHOOSE(ArtifactsInput!$N$27+1,20,24,28,32,36,40),0)/100)))+1)),0)</f>
        <v/>
      </c>
      <c r="S172">
        <f>IFERROR(O172/N172,0)</f>
        <v/>
      </c>
      <c r="T172" t="n">
        <v>0</v>
      </c>
      <c r="V172" t="n">
        <v>0</v>
      </c>
    </row>
    <row r="174">
      <c r="A174" t="inlineStr">
        <is>
          <t>Attack% Bucket Multiplier</t>
        </is>
      </c>
      <c r="B174">
        <f>(1+(((C162=TRUE)*F162*5/7)+((C168=TRUE)*(F168-Calc!F19))+(IF(ArtifactsInput!$M$21,CHOOSE(ArtifactsInput!$N$21+1,25,30,35,40,45,50)*(IF(OR(Inputs!$B$4="Chapter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
      <c r="A175" t="inlineStr">
        <is>
          <t>Global Crit Rate Bonus %</t>
        </is>
      </c>
      <c r="B175" t="n">
        <v>0</v>
      </c>
    </row>
    <row r="176">
      <c r="A176" t="inlineStr">
        <is>
          <t>Attack Speed Buff Bonus % (Nimble Feet, duty-cycle averaged)</t>
        </is>
      </c>
      <c r="B176">
        <f>((C172=TRUE)*F172*IF(AND(Inputs!$B$38&lt;&gt;"pvp",Inputs!$B$43&gt;0),(((R172-1)*(Skills!T23*(1+Inputs!$B$34/100))+MIN((Skills!T23*(1+Inputs!$B$34/100)),MAX(0,Inputs!$B$43-((R172-1)*Skills!D23))))/Inputs!$B$43),IF(Inputs!$B$38="pvp",MIN((Skills!T23*(1+Inputs!$B$34/100)),15)/15,(Skills!T23*(1+Inputs!$B$34/100))/Skills!D23)))</f>
        <v/>
      </c>
    </row>
    <row r="177">
      <c r="A177" t="inlineStr">
        <is>
          <t>Actions Per Second</t>
        </is>
      </c>
      <c r="B177">
        <f>1+MIN(150,150*(1-(1-(Inputs!$B$11+((C166=TRUE)*(F166-Calc!F17))+((C167=TRUE)*(F167-Calc!F18)))/150)*(1-B176/150)))/100</f>
        <v/>
      </c>
    </row>
    <row r="178">
      <c r="A178" t="inlineStr">
        <is>
          <t>Skill + Buff Cast Rate</t>
        </is>
      </c>
      <c r="B178">
        <f>IF(AND(Inputs!$B$38&lt;&gt;"pvp",Inputs!$B$43&gt;0),SUMPRODUCT((Skills!E2:E23=TRUE)*(C151:C172=TRUE)*R151:R172*Skills!F2:F23)/Inputs!$B$43,SUMPRODUCT((Skills!E2:E23=TRUE)*(C151:C172=TRUE)*Q151:Q172*Skills!F2:F23))</f>
        <v/>
      </c>
    </row>
    <row r="179">
      <c r="A179" t="inlineStr">
        <is>
          <t>Hook Bomber Casts Per Second</t>
        </is>
      </c>
      <c r="B179">
        <f>MAX(0,B177-B178)</f>
        <v/>
      </c>
    </row>
    <row r="180">
      <c r="A180" t="inlineStr">
        <is>
          <t>Global Critical Damage Bonus % (unused)</t>
        </is>
      </c>
      <c r="B180" t="n">
        <v>0</v>
      </c>
    </row>
    <row r="181">
      <c r="A181" t="inlineStr">
        <is>
          <t>Global Final Damage Bonus % (Serpent Scale + Crossbones + Time Leap + Speed Infusion)</t>
        </is>
      </c>
      <c r="B181">
        <f>((C154=TRUE)*F154*((10+IF(Inputs!$B$3&gt;=94,5,0))/((10+IF(Inputs!$B$3&gt;=94,5,0))+5/(B179*(1+IF(Inputs!$B$3&gt;=104,1,0))))))+((C163=TRUE)*F163)+((C164=TRUE)*F164)+((Inputs!$B$3&gt;=110)*20*(B177-1))</f>
        <v/>
      </c>
    </row>
    <row r="182">
      <c r="A182" t="inlineStr">
        <is>
          <t>Buff-Casting Startup Delay (s, fixed-duration only)</t>
        </is>
      </c>
      <c r="B182">
        <f>IF(AND(Inputs!$B$38&lt;&gt;"pvp",Inputs!$B$43&gt;0),SUMPRODUCT((Skills!T2:T23&gt;0)*(Skills!E2:E23=TRUE)*(C151:C172=TRUE))/B177,0)</f>
        <v/>
      </c>
    </row>
    <row r="183">
      <c r="A183" t="inlineStr">
        <is>
          <t>Boss-Only Total DPS (this block's swept value)</t>
        </is>
      </c>
      <c r="B183">
        <f>SUM(T151:T172)</f>
        <v/>
      </c>
    </row>
    <row r="184">
      <c r="A184" t="inlineStr">
        <is>
          <t>Normal-Only Total DPS (this block's swept value)</t>
        </is>
      </c>
      <c r="B184">
        <f>SUM(V151:V172)</f>
        <v/>
      </c>
    </row>
    <row r="185">
      <c r="A185" s="6" t="inlineStr">
        <is>
          <t>TOTAL DPS</t>
        </is>
      </c>
      <c r="B185" s="6">
        <f>SUM(O151:O172)</f>
        <v/>
      </c>
    </row>
    <row r="188">
      <c r="A188" s="6" t="inlineStr">
        <is>
          <t>Stat: DAMAGE %</t>
        </is>
      </c>
    </row>
    <row r="189">
      <c r="A189" s="5" t="inlineStr">
        <is>
          <t>Key</t>
        </is>
      </c>
      <c r="B189" s="5" t="inlineStr">
        <is>
          <t>Name</t>
        </is>
      </c>
      <c r="C189" s="5" t="inlineStr">
        <is>
          <t>Unlocked</t>
        </is>
      </c>
      <c r="D189" s="5" t="inlineStr">
        <is>
          <t>InputLevel</t>
        </is>
      </c>
      <c r="E189" s="5" t="inlineStr">
        <is>
          <t>Factor</t>
        </is>
      </c>
      <c r="F189" s="5" t="inlineStr">
        <is>
          <t>CoefficientPercent</t>
        </is>
      </c>
      <c r="G189" s="5" t="inlineStr">
        <is>
          <t>EffectiveHits</t>
        </is>
      </c>
      <c r="H189" s="5" t="inlineStr">
        <is>
          <t>ProcProbability</t>
        </is>
      </c>
      <c r="I189" s="5" t="inlineStr">
        <is>
          <t>MapleHeroMultiplier</t>
        </is>
      </c>
      <c r="J189" s="5" t="inlineStr">
        <is>
          <t>BaseDamage</t>
        </is>
      </c>
      <c r="K189" s="5" t="inlineStr">
        <is>
          <t>BaseHitDamage</t>
        </is>
      </c>
      <c r="L189" s="5" t="inlineStr">
        <is>
          <t>NonCritAvg</t>
        </is>
      </c>
      <c r="M189" s="5" t="inlineStr">
        <is>
          <t>CritAvg</t>
        </is>
      </c>
      <c r="N189" s="5" t="inlineStr">
        <is>
          <t>ExpectedDamage(perHit)</t>
        </is>
      </c>
      <c r="O189" s="5" t="inlineStr">
        <is>
          <t>DPS</t>
        </is>
      </c>
      <c r="P189" s="5" t="inlineStr">
        <is>
          <t>% of Total</t>
        </is>
      </c>
      <c r="Q189" s="5" t="inlineStr">
        <is>
          <t>InvCooldown</t>
        </is>
      </c>
      <c r="R189" s="5" t="inlineStr">
        <is>
          <t>CastsInFight</t>
        </is>
      </c>
      <c r="S189" s="5" t="inlineStr">
        <is>
          <t>HitRate(perSec)</t>
        </is>
      </c>
      <c r="U189" t="inlineStr">
        <is>
          <t>helpers</t>
        </is>
      </c>
    </row>
    <row r="190">
      <c r="A190">
        <f>Skills!A2</f>
        <v/>
      </c>
      <c r="B190">
        <f>Skills!B2</f>
        <v/>
      </c>
      <c r="C190">
        <f>Inputs!$B$3&gt;=100</f>
        <v/>
      </c>
      <c r="D190" t="inlineStr"/>
      <c r="E190" t="inlineStr"/>
      <c r="F190">
        <f>U192+Skills!O2</f>
        <v/>
      </c>
      <c r="G190">
        <f>Skills!G2*IF(Skills!H2&gt;0,Skills!I2/Skills!H2,1)</f>
        <v/>
      </c>
      <c r="H190">
        <f>1-(1-Skills!J2/100)^Skills!K2</f>
        <v/>
      </c>
      <c r="I190" t="inlineStr">
        <is>
          <t>1</t>
        </is>
      </c>
      <c r="J190">
        <f>((Inputs!$B$6*(1+Inputs!$B$7/100))+(((Inputs!$B$12*(1+Inputs!$B$13/100))-(Inputs!$B$12*(1+Inputs!$B$13/100)))+0.25*(Inputs!$B$14-Inputs!$B$14))*(1+Inputs!$B$7/100))*(F190/100)</f>
        <v/>
      </c>
      <c r="K190">
        <f>J190*(1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f>
        <v/>
      </c>
      <c r="L190">
        <f>K190*(MIN(Inputs!$B$22+((C208=TRUE)*(F208-Calc!F20)),(Inputs!$B$23+0+(IF(ArtifactsInput!$M$15,CHOOSE(ArtifactsInput!$N$15+1,25,30,35,40,45,50)/100*(Inputs!$B$11-Inputs!$B$11),0))))/100+(Inputs!$B$23+0+(IF(ArtifactsInput!$M$15,CHOOSE(ArtifactsInput!$N$15+1,25,30,35,40,45,50)/100*(Inputs!$B$11-Inputs!$B$11),0)))/100)/2</f>
        <v/>
      </c>
      <c r="M190">
        <f>L190*(1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
        <f>L190*(1-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
        <f>(1-Summary!$B$11)*T190+Summary!$B$11*V190</f>
        <v/>
      </c>
      <c r="P190">
        <f>IF(B224=0,0,O190/B224)</f>
        <v/>
      </c>
      <c r="Q190" t="n">
        <v>0</v>
      </c>
      <c r="R190" t="n">
        <v>0</v>
      </c>
      <c r="S190">
        <f>IFERROR(O190/N190,0)</f>
        <v/>
      </c>
      <c r="T190">
        <f>IF(C190,(Skills!G2*N190*B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
        <f>MAX(0,(Inputs!$B$3-100)*3)+Inputs!$B$28+Inputs!$B$29</f>
        <v/>
      </c>
      <c r="V190">
        <f>IF(C190,(Skills!G2*N190*B218)*IF(Inputs!$B$38="pvp",1,(1+(Inputs!$B$21+Skills!Q2+(IF(ArtifactsInput!$M$33,CHOOSE(ArtifactsInput!$N$33+1,30,36,42,48,54,60),0))+(IF(AND(ArtifactsInput!$M$35,Inputs!$B$4&lt;&gt;"Chapter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
      <c r="A191">
        <f>Skills!A3</f>
        <v/>
      </c>
      <c r="B191">
        <f>Skills!B3</f>
        <v/>
      </c>
      <c r="C191">
        <f>Inputs!$B$3&gt;=35</f>
        <v/>
      </c>
      <c r="D191">
        <f>IF(Skills!C3=1,60+Inputs!$B$25+Inputs!$B$29,IF(Skills!C3=2,90+Inputs!$B$26+Inputs!$B$29,IF(Skills!C3=3,120+Inputs!$B$27+Inputs!$B$29,MAX(0,(Inputs!$B$3-100)*3)+Inputs!$B$28+Inputs!$B$29)))</f>
        <v/>
      </c>
      <c r="E191">
        <f>INDEX(FactorTable!$B$2:$Y$301, MATCH(ROUND(MIN(300,MAX(1,D191)),0), FactorTable!$A$2:$A$301,0), Skills!M3+1)</f>
        <v/>
      </c>
      <c r="F191">
        <f>IF(Skills!N3=TRUE,(Skills!L3/10)*(E191/1000),Skills!L3/10)+Skills!O3</f>
        <v/>
      </c>
      <c r="G191">
        <f>Skills!G3*IF(Skills!H3&gt;0,Skills!I3/Skills!H3,1)</f>
        <v/>
      </c>
      <c r="H191">
        <f>1-(1-Skills!J3/100)^Skills!K3</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208=TRUE)*(F208-Calc!F20)),(Inputs!$B$23+0+(IF(ArtifactsInput!$M$15,CHOOSE(ArtifactsInput!$N$15+1,25,30,35,40,45,50)/100*(Inputs!$B$11-Inputs!$B$11),0))))/100+(Inputs!$B$23+0+(IF(ArtifactsInput!$M$15,CHOOSE(ArtifactsInput!$N$15+1,25,30,35,40,45,50)/100*(Inputs!$B$11-Inputs!$B$11),0)))/100)/2</f>
        <v/>
      </c>
      <c r="M191">
        <f>L191*(1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IF(B224=0,0,O191/B224)</f>
        <v/>
      </c>
      <c r="Q191" t="n">
        <v>0</v>
      </c>
      <c r="R191" t="n">
        <v>0</v>
      </c>
      <c r="S191">
        <f>IFERROR(O191/N191,0)</f>
        <v/>
      </c>
      <c r="T191">
        <f>IF(C191,(Skills!G3*H191*N191*B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
        <f>INDEX(FactorTable!$B$2:$Y$301, MATCH(ROUND(MIN(300,MAX(1,U190)),0), FactorTable!$A$2:$A$301,0), 22)</f>
        <v/>
      </c>
      <c r="V191">
        <f>IF(C191,(Skills!G3*H191*N191*B218)*IF(Inputs!$B$38="pvp",1,(1+(Inputs!$B$21+Skills!Q3+(IF(ArtifactsInput!$M$33,CHOOSE(ArtifactsInput!$N$33+1,30,36,42,48,54,60),0))+(IF(AND(ArtifactsInput!$M$35,Inputs!$B$4&lt;&gt;"Chapter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Skills!A4</f>
        <v/>
      </c>
      <c r="B192">
        <f>Skills!B4</f>
        <v/>
      </c>
      <c r="C192">
        <f>Inputs!$B$3&gt;=60</f>
        <v/>
      </c>
      <c r="D192">
        <f>IF(Skills!C4=1,60+Inputs!$B$25+Inputs!$B$29,IF(Skills!C4=2,90+Inputs!$B$26+Inputs!$B$29,IF(Skills!C4=3,120+Inputs!$B$27+Inputs!$B$29,MAX(0,(Inputs!$B$3-100)*3)+Inputs!$B$28+Inputs!$B$29)))</f>
        <v/>
      </c>
      <c r="E192">
        <f>INDEX(FactorTable!$B$2:$Y$301, MATCH(ROUND(MIN(300,MAX(1,D192)),0), FactorTable!$A$2:$A$301,0), Skills!M4+1)</f>
        <v/>
      </c>
      <c r="F192">
        <f>IF(Skills!N4=TRUE,(Skills!L4/10)*(E192/1000),Skills!L4/10)+Skills!O4</f>
        <v/>
      </c>
      <c r="G192">
        <f>Skills!G4*IF(Skills!H4&gt;0,Skills!I4/Skills!H4,1)</f>
        <v/>
      </c>
      <c r="H192">
        <f>1-(1-Skills!J4/100)^Skills!K4</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TRUE,F200,0)/100)*(1+(IF(Skills!A4="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208=TRUE)*(F208-Calc!F20)),(Inputs!$B$23+0+(IF(ArtifactsInput!$M$15,CHOOSE(ArtifactsInput!$N$15+1,25,30,35,40,45,50)/100*(Inputs!$B$11-Inputs!$B$11),0))))/100+(Inputs!$B$23+0+(IF(ArtifactsInput!$M$15,CHOOSE(ArtifactsInput!$N$15+1,25,30,35,40,45,50)/100*(Inputs!$B$11-Inputs!$B$11),0)))/100)/2</f>
        <v/>
      </c>
      <c r="M192">
        <f>L192*(1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IF(B224=0,0,O192/B224)</f>
        <v/>
      </c>
      <c r="Q192" t="n">
        <v>0</v>
      </c>
      <c r="R192" t="n">
        <v>0</v>
      </c>
      <c r="S192">
        <f>IFERROR(O192/N192,0)</f>
        <v/>
      </c>
      <c r="T192">
        <f>IF(C192,(Skills!G4*H192*N192*B218)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290*U191/1000</f>
        <v/>
      </c>
      <c r="V192">
        <f>IF(C192,(Skills!G4*H192*N192*B218)*IF(Inputs!$B$38="pvp",1,(1+(Inputs!$B$21+Skills!Q4+(IF(ArtifactsInput!$M$33,CHOOSE(ArtifactsInput!$N$33+1,30,36,42,48,54,60),0))+(IF(AND(ArtifactsInput!$M$35,Inputs!$B$4&lt;&gt;"Chapter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Skills!A5</f>
        <v/>
      </c>
      <c r="B193">
        <f>Skills!B5</f>
        <v/>
      </c>
      <c r="C193">
        <f>Inputs!$B$3&gt;=60</f>
        <v/>
      </c>
      <c r="D193">
        <f>IF(Skills!C5=1,60+Inputs!$B$25+Inputs!$B$29,IF(Skills!C5=2,90+Inputs!$B$26+Inputs!$B$29,IF(Skills!C5=3,120+Inputs!$B$27+Inputs!$B$29,MAX(0,(Inputs!$B$3-100)*3)+Inputs!$B$28+Inputs!$B$29)))</f>
        <v/>
      </c>
      <c r="E193">
        <f>INDEX(FactorTable!$B$2:$Y$301, MATCH(ROUND(MIN(300,MAX(1,D193)),0), FactorTable!$A$2:$A$301,0), Skills!M5+1)</f>
        <v/>
      </c>
      <c r="F193">
        <f>IF(Skills!N5=TRUE,(Skills!L5/10)*(E193/1000),Skills!L5/10)+Skills!O5</f>
        <v/>
      </c>
      <c r="G193">
        <f>Skills!G5*IF(Skills!H5&gt;0,Skills!I5/Skills!H5,1)</f>
        <v/>
      </c>
      <c r="H193">
        <f>1-(1-Skills!J5/100)^Skills!K5</f>
        <v/>
      </c>
      <c r="I193" t="inlineStr">
        <is>
          <t>1</t>
        </is>
      </c>
      <c r="J193" t="inlineStr"/>
      <c r="K193" t="inlineStr"/>
      <c r="L193" t="inlineStr"/>
      <c r="M193" t="inlineStr"/>
      <c r="N193" t="inlineStr"/>
      <c r="O193">
        <f>(1-Summary!$B$11)*T193+Summary!$B$11*V193</f>
        <v/>
      </c>
      <c r="P193">
        <f>IF(B224=0,0,O193/B224)</f>
        <v/>
      </c>
      <c r="Q193" t="n">
        <v>0</v>
      </c>
      <c r="R193" t="n">
        <v>0</v>
      </c>
      <c r="S193">
        <f>IFERROR(O193/N193,0)</f>
        <v/>
      </c>
      <c r="T193" t="n">
        <v>0</v>
      </c>
      <c r="V193" t="n">
        <v>0</v>
      </c>
    </row>
    <row r="194">
      <c r="A194">
        <f>Skills!A6</f>
        <v/>
      </c>
      <c r="B194">
        <f>Skills!B6</f>
        <v/>
      </c>
      <c r="C194">
        <f>Inputs!$B$3&gt;=63</f>
        <v/>
      </c>
      <c r="D194">
        <f>IF(Skills!C6=1,60+Inputs!$B$25+Inputs!$B$29,IF(Skills!C6=2,90+Inputs!$B$26+Inputs!$B$29,IF(Skills!C6=3,120+Inputs!$B$27+Inputs!$B$29,MAX(0,(Inputs!$B$3-100)*3)+Inputs!$B$28+Inputs!$B$29)))</f>
        <v/>
      </c>
      <c r="E194">
        <f>INDEX(FactorTable!$B$2:$Y$301, MATCH(ROUND(MIN(300,MAX(1,D194)),0), FactorTable!$A$2:$A$301,0), Skills!M6+1)</f>
        <v/>
      </c>
      <c r="F194">
        <f>IF(Skills!N6=TRUE,(Skills!L6/10)*(E194/1000),Skills!L6/10)+Skills!O6</f>
        <v/>
      </c>
      <c r="G194">
        <f>Skills!G6*IF(Skills!H6&gt;0,Skills!I6/Skills!H6,1)</f>
        <v/>
      </c>
      <c r="H194">
        <f>1-(1-Skills!J6/100)^Skills!K6</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208=TRUE)*(F208-Calc!F20)),(Inputs!$B$23+0+(IF(ArtifactsInput!$M$15,CHOOSE(ArtifactsInput!$N$15+1,25,30,35,40,45,50)/100*(Inputs!$B$11-Inputs!$B$11),0))))/100+(Inputs!$B$23+0+(IF(ArtifactsInput!$M$15,CHOOSE(ArtifactsInput!$N$15+1,25,30,35,40,45,50)/100*(Inputs!$B$11-Inputs!$B$11),0)))/100)/2</f>
        <v/>
      </c>
      <c r="M194">
        <f>L194*(1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IF(B224=0,0,O194/B224)</f>
        <v/>
      </c>
      <c r="Q194">
        <f>IFERROR(1/(IF(Inputs!$B$38="pvp",15,MAX(0.1,Skills!D6-IF(Skills!E6=TRUE,Inputs!$B$32,0)))*(1-IF(AND(ArtifactsInput!$M$27,Inputs!$B$4="Chapter Hunt"),CHOOSE(ArtifactsInput!$N$27+1,20,24,28,32,36,40),0)/100)),0)</f>
        <v/>
      </c>
      <c r="R194">
        <f>IF(AND(Inputs!$B$38&lt;&gt;"pvp",Inputs!$B$43&gt;0),IF(MAX(0,Inputs!$B$43-B221)&lt;=0,0,(INT(MAX(0,Inputs!$B$43-B221)/(IF(Inputs!$B$38="pvp",15,MAX(0.1,Skills!D6-IF(Skills!E6=TRUE,Inputs!$B$32,0)))*(1-IF(AND(ArtifactsInput!$M$27,Inputs!$B$4="Chapter Hunt"),CHOOSE(ArtifactsInput!$N$27+1,20,24,28,32,36,40),0)/100)))+1)),0)</f>
        <v/>
      </c>
      <c r="S194">
        <f>IFERROR(O194/N194,0)</f>
        <v/>
      </c>
      <c r="T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$21+Skills!Q6+(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Skills!A7</f>
        <v/>
      </c>
      <c r="B195">
        <f>Skills!B7</f>
        <v/>
      </c>
      <c r="C195">
        <f>Inputs!$B$3&gt;=100</f>
        <v/>
      </c>
      <c r="D195">
        <f>IF(Skills!C7=1,60+Inputs!$B$25+Inputs!$B$29,IF(Skills!C7=2,90+Inputs!$B$26+Inputs!$B$29,IF(Skills!C7=3,120+Inputs!$B$27+Inputs!$B$29,MAX(0,(Inputs!$B$3-100)*3)+Inputs!$B$28+Inputs!$B$29)))</f>
        <v/>
      </c>
      <c r="E195">
        <f>INDEX(FactorTable!$B$2:$Y$301, MATCH(ROUND(MIN(300,MAX(1,D195)),0), FactorTable!$A$2:$A$301,0), Skills!M7+1)</f>
        <v/>
      </c>
      <c r="F195">
        <f>IF(Skills!N7=TRUE,(Skills!L7/10)*(E195/1000),Skills!L7/10)+Skills!O7</f>
        <v/>
      </c>
      <c r="G195">
        <f>Skills!G7*IF(Skills!H7&gt;0,Skills!I7/Skills!H7,1)</f>
        <v/>
      </c>
      <c r="H195">
        <f>1-(1-Skills!J7/100)^Skills!K7</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208=TRUE)*(F208-Calc!F20)),(Inputs!$B$23+0+(IF(ArtifactsInput!$M$15,CHOOSE(ArtifactsInput!$N$15+1,25,30,35,40,45,50)/100*(Inputs!$B$11-Inputs!$B$11),0))))/100+(Inputs!$B$23+0+(IF(ArtifactsInput!$M$15,CHOOSE(ArtifactsInput!$N$15+1,25,30,35,40,45,50)/100*(Inputs!$B$11-Inputs!$B$11),0)))/100)/2</f>
        <v/>
      </c>
      <c r="M195">
        <f>L195*(1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IF(B224=0,0,O195/B224)</f>
        <v/>
      </c>
      <c r="Q195">
        <f>IFERROR(1/(IF(Inputs!$B$38="pvp",15,MAX(0.1,Skills!D7-IF(Skills!E7=TRUE,Inputs!$B$32,0)))*(1-IF(AND(ArtifactsInput!$M$27,Inputs!$B$4="Chapter Hunt"),CHOOSE(ArtifactsInput!$N$27+1,20,24,28,32,36,40),0)/100)),0)</f>
        <v/>
      </c>
      <c r="R195">
        <f>IF(AND(Inputs!$B$38&lt;&gt;"pvp",Inputs!$B$43&gt;0),IF(MAX(0,Inputs!$B$43-B221)&lt;=0,0,(INT(MAX(0,Inputs!$B$43-B221)/(IF(Inputs!$B$38="pvp",15,MAX(0.1,Skills!D7-IF(Skills!E7=TRUE,Inputs!$B$32,0)))*(1-IF(AND(ArtifactsInput!$M$27,Inputs!$B$4="Chapter Hunt"),CHOOSE(ArtifactsInput!$N$27+1,20,24,28,32,36,40),0)/100)))+1)),0)</f>
        <v/>
      </c>
      <c r="S195">
        <f>IFERROR(O195/N195,0)</f>
        <v/>
      </c>
      <c r="T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$21+Skills!Q7+(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Skills!A8</f>
        <v/>
      </c>
      <c r="B196">
        <f>Skills!B8</f>
        <v/>
      </c>
      <c r="C196">
        <f>Inputs!$B$3&gt;=110</f>
        <v/>
      </c>
      <c r="D196">
        <f>IF(Skills!C8=1,60+Inputs!$B$25+Inputs!$B$29,IF(Skills!C8=2,90+Inputs!$B$26+Inputs!$B$29,IF(Skills!C8=3,120+Inputs!$B$27+Inputs!$B$29,MAX(0,(Inputs!$B$3-100)*3)+Inputs!$B$28+Inputs!$B$29)))</f>
        <v/>
      </c>
      <c r="E196">
        <f>INDEX(FactorTable!$B$2:$Y$301, MATCH(ROUND(MIN(300,MAX(1,D196)),0), FactorTable!$A$2:$A$301,0), Skills!M8+1)</f>
        <v/>
      </c>
      <c r="F196">
        <f>IF(Skills!N8=TRUE,(Skills!L8/10)*(E196/1000),Skills!L8/10)+Skills!O8</f>
        <v/>
      </c>
      <c r="G196">
        <f>Skills!G8*IF(Skills!H8&gt;0,Skills!I8/Skills!H8,1)</f>
        <v/>
      </c>
      <c r="H196">
        <f>1-(1-Skills!J8/100)^Skills!K8</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208=TRUE)*(F208-Calc!F20)),(Inputs!$B$23+0+(IF(ArtifactsInput!$M$15,CHOOSE(ArtifactsInput!$N$15+1,25,30,35,40,45,50)/100*(Inputs!$B$11-Inputs!$B$11),0))))/100+(Inputs!$B$23+0+(IF(ArtifactsInput!$M$15,CHOOSE(ArtifactsInput!$N$15+1,25,30,35,40,45,50)/100*(Inputs!$B$11-Inputs!$B$11),0)))/100)/2</f>
        <v/>
      </c>
      <c r="M196">
        <f>L196*(1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IF(B224=0,0,O196/B224)</f>
        <v/>
      </c>
      <c r="Q196">
        <f>IFERROR(1/(IF(Inputs!$B$38="pvp",15,MAX(0.1,Skills!D8-IF(Skills!E8=TRUE,Inputs!$B$32,0)))*(1-IF(AND(ArtifactsInput!$M$27,Inputs!$B$4="Chapter Hunt"),CHOOSE(ArtifactsInput!$N$27+1,20,24,28,32,36,40),0)/100)),0)</f>
        <v/>
      </c>
      <c r="R196">
        <f>IF(AND(Inputs!$B$38&lt;&gt;"pvp",Inputs!$B$43&gt;0),IF(MAX(0,Inputs!$B$43-B221)&lt;=0,0,(INT(MAX(0,Inputs!$B$43-B221)/(IF(Inputs!$B$38="pvp",15,MAX(0.1,Skills!D8-IF(Skills!E8=TRUE,Inputs!$B$32,0)))*(1-IF(AND(ArtifactsInput!$M$27,Inputs!$B$4="Chapter Hunt"),CHOOSE(ArtifactsInput!$N$27+1,20,24,28,32,36,40),0)/100)))+1)),0)</f>
        <v/>
      </c>
      <c r="S196">
        <f>IFERROR(O196/N196,0)</f>
        <v/>
      </c>
      <c r="T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$21+Skills!Q8+(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Skills!A9</f>
        <v/>
      </c>
      <c r="B197">
        <f>Skills!B9</f>
        <v/>
      </c>
      <c r="C197">
        <f>Inputs!$B$3&gt;=110</f>
        <v/>
      </c>
      <c r="D197">
        <f>IF(Skills!C9=1,60+Inputs!$B$25+Inputs!$B$29,IF(Skills!C9=2,90+Inputs!$B$26+Inputs!$B$29,IF(Skills!C9=3,120+Inputs!$B$27+Inputs!$B$29,MAX(0,(Inputs!$B$3-100)*3)+Inputs!$B$28+Inputs!$B$29)))</f>
        <v/>
      </c>
      <c r="E197">
        <f>INDEX(FactorTable!$B$2:$Y$301, MATCH(ROUND(MIN(300,MAX(1,D197)),0), FactorTable!$A$2:$A$301,0), Skills!M9+1)</f>
        <v/>
      </c>
      <c r="F197">
        <f>IF(Skills!N9=TRUE,(Skills!L9/10)*(E197/1000),Skills!L9/10)+Skills!O9</f>
        <v/>
      </c>
      <c r="G197">
        <f>Skills!G9*IF(Skills!H9&gt;0,Skills!I9/Skills!H9,1)</f>
        <v/>
      </c>
      <c r="H197">
        <f>1-(1-Skills!J9/100)^Skills!K9</f>
        <v/>
      </c>
      <c r="I197" t="inlineStr">
        <is>
          <t>1</t>
        </is>
      </c>
      <c r="J197">
        <f>((Inputs!$B$6*(1+Inputs!$B$7/100))+(((Inputs!$B$12*(1+Inputs!$B$13/100))-(Inputs!$B$12*(1+Inputs!$B$13/100)))+0.25*(Inputs!$B$14-Inputs!$B$14))*(1+Inputs!$B$7/100))*(F197/100)</f>
        <v/>
      </c>
      <c r="K197">
        <f>J197*(1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208=TRUE)*(F208-Calc!F20)),(Inputs!$B$23+0+(IF(ArtifactsInput!$M$15,CHOOSE(ArtifactsInput!$N$15+1,25,30,35,40,45,50)/100*(Inputs!$B$11-Inputs!$B$11),0))))/100+(Inputs!$B$23+0+(IF(ArtifactsInput!$M$15,CHOOSE(ArtifactsInput!$N$15+1,25,30,35,40,45,50)/100*(Inputs!$B$11-Inputs!$B$11),0)))/100)/2</f>
        <v/>
      </c>
      <c r="M197">
        <f>L197*(1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IF(B224=0,0,O197/B224)</f>
        <v/>
      </c>
      <c r="Q197">
        <f>IFERROR(1/(IF(Inputs!$B$38="pvp",15,MAX(0.1,Skills!D9-IF(Skills!E9=TRUE,Inputs!$B$32,0)))*(1-IF(AND(ArtifactsInput!$M$27,Inputs!$B$4="Chapter Hunt"),CHOOSE(ArtifactsInput!$N$27+1,20,24,28,32,36,40),0)/100)),0)</f>
        <v/>
      </c>
      <c r="R197">
        <f>IF(AND(Inputs!$B$38&lt;&gt;"pvp",Inputs!$B$43&gt;0),IF(MAX(0,Inputs!$B$43-B221)&lt;=0,0,(INT(MAX(0,Inputs!$B$43-B221)/(IF(Inputs!$B$38="pvp",15,MAX(0.1,Skills!D9-IF(Skills!E9=TRUE,Inputs!$B$32,0)))*(1-IF(AND(ArtifactsInput!$M$27,Inputs!$B$4="Chapter Hunt"),CHOOSE(ArtifactsInput!$N$27+1,20,24,28,32,36,40),0)/100)))+1)),0)</f>
        <v/>
      </c>
      <c r="S197">
        <f>IFERROR(O197/N197,0)</f>
        <v/>
      </c>
      <c r="T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$21+Skills!Q9+(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Skills!A10</f>
        <v/>
      </c>
      <c r="B198">
        <f>Skills!B10</f>
        <v/>
      </c>
      <c r="C198">
        <f>Inputs!$B$3&gt;=103</f>
        <v/>
      </c>
      <c r="D198">
        <f>IF(Skills!C10=1,60+Inputs!$B$25+Inputs!$B$29,IF(Skills!C10=2,90+Inputs!$B$26+Inputs!$B$29,IF(Skills!C10=3,120+Inputs!$B$27+Inputs!$B$29,MAX(0,(Inputs!$B$3-100)*3)+Inputs!$B$28+Inputs!$B$29)))</f>
        <v/>
      </c>
      <c r="E198">
        <f>INDEX(FactorTable!$B$2:$Y$301, MATCH(ROUND(MIN(300,MAX(1,D198)),0), FactorTable!$A$2:$A$301,0), Skills!M10+1)</f>
        <v/>
      </c>
      <c r="F198">
        <f>IF(Skills!N10=TRUE,(Skills!L10/10)*(E198/1000),Skills!L10/10)+Skills!O10</f>
        <v/>
      </c>
      <c r="G198">
        <f>Skills!G10*IF(Skills!H10&gt;0,Skills!I10/Skills!H10,1)</f>
        <v/>
      </c>
      <c r="H198">
        <f>1-(1-Skills!J10/100)^Skills!K10</f>
        <v/>
      </c>
      <c r="I198" t="inlineStr">
        <is>
          <t>1</t>
        </is>
      </c>
      <c r="J198">
        <f>((Inputs!$B$6*(1+Inputs!$B$7/100))+(((Inputs!$B$12*(1+Inputs!$B$13/100))-(Inputs!$B$12*(1+Inputs!$B$13/100)))+0.25*(Inputs!$B$14-Inputs!$B$14))*(1+Inputs!$B$7/100))*(F198/100)</f>
        <v/>
      </c>
      <c r="K198">
        <f>J198*(1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208=TRUE)*(F208-Calc!F20)),(Inputs!$B$23+0+(IF(ArtifactsInput!$M$15,CHOOSE(ArtifactsInput!$N$15+1,25,30,35,40,45,50)/100*(Inputs!$B$11-Inputs!$B$11),0))))/100+(Inputs!$B$23+0+(IF(ArtifactsInput!$M$15,CHOOSE(ArtifactsInput!$N$15+1,25,30,35,40,45,50)/100*(Inputs!$B$11-Inputs!$B$11),0)))/100)/2</f>
        <v/>
      </c>
      <c r="M198">
        <f>L198*(1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IF(B224=0,0,O198/B224)</f>
        <v/>
      </c>
      <c r="Q198">
        <f>IFERROR(1/(IF(Inputs!$B$38="pvp",15,MAX(0.1,Skills!D10-IF(Skills!E10=TRUE,Inputs!$B$32,0)))*(1-IF(AND(ArtifactsInput!$M$27,Inputs!$B$4="Chapter Hunt"),CHOOSE(ArtifactsInput!$N$27+1,20,24,28,32,36,40),0)/100)),0)</f>
        <v/>
      </c>
      <c r="R198">
        <f>IF(AND(Inputs!$B$38&lt;&gt;"pvp",Inputs!$B$43&gt;0),IF(MAX(0,Inputs!$B$43-B221)&lt;=0,0,(INT(MAX(0,Inputs!$B$43-B221)/(IF(Inputs!$B$38="pvp",15,MAX(0.1,Skills!D10-IF(Skills!E10=TRUE,Inputs!$B$32,0)))*(1-IF(AND(ArtifactsInput!$M$27,Inputs!$B$4="Chapter Hunt"),CHOOSE(ArtifactsInput!$N$27+1,20,24,28,32,36,40),0)/100)))+1)),0)</f>
        <v/>
      </c>
      <c r="S198">
        <f>IFERROR(O198/N198,0)</f>
        <v/>
      </c>
      <c r="T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$21+Skills!Q10+(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Skills!A11</f>
        <v/>
      </c>
      <c r="B199">
        <f>Skills!B11</f>
        <v/>
      </c>
      <c r="C199">
        <f>Inputs!$B$3&gt;=113</f>
        <v/>
      </c>
      <c r="D199">
        <f>IF(Skills!C11=1,60+Inputs!$B$25+Inputs!$B$29,IF(Skills!C11=2,90+Inputs!$B$26+Inputs!$B$29,IF(Skills!C11=3,120+Inputs!$B$27+Inputs!$B$29,MAX(0,(Inputs!$B$3-100)*3)+Inputs!$B$28+Inputs!$B$29)))</f>
        <v/>
      </c>
      <c r="E199">
        <f>INDEX(FactorTable!$B$2:$Y$301, MATCH(ROUND(MIN(300,MAX(1,D199)),0), FactorTable!$A$2:$A$301,0), Skills!M11+1)</f>
        <v/>
      </c>
      <c r="F199">
        <f>IF(Skills!N11=TRUE,(Skills!L11/10)*(E199/1000),Skills!L11/10)+Skills!O11</f>
        <v/>
      </c>
      <c r="G199">
        <f>Skills!G11*IF(Skills!H11&gt;0,Skills!I11/Skills!H11,1)</f>
        <v/>
      </c>
      <c r="H199">
        <f>1-(1-Skills!J11/100)^Skills!K11</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208=TRUE)*(F208-Calc!F20)),(Inputs!$B$23+0+(IF(ArtifactsInput!$M$15,CHOOSE(ArtifactsInput!$N$15+1,25,30,35,40,45,50)/100*(Inputs!$B$11-Inputs!$B$11),0))))/100+(Inputs!$B$23+0+(IF(ArtifactsInput!$M$15,CHOOSE(ArtifactsInput!$N$15+1,25,30,35,40,45,50)/100*(Inputs!$B$11-Inputs!$B$11),0)))/100)/2</f>
        <v/>
      </c>
      <c r="M199">
        <f>L199*(1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IF(B224=0,0,O199/B224)</f>
        <v/>
      </c>
      <c r="Q199">
        <f>IFERROR(1/(IF(Inputs!$B$38="pvp",15,MAX(0.1,Skills!D11-IF(Skills!E11=TRUE,Inputs!$B$32,0)))*(1-IF(AND(ArtifactsInput!$M$27,Inputs!$B$4="Chapter Hunt"),CHOOSE(ArtifactsInput!$N$27+1,20,24,28,32,36,40),0)/100)),0)</f>
        <v/>
      </c>
      <c r="R199">
        <f>IF(AND(Inputs!$B$38&lt;&gt;"pvp",Inputs!$B$43&gt;0),IF(MAX(0,Inputs!$B$43-B221)&lt;=0,0,(INT(MAX(0,Inputs!$B$43-B221)/(IF(Inputs!$B$38="pvp",15,MAX(0.1,Skills!D11-IF(Skills!E11=TRUE,Inputs!$B$32,0)))*(1-IF(AND(ArtifactsInput!$M$27,Inputs!$B$4="Chapter Hunt"),CHOOSE(ArtifactsInput!$N$27+1,20,24,28,32,36,40),0)/100)))+1)),0)</f>
        <v/>
      </c>
      <c r="S199">
        <f>IFERROR(O199/N199,0)</f>
        <v/>
      </c>
      <c r="T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$21+Skills!Q11+(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Skills!A12</f>
        <v/>
      </c>
      <c r="B200">
        <f>Skills!B12</f>
        <v/>
      </c>
      <c r="C200">
        <f>Inputs!$B$3&gt;=100</f>
        <v/>
      </c>
      <c r="D200">
        <f>IF(Skills!C12=1,60+Inputs!$B$25+Inputs!$B$29,IF(Skills!C12=2,90+Inputs!$B$26+Inputs!$B$29,IF(Skills!C12=3,120+Inputs!$B$27+Inputs!$B$29,MAX(0,(Inputs!$B$3-100)*3)+Inputs!$B$28+Inputs!$B$29)))</f>
        <v/>
      </c>
      <c r="E200">
        <f>INDEX(FactorTable!$B$2:$Y$301, MATCH(ROUND(MIN(300,MAX(1,D200)),0), FactorTable!$A$2:$A$301,0), Skills!M12+1)</f>
        <v/>
      </c>
      <c r="F200">
        <f>IF(Skills!N12=TRUE,(Skills!L12/10)*(E200/1000),Skills!L12/10)+Skills!O12</f>
        <v/>
      </c>
      <c r="G200" t="inlineStr"/>
      <c r="H200" t="inlineStr"/>
      <c r="I200" t="inlineStr">
        <is>
          <t>1</t>
        </is>
      </c>
      <c r="J200" t="inlineStr"/>
      <c r="K200" t="inlineStr"/>
      <c r="L200" t="inlineStr"/>
      <c r="M200" t="inlineStr"/>
      <c r="N200" t="inlineStr"/>
      <c r="O200" t="inlineStr"/>
      <c r="P200" t="inlineStr"/>
      <c r="Q200" t="inlineStr"/>
      <c r="R200" t="inlineStr"/>
      <c r="S200" t="inlineStr"/>
      <c r="T200" t="inlineStr"/>
      <c r="V200" t="inlineStr"/>
    </row>
    <row r="201">
      <c r="A201">
        <f>Skills!A13</f>
        <v/>
      </c>
      <c r="B201">
        <f>Skills!B13</f>
        <v/>
      </c>
      <c r="C201">
        <f>Inputs!$B$3&gt;=66</f>
        <v/>
      </c>
      <c r="D201">
        <f>IF(Skills!C13=1,60+Inputs!$B$25+Inputs!$B$29,IF(Skills!C13=2,90+Inputs!$B$26+Inputs!$B$29,IF(Skills!C13=3,120+Inputs!$B$27+Inputs!$B$29,MAX(0,(Inputs!$B$3-100)*3)+Inputs!$B$28+Inputs!$B$29)))</f>
        <v/>
      </c>
      <c r="E201">
        <f>INDEX(FactorTable!$B$2:$Y$301, MATCH(ROUND(MIN(300,MAX(1,D201)),0), FactorTable!$A$2:$A$301,0), Skills!M13+1)</f>
        <v/>
      </c>
      <c r="F201">
        <f>IF(Skills!N13=TRUE,(Skills!L13/10)*(E201/1000),Skills!L13/10)+Skills!O13</f>
        <v/>
      </c>
      <c r="G201">
        <f>Skills!G13*IF(Skills!H13&gt;0,Skills!I13/Skills!H13,1)</f>
        <v/>
      </c>
      <c r="H201">
        <f>1-(1-Skills!J13/100)^Skills!K13</f>
        <v/>
      </c>
      <c r="I201" t="inlineStr">
        <is>
          <t>1</t>
        </is>
      </c>
      <c r="J201" t="inlineStr"/>
      <c r="K201" t="inlineStr"/>
      <c r="L201" t="inlineStr"/>
      <c r="M201" t="inlineStr"/>
      <c r="N201" t="inlineStr"/>
      <c r="O201">
        <f>(1-Summary!$B$11)*T201+Summary!$B$11*V201</f>
        <v/>
      </c>
      <c r="P201">
        <f>IF(B224=0,0,O201/B224)</f>
        <v/>
      </c>
      <c r="Q201" t="n">
        <v>0</v>
      </c>
      <c r="R201" t="n">
        <v>0</v>
      </c>
      <c r="S201">
        <f>IFERROR(O201/N201,0)</f>
        <v/>
      </c>
      <c r="T201" t="n">
        <v>0</v>
      </c>
      <c r="V201" t="n">
        <v>0</v>
      </c>
    </row>
    <row r="202">
      <c r="A202">
        <f>Skills!A14</f>
        <v/>
      </c>
      <c r="B202">
        <f>Skills!B14</f>
        <v/>
      </c>
      <c r="C202">
        <f>Inputs!$B$3&gt;=107</f>
        <v/>
      </c>
      <c r="D202">
        <f>IF(Skills!C14=1,60+Inputs!$B$25+Inputs!$B$29,IF(Skills!C14=2,90+Inputs!$B$26+Inputs!$B$29,IF(Skills!C14=3,120+Inputs!$B$27+Inputs!$B$29,MAX(0,(Inputs!$B$3-100)*3)+Inputs!$B$28+Inputs!$B$29)))</f>
        <v/>
      </c>
      <c r="E202">
        <f>INDEX(FactorTable!$B$2:$Y$301, MATCH(ROUND(MIN(300,MAX(1,D202)),0), FactorTable!$A$2:$A$301,0), Skills!M14+1)</f>
        <v/>
      </c>
      <c r="F202">
        <f>IF(Skills!N14=TRUE,(Skills!L14/10)*(E202/1000),Skills!L14/10)+Skills!O14</f>
        <v/>
      </c>
      <c r="G202">
        <f>Skills!G14*IF(Skills!H14&gt;0,Skills!I14/Skills!H14,1)</f>
        <v/>
      </c>
      <c r="H202">
        <f>1-(1-Skills!J14/100)^Skills!K14</f>
        <v/>
      </c>
      <c r="I202" t="inlineStr">
        <is>
          <t>1</t>
        </is>
      </c>
      <c r="J202" t="inlineStr"/>
      <c r="K202" t="inlineStr"/>
      <c r="L202" t="inlineStr"/>
      <c r="M202" t="inlineStr"/>
      <c r="N202" t="inlineStr"/>
      <c r="O202">
        <f>(1-Summary!$B$11)*T202+Summary!$B$11*V202</f>
        <v/>
      </c>
      <c r="P202">
        <f>IF(B224=0,0,O202/B224)</f>
        <v/>
      </c>
      <c r="Q202" t="n">
        <v>0</v>
      </c>
      <c r="R202" t="n">
        <v>0</v>
      </c>
      <c r="S202">
        <f>IFERROR(O202/N202,0)</f>
        <v/>
      </c>
      <c r="T202" t="n">
        <v>0</v>
      </c>
      <c r="V202" t="n">
        <v>0</v>
      </c>
    </row>
    <row r="203">
      <c r="A203">
        <f>Skills!A15</f>
        <v/>
      </c>
      <c r="B203">
        <f>Skills!B15</f>
        <v/>
      </c>
      <c r="C203">
        <f>Inputs!$B$3&gt;=115</f>
        <v/>
      </c>
      <c r="D203">
        <f>IF(Skills!C15=1,60+Inputs!$B$25+Inputs!$B$29,IF(Skills!C15=2,90+Inputs!$B$26+Inputs!$B$29,IF(Skills!C15=3,120+Inputs!$B$27+Inputs!$B$29,MAX(0,(Inputs!$B$3-100)*3)+Inputs!$B$28+Inputs!$B$29)))</f>
        <v/>
      </c>
      <c r="E203">
        <f>INDEX(FactorTable!$B$2:$Y$301, MATCH(ROUND(MIN(300,MAX(1,D203)),0), FactorTable!$A$2:$A$301,0), Skills!M15+1)</f>
        <v/>
      </c>
      <c r="F203">
        <f>IF(Skills!N15=TRUE,(Skills!L15/10)*(E203/1000),Skills!L15/10)+Skills!O15</f>
        <v/>
      </c>
      <c r="G203">
        <f>Skills!G15*IF(Skills!H15&gt;0,Skills!I15/Skills!H15,1)</f>
        <v/>
      </c>
      <c r="H203">
        <f>1-(1-Skills!J15/100)^Skills!K15</f>
        <v/>
      </c>
      <c r="I203" t="inlineStr">
        <is>
          <t>1</t>
        </is>
      </c>
      <c r="J203" t="inlineStr"/>
      <c r="K203" t="inlineStr"/>
      <c r="L203" t="inlineStr"/>
      <c r="M203" t="inlineStr"/>
      <c r="N203" t="inlineStr"/>
      <c r="O203">
        <f>(1-Summary!$B$11)*T203+Summary!$B$11*V203</f>
        <v/>
      </c>
      <c r="P203">
        <f>IF(B224=0,0,O203/B224)</f>
        <v/>
      </c>
      <c r="Q203" t="n">
        <v>0</v>
      </c>
      <c r="R203" t="n">
        <v>0</v>
      </c>
      <c r="S203">
        <f>IFERROR(O203/N203,0)</f>
        <v/>
      </c>
      <c r="T203" t="n">
        <v>0</v>
      </c>
      <c r="V203" t="n">
        <v>0</v>
      </c>
    </row>
    <row r="204">
      <c r="A204">
        <f>Skills!A16</f>
        <v/>
      </c>
      <c r="B204">
        <f>Skills!B16</f>
        <v/>
      </c>
      <c r="C204">
        <f>Inputs!$B$3&gt;=15</f>
        <v/>
      </c>
      <c r="D204">
        <f>IF(Skills!C16=1,60+Inputs!$B$25+Inputs!$B$29,IF(Skills!C16=2,90+Inputs!$B$26+Inputs!$B$29,IF(Skills!C16=3,120+Inputs!$B$27+Inputs!$B$29,MAX(0,(Inputs!$B$3-100)*3)+Inputs!$B$28+Inputs!$B$29)))</f>
        <v/>
      </c>
      <c r="E204">
        <f>INDEX(FactorTable!$B$2:$Y$301, MATCH(ROUND(MIN(300,MAX(1,D204)),0), FactorTable!$A$2:$A$301,0), Skills!M16+1)</f>
        <v/>
      </c>
      <c r="F204">
        <f>IF(Skills!N16=TRUE,(Skills!L16/10)*(E204/1000),Skills!L16/10)+Skills!O16</f>
        <v/>
      </c>
      <c r="G204">
        <f>Skills!G16*IF(Skills!H16&gt;0,Skills!I16/Skills!H16,1)</f>
        <v/>
      </c>
      <c r="H204">
        <f>1-(1-Skills!J16/100)^Skills!K16</f>
        <v/>
      </c>
      <c r="I204" t="inlineStr">
        <is>
          <t>1</t>
        </is>
      </c>
      <c r="J204" t="inlineStr"/>
      <c r="K204" t="inlineStr"/>
      <c r="L204" t="inlineStr"/>
      <c r="M204" t="inlineStr"/>
      <c r="N204" t="inlineStr"/>
      <c r="O204">
        <f>(1-Summary!$B$11)*T204+Summary!$B$11*V204</f>
        <v/>
      </c>
      <c r="P204">
        <f>IF(B224=0,0,O204/B224)</f>
        <v/>
      </c>
      <c r="Q204" t="n">
        <v>0</v>
      </c>
      <c r="R204" t="n">
        <v>0</v>
      </c>
      <c r="S204">
        <f>IFERROR(O204/N204,0)</f>
        <v/>
      </c>
      <c r="T204" t="n">
        <v>0</v>
      </c>
      <c r="V204" t="n">
        <v>0</v>
      </c>
    </row>
    <row r="205">
      <c r="A205">
        <f>Skills!A17</f>
        <v/>
      </c>
      <c r="B205">
        <f>Skills!B17</f>
        <v/>
      </c>
      <c r="C205">
        <f>Inputs!$B$3&gt;=10</f>
        <v/>
      </c>
      <c r="D205">
        <f>IF(Skills!C17=1,60+Inputs!$B$25+Inputs!$B$29,IF(Skills!C17=2,90+Inputs!$B$26+Inputs!$B$29,IF(Skills!C17=3,120+Inputs!$B$27+Inputs!$B$29,MAX(0,(Inputs!$B$3-100)*3)+Inputs!$B$28+Inputs!$B$29)))</f>
        <v/>
      </c>
      <c r="E205">
        <f>INDEX(FactorTable!$B$2:$Y$301, MATCH(ROUND(MIN(300,MAX(1,D205)),0), FactorTable!$A$2:$A$301,0), Skills!M17+1)</f>
        <v/>
      </c>
      <c r="F205">
        <f>IF(Skills!N17=TRUE,(Skills!L17/10)*(E205/1000),Skills!L17/10)+Skills!O17</f>
        <v/>
      </c>
      <c r="G205">
        <f>Skills!G17*IF(Skills!H17&gt;0,Skills!I17/Skills!H17,1)</f>
        <v/>
      </c>
      <c r="H205">
        <f>1-(1-Skills!J17/100)^Skills!K17</f>
        <v/>
      </c>
      <c r="I205" t="inlineStr">
        <is>
          <t>1</t>
        </is>
      </c>
      <c r="J205" t="inlineStr"/>
      <c r="K205" t="inlineStr"/>
      <c r="L205" t="inlineStr"/>
      <c r="M205" t="inlineStr"/>
      <c r="N205" t="inlineStr"/>
      <c r="O205">
        <f>(1-Summary!$B$11)*T205+Summary!$B$11*V205</f>
        <v/>
      </c>
      <c r="P205">
        <f>IF(B224=0,0,O205/B224)</f>
        <v/>
      </c>
      <c r="Q205" t="n">
        <v>0</v>
      </c>
      <c r="R205" t="n">
        <v>0</v>
      </c>
      <c r="S205">
        <f>IFERROR(O205/N205,0)</f>
        <v/>
      </c>
      <c r="T205" t="n">
        <v>0</v>
      </c>
      <c r="V205" t="n">
        <v>0</v>
      </c>
    </row>
    <row r="206">
      <c r="A206">
        <f>Skills!A18</f>
        <v/>
      </c>
      <c r="B206">
        <f>Skills!B18</f>
        <v/>
      </c>
      <c r="C206">
        <f>Inputs!$B$3&gt;=33</f>
        <v/>
      </c>
      <c r="D206">
        <f>IF(Skills!C18=1,60+Inputs!$B$25+Inputs!$B$29,IF(Skills!C18=2,90+Inputs!$B$26+Inputs!$B$29,IF(Skills!C18=3,120+Inputs!$B$27+Inputs!$B$29,MAX(0,(Inputs!$B$3-100)*3)+Inputs!$B$28+Inputs!$B$29)))</f>
        <v/>
      </c>
      <c r="E206">
        <f>INDEX(FactorTable!$B$2:$Y$301, MATCH(ROUND(MIN(300,MAX(1,D206)),0), FactorTable!$A$2:$A$301,0), Skills!M18+1)</f>
        <v/>
      </c>
      <c r="F206">
        <f>IF(Skills!N18=TRUE,(Skills!L18/10)*(E206/1000),Skills!L18/10)+Skills!O18</f>
        <v/>
      </c>
      <c r="G206">
        <f>Skills!G18*IF(Skills!H18&gt;0,Skills!I18/Skills!H18,1)</f>
        <v/>
      </c>
      <c r="H206">
        <f>1-(1-Skills!J18/100)^Skills!K18</f>
        <v/>
      </c>
      <c r="I206" t="inlineStr">
        <is>
          <t>1</t>
        </is>
      </c>
      <c r="J206" t="inlineStr"/>
      <c r="K206" t="inlineStr"/>
      <c r="L206" t="inlineStr"/>
      <c r="M206" t="inlineStr"/>
      <c r="N206" t="inlineStr"/>
      <c r="O206">
        <f>(1-Summary!$B$11)*T206+Summary!$B$11*V206</f>
        <v/>
      </c>
      <c r="P206">
        <f>IF(B224=0,0,O206/B224)</f>
        <v/>
      </c>
      <c r="Q206" t="n">
        <v>0</v>
      </c>
      <c r="R206" t="n">
        <v>0</v>
      </c>
      <c r="S206">
        <f>IFERROR(O206/N206,0)</f>
        <v/>
      </c>
      <c r="T206" t="n">
        <v>0</v>
      </c>
      <c r="V206" t="n">
        <v>0</v>
      </c>
    </row>
    <row r="207">
      <c r="A207">
        <f>Skills!A19</f>
        <v/>
      </c>
      <c r="B207">
        <f>Skills!B19</f>
        <v/>
      </c>
      <c r="C207">
        <f>Inputs!$B$3&gt;=40</f>
        <v/>
      </c>
      <c r="D207">
        <f>IF(Skills!C19=1,60+Inputs!$B$25+Inputs!$B$29,IF(Skills!C19=2,90+Inputs!$B$26+Inputs!$B$29,IF(Skills!C19=3,120+Inputs!$B$27+Inputs!$B$29,MAX(0,(Inputs!$B$3-100)*3)+Inputs!$B$28+Inputs!$B$29)))</f>
        <v/>
      </c>
      <c r="E207">
        <f>INDEX(FactorTable!$B$2:$Y$301, MATCH(ROUND(MIN(300,MAX(1,D207)),0), FactorTable!$A$2:$A$301,0), Skills!M19+1)</f>
        <v/>
      </c>
      <c r="F207">
        <f>IF(Skills!N19=TRUE,(Skills!L19/10)*(E207/1000),Skills!L19/10)+Skills!O19</f>
        <v/>
      </c>
      <c r="G207">
        <f>Skills!G19*IF(Skills!H19&gt;0,Skills!I19/Skills!H19,1)</f>
        <v/>
      </c>
      <c r="H207">
        <f>1-(1-Skills!J19/100)^Skills!K19</f>
        <v/>
      </c>
      <c r="I207" t="inlineStr">
        <is>
          <t>1</t>
        </is>
      </c>
      <c r="J207" t="inlineStr"/>
      <c r="K207" t="inlineStr"/>
      <c r="L207" t="inlineStr"/>
      <c r="M207" t="inlineStr"/>
      <c r="N207" t="inlineStr"/>
      <c r="O207">
        <f>(1-Summary!$B$11)*T207+Summary!$B$11*V207</f>
        <v/>
      </c>
      <c r="P207">
        <f>IF(B224=0,0,O207/B224)</f>
        <v/>
      </c>
      <c r="Q207" t="n">
        <v>0</v>
      </c>
      <c r="R207" t="n">
        <v>0</v>
      </c>
      <c r="S207">
        <f>IFERROR(O207/N207,0)</f>
        <v/>
      </c>
      <c r="T207" t="n">
        <v>0</v>
      </c>
      <c r="V207" t="n">
        <v>0</v>
      </c>
    </row>
    <row r="208">
      <c r="A208">
        <f>Skills!A20</f>
        <v/>
      </c>
      <c r="B208">
        <f>Skills!B20</f>
        <v/>
      </c>
      <c r="C208">
        <f>Inputs!$B$3&gt;=43</f>
        <v/>
      </c>
      <c r="D208">
        <f>IF(Skills!C20=1,60+Inputs!$B$25+Inputs!$B$29,IF(Skills!C20=2,90+Inputs!$B$26+Inputs!$B$29,IF(Skills!C20=3,120+Inputs!$B$27+Inputs!$B$29,MAX(0,(Inputs!$B$3-100)*3)+Inputs!$B$28+Inputs!$B$29)))</f>
        <v/>
      </c>
      <c r="E208">
        <f>INDEX(FactorTable!$B$2:$Y$301, MATCH(ROUND(MIN(300,MAX(1,D208)),0), FactorTable!$A$2:$A$301,0), Skills!M20+1)</f>
        <v/>
      </c>
      <c r="F208">
        <f>IF(Skills!N20=TRUE,(Skills!L20/10)*(E208/1000),Skills!L20/10)+Skills!O20</f>
        <v/>
      </c>
      <c r="G208">
        <f>Skills!G20*IF(Skills!H20&gt;0,Skills!I20/Skills!H20,1)</f>
        <v/>
      </c>
      <c r="H208">
        <f>1-(1-Skills!J20/100)^Skills!K20</f>
        <v/>
      </c>
      <c r="I208" t="inlineStr">
        <is>
          <t>1</t>
        </is>
      </c>
      <c r="J208" t="inlineStr"/>
      <c r="K208" t="inlineStr"/>
      <c r="L208" t="inlineStr"/>
      <c r="M208" t="inlineStr"/>
      <c r="N208" t="inlineStr"/>
      <c r="O208">
        <f>(1-Summary!$B$11)*T208+Summary!$B$11*V208</f>
        <v/>
      </c>
      <c r="P208">
        <f>IF(B224=0,0,O208/B224)</f>
        <v/>
      </c>
      <c r="Q208" t="n">
        <v>0</v>
      </c>
      <c r="R208" t="n">
        <v>0</v>
      </c>
      <c r="S208">
        <f>IFERROR(O208/N208,0)</f>
        <v/>
      </c>
      <c r="T208" t="n">
        <v>0</v>
      </c>
      <c r="V208" t="n">
        <v>0</v>
      </c>
    </row>
    <row r="209">
      <c r="A209">
        <f>Skills!A21</f>
        <v/>
      </c>
      <c r="B209">
        <f>Skills!B21</f>
        <v/>
      </c>
      <c r="C209">
        <f>Inputs!$B$3&gt;=38</f>
        <v/>
      </c>
      <c r="D209">
        <f>IF(Skills!C21=1,60+Inputs!$B$25+Inputs!$B$29,IF(Skills!C21=2,90+Inputs!$B$26+Inputs!$B$29,IF(Skills!C21=3,120+Inputs!$B$27+Inputs!$B$29,MAX(0,(Inputs!$B$3-100)*3)+Inputs!$B$28+Inputs!$B$29)))</f>
        <v/>
      </c>
      <c r="E209">
        <f>INDEX(FactorTable!$B$2:$Y$301, MATCH(ROUND(MIN(300,MAX(1,D209)),0), FactorTable!$A$2:$A$301,0), Skills!M21+1)</f>
        <v/>
      </c>
      <c r="F209">
        <f>IF(Skills!N21=TRUE,(Skills!L21/10)*(E209/1000),Skills!L21/10)+Skills!O21</f>
        <v/>
      </c>
      <c r="G209">
        <f>Skills!G21*IF(Skills!H21&gt;0,Skills!I21/Skills!H21,1)</f>
        <v/>
      </c>
      <c r="H209">
        <f>1-(1-Skills!J21/100)^Skills!K21</f>
        <v/>
      </c>
      <c r="I209" t="inlineStr">
        <is>
          <t>1</t>
        </is>
      </c>
      <c r="J209" t="inlineStr"/>
      <c r="K209" t="inlineStr"/>
      <c r="L209" t="inlineStr"/>
      <c r="M209" t="inlineStr"/>
      <c r="N209" t="inlineStr"/>
      <c r="O209">
        <f>(1-Summary!$B$11)*T209+Summary!$B$11*V209</f>
        <v/>
      </c>
      <c r="P209">
        <f>IF(B224=0,0,O209/B224)</f>
        <v/>
      </c>
      <c r="Q209" t="n">
        <v>0</v>
      </c>
      <c r="R209" t="n">
        <v>0</v>
      </c>
      <c r="S209">
        <f>IFERROR(O209/N209,0)</f>
        <v/>
      </c>
      <c r="T209" t="n">
        <v>0</v>
      </c>
      <c r="V209" t="n">
        <v>0</v>
      </c>
    </row>
    <row r="210">
      <c r="A210">
        <f>Skills!A22</f>
        <v/>
      </c>
      <c r="B210">
        <f>Skills!B22</f>
        <v/>
      </c>
      <c r="C210">
        <f>Inputs!$B$3&gt;=75</f>
        <v/>
      </c>
      <c r="D210">
        <f>IF(Skills!C22=1,60+Inputs!$B$25+Inputs!$B$29,IF(Skills!C22=2,90+Inputs!$B$26+Inputs!$B$29,IF(Skills!C22=3,120+Inputs!$B$27+Inputs!$B$29,MAX(0,(Inputs!$B$3-100)*3)+Inputs!$B$28+Inputs!$B$29)))</f>
        <v/>
      </c>
      <c r="E210">
        <f>INDEX(FactorTable!$B$2:$Y$301, MATCH(ROUND(MIN(300,MAX(1,D210)),0), FactorTable!$A$2:$A$301,0), Skills!M22+1)</f>
        <v/>
      </c>
      <c r="F210">
        <f>IF(Skills!N22=TRUE,(Skills!L22/10)*(E210/1000),Skills!L22/10)+Skills!O22</f>
        <v/>
      </c>
      <c r="G210">
        <f>Skills!G22*IF(Skills!H22&gt;0,Skills!I22/Skills!H22,1)</f>
        <v/>
      </c>
      <c r="H210">
        <f>1-(1-Skills!J22/100)^Skills!K22</f>
        <v/>
      </c>
      <c r="I210" t="inlineStr">
        <is>
          <t>1</t>
        </is>
      </c>
      <c r="J210" t="inlineStr"/>
      <c r="K210" t="inlineStr"/>
      <c r="L210" t="inlineStr"/>
      <c r="M210" t="inlineStr"/>
      <c r="N210" t="inlineStr"/>
      <c r="O210">
        <f>(1-Summary!$B$11)*T210+Summary!$B$11*V210</f>
        <v/>
      </c>
      <c r="P210">
        <f>IF(B224=0,0,O210/B224)</f>
        <v/>
      </c>
      <c r="Q210" t="n">
        <v>0</v>
      </c>
      <c r="R210" t="n">
        <v>0</v>
      </c>
      <c r="S210">
        <f>IFERROR(O210/N210,0)</f>
        <v/>
      </c>
      <c r="T210" t="n">
        <v>0</v>
      </c>
      <c r="V210" t="n">
        <v>0</v>
      </c>
    </row>
    <row r="211">
      <c r="A211">
        <f>Skills!A23</f>
        <v/>
      </c>
      <c r="B211">
        <f>Skills!B23</f>
        <v/>
      </c>
      <c r="C211">
        <f>TRUE</f>
        <v/>
      </c>
      <c r="D211">
        <f>IF(Skills!C23=1,60+Inputs!$B$25+Inputs!$B$29,IF(Skills!C23=2,90+Inputs!$B$26+Inputs!$B$29,IF(Skills!C23=3,120+Inputs!$B$27+Inputs!$B$29,MAX(0,(Inputs!$B$3-100)*3)+Inputs!$B$28+Inputs!$B$29)))</f>
        <v/>
      </c>
      <c r="E211">
        <f>INDEX(FactorTable!$B$2:$Y$301, MATCH(ROUND(MIN(300,MAX(1,D211)),0), FactorTable!$A$2:$A$301,0), Skills!M23+1)</f>
        <v/>
      </c>
      <c r="F211">
        <f>IF(Skills!N23=TRUE,(Skills!L23/10)*(E211/1000),Skills!L23/10)+Skills!O23</f>
        <v/>
      </c>
      <c r="G211">
        <f>Skills!G23*IF(Skills!H23&gt;0,Skills!I23/Skills!H23,1)</f>
        <v/>
      </c>
      <c r="H211">
        <f>1-(1-Skills!J23/100)^Skills!K23</f>
        <v/>
      </c>
      <c r="I211" t="inlineStr">
        <is>
          <t>1</t>
        </is>
      </c>
      <c r="J211" t="inlineStr"/>
      <c r="K211" t="inlineStr"/>
      <c r="L211" t="inlineStr"/>
      <c r="M211" t="inlineStr"/>
      <c r="N211" t="inlineStr"/>
      <c r="O211">
        <f>(1-Summary!$B$11)*T211+Summary!$B$11*V211</f>
        <v/>
      </c>
      <c r="P211">
        <f>IF(B224=0,0,O211/B224)</f>
        <v/>
      </c>
      <c r="Q211">
        <f>IFERROR(1/(IF(Inputs!$B$38="pvp",15,MAX(0.1,Skills!D23-IF(Skills!E23=TRUE,Inputs!$B$32,0)))*(1-IF(AND(ArtifactsInput!$M$27,Inputs!$B$4="Chapter Hunt"),CHOOSE(ArtifactsInput!$N$27+1,20,24,28,32,36,40),0)/100)),0)</f>
        <v/>
      </c>
      <c r="R211">
        <f>IF(AND(Inputs!$B$38&lt;&gt;"pvp",Inputs!$B$43&gt;0),IF(Inputs!$B$43&lt;=0,0,(INT(Inputs!$B$43/(IF(Inputs!$B$38="pvp",15,MAX(0.1,Skills!D23-IF(Skills!E23=TRUE,Inputs!$B$32,0)))*(1-IF(AND(ArtifactsInput!$M$27,Inputs!$B$4="Chapter Hunt"),CHOOSE(ArtifactsInput!$N$27+1,20,24,28,32,36,40),0)/100)))+1)),0)</f>
        <v/>
      </c>
      <c r="S211">
        <f>IFERROR(O211/N211,0)</f>
        <v/>
      </c>
      <c r="T211" t="n">
        <v>0</v>
      </c>
      <c r="V211" t="n">
        <v>0</v>
      </c>
    </row>
    <row r="213">
      <c r="A213" t="inlineStr">
        <is>
          <t>Attack% Bucket Multiplier</t>
        </is>
      </c>
      <c r="B213">
        <f>(1+(((C201=TRUE)*F201*5/7)+((C207=TRUE)*(F207-Calc!F19))+(IF(ArtifactsInput!$M$21,CHOOSE(ArtifactsInput!$N$21+1,25,30,35,40,45,50)*(IF(OR(Inputs!$B$4="Chapter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
      <c r="A214" t="inlineStr">
        <is>
          <t>Global Crit Rate Bonus %</t>
        </is>
      </c>
      <c r="B214" t="n">
        <v>0</v>
      </c>
    </row>
    <row r="215">
      <c r="A215" t="inlineStr">
        <is>
          <t>Attack Speed Buff Bonus % (Nimble Feet, duty-cycle averaged)</t>
        </is>
      </c>
      <c r="B215">
        <f>((C211=TRUE)*F211*IF(AND(Inputs!$B$38&lt;&gt;"pvp",Inputs!$B$43&gt;0),(((R211-1)*(Skills!T23*(1+Inputs!$B$34/100))+MIN((Skills!T23*(1+Inputs!$B$34/100)),MAX(0,Inputs!$B$43-((R211-1)*Skills!D23))))/Inputs!$B$43),IF(Inputs!$B$38="pvp",MIN((Skills!T23*(1+Inputs!$B$34/100)),15)/15,(Skills!T23*(1+Inputs!$B$34/100))/Skills!D23)))</f>
        <v/>
      </c>
    </row>
    <row r="216">
      <c r="A216" t="inlineStr">
        <is>
          <t>Actions Per Second</t>
        </is>
      </c>
      <c r="B216">
        <f>1+MIN(150,150*(1-(1-(Inputs!$B$11+((C205=TRUE)*(F205-Calc!F17))+((C206=TRUE)*(F206-Calc!F18)))/150)*(1-B215/150)))/100</f>
        <v/>
      </c>
    </row>
    <row r="217">
      <c r="A217" t="inlineStr">
        <is>
          <t>Skill + Buff Cast Rate</t>
        </is>
      </c>
      <c r="B217">
        <f>IF(AND(Inputs!$B$38&lt;&gt;"pvp",Inputs!$B$43&gt;0),SUMPRODUCT((Skills!E2:E23=TRUE)*(C190:C211=TRUE)*R190:R211*Skills!F2:F23)/Inputs!$B$43,SUMPRODUCT((Skills!E2:E23=TRUE)*(C190:C211=TRUE)*Q190:Q211*Skills!F2:F23))</f>
        <v/>
      </c>
    </row>
    <row r="218">
      <c r="A218" t="inlineStr">
        <is>
          <t>Hook Bomber Casts Per Second</t>
        </is>
      </c>
      <c r="B218">
        <f>MAX(0,B216-B217)</f>
        <v/>
      </c>
    </row>
    <row r="219">
      <c r="A219" t="inlineStr">
        <is>
          <t>Global Critical Damage Bonus % (unused)</t>
        </is>
      </c>
      <c r="B219" t="n">
        <v>0</v>
      </c>
    </row>
    <row r="220">
      <c r="A220" t="inlineStr">
        <is>
          <t>Global Final Damage Bonus % (Serpent Scale + Crossbones + Time Leap + Speed Infusion)</t>
        </is>
      </c>
      <c r="B220">
        <f>((C193=TRUE)*F193*((10+IF(Inputs!$B$3&gt;=94,5,0))/((10+IF(Inputs!$B$3&gt;=94,5,0))+5/(B218*(1+IF(Inputs!$B$3&gt;=104,1,0))))))+((C202=TRUE)*F202)+((C203=TRUE)*F203)+((Inputs!$B$3&gt;=110)*20*(B216-1))</f>
        <v/>
      </c>
    </row>
    <row r="221">
      <c r="A221" t="inlineStr">
        <is>
          <t>Buff-Casting Startup Delay (s, fixed-duration only)</t>
        </is>
      </c>
      <c r="B221">
        <f>IF(AND(Inputs!$B$38&lt;&gt;"pvp",Inputs!$B$43&gt;0),SUMPRODUCT((Skills!T2:T23&gt;0)*(Skills!E2:E23=TRUE)*(C190:C211=TRUE))/B216,0)</f>
        <v/>
      </c>
    </row>
    <row r="222">
      <c r="A222" t="inlineStr">
        <is>
          <t>Boss-Only Total DPS (this block's swept value)</t>
        </is>
      </c>
      <c r="B222">
        <f>SUM(T190:T211)</f>
        <v/>
      </c>
    </row>
    <row r="223">
      <c r="A223" t="inlineStr">
        <is>
          <t>Normal-Only Total DPS (this block's swept value)</t>
        </is>
      </c>
      <c r="B223">
        <f>SUM(V190:V211)</f>
        <v/>
      </c>
    </row>
    <row r="224">
      <c r="A224" s="6" t="inlineStr">
        <is>
          <t>TOTAL DPS</t>
        </is>
      </c>
      <c r="B224" s="6">
        <f>SUM(O190:O211)</f>
        <v/>
      </c>
    </row>
    <row r="227">
      <c r="A227" s="6" t="inlineStr">
        <is>
          <t>Stat: DAMAGE_AMP %</t>
        </is>
      </c>
    </row>
    <row r="228">
      <c r="A228" s="5" t="inlineStr">
        <is>
          <t>Key</t>
        </is>
      </c>
      <c r="B228" s="5" t="inlineStr">
        <is>
          <t>Name</t>
        </is>
      </c>
      <c r="C228" s="5" t="inlineStr">
        <is>
          <t>Unlocked</t>
        </is>
      </c>
      <c r="D228" s="5" t="inlineStr">
        <is>
          <t>InputLevel</t>
        </is>
      </c>
      <c r="E228" s="5" t="inlineStr">
        <is>
          <t>Factor</t>
        </is>
      </c>
      <c r="F228" s="5" t="inlineStr">
        <is>
          <t>CoefficientPercent</t>
        </is>
      </c>
      <c r="G228" s="5" t="inlineStr">
        <is>
          <t>EffectiveHits</t>
        </is>
      </c>
      <c r="H228" s="5" t="inlineStr">
        <is>
          <t>ProcProbability</t>
        </is>
      </c>
      <c r="I228" s="5" t="inlineStr">
        <is>
          <t>MapleHeroMultiplier</t>
        </is>
      </c>
      <c r="J228" s="5" t="inlineStr">
        <is>
          <t>BaseDamage</t>
        </is>
      </c>
      <c r="K228" s="5" t="inlineStr">
        <is>
          <t>BaseHitDamage</t>
        </is>
      </c>
      <c r="L228" s="5" t="inlineStr">
        <is>
          <t>NonCritAvg</t>
        </is>
      </c>
      <c r="M228" s="5" t="inlineStr">
        <is>
          <t>CritAvg</t>
        </is>
      </c>
      <c r="N228" s="5" t="inlineStr">
        <is>
          <t>ExpectedDamage(perHit)</t>
        </is>
      </c>
      <c r="O228" s="5" t="inlineStr">
        <is>
          <t>DPS</t>
        </is>
      </c>
      <c r="P228" s="5" t="inlineStr">
        <is>
          <t>% of Total</t>
        </is>
      </c>
      <c r="Q228" s="5" t="inlineStr">
        <is>
          <t>InvCooldown</t>
        </is>
      </c>
      <c r="R228" s="5" t="inlineStr">
        <is>
          <t>CastsInFight</t>
        </is>
      </c>
      <c r="S228" s="5" t="inlineStr">
        <is>
          <t>HitRate(perSec)</t>
        </is>
      </c>
      <c r="U228" t="inlineStr">
        <is>
          <t>helpers</t>
        </is>
      </c>
    </row>
    <row r="229">
      <c r="A229">
        <f>Skills!A2</f>
        <v/>
      </c>
      <c r="B229">
        <f>Skills!B2</f>
        <v/>
      </c>
      <c r="C229">
        <f>Inputs!$B$3&gt;=100</f>
        <v/>
      </c>
      <c r="D229" t="inlineStr"/>
      <c r="E229" t="inlineStr"/>
      <c r="F229">
        <f>U231+Skills!O2</f>
        <v/>
      </c>
      <c r="G229">
        <f>Skills!G2*IF(Skills!H2&gt;0,Skills!I2/Skills!H2,1)</f>
        <v/>
      </c>
      <c r="H229">
        <f>1-(1-Skills!J2/100)^Skills!K2</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247=TRUE)*(F247-Calc!F20)),(Inputs!$B$23+0+(IF(ArtifactsInput!$M$15,CHOOSE(ArtifactsInput!$N$15+1,25,30,35,40,45,50)/100*(Inputs!$B$11-Inputs!$B$11),0))))/100+(Inputs!$B$23+0+(IF(ArtifactsInput!$M$15,CHOOSE(ArtifactsInput!$N$15+1,25,30,35,40,45,50)/100*(Inputs!$B$11-Inputs!$B$11),0)))/100)/2</f>
        <v/>
      </c>
      <c r="M229">
        <f>L229*(1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IF(B263=0,0,O229/B263)</f>
        <v/>
      </c>
      <c r="Q229" t="n">
        <v>0</v>
      </c>
      <c r="R229" t="n">
        <v>0</v>
      </c>
      <c r="S229">
        <f>IFERROR(O229/N229,0)</f>
        <v/>
      </c>
      <c r="T229">
        <f>IF(C229,(Skills!G2*N229*B257)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
        <f>MAX(0,(Inputs!$B$3-100)*3)+Inputs!$B$28+Inputs!$B$29</f>
        <v/>
      </c>
      <c r="V229">
        <f>IF(C229,(Skills!G2*N229*B257)*IF(Inputs!$B$38="pvp",1,(1+(Inputs!$B$21+Skills!Q2+(IF(ArtifactsInput!$M$33,CHOOSE(ArtifactsInput!$N$33+1,30,36,42,48,54,60),0))+(IF(AND(ArtifactsInput!$M$35,Inputs!$B$4&lt;&gt;"Chapter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Skills!A3</f>
        <v/>
      </c>
      <c r="B230">
        <f>Skills!B3</f>
        <v/>
      </c>
      <c r="C230">
        <f>Inputs!$B$3&gt;=35</f>
        <v/>
      </c>
      <c r="D230">
        <f>IF(Skills!C3=1,60+Inputs!$B$25+Inputs!$B$29,IF(Skills!C3=2,90+Inputs!$B$26+Inputs!$B$29,IF(Skills!C3=3,120+Inputs!$B$27+Inputs!$B$29,MAX(0,(Inputs!$B$3-100)*3)+Inputs!$B$28+Inputs!$B$29)))</f>
        <v/>
      </c>
      <c r="E230">
        <f>INDEX(FactorTable!$B$2:$Y$301, MATCH(ROUND(MIN(300,MAX(1,D230)),0), FactorTable!$A$2:$A$301,0), Skills!M3+1)</f>
        <v/>
      </c>
      <c r="F230">
        <f>IF(Skills!N3=TRUE,(Skills!L3/10)*(E230/1000),Skills!L3/10)+Skills!O3</f>
        <v/>
      </c>
      <c r="G230">
        <f>Skills!G3*IF(Skills!H3&gt;0,Skills!I3/Skills!H3,1)</f>
        <v/>
      </c>
      <c r="H230">
        <f>1-(1-Skills!J3/100)^Skills!K3</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247=TRUE)*(F247-Calc!F20)),(Inputs!$B$23+0+(IF(ArtifactsInput!$M$15,CHOOSE(ArtifactsInput!$N$15+1,25,30,35,40,45,50)/100*(Inputs!$B$11-Inputs!$B$11),0))))/100+(Inputs!$B$23+0+(IF(ArtifactsInput!$M$15,CHOOSE(ArtifactsInput!$N$15+1,25,30,35,40,45,50)/100*(Inputs!$B$11-Inputs!$B$11),0)))/100)/2</f>
        <v/>
      </c>
      <c r="M230">
        <f>L230*(1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IF(B263=0,0,O230/B263)</f>
        <v/>
      </c>
      <c r="Q230" t="n">
        <v>0</v>
      </c>
      <c r="R230" t="n">
        <v>0</v>
      </c>
      <c r="S230">
        <f>IFERROR(O230/N230,0)</f>
        <v/>
      </c>
      <c r="T230">
        <f>IF(C230,(Skills!G3*H230*N230*B257)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INDEX(FactorTable!$B$2:$Y$301, MATCH(ROUND(MIN(300,MAX(1,U229)),0), FactorTable!$A$2:$A$301,0), 22)</f>
        <v/>
      </c>
      <c r="V230">
        <f>IF(C230,(Skills!G3*H230*N230*B257)*IF(Inputs!$B$38="pvp",1,(1+(Inputs!$B$21+Skills!Q3+(IF(ArtifactsInput!$M$33,CHOOSE(ArtifactsInput!$N$33+1,30,36,42,48,54,60),0))+(IF(AND(ArtifactsInput!$M$35,Inputs!$B$4&lt;&gt;"Chapter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Skills!A4</f>
        <v/>
      </c>
      <c r="B231">
        <f>Skills!B4</f>
        <v/>
      </c>
      <c r="C231">
        <f>Inputs!$B$3&gt;=60</f>
        <v/>
      </c>
      <c r="D231">
        <f>IF(Skills!C4=1,60+Inputs!$B$25+Inputs!$B$29,IF(Skills!C4=2,90+Inputs!$B$26+Inputs!$B$29,IF(Skills!C4=3,120+Inputs!$B$27+Inputs!$B$29,MAX(0,(Inputs!$B$3-100)*3)+Inputs!$B$28+Inputs!$B$29)))</f>
        <v/>
      </c>
      <c r="E231">
        <f>INDEX(FactorTable!$B$2:$Y$301, MATCH(ROUND(MIN(300,MAX(1,D231)),0), FactorTable!$A$2:$A$301,0), Skills!M4+1)</f>
        <v/>
      </c>
      <c r="F231">
        <f>IF(Skills!N4=TRUE,(Skills!L4/10)*(E231/1000),Skills!L4/10)+Skills!O4</f>
        <v/>
      </c>
      <c r="G231">
        <f>Skills!G4*IF(Skills!H4&gt;0,Skills!I4/Skills!H4,1)</f>
        <v/>
      </c>
      <c r="H231">
        <f>1-(1-Skills!J4/100)^Skills!K4</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TRUE,F239,0)/100)*(1+(IF(Skills!A4="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247=TRUE)*(F247-Calc!F20)),(Inputs!$B$23+0+(IF(ArtifactsInput!$M$15,CHOOSE(ArtifactsInput!$N$15+1,25,30,35,40,45,50)/100*(Inputs!$B$11-Inputs!$B$11),0))))/100+(Inputs!$B$23+0+(IF(ArtifactsInput!$M$15,CHOOSE(ArtifactsInput!$N$15+1,25,30,35,40,45,50)/100*(Inputs!$B$11-Inputs!$B$11),0)))/100)/2</f>
        <v/>
      </c>
      <c r="M231">
        <f>L231*(1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IF(B263=0,0,O231/B263)</f>
        <v/>
      </c>
      <c r="Q231" t="n">
        <v>0</v>
      </c>
      <c r="R231" t="n">
        <v>0</v>
      </c>
      <c r="S231">
        <f>IFERROR(O231/N231,0)</f>
        <v/>
      </c>
      <c r="T231">
        <f>IF(C231,(Skills!G4*H231*N231*B257)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290*U230/1000</f>
        <v/>
      </c>
      <c r="V231">
        <f>IF(C231,(Skills!G4*H231*N231*B257)*IF(Inputs!$B$38="pvp",1,(1+(Inputs!$B$21+Skills!Q4+(IF(ArtifactsInput!$M$33,CHOOSE(ArtifactsInput!$N$33+1,30,36,42,48,54,60),0))+(IF(AND(ArtifactsInput!$M$35,Inputs!$B$4&lt;&gt;"Chapter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Skills!A5</f>
        <v/>
      </c>
      <c r="B232">
        <f>Skills!B5</f>
        <v/>
      </c>
      <c r="C232">
        <f>Inputs!$B$3&gt;=60</f>
        <v/>
      </c>
      <c r="D232">
        <f>IF(Skills!C5=1,60+Inputs!$B$25+Inputs!$B$29,IF(Skills!C5=2,90+Inputs!$B$26+Inputs!$B$29,IF(Skills!C5=3,120+Inputs!$B$27+Inputs!$B$29,MAX(0,(Inputs!$B$3-100)*3)+Inputs!$B$28+Inputs!$B$29)))</f>
        <v/>
      </c>
      <c r="E232">
        <f>INDEX(FactorTable!$B$2:$Y$301, MATCH(ROUND(MIN(300,MAX(1,D232)),0), FactorTable!$A$2:$A$301,0), Skills!M5+1)</f>
        <v/>
      </c>
      <c r="F232">
        <f>IF(Skills!N5=TRUE,(Skills!L5/10)*(E232/1000),Skills!L5/10)+Skills!O5</f>
        <v/>
      </c>
      <c r="G232">
        <f>Skills!G5*IF(Skills!H5&gt;0,Skills!I5/Skills!H5,1)</f>
        <v/>
      </c>
      <c r="H232">
        <f>1-(1-Skills!J5/100)^Skills!K5</f>
        <v/>
      </c>
      <c r="I232" t="inlineStr">
        <is>
          <t>1</t>
        </is>
      </c>
      <c r="J232" t="inlineStr"/>
      <c r="K232" t="inlineStr"/>
      <c r="L232" t="inlineStr"/>
      <c r="M232" t="inlineStr"/>
      <c r="N232" t="inlineStr"/>
      <c r="O232">
        <f>(1-Summary!$B$11)*T232+Summary!$B$11*V232</f>
        <v/>
      </c>
      <c r="P232">
        <f>IF(B263=0,0,O232/B263)</f>
        <v/>
      </c>
      <c r="Q232" t="n">
        <v>0</v>
      </c>
      <c r="R232" t="n">
        <v>0</v>
      </c>
      <c r="S232">
        <f>IFERROR(O232/N232,0)</f>
        <v/>
      </c>
      <c r="T232" t="n">
        <v>0</v>
      </c>
      <c r="V232" t="n">
        <v>0</v>
      </c>
    </row>
    <row r="233">
      <c r="A233">
        <f>Skills!A6</f>
        <v/>
      </c>
      <c r="B233">
        <f>Skills!B6</f>
        <v/>
      </c>
      <c r="C233">
        <f>Inputs!$B$3&gt;=63</f>
        <v/>
      </c>
      <c r="D233">
        <f>IF(Skills!C6=1,60+Inputs!$B$25+Inputs!$B$29,IF(Skills!C6=2,90+Inputs!$B$26+Inputs!$B$29,IF(Skills!C6=3,120+Inputs!$B$27+Inputs!$B$29,MAX(0,(Inputs!$B$3-100)*3)+Inputs!$B$28+Inputs!$B$29)))</f>
        <v/>
      </c>
      <c r="E233">
        <f>INDEX(FactorTable!$B$2:$Y$301, MATCH(ROUND(MIN(300,MAX(1,D233)),0), FactorTable!$A$2:$A$301,0), Skills!M6+1)</f>
        <v/>
      </c>
      <c r="F233">
        <f>IF(Skills!N6=TRUE,(Skills!L6/10)*(E233/1000),Skills!L6/10)+Skills!O6</f>
        <v/>
      </c>
      <c r="G233">
        <f>Skills!G6*IF(Skills!H6&gt;0,Skills!I6/Skills!H6,1)</f>
        <v/>
      </c>
      <c r="H233">
        <f>1-(1-Skills!J6/100)^Skills!K6</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247=TRUE)*(F247-Calc!F20)),(Inputs!$B$23+0+(IF(ArtifactsInput!$M$15,CHOOSE(ArtifactsInput!$N$15+1,25,30,35,40,45,50)/100*(Inputs!$B$11-Inputs!$B$11),0))))/100+(Inputs!$B$23+0+(IF(ArtifactsInput!$M$15,CHOOSE(ArtifactsInput!$N$15+1,25,30,35,40,45,50)/100*(Inputs!$B$11-Inputs!$B$11),0)))/100)/2</f>
        <v/>
      </c>
      <c r="M233">
        <f>L233*(1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IF(B263=0,0,O233/B263)</f>
        <v/>
      </c>
      <c r="Q233">
        <f>IFERROR(1/(IF(Inputs!$B$38="pvp",15,MAX(0.1,Skills!D6-IF(Skills!E6=TRUE,Inputs!$B$32,0)))*(1-IF(AND(ArtifactsInput!$M$27,Inputs!$B$4="Chapter Hunt"),CHOOSE(ArtifactsInput!$N$27+1,20,24,28,32,36,40),0)/100)),0)</f>
        <v/>
      </c>
      <c r="R233">
        <f>IF(AND(Inputs!$B$38&lt;&gt;"pvp",Inputs!$B$43&gt;0),IF(MAX(0,Inputs!$B$43-B260)&lt;=0,0,(INT(MAX(0,Inputs!$B$43-B260)/(IF(Inputs!$B$38="pvp",15,MAX(0.1,Skills!D6-IF(Skills!E6=TRUE,Inputs!$B$32,0)))*(1-IF(AND(ArtifactsInput!$M$27,Inputs!$B$4="Chapter Hunt"),CHOOSE(ArtifactsInput!$N$27+1,20,24,28,32,36,40),0)/100)))+1)),0)</f>
        <v/>
      </c>
      <c r="S233">
        <f>IFERROR(O233/N233,0)</f>
        <v/>
      </c>
      <c r="T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$21+Skills!Q6+(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Skills!A7</f>
        <v/>
      </c>
      <c r="B234">
        <f>Skills!B7</f>
        <v/>
      </c>
      <c r="C234">
        <f>Inputs!$B$3&gt;=100</f>
        <v/>
      </c>
      <c r="D234">
        <f>IF(Skills!C7=1,60+Inputs!$B$25+Inputs!$B$29,IF(Skills!C7=2,90+Inputs!$B$26+Inputs!$B$29,IF(Skills!C7=3,120+Inputs!$B$27+Inputs!$B$29,MAX(0,(Inputs!$B$3-100)*3)+Inputs!$B$28+Inputs!$B$29)))</f>
        <v/>
      </c>
      <c r="E234">
        <f>INDEX(FactorTable!$B$2:$Y$301, MATCH(ROUND(MIN(300,MAX(1,D234)),0), FactorTable!$A$2:$A$301,0), Skills!M7+1)</f>
        <v/>
      </c>
      <c r="F234">
        <f>IF(Skills!N7=TRUE,(Skills!L7/10)*(E234/1000),Skills!L7/10)+Skills!O7</f>
        <v/>
      </c>
      <c r="G234">
        <f>Skills!G7*IF(Skills!H7&gt;0,Skills!I7/Skills!H7,1)</f>
        <v/>
      </c>
      <c r="H234">
        <f>1-(1-Skills!J7/100)^Skills!K7</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247=TRUE)*(F247-Calc!F20)),(Inputs!$B$23+0+(IF(ArtifactsInput!$M$15,CHOOSE(ArtifactsInput!$N$15+1,25,30,35,40,45,50)/100*(Inputs!$B$11-Inputs!$B$11),0))))/100+(Inputs!$B$23+0+(IF(ArtifactsInput!$M$15,CHOOSE(ArtifactsInput!$N$15+1,25,30,35,40,45,50)/100*(Inputs!$B$11-Inputs!$B$11),0)))/100)/2</f>
        <v/>
      </c>
      <c r="M234">
        <f>L234*(1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IF(B263=0,0,O234/B263)</f>
        <v/>
      </c>
      <c r="Q234">
        <f>IFERROR(1/(IF(Inputs!$B$38="pvp",15,MAX(0.1,Skills!D7-IF(Skills!E7=TRUE,Inputs!$B$32,0)))*(1-IF(AND(ArtifactsInput!$M$27,Inputs!$B$4="Chapter Hunt"),CHOOSE(ArtifactsInput!$N$27+1,20,24,28,32,36,40),0)/100)),0)</f>
        <v/>
      </c>
      <c r="R234">
        <f>IF(AND(Inputs!$B$38&lt;&gt;"pvp",Inputs!$B$43&gt;0),IF(MAX(0,Inputs!$B$43-B260)&lt;=0,0,(INT(MAX(0,Inputs!$B$43-B260)/(IF(Inputs!$B$38="pvp",15,MAX(0.1,Skills!D7-IF(Skills!E7=TRUE,Inputs!$B$32,0)))*(1-IF(AND(ArtifactsInput!$M$27,Inputs!$B$4="Chapter Hunt"),CHOOSE(ArtifactsInput!$N$27+1,20,24,28,32,36,40),0)/100)))+1)),0)</f>
        <v/>
      </c>
      <c r="S234">
        <f>IFERROR(O234/N234,0)</f>
        <v/>
      </c>
      <c r="T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$21+Skills!Q7+(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Skills!A8</f>
        <v/>
      </c>
      <c r="B235">
        <f>Skills!B8</f>
        <v/>
      </c>
      <c r="C235">
        <f>Inputs!$B$3&gt;=110</f>
        <v/>
      </c>
      <c r="D235">
        <f>IF(Skills!C8=1,60+Inputs!$B$25+Inputs!$B$29,IF(Skills!C8=2,90+Inputs!$B$26+Inputs!$B$29,IF(Skills!C8=3,120+Inputs!$B$27+Inputs!$B$29,MAX(0,(Inputs!$B$3-100)*3)+Inputs!$B$28+Inputs!$B$29)))</f>
        <v/>
      </c>
      <c r="E235">
        <f>INDEX(FactorTable!$B$2:$Y$301, MATCH(ROUND(MIN(300,MAX(1,D235)),0), FactorTable!$A$2:$A$301,0), Skills!M8+1)</f>
        <v/>
      </c>
      <c r="F235">
        <f>IF(Skills!N8=TRUE,(Skills!L8/10)*(E235/1000),Skills!L8/10)+Skills!O8</f>
        <v/>
      </c>
      <c r="G235">
        <f>Skills!G8*IF(Skills!H8&gt;0,Skills!I8/Skills!H8,1)</f>
        <v/>
      </c>
      <c r="H235">
        <f>1-(1-Skills!J8/100)^Skills!K8</f>
        <v/>
      </c>
      <c r="I235" t="inlineStr">
        <is>
          <t>1</t>
        </is>
      </c>
      <c r="J235">
        <f>((Inputs!$B$6*(1+Inputs!$B$7/100))+(((Inputs!$B$12*(1+Inputs!$B$13/100))-(Inputs!$B$12*(1+Inputs!$B$13/100)))+0.25*(Inputs!$B$14-Inputs!$B$14))*(1+Inputs!$B$7/100))*(F235/100)</f>
        <v/>
      </c>
      <c r="K235">
        <f>J235*(1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247=TRUE)*(F247-Calc!F20)),(Inputs!$B$23+0+(IF(ArtifactsInput!$M$15,CHOOSE(ArtifactsInput!$N$15+1,25,30,35,40,45,50)/100*(Inputs!$B$11-Inputs!$B$11),0))))/100+(Inputs!$B$23+0+(IF(ArtifactsInput!$M$15,CHOOSE(ArtifactsInput!$N$15+1,25,30,35,40,45,50)/100*(Inputs!$B$11-Inputs!$B$11),0)))/100)/2</f>
        <v/>
      </c>
      <c r="M235">
        <f>L235*(1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IF(B263=0,0,O235/B263)</f>
        <v/>
      </c>
      <c r="Q235">
        <f>IFERROR(1/(IF(Inputs!$B$38="pvp",15,MAX(0.1,Skills!D8-IF(Skills!E8=TRUE,Inputs!$B$32,0)))*(1-IF(AND(ArtifactsInput!$M$27,Inputs!$B$4="Chapter Hunt"),CHOOSE(ArtifactsInput!$N$27+1,20,24,28,32,36,40),0)/100)),0)</f>
        <v/>
      </c>
      <c r="R235">
        <f>IF(AND(Inputs!$B$38&lt;&gt;"pvp",Inputs!$B$43&gt;0),IF(MAX(0,Inputs!$B$43-B260)&lt;=0,0,(INT(MAX(0,Inputs!$B$43-B260)/(IF(Inputs!$B$38="pvp",15,MAX(0.1,Skills!D8-IF(Skills!E8=TRUE,Inputs!$B$32,0)))*(1-IF(AND(ArtifactsInput!$M$27,Inputs!$B$4="Chapter Hunt"),CHOOSE(ArtifactsInput!$N$27+1,20,24,28,32,36,40),0)/100)))+1)),0)</f>
        <v/>
      </c>
      <c r="S235">
        <f>IFERROR(O235/N235,0)</f>
        <v/>
      </c>
      <c r="T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$21+Skills!Q8+(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Skills!A9</f>
        <v/>
      </c>
      <c r="B236">
        <f>Skills!B9</f>
        <v/>
      </c>
      <c r="C236">
        <f>Inputs!$B$3&gt;=110</f>
        <v/>
      </c>
      <c r="D236">
        <f>IF(Skills!C9=1,60+Inputs!$B$25+Inputs!$B$29,IF(Skills!C9=2,90+Inputs!$B$26+Inputs!$B$29,IF(Skills!C9=3,120+Inputs!$B$27+Inputs!$B$29,MAX(0,(Inputs!$B$3-100)*3)+Inputs!$B$28+Inputs!$B$29)))</f>
        <v/>
      </c>
      <c r="E236">
        <f>INDEX(FactorTable!$B$2:$Y$301, MATCH(ROUND(MIN(300,MAX(1,D236)),0), FactorTable!$A$2:$A$301,0), Skills!M9+1)</f>
        <v/>
      </c>
      <c r="F236">
        <f>IF(Skills!N9=TRUE,(Skills!L9/10)*(E236/1000),Skills!L9/10)+Skills!O9</f>
        <v/>
      </c>
      <c r="G236">
        <f>Skills!G9*IF(Skills!H9&gt;0,Skills!I9/Skills!H9,1)</f>
        <v/>
      </c>
      <c r="H236">
        <f>1-(1-Skills!J9/100)^Skills!K9</f>
        <v/>
      </c>
      <c r="I236" t="inlineStr">
        <is>
          <t>1</t>
        </is>
      </c>
      <c r="J236">
        <f>((Inputs!$B$6*(1+Inputs!$B$7/100))+(((Inputs!$B$12*(1+Inputs!$B$13/100))-(Inputs!$B$12*(1+Inputs!$B$13/100)))+0.25*(Inputs!$B$14-Inputs!$B$14))*(1+Inputs!$B$7/100))*(F236/100)</f>
        <v/>
      </c>
      <c r="K236">
        <f>J236*(1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247=TRUE)*(F247-Calc!F20)),(Inputs!$B$23+0+(IF(ArtifactsInput!$M$15,CHOOSE(ArtifactsInput!$N$15+1,25,30,35,40,45,50)/100*(Inputs!$B$11-Inputs!$B$11),0))))/100+(Inputs!$B$23+0+(IF(ArtifactsInput!$M$15,CHOOSE(ArtifactsInput!$N$15+1,25,30,35,40,45,50)/100*(Inputs!$B$11-Inputs!$B$11),0)))/100)/2</f>
        <v/>
      </c>
      <c r="M236">
        <f>L236*(1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IF(B263=0,0,O236/B263)</f>
        <v/>
      </c>
      <c r="Q236">
        <f>IFERROR(1/(IF(Inputs!$B$38="pvp",15,MAX(0.1,Skills!D9-IF(Skills!E9=TRUE,Inputs!$B$32,0)))*(1-IF(AND(ArtifactsInput!$M$27,Inputs!$B$4="Chapter Hunt"),CHOOSE(ArtifactsInput!$N$27+1,20,24,28,32,36,40),0)/100)),0)</f>
        <v/>
      </c>
      <c r="R236">
        <f>IF(AND(Inputs!$B$38&lt;&gt;"pvp",Inputs!$B$43&gt;0),IF(MAX(0,Inputs!$B$43-B260)&lt;=0,0,(INT(MAX(0,Inputs!$B$43-B260)/(IF(Inputs!$B$38="pvp",15,MAX(0.1,Skills!D9-IF(Skills!E9=TRUE,Inputs!$B$32,0)))*(1-IF(AND(ArtifactsInput!$M$27,Inputs!$B$4="Chapter Hunt"),CHOOSE(ArtifactsInput!$N$27+1,20,24,28,32,36,40),0)/100)))+1)),0)</f>
        <v/>
      </c>
      <c r="S236">
        <f>IFERROR(O236/N236,0)</f>
        <v/>
      </c>
      <c r="T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$21+Skills!Q9+(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Skills!A10</f>
        <v/>
      </c>
      <c r="B237">
        <f>Skills!B10</f>
        <v/>
      </c>
      <c r="C237">
        <f>Inputs!$B$3&gt;=103</f>
        <v/>
      </c>
      <c r="D237">
        <f>IF(Skills!C10=1,60+Inputs!$B$25+Inputs!$B$29,IF(Skills!C10=2,90+Inputs!$B$26+Inputs!$B$29,IF(Skills!C10=3,120+Inputs!$B$27+Inputs!$B$29,MAX(0,(Inputs!$B$3-100)*3)+Inputs!$B$28+Inputs!$B$29)))</f>
        <v/>
      </c>
      <c r="E237">
        <f>INDEX(FactorTable!$B$2:$Y$301, MATCH(ROUND(MIN(300,MAX(1,D237)),0), FactorTable!$A$2:$A$301,0), Skills!M10+1)</f>
        <v/>
      </c>
      <c r="F237">
        <f>IF(Skills!N10=TRUE,(Skills!L10/10)*(E237/1000),Skills!L10/10)+Skills!O10</f>
        <v/>
      </c>
      <c r="G237">
        <f>Skills!G10*IF(Skills!H10&gt;0,Skills!I10/Skills!H10,1)</f>
        <v/>
      </c>
      <c r="H237">
        <f>1-(1-Skills!J10/100)^Skills!K10</f>
        <v/>
      </c>
      <c r="I237" t="inlineStr">
        <is>
          <t>1</t>
        </is>
      </c>
      <c r="J237">
        <f>((Inputs!$B$6*(1+Inputs!$B$7/100))+(((Inputs!$B$12*(1+Inputs!$B$13/100))-(Inputs!$B$12*(1+Inputs!$B$13/100)))+0.25*(Inputs!$B$14-Inputs!$B$14))*(1+Inputs!$B$7/100))*(F237/100)</f>
        <v/>
      </c>
      <c r="K237">
        <f>J237*(1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247=TRUE)*(F247-Calc!F20)),(Inputs!$B$23+0+(IF(ArtifactsInput!$M$15,CHOOSE(ArtifactsInput!$N$15+1,25,30,35,40,45,50)/100*(Inputs!$B$11-Inputs!$B$11),0))))/100+(Inputs!$B$23+0+(IF(ArtifactsInput!$M$15,CHOOSE(ArtifactsInput!$N$15+1,25,30,35,40,45,50)/100*(Inputs!$B$11-Inputs!$B$11),0)))/100)/2</f>
        <v/>
      </c>
      <c r="M237">
        <f>L237*(1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IF(B263=0,0,O237/B263)</f>
        <v/>
      </c>
      <c r="Q237">
        <f>IFERROR(1/(IF(Inputs!$B$38="pvp",15,MAX(0.1,Skills!D10-IF(Skills!E10=TRUE,Inputs!$B$32,0)))*(1-IF(AND(ArtifactsInput!$M$27,Inputs!$B$4="Chapter Hunt"),CHOOSE(ArtifactsInput!$N$27+1,20,24,28,32,36,40),0)/100)),0)</f>
        <v/>
      </c>
      <c r="R237">
        <f>IF(AND(Inputs!$B$38&lt;&gt;"pvp",Inputs!$B$43&gt;0),IF(MAX(0,Inputs!$B$43-B260)&lt;=0,0,(INT(MAX(0,Inputs!$B$43-B260)/(IF(Inputs!$B$38="pvp",15,MAX(0.1,Skills!D10-IF(Skills!E10=TRUE,Inputs!$B$32,0)))*(1-IF(AND(ArtifactsInput!$M$27,Inputs!$B$4="Chapter Hunt"),CHOOSE(ArtifactsInput!$N$27+1,20,24,28,32,36,40),0)/100)))+1)),0)</f>
        <v/>
      </c>
      <c r="S237">
        <f>IFERROR(O237/N237,0)</f>
        <v/>
      </c>
      <c r="T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$21+Skills!Q10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Skills!A11</f>
        <v/>
      </c>
      <c r="B238">
        <f>Skills!B11</f>
        <v/>
      </c>
      <c r="C238">
        <f>Inputs!$B$3&gt;=113</f>
        <v/>
      </c>
      <c r="D238">
        <f>IF(Skills!C11=1,60+Inputs!$B$25+Inputs!$B$29,IF(Skills!C11=2,90+Inputs!$B$26+Inputs!$B$29,IF(Skills!C11=3,120+Inputs!$B$27+Inputs!$B$29,MAX(0,(Inputs!$B$3-100)*3)+Inputs!$B$28+Inputs!$B$29)))</f>
        <v/>
      </c>
      <c r="E238">
        <f>INDEX(FactorTable!$B$2:$Y$301, MATCH(ROUND(MIN(300,MAX(1,D238)),0), FactorTable!$A$2:$A$301,0), Skills!M11+1)</f>
        <v/>
      </c>
      <c r="F238">
        <f>IF(Skills!N11=TRUE,(Skills!L11/10)*(E238/1000),Skills!L11/10)+Skills!O11</f>
        <v/>
      </c>
      <c r="G238">
        <f>Skills!G11*IF(Skills!H11&gt;0,Skills!I11/Skills!H11,1)</f>
        <v/>
      </c>
      <c r="H238">
        <f>1-(1-Skills!J11/100)^Skills!K11</f>
        <v/>
      </c>
      <c r="I238" t="inlineStr">
        <is>
          <t>1</t>
        </is>
      </c>
      <c r="J238">
        <f>((Inputs!$B$6*(1+Inputs!$B$7/100))+(((Inputs!$B$12*(1+Inputs!$B$13/100))-(Inputs!$B$12*(1+Inputs!$B$13/100)))+0.25*(Inputs!$B$14-Inputs!$B$14))*(1+Inputs!$B$7/100))*(F238/100)</f>
        <v/>
      </c>
      <c r="K238">
        <f>J238*(1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247=TRUE)*(F247-Calc!F20)),(Inputs!$B$23+0+(IF(ArtifactsInput!$M$15,CHOOSE(ArtifactsInput!$N$15+1,25,30,35,40,45,50)/100*(Inputs!$B$11-Inputs!$B$11),0))))/100+(Inputs!$B$23+0+(IF(ArtifactsInput!$M$15,CHOOSE(ArtifactsInput!$N$15+1,25,30,35,40,45,50)/100*(Inputs!$B$11-Inputs!$B$11),0)))/100)/2</f>
        <v/>
      </c>
      <c r="M238">
        <f>L238*(1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IF(B263=0,0,O238/B263)</f>
        <v/>
      </c>
      <c r="Q238">
        <f>IFERROR(1/(IF(Inputs!$B$38="pvp",15,MAX(0.1,Skills!D11-IF(Skills!E11=TRUE,Inputs!$B$32,0)))*(1-IF(AND(ArtifactsInput!$M$27,Inputs!$B$4="Chapter Hunt"),CHOOSE(ArtifactsInput!$N$27+1,20,24,28,32,36,40),0)/100)),0)</f>
        <v/>
      </c>
      <c r="R238">
        <f>IF(AND(Inputs!$B$38&lt;&gt;"pvp",Inputs!$B$43&gt;0),IF(MAX(0,Inputs!$B$43-B260)&lt;=0,0,(INT(MAX(0,Inputs!$B$43-B260)/(IF(Inputs!$B$38="pvp",15,MAX(0.1,Skills!D11-IF(Skills!E11=TRUE,Inputs!$B$32,0)))*(1-IF(AND(ArtifactsInput!$M$27,Inputs!$B$4="Chapter Hunt"),CHOOSE(ArtifactsInput!$N$27+1,20,24,28,32,36,40),0)/100)))+1)),0)</f>
        <v/>
      </c>
      <c r="S238">
        <f>IFERROR(O238/N238,0)</f>
        <v/>
      </c>
      <c r="T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$21+Skills!Q11+(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Skills!A12</f>
        <v/>
      </c>
      <c r="B239">
        <f>Skills!B12</f>
        <v/>
      </c>
      <c r="C239">
        <f>Inputs!$B$3&gt;=100</f>
        <v/>
      </c>
      <c r="D239">
        <f>IF(Skills!C12=1,60+Inputs!$B$25+Inputs!$B$29,IF(Skills!C12=2,90+Inputs!$B$26+Inputs!$B$29,IF(Skills!C12=3,120+Inputs!$B$27+Inputs!$B$29,MAX(0,(Inputs!$B$3-100)*3)+Inputs!$B$28+Inputs!$B$29)))</f>
        <v/>
      </c>
      <c r="E239">
        <f>INDEX(FactorTable!$B$2:$Y$301, MATCH(ROUND(MIN(300,MAX(1,D239)),0), FactorTable!$A$2:$A$301,0), Skills!M12+1)</f>
        <v/>
      </c>
      <c r="F239">
        <f>IF(Skills!N12=TRUE,(Skills!L12/10)*(E239/1000),Skills!L12/10)+Skills!O12</f>
        <v/>
      </c>
      <c r="G239" t="inlineStr"/>
      <c r="H239" t="inlineStr"/>
      <c r="I239" t="inlineStr">
        <is>
          <t>1</t>
        </is>
      </c>
      <c r="J239" t="inlineStr"/>
      <c r="K239" t="inlineStr"/>
      <c r="L239" t="inlineStr"/>
      <c r="M239" t="inlineStr"/>
      <c r="N239" t="inlineStr"/>
      <c r="O239" t="inlineStr"/>
      <c r="P239" t="inlineStr"/>
      <c r="Q239" t="inlineStr"/>
      <c r="R239" t="inlineStr"/>
      <c r="S239" t="inlineStr"/>
      <c r="T239" t="inlineStr"/>
      <c r="V239" t="inlineStr"/>
    </row>
    <row r="240">
      <c r="A240">
        <f>Skills!A13</f>
        <v/>
      </c>
      <c r="B240">
        <f>Skills!B13</f>
        <v/>
      </c>
      <c r="C240">
        <f>Inputs!$B$3&gt;=66</f>
        <v/>
      </c>
      <c r="D240">
        <f>IF(Skills!C13=1,60+Inputs!$B$25+Inputs!$B$29,IF(Skills!C13=2,90+Inputs!$B$26+Inputs!$B$29,IF(Skills!C13=3,120+Inputs!$B$27+Inputs!$B$29,MAX(0,(Inputs!$B$3-100)*3)+Inputs!$B$28+Inputs!$B$29)))</f>
        <v/>
      </c>
      <c r="E240">
        <f>INDEX(FactorTable!$B$2:$Y$301, MATCH(ROUND(MIN(300,MAX(1,D240)),0), FactorTable!$A$2:$A$301,0), Skills!M13+1)</f>
        <v/>
      </c>
      <c r="F240">
        <f>IF(Skills!N13=TRUE,(Skills!L13/10)*(E240/1000),Skills!L13/10)+Skills!O13</f>
        <v/>
      </c>
      <c r="G240">
        <f>Skills!G13*IF(Skills!H13&gt;0,Skills!I13/Skills!H13,1)</f>
        <v/>
      </c>
      <c r="H240">
        <f>1-(1-Skills!J13/100)^Skills!K13</f>
        <v/>
      </c>
      <c r="I240" t="inlineStr">
        <is>
          <t>1</t>
        </is>
      </c>
      <c r="J240" t="inlineStr"/>
      <c r="K240" t="inlineStr"/>
      <c r="L240" t="inlineStr"/>
      <c r="M240" t="inlineStr"/>
      <c r="N240" t="inlineStr"/>
      <c r="O240">
        <f>(1-Summary!$B$11)*T240+Summary!$B$11*V240</f>
        <v/>
      </c>
      <c r="P240">
        <f>IF(B263=0,0,O240/B263)</f>
        <v/>
      </c>
      <c r="Q240" t="n">
        <v>0</v>
      </c>
      <c r="R240" t="n">
        <v>0</v>
      </c>
      <c r="S240">
        <f>IFERROR(O240/N240,0)</f>
        <v/>
      </c>
      <c r="T240" t="n">
        <v>0</v>
      </c>
      <c r="V240" t="n">
        <v>0</v>
      </c>
    </row>
    <row r="241">
      <c r="A241">
        <f>Skills!A14</f>
        <v/>
      </c>
      <c r="B241">
        <f>Skills!B14</f>
        <v/>
      </c>
      <c r="C241">
        <f>Inputs!$B$3&gt;=107</f>
        <v/>
      </c>
      <c r="D241">
        <f>IF(Skills!C14=1,60+Inputs!$B$25+Inputs!$B$29,IF(Skills!C14=2,90+Inputs!$B$26+Inputs!$B$29,IF(Skills!C14=3,120+Inputs!$B$27+Inputs!$B$29,MAX(0,(Inputs!$B$3-100)*3)+Inputs!$B$28+Inputs!$B$29)))</f>
        <v/>
      </c>
      <c r="E241">
        <f>INDEX(FactorTable!$B$2:$Y$301, MATCH(ROUND(MIN(300,MAX(1,D241)),0), FactorTable!$A$2:$A$301,0), Skills!M14+1)</f>
        <v/>
      </c>
      <c r="F241">
        <f>IF(Skills!N14=TRUE,(Skills!L14/10)*(E241/1000),Skills!L14/10)+Skills!O14</f>
        <v/>
      </c>
      <c r="G241">
        <f>Skills!G14*IF(Skills!H14&gt;0,Skills!I14/Skills!H14,1)</f>
        <v/>
      </c>
      <c r="H241">
        <f>1-(1-Skills!J14/100)^Skills!K14</f>
        <v/>
      </c>
      <c r="I241" t="inlineStr">
        <is>
          <t>1</t>
        </is>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Skills!A15</f>
        <v/>
      </c>
      <c r="B242">
        <f>Skills!B15</f>
        <v/>
      </c>
      <c r="C242">
        <f>Inputs!$B$3&gt;=115</f>
        <v/>
      </c>
      <c r="D242">
        <f>IF(Skills!C15=1,60+Inputs!$B$25+Inputs!$B$29,IF(Skills!C15=2,90+Inputs!$B$26+Inputs!$B$29,IF(Skills!C15=3,120+Inputs!$B$27+Inputs!$B$29,MAX(0,(Inputs!$B$3-100)*3)+Inputs!$B$28+Inputs!$B$29)))</f>
        <v/>
      </c>
      <c r="E242">
        <f>INDEX(FactorTable!$B$2:$Y$301, MATCH(ROUND(MIN(300,MAX(1,D242)),0), FactorTable!$A$2:$A$301,0), Skills!M15+1)</f>
        <v/>
      </c>
      <c r="F242">
        <f>IF(Skills!N15=TRUE,(Skills!L15/10)*(E242/1000),Skills!L15/10)+Skills!O15</f>
        <v/>
      </c>
      <c r="G242">
        <f>Skills!G15*IF(Skills!H15&gt;0,Skills!I15/Skills!H15,1)</f>
        <v/>
      </c>
      <c r="H242">
        <f>1-(1-Skills!J15/100)^Skills!K15</f>
        <v/>
      </c>
      <c r="I242" t="inlineStr">
        <is>
          <t>1</t>
        </is>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Skills!A16</f>
        <v/>
      </c>
      <c r="B243">
        <f>Skills!B16</f>
        <v/>
      </c>
      <c r="C243">
        <f>Inputs!$B$3&gt;=15</f>
        <v/>
      </c>
      <c r="D243">
        <f>IF(Skills!C16=1,60+Inputs!$B$25+Inputs!$B$29,IF(Skills!C16=2,90+Inputs!$B$26+Inputs!$B$29,IF(Skills!C16=3,120+Inputs!$B$27+Inputs!$B$29,MAX(0,(Inputs!$B$3-100)*3)+Inputs!$B$28+Inputs!$B$29)))</f>
        <v/>
      </c>
      <c r="E243">
        <f>INDEX(FactorTable!$B$2:$Y$301, MATCH(ROUND(MIN(300,MAX(1,D243)),0), FactorTable!$A$2:$A$301,0), Skills!M16+1)</f>
        <v/>
      </c>
      <c r="F243">
        <f>IF(Skills!N16=TRUE,(Skills!L16/10)*(E243/1000),Skills!L16/10)+Skills!O16</f>
        <v/>
      </c>
      <c r="G243">
        <f>Skills!G16*IF(Skills!H16&gt;0,Skills!I16/Skills!H16,1)</f>
        <v/>
      </c>
      <c r="H243">
        <f>1-(1-Skills!J16/100)^Skills!K16</f>
        <v/>
      </c>
      <c r="I243" t="inlineStr">
        <is>
          <t>1</t>
        </is>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Skills!A17</f>
        <v/>
      </c>
      <c r="B244">
        <f>Skills!B17</f>
        <v/>
      </c>
      <c r="C244">
        <f>Inputs!$B$3&gt;=10</f>
        <v/>
      </c>
      <c r="D244">
        <f>IF(Skills!C17=1,60+Inputs!$B$25+Inputs!$B$29,IF(Skills!C17=2,90+Inputs!$B$26+Inputs!$B$29,IF(Skills!C17=3,120+Inputs!$B$27+Inputs!$B$29,MAX(0,(Inputs!$B$3-100)*3)+Inputs!$B$28+Inputs!$B$29)))</f>
        <v/>
      </c>
      <c r="E244">
        <f>INDEX(FactorTable!$B$2:$Y$301, MATCH(ROUND(MIN(300,MAX(1,D244)),0), FactorTable!$A$2:$A$301,0), Skills!M17+1)</f>
        <v/>
      </c>
      <c r="F244">
        <f>IF(Skills!N17=TRUE,(Skills!L17/10)*(E244/1000),Skills!L17/10)+Skills!O17</f>
        <v/>
      </c>
      <c r="G244">
        <f>Skills!G17*IF(Skills!H17&gt;0,Skills!I17/Skills!H17,1)</f>
        <v/>
      </c>
      <c r="H244">
        <f>1-(1-Skills!J17/100)^Skills!K17</f>
        <v/>
      </c>
      <c r="I244" t="inlineStr">
        <is>
          <t>1</t>
        </is>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Skills!A18</f>
        <v/>
      </c>
      <c r="B245">
        <f>Skills!B18</f>
        <v/>
      </c>
      <c r="C245">
        <f>Inputs!$B$3&gt;=33</f>
        <v/>
      </c>
      <c r="D245">
        <f>IF(Skills!C18=1,60+Inputs!$B$25+Inputs!$B$29,IF(Skills!C18=2,90+Inputs!$B$26+Inputs!$B$29,IF(Skills!C18=3,120+Inputs!$B$27+Inputs!$B$29,MAX(0,(Inputs!$B$3-100)*3)+Inputs!$B$28+Inputs!$B$29)))</f>
        <v/>
      </c>
      <c r="E245">
        <f>INDEX(FactorTable!$B$2:$Y$301, MATCH(ROUND(MIN(300,MAX(1,D245)),0), FactorTable!$A$2:$A$301,0), Skills!M18+1)</f>
        <v/>
      </c>
      <c r="F245">
        <f>IF(Skills!N18=TRUE,(Skills!L18/10)*(E245/1000),Skills!L18/10)+Skills!O18</f>
        <v/>
      </c>
      <c r="G245">
        <f>Skills!G18*IF(Skills!H18&gt;0,Skills!I18/Skills!H18,1)</f>
        <v/>
      </c>
      <c r="H245">
        <f>1-(1-Skills!J18/100)^Skills!K18</f>
        <v/>
      </c>
      <c r="I245" t="inlineStr">
        <is>
          <t>1</t>
        </is>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Skills!A19</f>
        <v/>
      </c>
      <c r="B246">
        <f>Skills!B19</f>
        <v/>
      </c>
      <c r="C246">
        <f>Inputs!$B$3&gt;=40</f>
        <v/>
      </c>
      <c r="D246">
        <f>IF(Skills!C19=1,60+Inputs!$B$25+Inputs!$B$29,IF(Skills!C19=2,90+Inputs!$B$26+Inputs!$B$29,IF(Skills!C19=3,120+Inputs!$B$27+Inputs!$B$29,MAX(0,(Inputs!$B$3-100)*3)+Inputs!$B$28+Inputs!$B$29)))</f>
        <v/>
      </c>
      <c r="E246">
        <f>INDEX(FactorTable!$B$2:$Y$301, MATCH(ROUND(MIN(300,MAX(1,D246)),0), FactorTable!$A$2:$A$301,0), Skills!M19+1)</f>
        <v/>
      </c>
      <c r="F246">
        <f>IF(Skills!N19=TRUE,(Skills!L19/10)*(E246/1000),Skills!L19/10)+Skills!O19</f>
        <v/>
      </c>
      <c r="G246">
        <f>Skills!G19*IF(Skills!H19&gt;0,Skills!I19/Skills!H19,1)</f>
        <v/>
      </c>
      <c r="H246">
        <f>1-(1-Skills!J19/100)^Skills!K19</f>
        <v/>
      </c>
      <c r="I246" t="inlineStr">
        <is>
          <t>1</t>
        </is>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Skills!A20</f>
        <v/>
      </c>
      <c r="B247">
        <f>Skills!B20</f>
        <v/>
      </c>
      <c r="C247">
        <f>Inputs!$B$3&gt;=43</f>
        <v/>
      </c>
      <c r="D247">
        <f>IF(Skills!C20=1,60+Inputs!$B$25+Inputs!$B$29,IF(Skills!C20=2,90+Inputs!$B$26+Inputs!$B$29,IF(Skills!C20=3,120+Inputs!$B$27+Inputs!$B$29,MAX(0,(Inputs!$B$3-100)*3)+Inputs!$B$28+Inputs!$B$29)))</f>
        <v/>
      </c>
      <c r="E247">
        <f>INDEX(FactorTable!$B$2:$Y$301, MATCH(ROUND(MIN(300,MAX(1,D247)),0), FactorTable!$A$2:$A$301,0), Skills!M20+1)</f>
        <v/>
      </c>
      <c r="F247">
        <f>IF(Skills!N20=TRUE,(Skills!L20/10)*(E247/1000),Skills!L20/10)+Skills!O20</f>
        <v/>
      </c>
      <c r="G247">
        <f>Skills!G20*IF(Skills!H20&gt;0,Skills!I20/Skills!H20,1)</f>
        <v/>
      </c>
      <c r="H247">
        <f>1-(1-Skills!J20/100)^Skills!K20</f>
        <v/>
      </c>
      <c r="I247" t="inlineStr">
        <is>
          <t>1</t>
        </is>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Skills!A21</f>
        <v/>
      </c>
      <c r="B248">
        <f>Skills!B21</f>
        <v/>
      </c>
      <c r="C248">
        <f>Inputs!$B$3&gt;=38</f>
        <v/>
      </c>
      <c r="D248">
        <f>IF(Skills!C21=1,60+Inputs!$B$25+Inputs!$B$29,IF(Skills!C21=2,90+Inputs!$B$26+Inputs!$B$29,IF(Skills!C21=3,120+Inputs!$B$27+Inputs!$B$29,MAX(0,(Inputs!$B$3-100)*3)+Inputs!$B$28+Inputs!$B$29)))</f>
        <v/>
      </c>
      <c r="E248">
        <f>INDEX(FactorTable!$B$2:$Y$301, MATCH(ROUND(MIN(300,MAX(1,D248)),0), FactorTable!$A$2:$A$301,0), Skills!M21+1)</f>
        <v/>
      </c>
      <c r="F248">
        <f>IF(Skills!N21=TRUE,(Skills!L21/10)*(E248/1000),Skills!L21/10)+Skills!O21</f>
        <v/>
      </c>
      <c r="G248">
        <f>Skills!G21*IF(Skills!H21&gt;0,Skills!I21/Skills!H21,1)</f>
        <v/>
      </c>
      <c r="H248">
        <f>1-(1-Skills!J21/100)^Skills!K21</f>
        <v/>
      </c>
      <c r="I248" t="inlineStr">
        <is>
          <t>1</t>
        </is>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Skills!A22</f>
        <v/>
      </c>
      <c r="B249">
        <f>Skills!B22</f>
        <v/>
      </c>
      <c r="C249">
        <f>Inputs!$B$3&gt;=75</f>
        <v/>
      </c>
      <c r="D249">
        <f>IF(Skills!C22=1,60+Inputs!$B$25+Inputs!$B$29,IF(Skills!C22=2,90+Inputs!$B$26+Inputs!$B$29,IF(Skills!C22=3,120+Inputs!$B$27+Inputs!$B$29,MAX(0,(Inputs!$B$3-100)*3)+Inputs!$B$28+Inputs!$B$29)))</f>
        <v/>
      </c>
      <c r="E249">
        <f>INDEX(FactorTable!$B$2:$Y$301, MATCH(ROUND(MIN(300,MAX(1,D249)),0), FactorTable!$A$2:$A$301,0), Skills!M22+1)</f>
        <v/>
      </c>
      <c r="F249">
        <f>IF(Skills!N22=TRUE,(Skills!L22/10)*(E249/1000),Skills!L22/10)+Skills!O22</f>
        <v/>
      </c>
      <c r="G249">
        <f>Skills!G22*IF(Skills!H22&gt;0,Skills!I22/Skills!H22,1)</f>
        <v/>
      </c>
      <c r="H249">
        <f>1-(1-Skills!J22/100)^Skills!K22</f>
        <v/>
      </c>
      <c r="I249" t="inlineStr">
        <is>
          <t>1</t>
        </is>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Skills!A23</f>
        <v/>
      </c>
      <c r="B250">
        <f>Skills!B23</f>
        <v/>
      </c>
      <c r="C250">
        <f>TRUE</f>
        <v/>
      </c>
      <c r="D250">
        <f>IF(Skills!C23=1,60+Inputs!$B$25+Inputs!$B$29,IF(Skills!C23=2,90+Inputs!$B$26+Inputs!$B$29,IF(Skills!C23=3,120+Inputs!$B$27+Inputs!$B$29,MAX(0,(Inputs!$B$3-100)*3)+Inputs!$B$28+Inputs!$B$29)))</f>
        <v/>
      </c>
      <c r="E250">
        <f>INDEX(FactorTable!$B$2:$Y$301, MATCH(ROUND(MIN(300,MAX(1,D250)),0), FactorTable!$A$2:$A$301,0), Skills!M23+1)</f>
        <v/>
      </c>
      <c r="F250">
        <f>IF(Skills!N23=TRUE,(Skills!L23/10)*(E250/1000),Skills!L23/10)+Skills!O23</f>
        <v/>
      </c>
      <c r="G250">
        <f>Skills!G23*IF(Skills!H23&gt;0,Skills!I23/Skills!H23,1)</f>
        <v/>
      </c>
      <c r="H250">
        <f>1-(1-Skills!J23/100)^Skills!K23</f>
        <v/>
      </c>
      <c r="I250" t="inlineStr">
        <is>
          <t>1</t>
        </is>
      </c>
      <c r="J250" t="inlineStr"/>
      <c r="K250" t="inlineStr"/>
      <c r="L250" t="inlineStr"/>
      <c r="M250" t="inlineStr"/>
      <c r="N250" t="inlineStr"/>
      <c r="O250">
        <f>(1-Summary!$B$11)*T250+Summary!$B$11*V250</f>
        <v/>
      </c>
      <c r="P250">
        <f>IF(B263=0,0,O250/B263)</f>
        <v/>
      </c>
      <c r="Q250">
        <f>IFERROR(1/(IF(Inputs!$B$38="pvp",15,MAX(0.1,Skills!D23-IF(Skills!E23=TRUE,Inputs!$B$32,0)))*(1-IF(AND(ArtifactsInput!$M$27,Inputs!$B$4="Chapter Hunt"),CHOOSE(ArtifactsInput!$N$27+1,20,24,28,32,36,40),0)/100)),0)</f>
        <v/>
      </c>
      <c r="R250">
        <f>IF(AND(Inputs!$B$38&lt;&gt;"pvp",Inputs!$B$43&gt;0),IF(Inputs!$B$43&lt;=0,0,(INT(Inputs!$B$43/(IF(Inputs!$B$38="pvp",15,MAX(0.1,Skills!D23-IF(Skills!E23=TRUE,Inputs!$B$32,0)))*(1-IF(AND(ArtifactsInput!$M$27,Inputs!$B$4="Chapter Hunt"),CHOOSE(ArtifactsInput!$N$27+1,20,24,28,32,36,40),0)/100)))+1)),0)</f>
        <v/>
      </c>
      <c r="S250">
        <f>IFERROR(O250/N250,0)</f>
        <v/>
      </c>
      <c r="T250" t="n">
        <v>0</v>
      </c>
      <c r="V250" t="n">
        <v>0</v>
      </c>
    </row>
    <row r="252">
      <c r="A252" t="inlineStr">
        <is>
          <t>Attack% Bucket Multiplier</t>
        </is>
      </c>
      <c r="B252">
        <f>(1+(((C240=TRUE)*F240*5/7)+((C246=TRUE)*(F246-Calc!F19))+(IF(ArtifactsInput!$M$21,CHOOSE(ArtifactsInput!$N$21+1,25,30,35,40,45,50)*(IF(OR(Inputs!$B$4="Chapter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
      <c r="A253" t="inlineStr">
        <is>
          <t>Global Crit Rate Bonus %</t>
        </is>
      </c>
      <c r="B253" t="n">
        <v>0</v>
      </c>
    </row>
    <row r="254">
      <c r="A254" t="inlineStr">
        <is>
          <t>Attack Speed Buff Bonus % (Nimble Feet, duty-cycle averaged)</t>
        </is>
      </c>
      <c r="B254">
        <f>((C250=TRUE)*F250*IF(AND(Inputs!$B$38&lt;&gt;"pvp",Inputs!$B$43&gt;0),(((R250-1)*(Skills!T23*(1+Inputs!$B$34/100))+MIN((Skills!T23*(1+Inputs!$B$34/100)),MAX(0,Inputs!$B$43-((R250-1)*Skills!D23))))/Inputs!$B$43),IF(Inputs!$B$38="pvp",MIN((Skills!T23*(1+Inputs!$B$34/100)),15)/15,(Skills!T23*(1+Inputs!$B$34/100))/Skills!D23)))</f>
        <v/>
      </c>
    </row>
    <row r="255">
      <c r="A255" t="inlineStr">
        <is>
          <t>Actions Per Second</t>
        </is>
      </c>
      <c r="B255">
        <f>1+MIN(150,150*(1-(1-(Inputs!$B$11+((C244=TRUE)*(F244-Calc!F17))+((C245=TRUE)*(F245-Calc!F18)))/150)*(1-B254/150)))/100</f>
        <v/>
      </c>
    </row>
    <row r="256">
      <c r="A256" t="inlineStr">
        <is>
          <t>Skill + Buff Cast Rate</t>
        </is>
      </c>
      <c r="B256">
        <f>IF(AND(Inputs!$B$38&lt;&gt;"pvp",Inputs!$B$43&gt;0),SUMPRODUCT((Skills!E2:E23=TRUE)*(C229:C250=TRUE)*R229:R250*Skills!F2:F23)/Inputs!$B$43,SUMPRODUCT((Skills!E2:E23=TRUE)*(C229:C250=TRUE)*Q229:Q250*Skills!F2:F23))</f>
        <v/>
      </c>
    </row>
    <row r="257">
      <c r="A257" t="inlineStr">
        <is>
          <t>Hook Bomber Casts Per Second</t>
        </is>
      </c>
      <c r="B257">
        <f>MAX(0,B255-B256)</f>
        <v/>
      </c>
    </row>
    <row r="258">
      <c r="A258" t="inlineStr">
        <is>
          <t>Global Critical Damage Bonus % (unused)</t>
        </is>
      </c>
      <c r="B258" t="n">
        <v>0</v>
      </c>
    </row>
    <row r="259">
      <c r="A259" t="inlineStr">
        <is>
          <t>Global Final Damage Bonus % (Serpent Scale + Crossbones + Time Leap + Speed Infusion)</t>
        </is>
      </c>
      <c r="B259">
        <f>((C232=TRUE)*F232*((10+IF(Inputs!$B$3&gt;=94,5,0))/((10+IF(Inputs!$B$3&gt;=94,5,0))+5/(B257*(1+IF(Inputs!$B$3&gt;=104,1,0))))))+((C241=TRUE)*F241)+((C242=TRUE)*F242)+((Inputs!$B$3&gt;=110)*20*(B255-1))</f>
        <v/>
      </c>
    </row>
    <row r="260">
      <c r="A260" t="inlineStr">
        <is>
          <t>Buff-Casting Startup Delay (s, fixed-duration only)</t>
        </is>
      </c>
      <c r="B260">
        <f>IF(AND(Inputs!$B$38&lt;&gt;"pvp",Inputs!$B$43&gt;0),SUMPRODUCT((Skills!T2:T23&gt;0)*(Skills!E2:E23=TRUE)*(C229:C250=TRUE))/B255,0)</f>
        <v/>
      </c>
    </row>
    <row r="261">
      <c r="A261" t="inlineStr">
        <is>
          <t>Boss-Only Total DPS (this block's swept value)</t>
        </is>
      </c>
      <c r="B261">
        <f>SUM(T229:T250)</f>
        <v/>
      </c>
    </row>
    <row r="262">
      <c r="A262" t="inlineStr">
        <is>
          <t>Normal-Only Total DPS (this block's swept value)</t>
        </is>
      </c>
      <c r="B262">
        <f>SUM(V229:V250)</f>
        <v/>
      </c>
    </row>
    <row r="263">
      <c r="A263" s="6" t="inlineStr">
        <is>
          <t>TOTAL DPS</t>
        </is>
      </c>
      <c r="B263" s="6">
        <f>SUM(O229:O250)</f>
        <v/>
      </c>
    </row>
    <row r="266">
      <c r="A266" s="6" t="inlineStr">
        <is>
          <t>Stat: BOSS_DAMAGE %</t>
        </is>
      </c>
    </row>
    <row r="267">
      <c r="A267" s="5" t="inlineStr">
        <is>
          <t>Key</t>
        </is>
      </c>
      <c r="B267" s="5" t="inlineStr">
        <is>
          <t>Name</t>
        </is>
      </c>
      <c r="C267" s="5" t="inlineStr">
        <is>
          <t>Unlocked</t>
        </is>
      </c>
      <c r="D267" s="5" t="inlineStr">
        <is>
          <t>InputLevel</t>
        </is>
      </c>
      <c r="E267" s="5" t="inlineStr">
        <is>
          <t>Factor</t>
        </is>
      </c>
      <c r="F267" s="5" t="inlineStr">
        <is>
          <t>CoefficientPercent</t>
        </is>
      </c>
      <c r="G267" s="5" t="inlineStr">
        <is>
          <t>EffectiveHits</t>
        </is>
      </c>
      <c r="H267" s="5" t="inlineStr">
        <is>
          <t>ProcProbability</t>
        </is>
      </c>
      <c r="I267" s="5" t="inlineStr">
        <is>
          <t>MapleHeroMultiplier</t>
        </is>
      </c>
      <c r="J267" s="5" t="inlineStr">
        <is>
          <t>BaseDamage</t>
        </is>
      </c>
      <c r="K267" s="5" t="inlineStr">
        <is>
          <t>BaseHitDamage</t>
        </is>
      </c>
      <c r="L267" s="5" t="inlineStr">
        <is>
          <t>NonCritAvg</t>
        </is>
      </c>
      <c r="M267" s="5" t="inlineStr">
        <is>
          <t>CritAvg</t>
        </is>
      </c>
      <c r="N267" s="5" t="inlineStr">
        <is>
          <t>ExpectedDamage(perHit)</t>
        </is>
      </c>
      <c r="O267" s="5" t="inlineStr">
        <is>
          <t>DPS</t>
        </is>
      </c>
      <c r="P267" s="5" t="inlineStr">
        <is>
          <t>% of Total</t>
        </is>
      </c>
      <c r="Q267" s="5" t="inlineStr">
        <is>
          <t>InvCooldown</t>
        </is>
      </c>
      <c r="R267" s="5" t="inlineStr">
        <is>
          <t>CastsInFight</t>
        </is>
      </c>
      <c r="S267" s="5" t="inlineStr">
        <is>
          <t>HitRate(perSec)</t>
        </is>
      </c>
      <c r="U267" t="inlineStr">
        <is>
          <t>helpers</t>
        </is>
      </c>
    </row>
    <row r="268">
      <c r="A268">
        <f>Skills!A2</f>
        <v/>
      </c>
      <c r="B268">
        <f>Skills!B2</f>
        <v/>
      </c>
      <c r="C268">
        <f>Inputs!$B$3&gt;=100</f>
        <v/>
      </c>
      <c r="D268" t="inlineStr"/>
      <c r="E268" t="inlineStr"/>
      <c r="F268">
        <f>U270+Skills!O2</f>
        <v/>
      </c>
      <c r="G268">
        <f>Skills!G2*IF(Skills!H2&gt;0,Skills!I2/Skills!H2,1)</f>
        <v/>
      </c>
      <c r="H268">
        <f>1-(1-Skills!J2/100)^Skills!K2</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286=TRUE)*(F286-Calc!F20)),(Inputs!$B$23+0+(IF(ArtifactsInput!$M$15,CHOOSE(ArtifactsInput!$N$15+1,25,30,35,40,45,50)/100*(Inputs!$B$11-Inputs!$B$11),0))))/100+(Inputs!$B$23+0+(IF(ArtifactsInput!$M$15,CHOOSE(ArtifactsInput!$N$15+1,25,30,35,40,45,50)/100*(Inputs!$B$11-Inputs!$B$11),0)))/100)/2</f>
        <v/>
      </c>
      <c r="M268">
        <f>L268*(1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IF(B302=0,0,O268/B302)</f>
        <v/>
      </c>
      <c r="Q268" t="n">
        <v>0</v>
      </c>
      <c r="R268" t="n">
        <v>0</v>
      </c>
      <c r="S268">
        <f>IFERROR(O268/N268,0)</f>
        <v/>
      </c>
      <c r="T268">
        <f>IF(C268,(Skills!G2*N268*B296)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
        <f>MAX(0,(Inputs!$B$3-100)*3)+Inputs!$B$28+Inputs!$B$29</f>
        <v/>
      </c>
      <c r="V268">
        <f>IF(C268,(Skills!G2*N268*B296)*IF(Inputs!$B$38="pvp",1,(1+(Inputs!$B$21+Skills!Q2+(IF(ArtifactsInput!$M$33,CHOOSE(ArtifactsInput!$N$33+1,30,36,42,48,54,60),0))+(IF(AND(ArtifactsInput!$M$35,Inputs!$B$4&lt;&gt;"Chapter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Skills!A3</f>
        <v/>
      </c>
      <c r="B269">
        <f>Skills!B3</f>
        <v/>
      </c>
      <c r="C269">
        <f>Inputs!$B$3&gt;=35</f>
        <v/>
      </c>
      <c r="D269">
        <f>IF(Skills!C3=1,60+Inputs!$B$25+Inputs!$B$29,IF(Skills!C3=2,90+Inputs!$B$26+Inputs!$B$29,IF(Skills!C3=3,120+Inputs!$B$27+Inputs!$B$29,MAX(0,(Inputs!$B$3-100)*3)+Inputs!$B$28+Inputs!$B$29)))</f>
        <v/>
      </c>
      <c r="E269">
        <f>INDEX(FactorTable!$B$2:$Y$301, MATCH(ROUND(MIN(300,MAX(1,D269)),0), FactorTable!$A$2:$A$301,0), Skills!M3+1)</f>
        <v/>
      </c>
      <c r="F269">
        <f>IF(Skills!N3=TRUE,(Skills!L3/10)*(E269/1000),Skills!L3/10)+Skills!O3</f>
        <v/>
      </c>
      <c r="G269">
        <f>Skills!G3*IF(Skills!H3&gt;0,Skills!I3/Skills!H3,1)</f>
        <v/>
      </c>
      <c r="H269">
        <f>1-(1-Skills!J3/100)^Skills!K3</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286=TRUE)*(F286-Calc!F20)),(Inputs!$B$23+0+(IF(ArtifactsInput!$M$15,CHOOSE(ArtifactsInput!$N$15+1,25,30,35,40,45,50)/100*(Inputs!$B$11-Inputs!$B$11),0))))/100+(Inputs!$B$23+0+(IF(ArtifactsInput!$M$15,CHOOSE(ArtifactsInput!$N$15+1,25,30,35,40,45,50)/100*(Inputs!$B$11-Inputs!$B$11),0)))/100)/2</f>
        <v/>
      </c>
      <c r="M269">
        <f>L269*(1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IF(B302=0,0,O269/B302)</f>
        <v/>
      </c>
      <c r="Q269" t="n">
        <v>0</v>
      </c>
      <c r="R269" t="n">
        <v>0</v>
      </c>
      <c r="S269">
        <f>IFERROR(O269/N269,0)</f>
        <v/>
      </c>
      <c r="T269">
        <f>IF(C269,(Skills!G3*H269*N269*B296)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
        <f>INDEX(FactorTable!$B$2:$Y$301, MATCH(ROUND(MIN(300,MAX(1,U268)),0), FactorTable!$A$2:$A$301,0), 22)</f>
        <v/>
      </c>
      <c r="V269">
        <f>IF(C269,(Skills!G3*H269*N269*B296)*IF(Inputs!$B$38="pvp",1,(1+(Inputs!$B$21+Skills!Q3+(IF(ArtifactsInput!$M$33,CHOOSE(ArtifactsInput!$N$33+1,30,36,42,48,54,60),0))+(IF(AND(ArtifactsInput!$M$35,Inputs!$B$4&lt;&gt;"Chapter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Skills!A4</f>
        <v/>
      </c>
      <c r="B270">
        <f>Skills!B4</f>
        <v/>
      </c>
      <c r="C270">
        <f>Inputs!$B$3&gt;=60</f>
        <v/>
      </c>
      <c r="D270">
        <f>IF(Skills!C4=1,60+Inputs!$B$25+Inputs!$B$29,IF(Skills!C4=2,90+Inputs!$B$26+Inputs!$B$29,IF(Skills!C4=3,120+Inputs!$B$27+Inputs!$B$29,MAX(0,(Inputs!$B$3-100)*3)+Inputs!$B$28+Inputs!$B$29)))</f>
        <v/>
      </c>
      <c r="E270">
        <f>INDEX(FactorTable!$B$2:$Y$301, MATCH(ROUND(MIN(300,MAX(1,D270)),0), FactorTable!$A$2:$A$301,0), Skills!M4+1)</f>
        <v/>
      </c>
      <c r="F270">
        <f>IF(Skills!N4=TRUE,(Skills!L4/10)*(E270/1000),Skills!L4/10)+Skills!O4</f>
        <v/>
      </c>
      <c r="G270">
        <f>Skills!G4*IF(Skills!H4&gt;0,Skills!I4/Skills!H4,1)</f>
        <v/>
      </c>
      <c r="H270">
        <f>1-(1-Skills!J4/100)^Skills!K4</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TRUE,F278,0)/100)*(1+(IF(Skills!A4="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286=TRUE)*(F286-Calc!F20)),(Inputs!$B$23+0+(IF(ArtifactsInput!$M$15,CHOOSE(ArtifactsInput!$N$15+1,25,30,35,40,45,50)/100*(Inputs!$B$11-Inputs!$B$11),0))))/100+(Inputs!$B$23+0+(IF(ArtifactsInput!$M$15,CHOOSE(ArtifactsInput!$N$15+1,25,30,35,40,45,50)/100*(Inputs!$B$11-Inputs!$B$11),0)))/100)/2</f>
        <v/>
      </c>
      <c r="M270">
        <f>L270*(1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IF(B302=0,0,O270/B302)</f>
        <v/>
      </c>
      <c r="Q270" t="n">
        <v>0</v>
      </c>
      <c r="R270" t="n">
        <v>0</v>
      </c>
      <c r="S270">
        <f>IFERROR(O270/N270,0)</f>
        <v/>
      </c>
      <c r="T270">
        <f>IF(C270,(Skills!G4*H270*N270*B296)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290*U269/1000</f>
        <v/>
      </c>
      <c r="V270">
        <f>IF(C270,(Skills!G4*H270*N270*B296)*IF(Inputs!$B$38="pvp",1,(1+(Inputs!$B$21+Skills!Q4+(IF(ArtifactsInput!$M$33,CHOOSE(ArtifactsInput!$N$33+1,30,36,42,48,54,60),0))+(IF(AND(ArtifactsInput!$M$35,Inputs!$B$4&lt;&gt;"Chapter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Skills!A5</f>
        <v/>
      </c>
      <c r="B271">
        <f>Skills!B5</f>
        <v/>
      </c>
      <c r="C271">
        <f>Inputs!$B$3&gt;=60</f>
        <v/>
      </c>
      <c r="D271">
        <f>IF(Skills!C5=1,60+Inputs!$B$25+Inputs!$B$29,IF(Skills!C5=2,90+Inputs!$B$26+Inputs!$B$29,IF(Skills!C5=3,120+Inputs!$B$27+Inputs!$B$29,MAX(0,(Inputs!$B$3-100)*3)+Inputs!$B$28+Inputs!$B$29)))</f>
        <v/>
      </c>
      <c r="E271">
        <f>INDEX(FactorTable!$B$2:$Y$301, MATCH(ROUND(MIN(300,MAX(1,D271)),0), FactorTable!$A$2:$A$301,0), Skills!M5+1)</f>
        <v/>
      </c>
      <c r="F271">
        <f>IF(Skills!N5=TRUE,(Skills!L5/10)*(E271/1000),Skills!L5/10)+Skills!O5</f>
        <v/>
      </c>
      <c r="G271">
        <f>Skills!G5*IF(Skills!H5&gt;0,Skills!I5/Skills!H5,1)</f>
        <v/>
      </c>
      <c r="H271">
        <f>1-(1-Skills!J5/100)^Skills!K5</f>
        <v/>
      </c>
      <c r="I271" t="inlineStr">
        <is>
          <t>1</t>
        </is>
      </c>
      <c r="J271" t="inlineStr"/>
      <c r="K271" t="inlineStr"/>
      <c r="L271" t="inlineStr"/>
      <c r="M271" t="inlineStr"/>
      <c r="N271" t="inlineStr"/>
      <c r="O271">
        <f>(1-Summary!$B$11)*T271+Summary!$B$11*V271</f>
        <v/>
      </c>
      <c r="P271">
        <f>IF(B302=0,0,O271/B302)</f>
        <v/>
      </c>
      <c r="Q271" t="n">
        <v>0</v>
      </c>
      <c r="R271" t="n">
        <v>0</v>
      </c>
      <c r="S271">
        <f>IFERROR(O271/N271,0)</f>
        <v/>
      </c>
      <c r="T271" t="n">
        <v>0</v>
      </c>
      <c r="V271" t="n">
        <v>0</v>
      </c>
    </row>
    <row r="272">
      <c r="A272">
        <f>Skills!A6</f>
        <v/>
      </c>
      <c r="B272">
        <f>Skills!B6</f>
        <v/>
      </c>
      <c r="C272">
        <f>Inputs!$B$3&gt;=63</f>
        <v/>
      </c>
      <c r="D272">
        <f>IF(Skills!C6=1,60+Inputs!$B$25+Inputs!$B$29,IF(Skills!C6=2,90+Inputs!$B$26+Inputs!$B$29,IF(Skills!C6=3,120+Inputs!$B$27+Inputs!$B$29,MAX(0,(Inputs!$B$3-100)*3)+Inputs!$B$28+Inputs!$B$29)))</f>
        <v/>
      </c>
      <c r="E272">
        <f>INDEX(FactorTable!$B$2:$Y$301, MATCH(ROUND(MIN(300,MAX(1,D272)),0), FactorTable!$A$2:$A$301,0), Skills!M6+1)</f>
        <v/>
      </c>
      <c r="F272">
        <f>IF(Skills!N6=TRUE,(Skills!L6/10)*(E272/1000),Skills!L6/10)+Skills!O6</f>
        <v/>
      </c>
      <c r="G272">
        <f>Skills!G6*IF(Skills!H6&gt;0,Skills!I6/Skills!H6,1)</f>
        <v/>
      </c>
      <c r="H272">
        <f>1-(1-Skills!J6/100)^Skills!K6</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286=TRUE)*(F286-Calc!F20)),(Inputs!$B$23+0+(IF(ArtifactsInput!$M$15,CHOOSE(ArtifactsInput!$N$15+1,25,30,35,40,45,50)/100*(Inputs!$B$11-Inputs!$B$11),0))))/100+(Inputs!$B$23+0+(IF(ArtifactsInput!$M$15,CHOOSE(ArtifactsInput!$N$15+1,25,30,35,40,45,50)/100*(Inputs!$B$11-Inputs!$B$11),0)))/100)/2</f>
        <v/>
      </c>
      <c r="M272">
        <f>L272*(1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IF(B302=0,0,O272/B302)</f>
        <v/>
      </c>
      <c r="Q272">
        <f>IFERROR(1/(IF(Inputs!$B$38="pvp",15,MAX(0.1,Skills!D6-IF(Skills!E6=TRUE,Inputs!$B$32,0)))*(1-IF(AND(ArtifactsInput!$M$27,Inputs!$B$4="Chapter Hunt"),CHOOSE(ArtifactsInput!$N$27+1,20,24,28,32,36,40),0)/100)),0)</f>
        <v/>
      </c>
      <c r="R272">
        <f>IF(AND(Inputs!$B$38&lt;&gt;"pvp",Inputs!$B$43&gt;0),IF(MAX(0,Inputs!$B$43-B299)&lt;=0,0,(INT(MAX(0,Inputs!$B$43-B299)/(IF(Inputs!$B$38="pvp",15,MAX(0.1,Skills!D6-IF(Skills!E6=TRUE,Inputs!$B$32,0)))*(1-IF(AND(ArtifactsInput!$M$27,Inputs!$B$4="Chapter Hunt"),CHOOSE(ArtifactsInput!$N$27+1,20,24,28,32,36,40),0)/100)))+1)),0)</f>
        <v/>
      </c>
      <c r="S272">
        <f>IFERROR(O272/N272,0)</f>
        <v/>
      </c>
      <c r="T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$21+Skills!Q6+(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Skills!A7</f>
        <v/>
      </c>
      <c r="B273">
        <f>Skills!B7</f>
        <v/>
      </c>
      <c r="C273">
        <f>Inputs!$B$3&gt;=100</f>
        <v/>
      </c>
      <c r="D273">
        <f>IF(Skills!C7=1,60+Inputs!$B$25+Inputs!$B$29,IF(Skills!C7=2,90+Inputs!$B$26+Inputs!$B$29,IF(Skills!C7=3,120+Inputs!$B$27+Inputs!$B$29,MAX(0,(Inputs!$B$3-100)*3)+Inputs!$B$28+Inputs!$B$29)))</f>
        <v/>
      </c>
      <c r="E273">
        <f>INDEX(FactorTable!$B$2:$Y$301, MATCH(ROUND(MIN(300,MAX(1,D273)),0), FactorTable!$A$2:$A$301,0), Skills!M7+1)</f>
        <v/>
      </c>
      <c r="F273">
        <f>IF(Skills!N7=TRUE,(Skills!L7/10)*(E273/1000),Skills!L7/10)+Skills!O7</f>
        <v/>
      </c>
      <c r="G273">
        <f>Skills!G7*IF(Skills!H7&gt;0,Skills!I7/Skills!H7,1)</f>
        <v/>
      </c>
      <c r="H273">
        <f>1-(1-Skills!J7/100)^Skills!K7</f>
        <v/>
      </c>
      <c r="I273" t="inlineStr">
        <is>
          <t>1</t>
        </is>
      </c>
      <c r="J273">
        <f>((Inputs!$B$6*(1+Inputs!$B$7/100))+(((Inputs!$B$12*(1+Inputs!$B$13/100))-(Inputs!$B$12*(1+Inputs!$B$13/100)))+0.25*(Inputs!$B$14-Inputs!$B$14))*(1+Inputs!$B$7/100))*(F273/100)</f>
        <v/>
      </c>
      <c r="K273">
        <f>J273*(1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286=TRUE)*(F286-Calc!F20)),(Inputs!$B$23+0+(IF(ArtifactsInput!$M$15,CHOOSE(ArtifactsInput!$N$15+1,25,30,35,40,45,50)/100*(Inputs!$B$11-Inputs!$B$11),0))))/100+(Inputs!$B$23+0+(IF(ArtifactsInput!$M$15,CHOOSE(ArtifactsInput!$N$15+1,25,30,35,40,45,50)/100*(Inputs!$B$11-Inputs!$B$11),0)))/100)/2</f>
        <v/>
      </c>
      <c r="M273">
        <f>L273*(1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IF(B302=0,0,O273/B302)</f>
        <v/>
      </c>
      <c r="Q273">
        <f>IFERROR(1/(IF(Inputs!$B$38="pvp",15,MAX(0.1,Skills!D7-IF(Skills!E7=TRUE,Inputs!$B$32,0)))*(1-IF(AND(ArtifactsInput!$M$27,Inputs!$B$4="Chapter Hunt"),CHOOSE(ArtifactsInput!$N$27+1,20,24,28,32,36,40),0)/100)),0)</f>
        <v/>
      </c>
      <c r="R273">
        <f>IF(AND(Inputs!$B$38&lt;&gt;"pvp",Inputs!$B$43&gt;0),IF(MAX(0,Inputs!$B$43-B299)&lt;=0,0,(INT(MAX(0,Inputs!$B$43-B299)/(IF(Inputs!$B$38="pvp",15,MAX(0.1,Skills!D7-IF(Skills!E7=TRUE,Inputs!$B$32,0)))*(1-IF(AND(ArtifactsInput!$M$27,Inputs!$B$4="Chapter Hunt"),CHOOSE(ArtifactsInput!$N$27+1,20,24,28,32,36,40),0)/100)))+1)),0)</f>
        <v/>
      </c>
      <c r="S273">
        <f>IFERROR(O273/N273,0)</f>
        <v/>
      </c>
      <c r="T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$21+Skills!Q7+(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Skills!A8</f>
        <v/>
      </c>
      <c r="B274">
        <f>Skills!B8</f>
        <v/>
      </c>
      <c r="C274">
        <f>Inputs!$B$3&gt;=110</f>
        <v/>
      </c>
      <c r="D274">
        <f>IF(Skills!C8=1,60+Inputs!$B$25+Inputs!$B$29,IF(Skills!C8=2,90+Inputs!$B$26+Inputs!$B$29,IF(Skills!C8=3,120+Inputs!$B$27+Inputs!$B$29,MAX(0,(Inputs!$B$3-100)*3)+Inputs!$B$28+Inputs!$B$29)))</f>
        <v/>
      </c>
      <c r="E274">
        <f>INDEX(FactorTable!$B$2:$Y$301, MATCH(ROUND(MIN(300,MAX(1,D274)),0), FactorTable!$A$2:$A$301,0), Skills!M8+1)</f>
        <v/>
      </c>
      <c r="F274">
        <f>IF(Skills!N8=TRUE,(Skills!L8/10)*(E274/1000),Skills!L8/10)+Skills!O8</f>
        <v/>
      </c>
      <c r="G274">
        <f>Skills!G8*IF(Skills!H8&gt;0,Skills!I8/Skills!H8,1)</f>
        <v/>
      </c>
      <c r="H274">
        <f>1-(1-Skills!J8/100)^Skills!K8</f>
        <v/>
      </c>
      <c r="I274" t="inlineStr">
        <is>
          <t>1</t>
        </is>
      </c>
      <c r="J274">
        <f>((Inputs!$B$6*(1+Inputs!$B$7/100))+(((Inputs!$B$12*(1+Inputs!$B$13/100))-(Inputs!$B$12*(1+Inputs!$B$13/100)))+0.25*(Inputs!$B$14-Inputs!$B$14))*(1+Inputs!$B$7/100))*(F274/100)</f>
        <v/>
      </c>
      <c r="K274">
        <f>J274*(1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286=TRUE)*(F286-Calc!F20)),(Inputs!$B$23+0+(IF(ArtifactsInput!$M$15,CHOOSE(ArtifactsInput!$N$15+1,25,30,35,40,45,50)/100*(Inputs!$B$11-Inputs!$B$11),0))))/100+(Inputs!$B$23+0+(IF(ArtifactsInput!$M$15,CHOOSE(ArtifactsInput!$N$15+1,25,30,35,40,45,50)/100*(Inputs!$B$11-Inputs!$B$11),0)))/100)/2</f>
        <v/>
      </c>
      <c r="M274">
        <f>L274*(1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IF(B302=0,0,O274/B302)</f>
        <v/>
      </c>
      <c r="Q274">
        <f>IFERROR(1/(IF(Inputs!$B$38="pvp",15,MAX(0.1,Skills!D8-IF(Skills!E8=TRUE,Inputs!$B$32,0)))*(1-IF(AND(ArtifactsInput!$M$27,Inputs!$B$4="Chapter Hunt"),CHOOSE(ArtifactsInput!$N$27+1,20,24,28,32,36,40),0)/100)),0)</f>
        <v/>
      </c>
      <c r="R274">
        <f>IF(AND(Inputs!$B$38&lt;&gt;"pvp",Inputs!$B$43&gt;0),IF(MAX(0,Inputs!$B$43-B299)&lt;=0,0,(INT(MAX(0,Inputs!$B$43-B299)/(IF(Inputs!$B$38="pvp",15,MAX(0.1,Skills!D8-IF(Skills!E8=TRUE,Inputs!$B$32,0)))*(1-IF(AND(ArtifactsInput!$M$27,Inputs!$B$4="Chapter Hunt"),CHOOSE(ArtifactsInput!$N$27+1,20,24,28,32,36,40),0)/100)))+1)),0)</f>
        <v/>
      </c>
      <c r="S274">
        <f>IFERROR(O274/N274,0)</f>
        <v/>
      </c>
      <c r="T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$21+Skills!Q8+(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Skills!A9</f>
        <v/>
      </c>
      <c r="B275">
        <f>Skills!B9</f>
        <v/>
      </c>
      <c r="C275">
        <f>Inputs!$B$3&gt;=110</f>
        <v/>
      </c>
      <c r="D275">
        <f>IF(Skills!C9=1,60+Inputs!$B$25+Inputs!$B$29,IF(Skills!C9=2,90+Inputs!$B$26+Inputs!$B$29,IF(Skills!C9=3,120+Inputs!$B$27+Inputs!$B$29,MAX(0,(Inputs!$B$3-100)*3)+Inputs!$B$28+Inputs!$B$29)))</f>
        <v/>
      </c>
      <c r="E275">
        <f>INDEX(FactorTable!$B$2:$Y$301, MATCH(ROUND(MIN(300,MAX(1,D275)),0), FactorTable!$A$2:$A$301,0), Skills!M9+1)</f>
        <v/>
      </c>
      <c r="F275">
        <f>IF(Skills!N9=TRUE,(Skills!L9/10)*(E275/1000),Skills!L9/10)+Skills!O9</f>
        <v/>
      </c>
      <c r="G275">
        <f>Skills!G9*IF(Skills!H9&gt;0,Skills!I9/Skills!H9,1)</f>
        <v/>
      </c>
      <c r="H275">
        <f>1-(1-Skills!J9/100)^Skills!K9</f>
        <v/>
      </c>
      <c r="I275" t="inlineStr">
        <is>
          <t>1</t>
        </is>
      </c>
      <c r="J275">
        <f>((Inputs!$B$6*(1+Inputs!$B$7/100))+(((Inputs!$B$12*(1+Inputs!$B$13/100))-(Inputs!$B$12*(1+Inputs!$B$13/100)))+0.25*(Inputs!$B$14-Inputs!$B$14))*(1+Inputs!$B$7/100))*(F275/100)</f>
        <v/>
      </c>
      <c r="K275">
        <f>J275*(1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286=TRUE)*(F286-Calc!F20)),(Inputs!$B$23+0+(IF(ArtifactsInput!$M$15,CHOOSE(ArtifactsInput!$N$15+1,25,30,35,40,45,50)/100*(Inputs!$B$11-Inputs!$B$11),0))))/100+(Inputs!$B$23+0+(IF(ArtifactsInput!$M$15,CHOOSE(ArtifactsInput!$N$15+1,25,30,35,40,45,50)/100*(Inputs!$B$11-Inputs!$B$11),0)))/100)/2</f>
        <v/>
      </c>
      <c r="M275">
        <f>L275*(1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IF(B302=0,0,O275/B302)</f>
        <v/>
      </c>
      <c r="Q275">
        <f>IFERROR(1/(IF(Inputs!$B$38="pvp",15,MAX(0.1,Skills!D9-IF(Skills!E9=TRUE,Inputs!$B$32,0)))*(1-IF(AND(ArtifactsInput!$M$27,Inputs!$B$4="Chapter Hunt"),CHOOSE(ArtifactsInput!$N$27+1,20,24,28,32,36,40),0)/100)),0)</f>
        <v/>
      </c>
      <c r="R275">
        <f>IF(AND(Inputs!$B$38&lt;&gt;"pvp",Inputs!$B$43&gt;0),IF(MAX(0,Inputs!$B$43-B299)&lt;=0,0,(INT(MAX(0,Inputs!$B$43-B299)/(IF(Inputs!$B$38="pvp",15,MAX(0.1,Skills!D9-IF(Skills!E9=TRUE,Inputs!$B$32,0)))*(1-IF(AND(ArtifactsInput!$M$27,Inputs!$B$4="Chapter Hunt"),CHOOSE(ArtifactsInput!$N$27+1,20,24,28,32,36,40),0)/100)))+1)),0)</f>
        <v/>
      </c>
      <c r="S275">
        <f>IFERROR(O275/N275,0)</f>
        <v/>
      </c>
      <c r="T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$21+Skills!Q9+(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Skills!A10</f>
        <v/>
      </c>
      <c r="B276">
        <f>Skills!B10</f>
        <v/>
      </c>
      <c r="C276">
        <f>Inputs!$B$3&gt;=103</f>
        <v/>
      </c>
      <c r="D276">
        <f>IF(Skills!C10=1,60+Inputs!$B$25+Inputs!$B$29,IF(Skills!C10=2,90+Inputs!$B$26+Inputs!$B$29,IF(Skills!C10=3,120+Inputs!$B$27+Inputs!$B$29,MAX(0,(Inputs!$B$3-100)*3)+Inputs!$B$28+Inputs!$B$29)))</f>
        <v/>
      </c>
      <c r="E276">
        <f>INDEX(FactorTable!$B$2:$Y$301, MATCH(ROUND(MIN(300,MAX(1,D276)),0), FactorTable!$A$2:$A$301,0), Skills!M10+1)</f>
        <v/>
      </c>
      <c r="F276">
        <f>IF(Skills!N10=TRUE,(Skills!L10/10)*(E276/1000),Skills!L10/10)+Skills!O10</f>
        <v/>
      </c>
      <c r="G276">
        <f>Skills!G10*IF(Skills!H10&gt;0,Skills!I10/Skills!H10,1)</f>
        <v/>
      </c>
      <c r="H276">
        <f>1-(1-Skills!J10/100)^Skills!K10</f>
        <v/>
      </c>
      <c r="I276" t="inlineStr">
        <is>
          <t>1</t>
        </is>
      </c>
      <c r="J276">
        <f>((Inputs!$B$6*(1+Inputs!$B$7/100))+(((Inputs!$B$12*(1+Inputs!$B$13/100))-(Inputs!$B$12*(1+Inputs!$B$13/100)))+0.25*(Inputs!$B$14-Inputs!$B$14))*(1+Inputs!$B$7/100))*(F276/100)</f>
        <v/>
      </c>
      <c r="K276">
        <f>J276*(1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286=TRUE)*(F286-Calc!F20)),(Inputs!$B$23+0+(IF(ArtifactsInput!$M$15,CHOOSE(ArtifactsInput!$N$15+1,25,30,35,40,45,50)/100*(Inputs!$B$11-Inputs!$B$11),0))))/100+(Inputs!$B$23+0+(IF(ArtifactsInput!$M$15,CHOOSE(ArtifactsInput!$N$15+1,25,30,35,40,45,50)/100*(Inputs!$B$11-Inputs!$B$11),0)))/100)/2</f>
        <v/>
      </c>
      <c r="M276">
        <f>L276*(1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IF(B302=0,0,O276/B302)</f>
        <v/>
      </c>
      <c r="Q276">
        <f>IFERROR(1/(IF(Inputs!$B$38="pvp",15,MAX(0.1,Skills!D10-IF(Skills!E10=TRUE,Inputs!$B$32,0)))*(1-IF(AND(ArtifactsInput!$M$27,Inputs!$B$4="Chapter Hunt"),CHOOSE(ArtifactsInput!$N$27+1,20,24,28,32,36,40),0)/100)),0)</f>
        <v/>
      </c>
      <c r="R276">
        <f>IF(AND(Inputs!$B$38&lt;&gt;"pvp",Inputs!$B$43&gt;0),IF(MAX(0,Inputs!$B$43-B299)&lt;=0,0,(INT(MAX(0,Inputs!$B$43-B299)/(IF(Inputs!$B$38="pvp",15,MAX(0.1,Skills!D10-IF(Skills!E10=TRUE,Inputs!$B$32,0)))*(1-IF(AND(ArtifactsInput!$M$27,Inputs!$B$4="Chapter Hunt"),CHOOSE(ArtifactsInput!$N$27+1,20,24,28,32,36,40),0)/100)))+1)),0)</f>
        <v/>
      </c>
      <c r="S276">
        <f>IFERROR(O276/N276,0)</f>
        <v/>
      </c>
      <c r="T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$21+Skills!Q10+(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Skills!A11</f>
        <v/>
      </c>
      <c r="B277">
        <f>Skills!B11</f>
        <v/>
      </c>
      <c r="C277">
        <f>Inputs!$B$3&gt;=113</f>
        <v/>
      </c>
      <c r="D277">
        <f>IF(Skills!C11=1,60+Inputs!$B$25+Inputs!$B$29,IF(Skills!C11=2,90+Inputs!$B$26+Inputs!$B$29,IF(Skills!C11=3,120+Inputs!$B$27+Inputs!$B$29,MAX(0,(Inputs!$B$3-100)*3)+Inputs!$B$28+Inputs!$B$29)))</f>
        <v/>
      </c>
      <c r="E277">
        <f>INDEX(FactorTable!$B$2:$Y$301, MATCH(ROUND(MIN(300,MAX(1,D277)),0), FactorTable!$A$2:$A$301,0), Skills!M11+1)</f>
        <v/>
      </c>
      <c r="F277">
        <f>IF(Skills!N11=TRUE,(Skills!L11/10)*(E277/1000),Skills!L11/10)+Skills!O11</f>
        <v/>
      </c>
      <c r="G277">
        <f>Skills!G11*IF(Skills!H11&gt;0,Skills!I11/Skills!H11,1)</f>
        <v/>
      </c>
      <c r="H277">
        <f>1-(1-Skills!J11/100)^Skills!K11</f>
        <v/>
      </c>
      <c r="I277" t="inlineStr">
        <is>
          <t>1</t>
        </is>
      </c>
      <c r="J277">
        <f>((Inputs!$B$6*(1+Inputs!$B$7/100))+(((Inputs!$B$12*(1+Inputs!$B$13/100))-(Inputs!$B$12*(1+Inputs!$B$13/100)))+0.25*(Inputs!$B$14-Inputs!$B$14))*(1+Inputs!$B$7/100))*(F277/100)</f>
        <v/>
      </c>
      <c r="K277">
        <f>J277*(1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286=TRUE)*(F286-Calc!F20)),(Inputs!$B$23+0+(IF(ArtifactsInput!$M$15,CHOOSE(ArtifactsInput!$N$15+1,25,30,35,40,45,50)/100*(Inputs!$B$11-Inputs!$B$11),0))))/100+(Inputs!$B$23+0+(IF(ArtifactsInput!$M$15,CHOOSE(ArtifactsInput!$N$15+1,25,30,35,40,45,50)/100*(Inputs!$B$11-Inputs!$B$11),0)))/100)/2</f>
        <v/>
      </c>
      <c r="M277">
        <f>L277*(1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IF(B302=0,0,O277/B302)</f>
        <v/>
      </c>
      <c r="Q277">
        <f>IFERROR(1/(IF(Inputs!$B$38="pvp",15,MAX(0.1,Skills!D11-IF(Skills!E11=TRUE,Inputs!$B$32,0)))*(1-IF(AND(ArtifactsInput!$M$27,Inputs!$B$4="Chapter Hunt"),CHOOSE(ArtifactsInput!$N$27+1,20,24,28,32,36,40),0)/100)),0)</f>
        <v/>
      </c>
      <c r="R277">
        <f>IF(AND(Inputs!$B$38&lt;&gt;"pvp",Inputs!$B$43&gt;0),IF(MAX(0,Inputs!$B$43-B299)&lt;=0,0,(INT(MAX(0,Inputs!$B$43-B299)/(IF(Inputs!$B$38="pvp",15,MAX(0.1,Skills!D11-IF(Skills!E11=TRUE,Inputs!$B$32,0)))*(1-IF(AND(ArtifactsInput!$M$27,Inputs!$B$4="Chapter Hunt"),CHOOSE(ArtifactsInput!$N$27+1,20,24,28,32,36,40),0)/100)))+1)),0)</f>
        <v/>
      </c>
      <c r="S277">
        <f>IFERROR(O277/N277,0)</f>
        <v/>
      </c>
      <c r="T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$21+Skills!Q11+(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Skills!A12</f>
        <v/>
      </c>
      <c r="B278">
        <f>Skills!B12</f>
        <v/>
      </c>
      <c r="C278">
        <f>Inputs!$B$3&gt;=100</f>
        <v/>
      </c>
      <c r="D278">
        <f>IF(Skills!C12=1,60+Inputs!$B$25+Inputs!$B$29,IF(Skills!C12=2,90+Inputs!$B$26+Inputs!$B$29,IF(Skills!C12=3,120+Inputs!$B$27+Inputs!$B$29,MAX(0,(Inputs!$B$3-100)*3)+Inputs!$B$28+Inputs!$B$29)))</f>
        <v/>
      </c>
      <c r="E278">
        <f>INDEX(FactorTable!$B$2:$Y$301, MATCH(ROUND(MIN(300,MAX(1,D278)),0), FactorTable!$A$2:$A$301,0), Skills!M12+1)</f>
        <v/>
      </c>
      <c r="F278">
        <f>IF(Skills!N12=TRUE,(Skills!L12/10)*(E278/1000),Skills!L12/10)+Skills!O12</f>
        <v/>
      </c>
      <c r="G278" t="inlineStr"/>
      <c r="H278" t="inlineStr"/>
      <c r="I278" t="inlineStr">
        <is>
          <t>1</t>
        </is>
      </c>
      <c r="J278" t="inlineStr"/>
      <c r="K278" t="inlineStr"/>
      <c r="L278" t="inlineStr"/>
      <c r="M278" t="inlineStr"/>
      <c r="N278" t="inlineStr"/>
      <c r="O278" t="inlineStr"/>
      <c r="P278" t="inlineStr"/>
      <c r="Q278" t="inlineStr"/>
      <c r="R278" t="inlineStr"/>
      <c r="S278" t="inlineStr"/>
      <c r="T278" t="inlineStr"/>
      <c r="V278" t="inlineStr"/>
    </row>
    <row r="279">
      <c r="A279">
        <f>Skills!A13</f>
        <v/>
      </c>
      <c r="B279">
        <f>Skills!B13</f>
        <v/>
      </c>
      <c r="C279">
        <f>Inputs!$B$3&gt;=66</f>
        <v/>
      </c>
      <c r="D279">
        <f>IF(Skills!C13=1,60+Inputs!$B$25+Inputs!$B$29,IF(Skills!C13=2,90+Inputs!$B$26+Inputs!$B$29,IF(Skills!C13=3,120+Inputs!$B$27+Inputs!$B$29,MAX(0,(Inputs!$B$3-100)*3)+Inputs!$B$28+Inputs!$B$29)))</f>
        <v/>
      </c>
      <c r="E279">
        <f>INDEX(FactorTable!$B$2:$Y$301, MATCH(ROUND(MIN(300,MAX(1,D279)),0), FactorTable!$A$2:$A$301,0), Skills!M13+1)</f>
        <v/>
      </c>
      <c r="F279">
        <f>IF(Skills!N13=TRUE,(Skills!L13/10)*(E279/1000),Skills!L13/10)+Skills!O13</f>
        <v/>
      </c>
      <c r="G279">
        <f>Skills!G13*IF(Skills!H13&gt;0,Skills!I13/Skills!H13,1)</f>
        <v/>
      </c>
      <c r="H279">
        <f>1-(1-Skills!J13/100)^Skills!K13</f>
        <v/>
      </c>
      <c r="I279" t="inlineStr">
        <is>
          <t>1</t>
        </is>
      </c>
      <c r="J279" t="inlineStr"/>
      <c r="K279" t="inlineStr"/>
      <c r="L279" t="inlineStr"/>
      <c r="M279" t="inlineStr"/>
      <c r="N279" t="inlineStr"/>
      <c r="O279">
        <f>(1-Summary!$B$11)*T279+Summary!$B$11*V279</f>
        <v/>
      </c>
      <c r="P279">
        <f>IF(B302=0,0,O279/B302)</f>
        <v/>
      </c>
      <c r="Q279" t="n">
        <v>0</v>
      </c>
      <c r="R279" t="n">
        <v>0</v>
      </c>
      <c r="S279">
        <f>IFERROR(O279/N279,0)</f>
        <v/>
      </c>
      <c r="T279" t="n">
        <v>0</v>
      </c>
      <c r="V279" t="n">
        <v>0</v>
      </c>
    </row>
    <row r="280">
      <c r="A280">
        <f>Skills!A14</f>
        <v/>
      </c>
      <c r="B280">
        <f>Skills!B14</f>
        <v/>
      </c>
      <c r="C280">
        <f>Inputs!$B$3&gt;=107</f>
        <v/>
      </c>
      <c r="D280">
        <f>IF(Skills!C14=1,60+Inputs!$B$25+Inputs!$B$29,IF(Skills!C14=2,90+Inputs!$B$26+Inputs!$B$29,IF(Skills!C14=3,120+Inputs!$B$27+Inputs!$B$29,MAX(0,(Inputs!$B$3-100)*3)+Inputs!$B$28+Inputs!$B$29)))</f>
        <v/>
      </c>
      <c r="E280">
        <f>INDEX(FactorTable!$B$2:$Y$301, MATCH(ROUND(MIN(300,MAX(1,D280)),0), FactorTable!$A$2:$A$301,0), Skills!M14+1)</f>
        <v/>
      </c>
      <c r="F280">
        <f>IF(Skills!N14=TRUE,(Skills!L14/10)*(E280/1000),Skills!L14/10)+Skills!O14</f>
        <v/>
      </c>
      <c r="G280">
        <f>Skills!G14*IF(Skills!H14&gt;0,Skills!I14/Skills!H14,1)</f>
        <v/>
      </c>
      <c r="H280">
        <f>1-(1-Skills!J14/100)^Skills!K14</f>
        <v/>
      </c>
      <c r="I280" t="inlineStr">
        <is>
          <t>1</t>
        </is>
      </c>
      <c r="J280" t="inlineStr"/>
      <c r="K280" t="inlineStr"/>
      <c r="L280" t="inlineStr"/>
      <c r="M280" t="inlineStr"/>
      <c r="N280" t="inlineStr"/>
      <c r="O280">
        <f>(1-Summary!$B$11)*T280+Summary!$B$11*V280</f>
        <v/>
      </c>
      <c r="P280">
        <f>IF(B302=0,0,O280/B302)</f>
        <v/>
      </c>
      <c r="Q280" t="n">
        <v>0</v>
      </c>
      <c r="R280" t="n">
        <v>0</v>
      </c>
      <c r="S280">
        <f>IFERROR(O280/N280,0)</f>
        <v/>
      </c>
      <c r="T280" t="n">
        <v>0</v>
      </c>
      <c r="V280" t="n">
        <v>0</v>
      </c>
    </row>
    <row r="281">
      <c r="A281">
        <f>Skills!A15</f>
        <v/>
      </c>
      <c r="B281">
        <f>Skills!B15</f>
        <v/>
      </c>
      <c r="C281">
        <f>Inputs!$B$3&gt;=115</f>
        <v/>
      </c>
      <c r="D281">
        <f>IF(Skills!C15=1,60+Inputs!$B$25+Inputs!$B$29,IF(Skills!C15=2,90+Inputs!$B$26+Inputs!$B$29,IF(Skills!C15=3,120+Inputs!$B$27+Inputs!$B$29,MAX(0,(Inputs!$B$3-100)*3)+Inputs!$B$28+Inputs!$B$29)))</f>
        <v/>
      </c>
      <c r="E281">
        <f>INDEX(FactorTable!$B$2:$Y$301, MATCH(ROUND(MIN(300,MAX(1,D281)),0), FactorTable!$A$2:$A$301,0), Skills!M15+1)</f>
        <v/>
      </c>
      <c r="F281">
        <f>IF(Skills!N15=TRUE,(Skills!L15/10)*(E281/1000),Skills!L15/10)+Skills!O15</f>
        <v/>
      </c>
      <c r="G281">
        <f>Skills!G15*IF(Skills!H15&gt;0,Skills!I15/Skills!H15,1)</f>
        <v/>
      </c>
      <c r="H281">
        <f>1-(1-Skills!J15/100)^Skills!K15</f>
        <v/>
      </c>
      <c r="I281" t="inlineStr">
        <is>
          <t>1</t>
        </is>
      </c>
      <c r="J281" t="inlineStr"/>
      <c r="K281" t="inlineStr"/>
      <c r="L281" t="inlineStr"/>
      <c r="M281" t="inlineStr"/>
      <c r="N281" t="inlineStr"/>
      <c r="O281">
        <f>(1-Summary!$B$11)*T281+Summary!$B$11*V281</f>
        <v/>
      </c>
      <c r="P281">
        <f>IF(B302=0,0,O281/B302)</f>
        <v/>
      </c>
      <c r="Q281" t="n">
        <v>0</v>
      </c>
      <c r="R281" t="n">
        <v>0</v>
      </c>
      <c r="S281">
        <f>IFERROR(O281/N281,0)</f>
        <v/>
      </c>
      <c r="T281" t="n">
        <v>0</v>
      </c>
      <c r="V281" t="n">
        <v>0</v>
      </c>
    </row>
    <row r="282">
      <c r="A282">
        <f>Skills!A16</f>
        <v/>
      </c>
      <c r="B282">
        <f>Skills!B16</f>
        <v/>
      </c>
      <c r="C282">
        <f>Inputs!$B$3&gt;=15</f>
        <v/>
      </c>
      <c r="D282">
        <f>IF(Skills!C16=1,60+Inputs!$B$25+Inputs!$B$29,IF(Skills!C16=2,90+Inputs!$B$26+Inputs!$B$29,IF(Skills!C16=3,120+Inputs!$B$27+Inputs!$B$29,MAX(0,(Inputs!$B$3-100)*3)+Inputs!$B$28+Inputs!$B$29)))</f>
        <v/>
      </c>
      <c r="E282">
        <f>INDEX(FactorTable!$B$2:$Y$301, MATCH(ROUND(MIN(300,MAX(1,D282)),0), FactorTable!$A$2:$A$301,0), Skills!M16+1)</f>
        <v/>
      </c>
      <c r="F282">
        <f>IF(Skills!N16=TRUE,(Skills!L16/10)*(E282/1000),Skills!L16/10)+Skills!O16</f>
        <v/>
      </c>
      <c r="G282">
        <f>Skills!G16*IF(Skills!H16&gt;0,Skills!I16/Skills!H16,1)</f>
        <v/>
      </c>
      <c r="H282">
        <f>1-(1-Skills!J16/100)^Skills!K16</f>
        <v/>
      </c>
      <c r="I282" t="inlineStr">
        <is>
          <t>1</t>
        </is>
      </c>
      <c r="J282" t="inlineStr"/>
      <c r="K282" t="inlineStr"/>
      <c r="L282" t="inlineStr"/>
      <c r="M282" t="inlineStr"/>
      <c r="N282" t="inlineStr"/>
      <c r="O282">
        <f>(1-Summary!$B$11)*T282+Summary!$B$11*V282</f>
        <v/>
      </c>
      <c r="P282">
        <f>IF(B302=0,0,O282/B302)</f>
        <v/>
      </c>
      <c r="Q282" t="n">
        <v>0</v>
      </c>
      <c r="R282" t="n">
        <v>0</v>
      </c>
      <c r="S282">
        <f>IFERROR(O282/N282,0)</f>
        <v/>
      </c>
      <c r="T282" t="n">
        <v>0</v>
      </c>
      <c r="V282" t="n">
        <v>0</v>
      </c>
    </row>
    <row r="283">
      <c r="A283">
        <f>Skills!A17</f>
        <v/>
      </c>
      <c r="B283">
        <f>Skills!B17</f>
        <v/>
      </c>
      <c r="C283">
        <f>Inputs!$B$3&gt;=10</f>
        <v/>
      </c>
      <c r="D283">
        <f>IF(Skills!C17=1,60+Inputs!$B$25+Inputs!$B$29,IF(Skills!C17=2,90+Inputs!$B$26+Inputs!$B$29,IF(Skills!C17=3,120+Inputs!$B$27+Inputs!$B$29,MAX(0,(Inputs!$B$3-100)*3)+Inputs!$B$28+Inputs!$B$29)))</f>
        <v/>
      </c>
      <c r="E283">
        <f>INDEX(FactorTable!$B$2:$Y$301, MATCH(ROUND(MIN(300,MAX(1,D283)),0), FactorTable!$A$2:$A$301,0), Skills!M17+1)</f>
        <v/>
      </c>
      <c r="F283">
        <f>IF(Skills!N17=TRUE,(Skills!L17/10)*(E283/1000),Skills!L17/10)+Skills!O17</f>
        <v/>
      </c>
      <c r="G283">
        <f>Skills!G17*IF(Skills!H17&gt;0,Skills!I17/Skills!H17,1)</f>
        <v/>
      </c>
      <c r="H283">
        <f>1-(1-Skills!J17/100)^Skills!K17</f>
        <v/>
      </c>
      <c r="I283" t="inlineStr">
        <is>
          <t>1</t>
        </is>
      </c>
      <c r="J283" t="inlineStr"/>
      <c r="K283" t="inlineStr"/>
      <c r="L283" t="inlineStr"/>
      <c r="M283" t="inlineStr"/>
      <c r="N283" t="inlineStr"/>
      <c r="O283">
        <f>(1-Summary!$B$11)*T283+Summary!$B$11*V283</f>
        <v/>
      </c>
      <c r="P283">
        <f>IF(B302=0,0,O283/B302)</f>
        <v/>
      </c>
      <c r="Q283" t="n">
        <v>0</v>
      </c>
      <c r="R283" t="n">
        <v>0</v>
      </c>
      <c r="S283">
        <f>IFERROR(O283/N283,0)</f>
        <v/>
      </c>
      <c r="T283" t="n">
        <v>0</v>
      </c>
      <c r="V283" t="n">
        <v>0</v>
      </c>
    </row>
    <row r="284">
      <c r="A284">
        <f>Skills!A18</f>
        <v/>
      </c>
      <c r="B284">
        <f>Skills!B18</f>
        <v/>
      </c>
      <c r="C284">
        <f>Inputs!$B$3&gt;=33</f>
        <v/>
      </c>
      <c r="D284">
        <f>IF(Skills!C18=1,60+Inputs!$B$25+Inputs!$B$29,IF(Skills!C18=2,90+Inputs!$B$26+Inputs!$B$29,IF(Skills!C18=3,120+Inputs!$B$27+Inputs!$B$29,MAX(0,(Inputs!$B$3-100)*3)+Inputs!$B$28+Inputs!$B$29)))</f>
        <v/>
      </c>
      <c r="E284">
        <f>INDEX(FactorTable!$B$2:$Y$301, MATCH(ROUND(MIN(300,MAX(1,D284)),0), FactorTable!$A$2:$A$301,0), Skills!M18+1)</f>
        <v/>
      </c>
      <c r="F284">
        <f>IF(Skills!N18=TRUE,(Skills!L18/10)*(E284/1000),Skills!L18/10)+Skills!O18</f>
        <v/>
      </c>
      <c r="G284">
        <f>Skills!G18*IF(Skills!H18&gt;0,Skills!I18/Skills!H18,1)</f>
        <v/>
      </c>
      <c r="H284">
        <f>1-(1-Skills!J18/100)^Skills!K18</f>
        <v/>
      </c>
      <c r="I284" t="inlineStr">
        <is>
          <t>1</t>
        </is>
      </c>
      <c r="J284" t="inlineStr"/>
      <c r="K284" t="inlineStr"/>
      <c r="L284" t="inlineStr"/>
      <c r="M284" t="inlineStr"/>
      <c r="N284" t="inlineStr"/>
      <c r="O284">
        <f>(1-Summary!$B$11)*T284+Summary!$B$11*V284</f>
        <v/>
      </c>
      <c r="P284">
        <f>IF(B302=0,0,O284/B302)</f>
        <v/>
      </c>
      <c r="Q284" t="n">
        <v>0</v>
      </c>
      <c r="R284" t="n">
        <v>0</v>
      </c>
      <c r="S284">
        <f>IFERROR(O284/N284,0)</f>
        <v/>
      </c>
      <c r="T284" t="n">
        <v>0</v>
      </c>
      <c r="V284" t="n">
        <v>0</v>
      </c>
    </row>
    <row r="285">
      <c r="A285">
        <f>Skills!A19</f>
        <v/>
      </c>
      <c r="B285">
        <f>Skills!B19</f>
        <v/>
      </c>
      <c r="C285">
        <f>Inputs!$B$3&gt;=40</f>
        <v/>
      </c>
      <c r="D285">
        <f>IF(Skills!C19=1,60+Inputs!$B$25+Inputs!$B$29,IF(Skills!C19=2,90+Inputs!$B$26+Inputs!$B$29,IF(Skills!C19=3,120+Inputs!$B$27+Inputs!$B$29,MAX(0,(Inputs!$B$3-100)*3)+Inputs!$B$28+Inputs!$B$29)))</f>
        <v/>
      </c>
      <c r="E285">
        <f>INDEX(FactorTable!$B$2:$Y$301, MATCH(ROUND(MIN(300,MAX(1,D285)),0), FactorTable!$A$2:$A$301,0), Skills!M19+1)</f>
        <v/>
      </c>
      <c r="F285">
        <f>IF(Skills!N19=TRUE,(Skills!L19/10)*(E285/1000),Skills!L19/10)+Skills!O19</f>
        <v/>
      </c>
      <c r="G285">
        <f>Skills!G19*IF(Skills!H19&gt;0,Skills!I19/Skills!H19,1)</f>
        <v/>
      </c>
      <c r="H285">
        <f>1-(1-Skills!J19/100)^Skills!K19</f>
        <v/>
      </c>
      <c r="I285" t="inlineStr">
        <is>
          <t>1</t>
        </is>
      </c>
      <c r="J285" t="inlineStr"/>
      <c r="K285" t="inlineStr"/>
      <c r="L285" t="inlineStr"/>
      <c r="M285" t="inlineStr"/>
      <c r="N285" t="inlineStr"/>
      <c r="O285">
        <f>(1-Summary!$B$11)*T285+Summary!$B$11*V285</f>
        <v/>
      </c>
      <c r="P285">
        <f>IF(B302=0,0,O285/B302)</f>
        <v/>
      </c>
      <c r="Q285" t="n">
        <v>0</v>
      </c>
      <c r="R285" t="n">
        <v>0</v>
      </c>
      <c r="S285">
        <f>IFERROR(O285/N285,0)</f>
        <v/>
      </c>
      <c r="T285" t="n">
        <v>0</v>
      </c>
      <c r="V285" t="n">
        <v>0</v>
      </c>
    </row>
    <row r="286">
      <c r="A286">
        <f>Skills!A20</f>
        <v/>
      </c>
      <c r="B286">
        <f>Skills!B20</f>
        <v/>
      </c>
      <c r="C286">
        <f>Inputs!$B$3&gt;=43</f>
        <v/>
      </c>
      <c r="D286">
        <f>IF(Skills!C20=1,60+Inputs!$B$25+Inputs!$B$29,IF(Skills!C20=2,90+Inputs!$B$26+Inputs!$B$29,IF(Skills!C20=3,120+Inputs!$B$27+Inputs!$B$29,MAX(0,(Inputs!$B$3-100)*3)+Inputs!$B$28+Inputs!$B$29)))</f>
        <v/>
      </c>
      <c r="E286">
        <f>INDEX(FactorTable!$B$2:$Y$301, MATCH(ROUND(MIN(300,MAX(1,D286)),0), FactorTable!$A$2:$A$301,0), Skills!M20+1)</f>
        <v/>
      </c>
      <c r="F286">
        <f>IF(Skills!N20=TRUE,(Skills!L20/10)*(E286/1000),Skills!L20/10)+Skills!O20</f>
        <v/>
      </c>
      <c r="G286">
        <f>Skills!G20*IF(Skills!H20&gt;0,Skills!I20/Skills!H20,1)</f>
        <v/>
      </c>
      <c r="H286">
        <f>1-(1-Skills!J20/100)^Skills!K20</f>
        <v/>
      </c>
      <c r="I286" t="inlineStr">
        <is>
          <t>1</t>
        </is>
      </c>
      <c r="J286" t="inlineStr"/>
      <c r="K286" t="inlineStr"/>
      <c r="L286" t="inlineStr"/>
      <c r="M286" t="inlineStr"/>
      <c r="N286" t="inlineStr"/>
      <c r="O286">
        <f>(1-Summary!$B$11)*T286+Summary!$B$11*V286</f>
        <v/>
      </c>
      <c r="P286">
        <f>IF(B302=0,0,O286/B302)</f>
        <v/>
      </c>
      <c r="Q286" t="n">
        <v>0</v>
      </c>
      <c r="R286" t="n">
        <v>0</v>
      </c>
      <c r="S286">
        <f>IFERROR(O286/N286,0)</f>
        <v/>
      </c>
      <c r="T286" t="n">
        <v>0</v>
      </c>
      <c r="V286" t="n">
        <v>0</v>
      </c>
    </row>
    <row r="287">
      <c r="A287">
        <f>Skills!A21</f>
        <v/>
      </c>
      <c r="B287">
        <f>Skills!B21</f>
        <v/>
      </c>
      <c r="C287">
        <f>Inputs!$B$3&gt;=38</f>
        <v/>
      </c>
      <c r="D287">
        <f>IF(Skills!C21=1,60+Inputs!$B$25+Inputs!$B$29,IF(Skills!C21=2,90+Inputs!$B$26+Inputs!$B$29,IF(Skills!C21=3,120+Inputs!$B$27+Inputs!$B$29,MAX(0,(Inputs!$B$3-100)*3)+Inputs!$B$28+Inputs!$B$29)))</f>
        <v/>
      </c>
      <c r="E287">
        <f>INDEX(FactorTable!$B$2:$Y$301, MATCH(ROUND(MIN(300,MAX(1,D287)),0), FactorTable!$A$2:$A$301,0), Skills!M21+1)</f>
        <v/>
      </c>
      <c r="F287">
        <f>IF(Skills!N21=TRUE,(Skills!L21/10)*(E287/1000),Skills!L21/10)+Skills!O21</f>
        <v/>
      </c>
      <c r="G287">
        <f>Skills!G21*IF(Skills!H21&gt;0,Skills!I21/Skills!H21,1)</f>
        <v/>
      </c>
      <c r="H287">
        <f>1-(1-Skills!J21/100)^Skills!K21</f>
        <v/>
      </c>
      <c r="I287" t="inlineStr">
        <is>
          <t>1</t>
        </is>
      </c>
      <c r="J287" t="inlineStr"/>
      <c r="K287" t="inlineStr"/>
      <c r="L287" t="inlineStr"/>
      <c r="M287" t="inlineStr"/>
      <c r="N287" t="inlineStr"/>
      <c r="O287">
        <f>(1-Summary!$B$11)*T287+Summary!$B$11*V287</f>
        <v/>
      </c>
      <c r="P287">
        <f>IF(B302=0,0,O287/B302)</f>
        <v/>
      </c>
      <c r="Q287" t="n">
        <v>0</v>
      </c>
      <c r="R287" t="n">
        <v>0</v>
      </c>
      <c r="S287">
        <f>IFERROR(O287/N287,0)</f>
        <v/>
      </c>
      <c r="T287" t="n">
        <v>0</v>
      </c>
      <c r="V287" t="n">
        <v>0</v>
      </c>
    </row>
    <row r="288">
      <c r="A288">
        <f>Skills!A22</f>
        <v/>
      </c>
      <c r="B288">
        <f>Skills!B22</f>
        <v/>
      </c>
      <c r="C288">
        <f>Inputs!$B$3&gt;=75</f>
        <v/>
      </c>
      <c r="D288">
        <f>IF(Skills!C22=1,60+Inputs!$B$25+Inputs!$B$29,IF(Skills!C22=2,90+Inputs!$B$26+Inputs!$B$29,IF(Skills!C22=3,120+Inputs!$B$27+Inputs!$B$29,MAX(0,(Inputs!$B$3-100)*3)+Inputs!$B$28+Inputs!$B$29)))</f>
        <v/>
      </c>
      <c r="E288">
        <f>INDEX(FactorTable!$B$2:$Y$301, MATCH(ROUND(MIN(300,MAX(1,D288)),0), FactorTable!$A$2:$A$301,0), Skills!M22+1)</f>
        <v/>
      </c>
      <c r="F288">
        <f>IF(Skills!N22=TRUE,(Skills!L22/10)*(E288/1000),Skills!L22/10)+Skills!O22</f>
        <v/>
      </c>
      <c r="G288">
        <f>Skills!G22*IF(Skills!H22&gt;0,Skills!I22/Skills!H22,1)</f>
        <v/>
      </c>
      <c r="H288">
        <f>1-(1-Skills!J22/100)^Skills!K22</f>
        <v/>
      </c>
      <c r="I288" t="inlineStr">
        <is>
          <t>1</t>
        </is>
      </c>
      <c r="J288" t="inlineStr"/>
      <c r="K288" t="inlineStr"/>
      <c r="L288" t="inlineStr"/>
      <c r="M288" t="inlineStr"/>
      <c r="N288" t="inlineStr"/>
      <c r="O288">
        <f>(1-Summary!$B$11)*T288+Summary!$B$11*V288</f>
        <v/>
      </c>
      <c r="P288">
        <f>IF(B302=0,0,O288/B302)</f>
        <v/>
      </c>
      <c r="Q288" t="n">
        <v>0</v>
      </c>
      <c r="R288" t="n">
        <v>0</v>
      </c>
      <c r="S288">
        <f>IFERROR(O288/N288,0)</f>
        <v/>
      </c>
      <c r="T288" t="n">
        <v>0</v>
      </c>
      <c r="V288" t="n">
        <v>0</v>
      </c>
    </row>
    <row r="289">
      <c r="A289">
        <f>Skills!A23</f>
        <v/>
      </c>
      <c r="B289">
        <f>Skills!B23</f>
        <v/>
      </c>
      <c r="C289">
        <f>TRUE</f>
        <v/>
      </c>
      <c r="D289">
        <f>IF(Skills!C23=1,60+Inputs!$B$25+Inputs!$B$29,IF(Skills!C23=2,90+Inputs!$B$26+Inputs!$B$29,IF(Skills!C23=3,120+Inputs!$B$27+Inputs!$B$29,MAX(0,(Inputs!$B$3-100)*3)+Inputs!$B$28+Inputs!$B$29)))</f>
        <v/>
      </c>
      <c r="E289">
        <f>INDEX(FactorTable!$B$2:$Y$301, MATCH(ROUND(MIN(300,MAX(1,D289)),0), FactorTable!$A$2:$A$301,0), Skills!M23+1)</f>
        <v/>
      </c>
      <c r="F289">
        <f>IF(Skills!N23=TRUE,(Skills!L23/10)*(E289/1000),Skills!L23/10)+Skills!O23</f>
        <v/>
      </c>
      <c r="G289">
        <f>Skills!G23*IF(Skills!H23&gt;0,Skills!I23/Skills!H23,1)</f>
        <v/>
      </c>
      <c r="H289">
        <f>1-(1-Skills!J23/100)^Skills!K23</f>
        <v/>
      </c>
      <c r="I289" t="inlineStr">
        <is>
          <t>1</t>
        </is>
      </c>
      <c r="J289" t="inlineStr"/>
      <c r="K289" t="inlineStr"/>
      <c r="L289" t="inlineStr"/>
      <c r="M289" t="inlineStr"/>
      <c r="N289" t="inlineStr"/>
      <c r="O289">
        <f>(1-Summary!$B$11)*T289+Summary!$B$11*V289</f>
        <v/>
      </c>
      <c r="P289">
        <f>IF(B302=0,0,O289/B302)</f>
        <v/>
      </c>
      <c r="Q289">
        <f>IFERROR(1/(IF(Inputs!$B$38="pvp",15,MAX(0.1,Skills!D23-IF(Skills!E23=TRUE,Inputs!$B$32,0)))*(1-IF(AND(ArtifactsInput!$M$27,Inputs!$B$4="Chapter Hunt"),CHOOSE(ArtifactsInput!$N$27+1,20,24,28,32,36,40),0)/100)),0)</f>
        <v/>
      </c>
      <c r="R289">
        <f>IF(AND(Inputs!$B$38&lt;&gt;"pvp",Inputs!$B$43&gt;0),IF(Inputs!$B$43&lt;=0,0,(INT(Inputs!$B$43/(IF(Inputs!$B$38="pvp",15,MAX(0.1,Skills!D23-IF(Skills!E23=TRUE,Inputs!$B$32,0)))*(1-IF(AND(ArtifactsInput!$M$27,Inputs!$B$4="Chapter Hunt"),CHOOSE(ArtifactsInput!$N$27+1,20,24,28,32,36,40),0)/100)))+1)),0)</f>
        <v/>
      </c>
      <c r="S289">
        <f>IFERROR(O289/N289,0)</f>
        <v/>
      </c>
      <c r="T289" t="n">
        <v>0</v>
      </c>
      <c r="V289" t="n">
        <v>0</v>
      </c>
    </row>
    <row r="291">
      <c r="A291" t="inlineStr">
        <is>
          <t>Attack% Bucket Multiplier</t>
        </is>
      </c>
      <c r="B291">
        <f>(1+(((C279=TRUE)*F279*5/7)+((C285=TRUE)*(F285-Calc!F19))+(IF(ArtifactsInput!$M$21,CHOOSE(ArtifactsInput!$N$21+1,25,30,35,40,45,50)*(IF(OR(Inputs!$B$4="Chapter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
      <c r="A292" t="inlineStr">
        <is>
          <t>Global Crit Rate Bonus %</t>
        </is>
      </c>
      <c r="B292" t="n">
        <v>0</v>
      </c>
    </row>
    <row r="293">
      <c r="A293" t="inlineStr">
        <is>
          <t>Attack Speed Buff Bonus % (Nimble Feet, duty-cycle averaged)</t>
        </is>
      </c>
      <c r="B293">
        <f>((C289=TRUE)*F289*IF(AND(Inputs!$B$38&lt;&gt;"pvp",Inputs!$B$43&gt;0),(((R289-1)*(Skills!T23*(1+Inputs!$B$34/100))+MIN((Skills!T23*(1+Inputs!$B$34/100)),MAX(0,Inputs!$B$43-((R289-1)*Skills!D23))))/Inputs!$B$43),IF(Inputs!$B$38="pvp",MIN((Skills!T23*(1+Inputs!$B$34/100)),15)/15,(Skills!T23*(1+Inputs!$B$34/100))/Skills!D23)))</f>
        <v/>
      </c>
    </row>
    <row r="294">
      <c r="A294" t="inlineStr">
        <is>
          <t>Actions Per Second</t>
        </is>
      </c>
      <c r="B294">
        <f>1+MIN(150,150*(1-(1-(Inputs!$B$11+((C283=TRUE)*(F283-Calc!F17))+((C284=TRUE)*(F284-Calc!F18)))/150)*(1-B293/150)))/100</f>
        <v/>
      </c>
    </row>
    <row r="295">
      <c r="A295" t="inlineStr">
        <is>
          <t>Skill + Buff Cast Rate</t>
        </is>
      </c>
      <c r="B295">
        <f>IF(AND(Inputs!$B$38&lt;&gt;"pvp",Inputs!$B$43&gt;0),SUMPRODUCT((Skills!E2:E23=TRUE)*(C268:C289=TRUE)*R268:R289*Skills!F2:F23)/Inputs!$B$43,SUMPRODUCT((Skills!E2:E23=TRUE)*(C268:C289=TRUE)*Q268:Q289*Skills!F2:F23))</f>
        <v/>
      </c>
    </row>
    <row r="296">
      <c r="A296" t="inlineStr">
        <is>
          <t>Hook Bomber Casts Per Second</t>
        </is>
      </c>
      <c r="B296">
        <f>MAX(0,B294-B295)</f>
        <v/>
      </c>
    </row>
    <row r="297">
      <c r="A297" t="inlineStr">
        <is>
          <t>Global Critical Damage Bonus % (unused)</t>
        </is>
      </c>
      <c r="B297" t="n">
        <v>0</v>
      </c>
    </row>
    <row r="298">
      <c r="A298" t="inlineStr">
        <is>
          <t>Global Final Damage Bonus % (Serpent Scale + Crossbones + Time Leap + Speed Infusion)</t>
        </is>
      </c>
      <c r="B298">
        <f>((C271=TRUE)*F271*((10+IF(Inputs!$B$3&gt;=94,5,0))/((10+IF(Inputs!$B$3&gt;=94,5,0))+5/(B296*(1+IF(Inputs!$B$3&gt;=104,1,0))))))+((C280=TRUE)*F280)+((C281=TRUE)*F281)+((Inputs!$B$3&gt;=110)*20*(B294-1))</f>
        <v/>
      </c>
    </row>
    <row r="299">
      <c r="A299" t="inlineStr">
        <is>
          <t>Buff-Casting Startup Delay (s, fixed-duration only)</t>
        </is>
      </c>
      <c r="B299">
        <f>IF(AND(Inputs!$B$38&lt;&gt;"pvp",Inputs!$B$43&gt;0),SUMPRODUCT((Skills!T2:T23&gt;0)*(Skills!E2:E23=TRUE)*(C268:C289=TRUE))/B294,0)</f>
        <v/>
      </c>
    </row>
    <row r="300">
      <c r="A300" t="inlineStr">
        <is>
          <t>Boss-Only Total DPS (this block's swept value)</t>
        </is>
      </c>
      <c r="B300">
        <f>SUM(T268:T289)</f>
        <v/>
      </c>
    </row>
    <row r="301">
      <c r="A301" t="inlineStr">
        <is>
          <t>Normal-Only Total DPS (this block's swept value)</t>
        </is>
      </c>
      <c r="B301">
        <f>SUM(V268:V289)</f>
        <v/>
      </c>
    </row>
    <row r="302">
      <c r="A302" s="6" t="inlineStr">
        <is>
          <t>TOTAL DPS</t>
        </is>
      </c>
      <c r="B302" s="6">
        <f>SUM(O268:O289)</f>
        <v/>
      </c>
    </row>
    <row r="305">
      <c r="A305" s="6" t="inlineStr">
        <is>
          <t>Stat: NORMAL_DAMAGE %</t>
        </is>
      </c>
    </row>
    <row r="306">
      <c r="A306" s="5" t="inlineStr">
        <is>
          <t>Key</t>
        </is>
      </c>
      <c r="B306" s="5" t="inlineStr">
        <is>
          <t>Name</t>
        </is>
      </c>
      <c r="C306" s="5" t="inlineStr">
        <is>
          <t>Unlocked</t>
        </is>
      </c>
      <c r="D306" s="5" t="inlineStr">
        <is>
          <t>InputLevel</t>
        </is>
      </c>
      <c r="E306" s="5" t="inlineStr">
        <is>
          <t>Factor</t>
        </is>
      </c>
      <c r="F306" s="5" t="inlineStr">
        <is>
          <t>CoefficientPercent</t>
        </is>
      </c>
      <c r="G306" s="5" t="inlineStr">
        <is>
          <t>EffectiveHits</t>
        </is>
      </c>
      <c r="H306" s="5" t="inlineStr">
        <is>
          <t>ProcProbability</t>
        </is>
      </c>
      <c r="I306" s="5" t="inlineStr">
        <is>
          <t>MapleHeroMultiplier</t>
        </is>
      </c>
      <c r="J306" s="5" t="inlineStr">
        <is>
          <t>BaseDamage</t>
        </is>
      </c>
      <c r="K306" s="5" t="inlineStr">
        <is>
          <t>BaseHitDamage</t>
        </is>
      </c>
      <c r="L306" s="5" t="inlineStr">
        <is>
          <t>NonCritAvg</t>
        </is>
      </c>
      <c r="M306" s="5" t="inlineStr">
        <is>
          <t>CritAvg</t>
        </is>
      </c>
      <c r="N306" s="5" t="inlineStr">
        <is>
          <t>ExpectedDamage(perHit)</t>
        </is>
      </c>
      <c r="O306" s="5" t="inlineStr">
        <is>
          <t>DPS</t>
        </is>
      </c>
      <c r="P306" s="5" t="inlineStr">
        <is>
          <t>% of Total</t>
        </is>
      </c>
      <c r="Q306" s="5" t="inlineStr">
        <is>
          <t>InvCooldown</t>
        </is>
      </c>
      <c r="R306" s="5" t="inlineStr">
        <is>
          <t>CastsInFight</t>
        </is>
      </c>
      <c r="S306" s="5" t="inlineStr">
        <is>
          <t>HitRate(perSec)</t>
        </is>
      </c>
      <c r="U306" t="inlineStr">
        <is>
          <t>helpers</t>
        </is>
      </c>
    </row>
    <row r="307">
      <c r="A307">
        <f>Skills!A2</f>
        <v/>
      </c>
      <c r="B307">
        <f>Skills!B2</f>
        <v/>
      </c>
      <c r="C307">
        <f>Inputs!$B$3&gt;=100</f>
        <v/>
      </c>
      <c r="D307" t="inlineStr"/>
      <c r="E307" t="inlineStr"/>
      <c r="F307">
        <f>U309+Skills!O2</f>
        <v/>
      </c>
      <c r="G307">
        <f>Skills!G2*IF(Skills!H2&gt;0,Skills!I2/Skills!H2,1)</f>
        <v/>
      </c>
      <c r="H307">
        <f>1-(1-Skills!J2/100)^Skills!K2</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20)),(Inputs!$B$23+0+(IF(ArtifactsInput!$M$15,CHOOSE(ArtifactsInput!$N$15+1,25,30,35,40,45,50)/100*(Inputs!$B$11-Inputs!$B$11),0))))/100+(Inputs!$B$23+0+(IF(ArtifactsInput!$M$15,CHOOSE(ArtifactsInput!$N$15+1,25,30,35,40,45,50)/100*(Inputs!$B$11-Inputs!$B$11),0)))/100)/2</f>
        <v/>
      </c>
      <c r="M307">
        <f>L307*(1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IF(B341=0,0,O307/B341)</f>
        <v/>
      </c>
      <c r="Q307" t="n">
        <v>0</v>
      </c>
      <c r="R307" t="n">
        <v>0</v>
      </c>
      <c r="S307">
        <f>IFERROR(O307/N307,0)</f>
        <v/>
      </c>
      <c r="T307">
        <f>IF(C307,(Skills!G2*N307*B335)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
        <f>MAX(0,(Inputs!$B$3-100)*3)+Inputs!$B$28+Inputs!$B$29</f>
        <v/>
      </c>
      <c r="V307">
        <f>IF(C307,(Skills!G2*N307*B335)*IF(Inputs!$B$38="pvp",1,(1+((Inputs!$B$21+1)+Skills!Q2+(IF(ArtifactsInput!$M$33,CHOOSE(ArtifactsInput!$N$33+1,30,36,42,48,54,60),0))+(IF(AND(ArtifactsInput!$M$35,Inputs!$B$4&lt;&gt;"Chapter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Skills!A3</f>
        <v/>
      </c>
      <c r="B308">
        <f>Skills!B3</f>
        <v/>
      </c>
      <c r="C308">
        <f>Inputs!$B$3&gt;=35</f>
        <v/>
      </c>
      <c r="D308">
        <f>IF(Skills!C3=1,60+Inputs!$B$25+Inputs!$B$29,IF(Skills!C3=2,90+Inputs!$B$26+Inputs!$B$29,IF(Skills!C3=3,120+Inputs!$B$27+Inputs!$B$29,MAX(0,(Inputs!$B$3-100)*3)+Inputs!$B$28+Inputs!$B$29)))</f>
        <v/>
      </c>
      <c r="E308">
        <f>INDEX(FactorTable!$B$2:$Y$301, MATCH(ROUND(MIN(300,MAX(1,D308)),0), FactorTable!$A$2:$A$301,0), Skills!M3+1)</f>
        <v/>
      </c>
      <c r="F308">
        <f>IF(Skills!N3=TRUE,(Skills!L3/10)*(E308/1000),Skills!L3/10)+Skills!O3</f>
        <v/>
      </c>
      <c r="G308">
        <f>Skills!G3*IF(Skills!H3&gt;0,Skills!I3/Skills!H3,1)</f>
        <v/>
      </c>
      <c r="H308">
        <f>1-(1-Skills!J3/100)^Skills!K3</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325=TRUE)*(F325-Calc!F20)),(Inputs!$B$23+0+(IF(ArtifactsInput!$M$15,CHOOSE(ArtifactsInput!$N$15+1,25,30,35,40,45,50)/100*(Inputs!$B$11-Inputs!$B$11),0))))/100+(Inputs!$B$23+0+(IF(ArtifactsInput!$M$15,CHOOSE(ArtifactsInput!$N$15+1,25,30,35,40,45,50)/100*(Inputs!$B$11-Inputs!$B$11),0)))/100)/2</f>
        <v/>
      </c>
      <c r="M308">
        <f>L308*(1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IF(B341=0,0,O308/B341)</f>
        <v/>
      </c>
      <c r="Q308" t="n">
        <v>0</v>
      </c>
      <c r="R308" t="n">
        <v>0</v>
      </c>
      <c r="S308">
        <f>IFERROR(O308/N308,0)</f>
        <v/>
      </c>
      <c r="T308">
        <f>IF(C308,(Skills!G3*H308*N308*B335)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INDEX(FactorTable!$B$2:$Y$301, MATCH(ROUND(MIN(300,MAX(1,U307)),0), FactorTable!$A$2:$A$301,0), 22)</f>
        <v/>
      </c>
      <c r="V308">
        <f>IF(C308,(Skills!G3*H308*N308*B335)*IF(Inputs!$B$38="pvp",1,(1+((Inputs!$B$21+1)+Skills!Q3+(IF(ArtifactsInput!$M$33,CHOOSE(ArtifactsInput!$N$33+1,30,36,42,48,54,60),0))+(IF(AND(ArtifactsInput!$M$35,Inputs!$B$4&lt;&gt;"Chapter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Skills!A4</f>
        <v/>
      </c>
      <c r="B309">
        <f>Skills!B4</f>
        <v/>
      </c>
      <c r="C309">
        <f>Inputs!$B$3&gt;=60</f>
        <v/>
      </c>
      <c r="D309">
        <f>IF(Skills!C4=1,60+Inputs!$B$25+Inputs!$B$29,IF(Skills!C4=2,90+Inputs!$B$26+Inputs!$B$29,IF(Skills!C4=3,120+Inputs!$B$27+Inputs!$B$29,MAX(0,(Inputs!$B$3-100)*3)+Inputs!$B$28+Inputs!$B$29)))</f>
        <v/>
      </c>
      <c r="E309">
        <f>INDEX(FactorTable!$B$2:$Y$301, MATCH(ROUND(MIN(300,MAX(1,D309)),0), FactorTable!$A$2:$A$301,0), Skills!M4+1)</f>
        <v/>
      </c>
      <c r="F309">
        <f>IF(Skills!N4=TRUE,(Skills!L4/10)*(E309/1000),Skills!L4/10)+Skills!O4</f>
        <v/>
      </c>
      <c r="G309">
        <f>Skills!G4*IF(Skills!H4&gt;0,Skills!I4/Skills!H4,1)</f>
        <v/>
      </c>
      <c r="H309">
        <f>1-(1-Skills!J4/100)^Skills!K4</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20)),(Inputs!$B$23+0+(IF(ArtifactsInput!$M$15,CHOOSE(ArtifactsInput!$N$15+1,25,30,35,40,45,50)/100*(Inputs!$B$11-Inputs!$B$11),0))))/100+(Inputs!$B$23+0+(IF(ArtifactsInput!$M$15,CHOOSE(ArtifactsInput!$N$15+1,25,30,35,40,45,50)/100*(Inputs!$B$11-Inputs!$B$11),0)))/100)/2</f>
        <v/>
      </c>
      <c r="M309">
        <f>L309*(1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IF(B341=0,0,O309/B341)</f>
        <v/>
      </c>
      <c r="Q309" t="n">
        <v>0</v>
      </c>
      <c r="R309" t="n">
        <v>0</v>
      </c>
      <c r="S309">
        <f>IFERROR(O309/N309,0)</f>
        <v/>
      </c>
      <c r="T309">
        <f>IF(C309,(Skills!G4*H309*N309*B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290*U308/1000</f>
        <v/>
      </c>
      <c r="V309">
        <f>IF(C309,(Skills!G4*H309*N309*B335)*IF(Inputs!$B$38="pvp",1,(1+((Inputs!$B$21+1)+Skills!Q4+(IF(ArtifactsInput!$M$33,CHOOSE(ArtifactsInput!$N$33+1,30,36,42,48,54,60),0))+(IF(AND(ArtifactsInput!$M$35,Inputs!$B$4&lt;&gt;"Chapter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Skills!A5</f>
        <v/>
      </c>
      <c r="B310">
        <f>Skills!B5</f>
        <v/>
      </c>
      <c r="C310">
        <f>Inputs!$B$3&gt;=60</f>
        <v/>
      </c>
      <c r="D310">
        <f>IF(Skills!C5=1,60+Inputs!$B$25+Inputs!$B$29,IF(Skills!C5=2,90+Inputs!$B$26+Inputs!$B$29,IF(Skills!C5=3,120+Inputs!$B$27+Inputs!$B$29,MAX(0,(Inputs!$B$3-100)*3)+Inputs!$B$28+Inputs!$B$29)))</f>
        <v/>
      </c>
      <c r="E310">
        <f>INDEX(FactorTable!$B$2:$Y$301, MATCH(ROUND(MIN(300,MAX(1,D310)),0), FactorTable!$A$2:$A$301,0), Skills!M5+1)</f>
        <v/>
      </c>
      <c r="F310">
        <f>IF(Skills!N5=TRUE,(Skills!L5/10)*(E310/1000),Skills!L5/10)+Skills!O5</f>
        <v/>
      </c>
      <c r="G310">
        <f>Skills!G5*IF(Skills!H5&gt;0,Skills!I5/Skills!H5,1)</f>
        <v/>
      </c>
      <c r="H310">
        <f>1-(1-Skills!J5/100)^Skills!K5</f>
        <v/>
      </c>
      <c r="I310" t="inlineStr">
        <is>
          <t>1</t>
        </is>
      </c>
      <c r="J310" t="inlineStr"/>
      <c r="K310" t="inlineStr"/>
      <c r="L310" t="inlineStr"/>
      <c r="M310" t="inlineStr"/>
      <c r="N310" t="inlineStr"/>
      <c r="O310">
        <f>(1-Summary!$B$11)*T310+Summary!$B$11*V310</f>
        <v/>
      </c>
      <c r="P310">
        <f>IF(B341=0,0,O310/B341)</f>
        <v/>
      </c>
      <c r="Q310" t="n">
        <v>0</v>
      </c>
      <c r="R310" t="n">
        <v>0</v>
      </c>
      <c r="S310">
        <f>IFERROR(O310/N310,0)</f>
        <v/>
      </c>
      <c r="T310" t="n">
        <v>0</v>
      </c>
      <c r="V310" t="n">
        <v>0</v>
      </c>
    </row>
    <row r="311">
      <c r="A311">
        <f>Skills!A6</f>
        <v/>
      </c>
      <c r="B311">
        <f>Skills!B6</f>
        <v/>
      </c>
      <c r="C311">
        <f>Inputs!$B$3&gt;=63</f>
        <v/>
      </c>
      <c r="D311">
        <f>IF(Skills!C6=1,60+Inputs!$B$25+Inputs!$B$29,IF(Skills!C6=2,90+Inputs!$B$26+Inputs!$B$29,IF(Skills!C6=3,120+Inputs!$B$27+Inputs!$B$29,MAX(0,(Inputs!$B$3-100)*3)+Inputs!$B$28+Inputs!$B$29)))</f>
        <v/>
      </c>
      <c r="E311">
        <f>INDEX(FactorTable!$B$2:$Y$301, MATCH(ROUND(MIN(300,MAX(1,D311)),0), FactorTable!$A$2:$A$301,0), Skills!M6+1)</f>
        <v/>
      </c>
      <c r="F311">
        <f>IF(Skills!N6=TRUE,(Skills!L6/10)*(E311/1000),Skills!L6/10)+Skills!O6</f>
        <v/>
      </c>
      <c r="G311">
        <f>Skills!G6*IF(Skills!H6&gt;0,Skills!I6/Skills!H6,1)</f>
        <v/>
      </c>
      <c r="H311">
        <f>1-(1-Skills!J6/100)^Skills!K6</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325=TRUE)*(F325-Calc!F20)),(Inputs!$B$23+0+(IF(ArtifactsInput!$M$15,CHOOSE(ArtifactsInput!$N$15+1,25,30,35,40,45,50)/100*(Inputs!$B$11-Inputs!$B$11),0))))/100+(Inputs!$B$23+0+(IF(ArtifactsInput!$M$15,CHOOSE(ArtifactsInput!$N$15+1,25,30,35,40,45,50)/100*(Inputs!$B$11-Inputs!$B$11),0)))/100)/2</f>
        <v/>
      </c>
      <c r="M311">
        <f>L311*(1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IF(B341=0,0,O311/B341)</f>
        <v/>
      </c>
      <c r="Q311">
        <f>IFERROR(1/(IF(Inputs!$B$38="pvp",15,MAX(0.1,Skills!D6-IF(Skills!E6=TRUE,Inputs!$B$32,0)))*(1-IF(AND(ArtifactsInput!$M$27,Inputs!$B$4="Chapter Hunt"),CHOOSE(ArtifactsInput!$N$27+1,20,24,28,32,36,40),0)/100)),0)</f>
        <v/>
      </c>
      <c r="R311">
        <f>IF(AND(Inputs!$B$38&lt;&gt;"pvp",Inputs!$B$43&gt;0),IF(MAX(0,Inputs!$B$43-B338)&lt;=0,0,(INT(MAX(0,Inputs!$B$43-B338)/(IF(Inputs!$B$38="pvp",15,MAX(0.1,Skills!D6-IF(Skills!E6=TRUE,Inputs!$B$32,0)))*(1-IF(AND(ArtifactsInput!$M$27,Inputs!$B$4="Chapter Hunt"),CHOOSE(ArtifactsInput!$N$27+1,20,24,28,32,36,40),0)/100)))+1)),0)</f>
        <v/>
      </c>
      <c r="S311">
        <f>IFERROR(O311/N311,0)</f>
        <v/>
      </c>
      <c r="T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$21+1)+Skills!Q6+(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Skills!A7</f>
        <v/>
      </c>
      <c r="B312">
        <f>Skills!B7</f>
        <v/>
      </c>
      <c r="C312">
        <f>Inputs!$B$3&gt;=100</f>
        <v/>
      </c>
      <c r="D312">
        <f>IF(Skills!C7=1,60+Inputs!$B$25+Inputs!$B$29,IF(Skills!C7=2,90+Inputs!$B$26+Inputs!$B$29,IF(Skills!C7=3,120+Inputs!$B$27+Inputs!$B$29,MAX(0,(Inputs!$B$3-100)*3)+Inputs!$B$28+Inputs!$B$29)))</f>
        <v/>
      </c>
      <c r="E312">
        <f>INDEX(FactorTable!$B$2:$Y$301, MATCH(ROUND(MIN(300,MAX(1,D312)),0), FactorTable!$A$2:$A$301,0), Skills!M7+1)</f>
        <v/>
      </c>
      <c r="F312">
        <f>IF(Skills!N7=TRUE,(Skills!L7/10)*(E312/1000),Skills!L7/10)+Skills!O7</f>
        <v/>
      </c>
      <c r="G312">
        <f>Skills!G7*IF(Skills!H7&gt;0,Skills!I7/Skills!H7,1)</f>
        <v/>
      </c>
      <c r="H312">
        <f>1-(1-Skills!J7/100)^Skills!K7</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20)),(Inputs!$B$23+0+(IF(ArtifactsInput!$M$15,CHOOSE(ArtifactsInput!$N$15+1,25,30,35,40,45,50)/100*(Inputs!$B$11-Inputs!$B$11),0))))/100+(Inputs!$B$23+0+(IF(ArtifactsInput!$M$15,CHOOSE(ArtifactsInput!$N$15+1,25,30,35,40,45,50)/100*(Inputs!$B$11-Inputs!$B$11),0)))/100)/2</f>
        <v/>
      </c>
      <c r="M312">
        <f>L312*(1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IF(B341=0,0,O312/B341)</f>
        <v/>
      </c>
      <c r="Q312">
        <f>IFERROR(1/(IF(Inputs!$B$38="pvp",15,MAX(0.1,Skills!D7-IF(Skills!E7=TRUE,Inputs!$B$32,0)))*(1-IF(AND(ArtifactsInput!$M$27,Inputs!$B$4="Chapter Hunt"),CHOOSE(ArtifactsInput!$N$27+1,20,24,28,32,36,40),0)/100)),0)</f>
        <v/>
      </c>
      <c r="R312">
        <f>IF(AND(Inputs!$B$38&lt;&gt;"pvp",Inputs!$B$43&gt;0),IF(MAX(0,Inputs!$B$43-B338)&lt;=0,0,(INT(MAX(0,Inputs!$B$43-B338)/(IF(Inputs!$B$38="pvp",15,MAX(0.1,Skills!D7-IF(Skills!E7=TRUE,Inputs!$B$32,0)))*(1-IF(AND(ArtifactsInput!$M$27,Inputs!$B$4="Chapter Hunt"),CHOOSE(ArtifactsInput!$N$27+1,20,24,28,32,36,40),0)/100)))+1)),0)</f>
        <v/>
      </c>
      <c r="S312">
        <f>IFERROR(O312/N312,0)</f>
        <v/>
      </c>
      <c r="T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$21+1)+Skills!Q7+(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Skills!A8</f>
        <v/>
      </c>
      <c r="B313">
        <f>Skills!B8</f>
        <v/>
      </c>
      <c r="C313">
        <f>Inputs!$B$3&gt;=110</f>
        <v/>
      </c>
      <c r="D313">
        <f>IF(Skills!C8=1,60+Inputs!$B$25+Inputs!$B$29,IF(Skills!C8=2,90+Inputs!$B$26+Inputs!$B$29,IF(Skills!C8=3,120+Inputs!$B$27+Inputs!$B$29,MAX(0,(Inputs!$B$3-100)*3)+Inputs!$B$28+Inputs!$B$29)))</f>
        <v/>
      </c>
      <c r="E313">
        <f>INDEX(FactorTable!$B$2:$Y$301, MATCH(ROUND(MIN(300,MAX(1,D313)),0), FactorTable!$A$2:$A$301,0), Skills!M8+1)</f>
        <v/>
      </c>
      <c r="F313">
        <f>IF(Skills!N8=TRUE,(Skills!L8/10)*(E313/1000),Skills!L8/10)+Skills!O8</f>
        <v/>
      </c>
      <c r="G313">
        <f>Skills!G8*IF(Skills!H8&gt;0,Skills!I8/Skills!H8,1)</f>
        <v/>
      </c>
      <c r="H313">
        <f>1-(1-Skills!J8/100)^Skills!K8</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325=TRUE)*(F325-Calc!F20)),(Inputs!$B$23+0+(IF(ArtifactsInput!$M$15,CHOOSE(ArtifactsInput!$N$15+1,25,30,35,40,45,50)/100*(Inputs!$B$11-Inputs!$B$11),0))))/100+(Inputs!$B$23+0+(IF(ArtifactsInput!$M$15,CHOOSE(ArtifactsInput!$N$15+1,25,30,35,40,45,50)/100*(Inputs!$B$11-Inputs!$B$11),0)))/100)/2</f>
        <v/>
      </c>
      <c r="M313">
        <f>L313*(1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IF(B341=0,0,O313/B341)</f>
        <v/>
      </c>
      <c r="Q313">
        <f>IFERROR(1/(IF(Inputs!$B$38="pvp",15,MAX(0.1,Skills!D8-IF(Skills!E8=TRUE,Inputs!$B$32,0)))*(1-IF(AND(ArtifactsInput!$M$27,Inputs!$B$4="Chapter Hunt"),CHOOSE(ArtifactsInput!$N$27+1,20,24,28,32,36,40),0)/100)),0)</f>
        <v/>
      </c>
      <c r="R313">
        <f>IF(AND(Inputs!$B$38&lt;&gt;"pvp",Inputs!$B$43&gt;0),IF(MAX(0,Inputs!$B$43-B338)&lt;=0,0,(INT(MAX(0,Inputs!$B$43-B338)/(IF(Inputs!$B$38="pvp",15,MAX(0.1,Skills!D8-IF(Skills!E8=TRUE,Inputs!$B$32,0)))*(1-IF(AND(ArtifactsInput!$M$27,Inputs!$B$4="Chapter Hunt"),CHOOSE(ArtifactsInput!$N$27+1,20,24,28,32,36,40),0)/100)))+1)),0)</f>
        <v/>
      </c>
      <c r="S313">
        <f>IFERROR(O313/N313,0)</f>
        <v/>
      </c>
      <c r="T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$21+1)+Skills!Q8+(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Skills!A9</f>
        <v/>
      </c>
      <c r="B314">
        <f>Skills!B9</f>
        <v/>
      </c>
      <c r="C314">
        <f>Inputs!$B$3&gt;=110</f>
        <v/>
      </c>
      <c r="D314">
        <f>IF(Skills!C9=1,60+Inputs!$B$25+Inputs!$B$29,IF(Skills!C9=2,90+Inputs!$B$26+Inputs!$B$29,IF(Skills!C9=3,120+Inputs!$B$27+Inputs!$B$29,MAX(0,(Inputs!$B$3-100)*3)+Inputs!$B$28+Inputs!$B$29)))</f>
        <v/>
      </c>
      <c r="E314">
        <f>INDEX(FactorTable!$B$2:$Y$301, MATCH(ROUND(MIN(300,MAX(1,D314)),0), FactorTable!$A$2:$A$301,0), Skills!M9+1)</f>
        <v/>
      </c>
      <c r="F314">
        <f>IF(Skills!N9=TRUE,(Skills!L9/10)*(E314/1000),Skills!L9/10)+Skills!O9</f>
        <v/>
      </c>
      <c r="G314">
        <f>Skills!G9*IF(Skills!H9&gt;0,Skills!I9/Skills!H9,1)</f>
        <v/>
      </c>
      <c r="H314">
        <f>1-(1-Skills!J9/100)^Skills!K9</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325=TRUE)*(F325-Calc!F20)),(Inputs!$B$23+0+(IF(ArtifactsInput!$M$15,CHOOSE(ArtifactsInput!$N$15+1,25,30,35,40,45,50)/100*(Inputs!$B$11-Inputs!$B$11),0))))/100+(Inputs!$B$23+0+(IF(ArtifactsInput!$M$15,CHOOSE(ArtifactsInput!$N$15+1,25,30,35,40,45,50)/100*(Inputs!$B$11-Inputs!$B$11),0)))/100)/2</f>
        <v/>
      </c>
      <c r="M314">
        <f>L314*(1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IF(B341=0,0,O314/B341)</f>
        <v/>
      </c>
      <c r="Q314">
        <f>IFERROR(1/(IF(Inputs!$B$38="pvp",15,MAX(0.1,Skills!D9-IF(Skills!E9=TRUE,Inputs!$B$32,0)))*(1-IF(AND(ArtifactsInput!$M$27,Inputs!$B$4="Chapter Hunt"),CHOOSE(ArtifactsInput!$N$27+1,20,24,28,32,36,40),0)/100)),0)</f>
        <v/>
      </c>
      <c r="R314">
        <f>IF(AND(Inputs!$B$38&lt;&gt;"pvp",Inputs!$B$43&gt;0),IF(MAX(0,Inputs!$B$43-B338)&lt;=0,0,(INT(MAX(0,Inputs!$B$43-B338)/(IF(Inputs!$B$38="pvp",15,MAX(0.1,Skills!D9-IF(Skills!E9=TRUE,Inputs!$B$32,0)))*(1-IF(AND(ArtifactsInput!$M$27,Inputs!$B$4="Chapter Hunt"),CHOOSE(ArtifactsInput!$N$27+1,20,24,28,32,36,40),0)/100)))+1)),0)</f>
        <v/>
      </c>
      <c r="S314">
        <f>IFERROR(O314/N314,0)</f>
        <v/>
      </c>
      <c r="T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$21+1)+Skills!Q9+(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Skills!A10</f>
        <v/>
      </c>
      <c r="B315">
        <f>Skills!B10</f>
        <v/>
      </c>
      <c r="C315">
        <f>Inputs!$B$3&gt;=103</f>
        <v/>
      </c>
      <c r="D315">
        <f>IF(Skills!C10=1,60+Inputs!$B$25+Inputs!$B$29,IF(Skills!C10=2,90+Inputs!$B$26+Inputs!$B$29,IF(Skills!C10=3,120+Inputs!$B$27+Inputs!$B$29,MAX(0,(Inputs!$B$3-100)*3)+Inputs!$B$28+Inputs!$B$29)))</f>
        <v/>
      </c>
      <c r="E315">
        <f>INDEX(FactorTable!$B$2:$Y$301, MATCH(ROUND(MIN(300,MAX(1,D315)),0), FactorTable!$A$2:$A$301,0), Skills!M10+1)</f>
        <v/>
      </c>
      <c r="F315">
        <f>IF(Skills!N10=TRUE,(Skills!L10/10)*(E315/1000),Skills!L10/10)+Skills!O10</f>
        <v/>
      </c>
      <c r="G315">
        <f>Skills!G10*IF(Skills!H10&gt;0,Skills!I10/Skills!H10,1)</f>
        <v/>
      </c>
      <c r="H315">
        <f>1-(1-Skills!J10/100)^Skills!K10</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325=TRUE)*(F325-Calc!F20)),(Inputs!$B$23+0+(IF(ArtifactsInput!$M$15,CHOOSE(ArtifactsInput!$N$15+1,25,30,35,40,45,50)/100*(Inputs!$B$11-Inputs!$B$11),0))))/100+(Inputs!$B$23+0+(IF(ArtifactsInput!$M$15,CHOOSE(ArtifactsInput!$N$15+1,25,30,35,40,45,50)/100*(Inputs!$B$11-Inputs!$B$11),0)))/100)/2</f>
        <v/>
      </c>
      <c r="M315">
        <f>L315*(1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IF(B341=0,0,O315/B341)</f>
        <v/>
      </c>
      <c r="Q315">
        <f>IFERROR(1/(IF(Inputs!$B$38="pvp",15,MAX(0.1,Skills!D10-IF(Skills!E10=TRUE,Inputs!$B$32,0)))*(1-IF(AND(ArtifactsInput!$M$27,Inputs!$B$4="Chapter Hunt"),CHOOSE(ArtifactsInput!$N$27+1,20,24,28,32,36,40),0)/100)),0)</f>
        <v/>
      </c>
      <c r="R315">
        <f>IF(AND(Inputs!$B$38&lt;&gt;"pvp",Inputs!$B$43&gt;0),IF(MAX(0,Inputs!$B$43-B338)&lt;=0,0,(INT(MAX(0,Inputs!$B$43-B338)/(IF(Inputs!$B$38="pvp",15,MAX(0.1,Skills!D10-IF(Skills!E10=TRUE,Inputs!$B$32,0)))*(1-IF(AND(ArtifactsInput!$M$27,Inputs!$B$4="Chapter Hunt"),CHOOSE(ArtifactsInput!$N$27+1,20,24,28,32,36,40),0)/100)))+1)),0)</f>
        <v/>
      </c>
      <c r="S315">
        <f>IFERROR(O315/N315,0)</f>
        <v/>
      </c>
      <c r="T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$21+1)+Skills!Q10+(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Skills!A11</f>
        <v/>
      </c>
      <c r="B316">
        <f>Skills!B11</f>
        <v/>
      </c>
      <c r="C316">
        <f>Inputs!$B$3&gt;=113</f>
        <v/>
      </c>
      <c r="D316">
        <f>IF(Skills!C11=1,60+Inputs!$B$25+Inputs!$B$29,IF(Skills!C11=2,90+Inputs!$B$26+Inputs!$B$29,IF(Skills!C11=3,120+Inputs!$B$27+Inputs!$B$29,MAX(0,(Inputs!$B$3-100)*3)+Inputs!$B$28+Inputs!$B$29)))</f>
        <v/>
      </c>
      <c r="E316">
        <f>INDEX(FactorTable!$B$2:$Y$301, MATCH(ROUND(MIN(300,MAX(1,D316)),0), FactorTable!$A$2:$A$301,0), Skills!M11+1)</f>
        <v/>
      </c>
      <c r="F316">
        <f>IF(Skills!N11=TRUE,(Skills!L11/10)*(E316/1000),Skills!L11/10)+Skills!O11</f>
        <v/>
      </c>
      <c r="G316">
        <f>Skills!G11*IF(Skills!H11&gt;0,Skills!I11/Skills!H11,1)</f>
        <v/>
      </c>
      <c r="H316">
        <f>1-(1-Skills!J11/100)^Skills!K11</f>
        <v/>
      </c>
      <c r="I316" t="inlineStr">
        <is>
          <t>1</t>
        </is>
      </c>
      <c r="J316">
        <f>((Inputs!$B$6*(1+Inputs!$B$7/100))+(((Inputs!$B$12*(1+Inputs!$B$13/100))-(Inputs!$B$12*(1+Inputs!$B$13/100)))+0.25*(Inputs!$B$14-Inputs!$B$14))*(1+Inputs!$B$7/100))*(F316/100)</f>
        <v/>
      </c>
      <c r="K316">
        <f>J316*(1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325=TRUE)*(F325-Calc!F20)),(Inputs!$B$23+0+(IF(ArtifactsInput!$M$15,CHOOSE(ArtifactsInput!$N$15+1,25,30,35,40,45,50)/100*(Inputs!$B$11-Inputs!$B$11),0))))/100+(Inputs!$B$23+0+(IF(ArtifactsInput!$M$15,CHOOSE(ArtifactsInput!$N$15+1,25,30,35,40,45,50)/100*(Inputs!$B$11-Inputs!$B$11),0)))/100)/2</f>
        <v/>
      </c>
      <c r="M316">
        <f>L316*(1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IF(B341=0,0,O316/B341)</f>
        <v/>
      </c>
      <c r="Q316">
        <f>IFERROR(1/(IF(Inputs!$B$38="pvp",15,MAX(0.1,Skills!D11-IF(Skills!E11=TRUE,Inputs!$B$32,0)))*(1-IF(AND(ArtifactsInput!$M$27,Inputs!$B$4="Chapter Hunt"),CHOOSE(ArtifactsInput!$N$27+1,20,24,28,32,36,40),0)/100)),0)</f>
        <v/>
      </c>
      <c r="R316">
        <f>IF(AND(Inputs!$B$38&lt;&gt;"pvp",Inputs!$B$43&gt;0),IF(MAX(0,Inputs!$B$43-B338)&lt;=0,0,(INT(MAX(0,Inputs!$B$43-B338)/(IF(Inputs!$B$38="pvp",15,MAX(0.1,Skills!D11-IF(Skills!E11=TRUE,Inputs!$B$32,0)))*(1-IF(AND(ArtifactsInput!$M$27,Inputs!$B$4="Chapter Hunt"),CHOOSE(ArtifactsInput!$N$27+1,20,24,28,32,36,40),0)/100)))+1)),0)</f>
        <v/>
      </c>
      <c r="S316">
        <f>IFERROR(O316/N316,0)</f>
        <v/>
      </c>
      <c r="T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$21+1)+Skills!Q11+(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Skills!A12</f>
        <v/>
      </c>
      <c r="B317">
        <f>Skills!B12</f>
        <v/>
      </c>
      <c r="C317">
        <f>Inputs!$B$3&gt;=100</f>
        <v/>
      </c>
      <c r="D317">
        <f>IF(Skills!C12=1,60+Inputs!$B$25+Inputs!$B$29,IF(Skills!C12=2,90+Inputs!$B$26+Inputs!$B$29,IF(Skills!C12=3,120+Inputs!$B$27+Inputs!$B$29,MAX(0,(Inputs!$B$3-100)*3)+Inputs!$B$28+Inputs!$B$29)))</f>
        <v/>
      </c>
      <c r="E317">
        <f>INDEX(FactorTable!$B$2:$Y$301, MATCH(ROUND(MIN(300,MAX(1,D317)),0), FactorTable!$A$2:$A$301,0), Skills!M12+1)</f>
        <v/>
      </c>
      <c r="F317">
        <f>IF(Skills!N12=TRUE,(Skills!L12/10)*(E317/1000),Skills!L12/10)+Skills!O12</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Skills!A13</f>
        <v/>
      </c>
      <c r="B318">
        <f>Skills!B13</f>
        <v/>
      </c>
      <c r="C318">
        <f>Inputs!$B$3&gt;=66</f>
        <v/>
      </c>
      <c r="D318">
        <f>IF(Skills!C13=1,60+Inputs!$B$25+Inputs!$B$29,IF(Skills!C13=2,90+Inputs!$B$26+Inputs!$B$29,IF(Skills!C13=3,120+Inputs!$B$27+Inputs!$B$29,MAX(0,(Inputs!$B$3-100)*3)+Inputs!$B$28+Inputs!$B$29)))</f>
        <v/>
      </c>
      <c r="E318">
        <f>INDEX(FactorTable!$B$2:$Y$301, MATCH(ROUND(MIN(300,MAX(1,D318)),0), FactorTable!$A$2:$A$301,0), Skills!M13+1)</f>
        <v/>
      </c>
      <c r="F318">
        <f>IF(Skills!N13=TRUE,(Skills!L13/10)*(E318/1000),Skills!L13/10)+Skills!O13</f>
        <v/>
      </c>
      <c r="G318">
        <f>Skills!G13*IF(Skills!H13&gt;0,Skills!I13/Skills!H13,1)</f>
        <v/>
      </c>
      <c r="H318">
        <f>1-(1-Skills!J13/100)^Skills!K13</f>
        <v/>
      </c>
      <c r="I318" t="inlineStr">
        <is>
          <t>1</t>
        </is>
      </c>
      <c r="J318" t="inlineStr"/>
      <c r="K318" t="inlineStr"/>
      <c r="L318" t="inlineStr"/>
      <c r="M318" t="inlineStr"/>
      <c r="N318" t="inlineStr"/>
      <c r="O318">
        <f>(1-Summary!$B$11)*T318+Summary!$B$11*V318</f>
        <v/>
      </c>
      <c r="P318">
        <f>IF(B341=0,0,O318/B341)</f>
        <v/>
      </c>
      <c r="Q318" t="n">
        <v>0</v>
      </c>
      <c r="R318" t="n">
        <v>0</v>
      </c>
      <c r="S318">
        <f>IFERROR(O318/N318,0)</f>
        <v/>
      </c>
      <c r="T318" t="n">
        <v>0</v>
      </c>
      <c r="V318" t="n">
        <v>0</v>
      </c>
    </row>
    <row r="319">
      <c r="A319">
        <f>Skills!A14</f>
        <v/>
      </c>
      <c r="B319">
        <f>Skills!B14</f>
        <v/>
      </c>
      <c r="C319">
        <f>Inputs!$B$3&gt;=107</f>
        <v/>
      </c>
      <c r="D319">
        <f>IF(Skills!C14=1,60+Inputs!$B$25+Inputs!$B$29,IF(Skills!C14=2,90+Inputs!$B$26+Inputs!$B$29,IF(Skills!C14=3,120+Inputs!$B$27+Inputs!$B$29,MAX(0,(Inputs!$B$3-100)*3)+Inputs!$B$28+Inputs!$B$29)))</f>
        <v/>
      </c>
      <c r="E319">
        <f>INDEX(FactorTable!$B$2:$Y$301, MATCH(ROUND(MIN(300,MAX(1,D319)),0), FactorTable!$A$2:$A$301,0), Skills!M14+1)</f>
        <v/>
      </c>
      <c r="F319">
        <f>IF(Skills!N14=TRUE,(Skills!L14/10)*(E319/1000),Skills!L14/10)+Skills!O14</f>
        <v/>
      </c>
      <c r="G319">
        <f>Skills!G14*IF(Skills!H14&gt;0,Skills!I14/Skills!H14,1)</f>
        <v/>
      </c>
      <c r="H319">
        <f>1-(1-Skills!J14/100)^Skills!K14</f>
        <v/>
      </c>
      <c r="I319" t="inlineStr">
        <is>
          <t>1</t>
        </is>
      </c>
      <c r="J319" t="inlineStr"/>
      <c r="K319" t="inlineStr"/>
      <c r="L319" t="inlineStr"/>
      <c r="M319" t="inlineStr"/>
      <c r="N319" t="inlineStr"/>
      <c r="O319">
        <f>(1-Summary!$B$11)*T319+Summary!$B$11*V319</f>
        <v/>
      </c>
      <c r="P319">
        <f>IF(B341=0,0,O319/B341)</f>
        <v/>
      </c>
      <c r="Q319" t="n">
        <v>0</v>
      </c>
      <c r="R319" t="n">
        <v>0</v>
      </c>
      <c r="S319">
        <f>IFERROR(O319/N319,0)</f>
        <v/>
      </c>
      <c r="T319" t="n">
        <v>0</v>
      </c>
      <c r="V319" t="n">
        <v>0</v>
      </c>
    </row>
    <row r="320">
      <c r="A320">
        <f>Skills!A15</f>
        <v/>
      </c>
      <c r="B320">
        <f>Skills!B15</f>
        <v/>
      </c>
      <c r="C320">
        <f>Inputs!$B$3&gt;=115</f>
        <v/>
      </c>
      <c r="D320">
        <f>IF(Skills!C15=1,60+Inputs!$B$25+Inputs!$B$29,IF(Skills!C15=2,90+Inputs!$B$26+Inputs!$B$29,IF(Skills!C15=3,120+Inputs!$B$27+Inputs!$B$29,MAX(0,(Inputs!$B$3-100)*3)+Inputs!$B$28+Inputs!$B$29)))</f>
        <v/>
      </c>
      <c r="E320">
        <f>INDEX(FactorTable!$B$2:$Y$301, MATCH(ROUND(MIN(300,MAX(1,D320)),0), FactorTable!$A$2:$A$301,0), Skills!M15+1)</f>
        <v/>
      </c>
      <c r="F320">
        <f>IF(Skills!N15=TRUE,(Skills!L15/10)*(E320/1000),Skills!L15/10)+Skills!O15</f>
        <v/>
      </c>
      <c r="G320">
        <f>Skills!G15*IF(Skills!H15&gt;0,Skills!I15/Skills!H15,1)</f>
        <v/>
      </c>
      <c r="H320">
        <f>1-(1-Skills!J15/100)^Skills!K15</f>
        <v/>
      </c>
      <c r="I320" t="inlineStr">
        <is>
          <t>1</t>
        </is>
      </c>
      <c r="J320" t="inlineStr"/>
      <c r="K320" t="inlineStr"/>
      <c r="L320" t="inlineStr"/>
      <c r="M320" t="inlineStr"/>
      <c r="N320" t="inlineStr"/>
      <c r="O320">
        <f>(1-Summary!$B$11)*T320+Summary!$B$11*V320</f>
        <v/>
      </c>
      <c r="P320">
        <f>IF(B341=0,0,O320/B341)</f>
        <v/>
      </c>
      <c r="Q320" t="n">
        <v>0</v>
      </c>
      <c r="R320" t="n">
        <v>0</v>
      </c>
      <c r="S320">
        <f>IFERROR(O320/N320,0)</f>
        <v/>
      </c>
      <c r="T320" t="n">
        <v>0</v>
      </c>
      <c r="V320" t="n">
        <v>0</v>
      </c>
    </row>
    <row r="321">
      <c r="A321">
        <f>Skills!A16</f>
        <v/>
      </c>
      <c r="B321">
        <f>Skills!B16</f>
        <v/>
      </c>
      <c r="C321">
        <f>Inputs!$B$3&gt;=15</f>
        <v/>
      </c>
      <c r="D321">
        <f>IF(Skills!C16=1,60+Inputs!$B$25+Inputs!$B$29,IF(Skills!C16=2,90+Inputs!$B$26+Inputs!$B$29,IF(Skills!C16=3,120+Inputs!$B$27+Inputs!$B$29,MAX(0,(Inputs!$B$3-100)*3)+Inputs!$B$28+Inputs!$B$29)))</f>
        <v/>
      </c>
      <c r="E321">
        <f>INDEX(FactorTable!$B$2:$Y$301, MATCH(ROUND(MIN(300,MAX(1,D321)),0), FactorTable!$A$2:$A$301,0), Skills!M16+1)</f>
        <v/>
      </c>
      <c r="F321">
        <f>IF(Skills!N16=TRUE,(Skills!L16/10)*(E321/1000),Skills!L16/10)+Skills!O16</f>
        <v/>
      </c>
      <c r="G321">
        <f>Skills!G16*IF(Skills!H16&gt;0,Skills!I16/Skills!H16,1)</f>
        <v/>
      </c>
      <c r="H321">
        <f>1-(1-Skills!J16/100)^Skills!K16</f>
        <v/>
      </c>
      <c r="I321" t="inlineStr">
        <is>
          <t>1</t>
        </is>
      </c>
      <c r="J321" t="inlineStr"/>
      <c r="K321" t="inlineStr"/>
      <c r="L321" t="inlineStr"/>
      <c r="M321" t="inlineStr"/>
      <c r="N321" t="inlineStr"/>
      <c r="O321">
        <f>(1-Summary!$B$11)*T321+Summary!$B$11*V321</f>
        <v/>
      </c>
      <c r="P321">
        <f>IF(B341=0,0,O321/B341)</f>
        <v/>
      </c>
      <c r="Q321" t="n">
        <v>0</v>
      </c>
      <c r="R321" t="n">
        <v>0</v>
      </c>
      <c r="S321">
        <f>IFERROR(O321/N321,0)</f>
        <v/>
      </c>
      <c r="T321" t="n">
        <v>0</v>
      </c>
      <c r="V321" t="n">
        <v>0</v>
      </c>
    </row>
    <row r="322">
      <c r="A322">
        <f>Skills!A17</f>
        <v/>
      </c>
      <c r="B322">
        <f>Skills!B17</f>
        <v/>
      </c>
      <c r="C322">
        <f>Inputs!$B$3&gt;=10</f>
        <v/>
      </c>
      <c r="D322">
        <f>IF(Skills!C17=1,60+Inputs!$B$25+Inputs!$B$29,IF(Skills!C17=2,90+Inputs!$B$26+Inputs!$B$29,IF(Skills!C17=3,120+Inputs!$B$27+Inputs!$B$29,MAX(0,(Inputs!$B$3-100)*3)+Inputs!$B$28+Inputs!$B$29)))</f>
        <v/>
      </c>
      <c r="E322">
        <f>INDEX(FactorTable!$B$2:$Y$301, MATCH(ROUND(MIN(300,MAX(1,D322)),0), FactorTable!$A$2:$A$301,0), Skills!M17+1)</f>
        <v/>
      </c>
      <c r="F322">
        <f>IF(Skills!N17=TRUE,(Skills!L17/10)*(E322/1000),Skills!L17/10)+Skills!O17</f>
        <v/>
      </c>
      <c r="G322">
        <f>Skills!G17*IF(Skills!H17&gt;0,Skills!I17/Skills!H17,1)</f>
        <v/>
      </c>
      <c r="H322">
        <f>1-(1-Skills!J17/100)^Skills!K17</f>
        <v/>
      </c>
      <c r="I322" t="inlineStr">
        <is>
          <t>1</t>
        </is>
      </c>
      <c r="J322" t="inlineStr"/>
      <c r="K322" t="inlineStr"/>
      <c r="L322" t="inlineStr"/>
      <c r="M322" t="inlineStr"/>
      <c r="N322" t="inlineStr"/>
      <c r="O322">
        <f>(1-Summary!$B$11)*T322+Summary!$B$11*V322</f>
        <v/>
      </c>
      <c r="P322">
        <f>IF(B341=0,0,O322/B341)</f>
        <v/>
      </c>
      <c r="Q322" t="n">
        <v>0</v>
      </c>
      <c r="R322" t="n">
        <v>0</v>
      </c>
      <c r="S322">
        <f>IFERROR(O322/N322,0)</f>
        <v/>
      </c>
      <c r="T322" t="n">
        <v>0</v>
      </c>
      <c r="V322" t="n">
        <v>0</v>
      </c>
    </row>
    <row r="323">
      <c r="A323">
        <f>Skills!A18</f>
        <v/>
      </c>
      <c r="B323">
        <f>Skills!B18</f>
        <v/>
      </c>
      <c r="C323">
        <f>Inputs!$B$3&gt;=33</f>
        <v/>
      </c>
      <c r="D323">
        <f>IF(Skills!C18=1,60+Inputs!$B$25+Inputs!$B$29,IF(Skills!C18=2,90+Inputs!$B$26+Inputs!$B$29,IF(Skills!C18=3,120+Inputs!$B$27+Inputs!$B$29,MAX(0,(Inputs!$B$3-100)*3)+Inputs!$B$28+Inputs!$B$29)))</f>
        <v/>
      </c>
      <c r="E323">
        <f>INDEX(FactorTable!$B$2:$Y$301, MATCH(ROUND(MIN(300,MAX(1,D323)),0), FactorTable!$A$2:$A$301,0), Skills!M18+1)</f>
        <v/>
      </c>
      <c r="F323">
        <f>IF(Skills!N18=TRUE,(Skills!L18/10)*(E323/1000),Skills!L18/10)+Skills!O18</f>
        <v/>
      </c>
      <c r="G323">
        <f>Skills!G18*IF(Skills!H18&gt;0,Skills!I18/Skills!H18,1)</f>
        <v/>
      </c>
      <c r="H323">
        <f>1-(1-Skills!J18/100)^Skills!K18</f>
        <v/>
      </c>
      <c r="I323" t="inlineStr">
        <is>
          <t>1</t>
        </is>
      </c>
      <c r="J323" t="inlineStr"/>
      <c r="K323" t="inlineStr"/>
      <c r="L323" t="inlineStr"/>
      <c r="M323" t="inlineStr"/>
      <c r="N323" t="inlineStr"/>
      <c r="O323">
        <f>(1-Summary!$B$11)*T323+Summary!$B$11*V323</f>
        <v/>
      </c>
      <c r="P323">
        <f>IF(B341=0,0,O323/B341)</f>
        <v/>
      </c>
      <c r="Q323" t="n">
        <v>0</v>
      </c>
      <c r="R323" t="n">
        <v>0</v>
      </c>
      <c r="S323">
        <f>IFERROR(O323/N323,0)</f>
        <v/>
      </c>
      <c r="T323" t="n">
        <v>0</v>
      </c>
      <c r="V323" t="n">
        <v>0</v>
      </c>
    </row>
    <row r="324">
      <c r="A324">
        <f>Skills!A19</f>
        <v/>
      </c>
      <c r="B324">
        <f>Skills!B19</f>
        <v/>
      </c>
      <c r="C324">
        <f>Inputs!$B$3&gt;=40</f>
        <v/>
      </c>
      <c r="D324">
        <f>IF(Skills!C19=1,60+Inputs!$B$25+Inputs!$B$29,IF(Skills!C19=2,90+Inputs!$B$26+Inputs!$B$29,IF(Skills!C19=3,120+Inputs!$B$27+Inputs!$B$29,MAX(0,(Inputs!$B$3-100)*3)+Inputs!$B$28+Inputs!$B$29)))</f>
        <v/>
      </c>
      <c r="E324">
        <f>INDEX(FactorTable!$B$2:$Y$301, MATCH(ROUND(MIN(300,MAX(1,D324)),0), FactorTable!$A$2:$A$301,0), Skills!M19+1)</f>
        <v/>
      </c>
      <c r="F324">
        <f>IF(Skills!N19=TRUE,(Skills!L19/10)*(E324/1000),Skills!L19/10)+Skills!O19</f>
        <v/>
      </c>
      <c r="G324">
        <f>Skills!G19*IF(Skills!H19&gt;0,Skills!I19/Skills!H19,1)</f>
        <v/>
      </c>
      <c r="H324">
        <f>1-(1-Skills!J19/100)^Skills!K19</f>
        <v/>
      </c>
      <c r="I324" t="inlineStr">
        <is>
          <t>1</t>
        </is>
      </c>
      <c r="J324" t="inlineStr"/>
      <c r="K324" t="inlineStr"/>
      <c r="L324" t="inlineStr"/>
      <c r="M324" t="inlineStr"/>
      <c r="N324" t="inlineStr"/>
      <c r="O324">
        <f>(1-Summary!$B$11)*T324+Summary!$B$11*V324</f>
        <v/>
      </c>
      <c r="P324">
        <f>IF(B341=0,0,O324/B341)</f>
        <v/>
      </c>
      <c r="Q324" t="n">
        <v>0</v>
      </c>
      <c r="R324" t="n">
        <v>0</v>
      </c>
      <c r="S324">
        <f>IFERROR(O324/N324,0)</f>
        <v/>
      </c>
      <c r="T324" t="n">
        <v>0</v>
      </c>
      <c r="V324" t="n">
        <v>0</v>
      </c>
    </row>
    <row r="325">
      <c r="A325">
        <f>Skills!A20</f>
        <v/>
      </c>
      <c r="B325">
        <f>Skills!B20</f>
        <v/>
      </c>
      <c r="C325">
        <f>Inputs!$B$3&gt;=43</f>
        <v/>
      </c>
      <c r="D325">
        <f>IF(Skills!C20=1,60+Inputs!$B$25+Inputs!$B$29,IF(Skills!C20=2,90+Inputs!$B$26+Inputs!$B$29,IF(Skills!C20=3,120+Inputs!$B$27+Inputs!$B$29,MAX(0,(Inputs!$B$3-100)*3)+Inputs!$B$28+Inputs!$B$29)))</f>
        <v/>
      </c>
      <c r="E325">
        <f>INDEX(FactorTable!$B$2:$Y$301, MATCH(ROUND(MIN(300,MAX(1,D325)),0), FactorTable!$A$2:$A$301,0), Skills!M20+1)</f>
        <v/>
      </c>
      <c r="F325">
        <f>IF(Skills!N20=TRUE,(Skills!L20/10)*(E325/1000),Skills!L20/10)+Skills!O20</f>
        <v/>
      </c>
      <c r="G325">
        <f>Skills!G20*IF(Skills!H20&gt;0,Skills!I20/Skills!H20,1)</f>
        <v/>
      </c>
      <c r="H325">
        <f>1-(1-Skills!J20/100)^Skills!K20</f>
        <v/>
      </c>
      <c r="I325" t="inlineStr">
        <is>
          <t>1</t>
        </is>
      </c>
      <c r="J325" t="inlineStr"/>
      <c r="K325" t="inlineStr"/>
      <c r="L325" t="inlineStr"/>
      <c r="M325" t="inlineStr"/>
      <c r="N325" t="inlineStr"/>
      <c r="O325">
        <f>(1-Summary!$B$11)*T325+Summary!$B$11*V325</f>
        <v/>
      </c>
      <c r="P325">
        <f>IF(B341=0,0,O325/B341)</f>
        <v/>
      </c>
      <c r="Q325" t="n">
        <v>0</v>
      </c>
      <c r="R325" t="n">
        <v>0</v>
      </c>
      <c r="S325">
        <f>IFERROR(O325/N325,0)</f>
        <v/>
      </c>
      <c r="T325" t="n">
        <v>0</v>
      </c>
      <c r="V325" t="n">
        <v>0</v>
      </c>
    </row>
    <row r="326">
      <c r="A326">
        <f>Skills!A21</f>
        <v/>
      </c>
      <c r="B326">
        <f>Skills!B21</f>
        <v/>
      </c>
      <c r="C326">
        <f>Inputs!$B$3&gt;=38</f>
        <v/>
      </c>
      <c r="D326">
        <f>IF(Skills!C21=1,60+Inputs!$B$25+Inputs!$B$29,IF(Skills!C21=2,90+Inputs!$B$26+Inputs!$B$29,IF(Skills!C21=3,120+Inputs!$B$27+Inputs!$B$29,MAX(0,(Inputs!$B$3-100)*3)+Inputs!$B$28+Inputs!$B$29)))</f>
        <v/>
      </c>
      <c r="E326">
        <f>INDEX(FactorTable!$B$2:$Y$301, MATCH(ROUND(MIN(300,MAX(1,D326)),0), FactorTable!$A$2:$A$301,0), Skills!M21+1)</f>
        <v/>
      </c>
      <c r="F326">
        <f>IF(Skills!N21=TRUE,(Skills!L21/10)*(E326/1000),Skills!L21/10)+Skills!O21</f>
        <v/>
      </c>
      <c r="G326">
        <f>Skills!G21*IF(Skills!H21&gt;0,Skills!I21/Skills!H21,1)</f>
        <v/>
      </c>
      <c r="H326">
        <f>1-(1-Skills!J21/100)^Skills!K21</f>
        <v/>
      </c>
      <c r="I326" t="inlineStr">
        <is>
          <t>1</t>
        </is>
      </c>
      <c r="J326" t="inlineStr"/>
      <c r="K326" t="inlineStr"/>
      <c r="L326" t="inlineStr"/>
      <c r="M326" t="inlineStr"/>
      <c r="N326" t="inlineStr"/>
      <c r="O326">
        <f>(1-Summary!$B$11)*T326+Summary!$B$11*V326</f>
        <v/>
      </c>
      <c r="P326">
        <f>IF(B341=0,0,O326/B341)</f>
        <v/>
      </c>
      <c r="Q326" t="n">
        <v>0</v>
      </c>
      <c r="R326" t="n">
        <v>0</v>
      </c>
      <c r="S326">
        <f>IFERROR(O326/N326,0)</f>
        <v/>
      </c>
      <c r="T326" t="n">
        <v>0</v>
      </c>
      <c r="V326" t="n">
        <v>0</v>
      </c>
    </row>
    <row r="327">
      <c r="A327">
        <f>Skills!A22</f>
        <v/>
      </c>
      <c r="B327">
        <f>Skills!B22</f>
        <v/>
      </c>
      <c r="C327">
        <f>Inputs!$B$3&gt;=75</f>
        <v/>
      </c>
      <c r="D327">
        <f>IF(Skills!C22=1,60+Inputs!$B$25+Inputs!$B$29,IF(Skills!C22=2,90+Inputs!$B$26+Inputs!$B$29,IF(Skills!C22=3,120+Inputs!$B$27+Inputs!$B$29,MAX(0,(Inputs!$B$3-100)*3)+Inputs!$B$28+Inputs!$B$29)))</f>
        <v/>
      </c>
      <c r="E327">
        <f>INDEX(FactorTable!$B$2:$Y$301, MATCH(ROUND(MIN(300,MAX(1,D327)),0), FactorTable!$A$2:$A$301,0), Skills!M22+1)</f>
        <v/>
      </c>
      <c r="F327">
        <f>IF(Skills!N22=TRUE,(Skills!L22/10)*(E327/1000),Skills!L22/10)+Skills!O22</f>
        <v/>
      </c>
      <c r="G327">
        <f>Skills!G22*IF(Skills!H22&gt;0,Skills!I22/Skills!H22,1)</f>
        <v/>
      </c>
      <c r="H327">
        <f>1-(1-Skills!J22/100)^Skills!K22</f>
        <v/>
      </c>
      <c r="I327" t="inlineStr">
        <is>
          <t>1</t>
        </is>
      </c>
      <c r="J327" t="inlineStr"/>
      <c r="K327" t="inlineStr"/>
      <c r="L327" t="inlineStr"/>
      <c r="M327" t="inlineStr"/>
      <c r="N327" t="inlineStr"/>
      <c r="O327">
        <f>(1-Summary!$B$11)*T327+Summary!$B$11*V327</f>
        <v/>
      </c>
      <c r="P327">
        <f>IF(B341=0,0,O327/B341)</f>
        <v/>
      </c>
      <c r="Q327" t="n">
        <v>0</v>
      </c>
      <c r="R327" t="n">
        <v>0</v>
      </c>
      <c r="S327">
        <f>IFERROR(O327/N327,0)</f>
        <v/>
      </c>
      <c r="T327" t="n">
        <v>0</v>
      </c>
      <c r="V327" t="n">
        <v>0</v>
      </c>
    </row>
    <row r="328">
      <c r="A328">
        <f>Skills!A23</f>
        <v/>
      </c>
      <c r="B328">
        <f>Skills!B23</f>
        <v/>
      </c>
      <c r="C328">
        <f>TRUE</f>
        <v/>
      </c>
      <c r="D328">
        <f>IF(Skills!C23=1,60+Inputs!$B$25+Inputs!$B$29,IF(Skills!C23=2,90+Inputs!$B$26+Inputs!$B$29,IF(Skills!C23=3,120+Inputs!$B$27+Inputs!$B$29,MAX(0,(Inputs!$B$3-100)*3)+Inputs!$B$28+Inputs!$B$29)))</f>
        <v/>
      </c>
      <c r="E328">
        <f>INDEX(FactorTable!$B$2:$Y$301, MATCH(ROUND(MIN(300,MAX(1,D328)),0), FactorTable!$A$2:$A$301,0), Skills!M23+1)</f>
        <v/>
      </c>
      <c r="F328">
        <f>IF(Skills!N23=TRUE,(Skills!L23/10)*(E328/1000),Skills!L23/10)+Skills!O23</f>
        <v/>
      </c>
      <c r="G328">
        <f>Skills!G23*IF(Skills!H23&gt;0,Skills!I23/Skills!H23,1)</f>
        <v/>
      </c>
      <c r="H328">
        <f>1-(1-Skills!J23/100)^Skills!K23</f>
        <v/>
      </c>
      <c r="I328" t="inlineStr">
        <is>
          <t>1</t>
        </is>
      </c>
      <c r="J328" t="inlineStr"/>
      <c r="K328" t="inlineStr"/>
      <c r="L328" t="inlineStr"/>
      <c r="M328" t="inlineStr"/>
      <c r="N328" t="inlineStr"/>
      <c r="O328">
        <f>(1-Summary!$B$11)*T328+Summary!$B$11*V328</f>
        <v/>
      </c>
      <c r="P328">
        <f>IF(B341=0,0,O328/B341)</f>
        <v/>
      </c>
      <c r="Q328">
        <f>IFERROR(1/(IF(Inputs!$B$38="pvp",15,MAX(0.1,Skills!D23-IF(Skills!E23=TRUE,Inputs!$B$32,0)))*(1-IF(AND(ArtifactsInput!$M$27,Inputs!$B$4="Chapter Hunt"),CHOOSE(ArtifactsInput!$N$27+1,20,24,28,32,36,40),0)/100)),0)</f>
        <v/>
      </c>
      <c r="R328">
        <f>IF(AND(Inputs!$B$38&lt;&gt;"pvp",Inputs!$B$43&gt;0),IF(Inputs!$B$43&lt;=0,0,(INT(Inputs!$B$43/(IF(Inputs!$B$38="pvp",15,MAX(0.1,Skills!D23-IF(Skills!E23=TRUE,Inputs!$B$32,0)))*(1-IF(AND(ArtifactsInput!$M$27,Inputs!$B$4="Chapter Hunt"),CHOOSE(ArtifactsInput!$N$27+1,20,24,28,32,36,40),0)/100)))+1)),0)</f>
        <v/>
      </c>
      <c r="S328">
        <f>IFERROR(O328/N328,0)</f>
        <v/>
      </c>
      <c r="T328" t="n">
        <v>0</v>
      </c>
      <c r="V328" t="n">
        <v>0</v>
      </c>
    </row>
    <row r="330">
      <c r="A330" t="inlineStr">
        <is>
          <t>Attack% Bucket Multiplier</t>
        </is>
      </c>
      <c r="B330">
        <f>(1+(((C318=TRUE)*F318*5/7)+((C324=TRUE)*(F324-Calc!F19))+(IF(ArtifactsInput!$M$21,CHOOSE(ArtifactsInput!$N$21+1,25,30,35,40,45,50)*(IF(OR(Inputs!$B$4="Chapter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
      <c r="A331" t="inlineStr">
        <is>
          <t>Global Crit Rate Bonus %</t>
        </is>
      </c>
      <c r="B331" t="n">
        <v>0</v>
      </c>
    </row>
    <row r="332">
      <c r="A332" t="inlineStr">
        <is>
          <t>Attack Speed Buff Bonus % (Nimble Feet, duty-cycle averaged)</t>
        </is>
      </c>
      <c r="B332">
        <f>((C328=TRUE)*F328*IF(AND(Inputs!$B$38&lt;&gt;"pvp",Inputs!$B$43&gt;0),(((R328-1)*(Skills!T23*(1+Inputs!$B$34/100))+MIN((Skills!T23*(1+Inputs!$B$34/100)),MAX(0,Inputs!$B$43-((R328-1)*Skills!D23))))/Inputs!$B$43),IF(Inputs!$B$38="pvp",MIN((Skills!T23*(1+Inputs!$B$34/100)),15)/15,(Skills!T23*(1+Inputs!$B$34/100))/Skills!D23)))</f>
        <v/>
      </c>
    </row>
    <row r="333">
      <c r="A333" t="inlineStr">
        <is>
          <t>Actions Per Second</t>
        </is>
      </c>
      <c r="B333">
        <f>1+MIN(150,150*(1-(1-(Inputs!$B$11+((C322=TRUE)*(F322-Calc!F17))+((C323=TRUE)*(F323-Calc!F18)))/150)*(1-B332/150)))/100</f>
        <v/>
      </c>
    </row>
    <row r="334">
      <c r="A334" t="inlineStr">
        <is>
          <t>Skill + Buff Cast Rate</t>
        </is>
      </c>
      <c r="B334">
        <f>IF(AND(Inputs!$B$38&lt;&gt;"pvp",Inputs!$B$43&gt;0),SUMPRODUCT((Skills!E2:E23=TRUE)*(C307:C328=TRUE)*R307:R328*Skills!F2:F23)/Inputs!$B$43,SUMPRODUCT((Skills!E2:E23=TRUE)*(C307:C328=TRUE)*Q307:Q328*Skills!F2:F23))</f>
        <v/>
      </c>
    </row>
    <row r="335">
      <c r="A335" t="inlineStr">
        <is>
          <t>Hook Bomber Casts Per Second</t>
        </is>
      </c>
      <c r="B335">
        <f>MAX(0,B333-B334)</f>
        <v/>
      </c>
    </row>
    <row r="336">
      <c r="A336" t="inlineStr">
        <is>
          <t>Global Critical Damage Bonus % (unused)</t>
        </is>
      </c>
      <c r="B336" t="n">
        <v>0</v>
      </c>
    </row>
    <row r="337">
      <c r="A337" t="inlineStr">
        <is>
          <t>Global Final Damage Bonus % (Serpent Scale + Crossbones + Time Leap + Speed Infusion)</t>
        </is>
      </c>
      <c r="B337">
        <f>((C310=TRUE)*F310*((10+IF(Inputs!$B$3&gt;=94,5,0))/((10+IF(Inputs!$B$3&gt;=94,5,0))+5/(B335*(1+IF(Inputs!$B$3&gt;=104,1,0))))))+((C319=TRUE)*F319)+((C320=TRUE)*F320)+((Inputs!$B$3&gt;=110)*20*(B333-1))</f>
        <v/>
      </c>
    </row>
    <row r="338">
      <c r="A338" t="inlineStr">
        <is>
          <t>Buff-Casting Startup Delay (s, fixed-duration only)</t>
        </is>
      </c>
      <c r="B338">
        <f>IF(AND(Inputs!$B$38&lt;&gt;"pvp",Inputs!$B$43&gt;0),SUMPRODUCT((Skills!T2:T23&gt;0)*(Skills!E2:E23=TRUE)*(C307:C328=TRUE))/B333,0)</f>
        <v/>
      </c>
    </row>
    <row r="339">
      <c r="A339" t="inlineStr">
        <is>
          <t>Boss-Only Total DPS (this block's swept value)</t>
        </is>
      </c>
      <c r="B339">
        <f>SUM(T307:T328)</f>
        <v/>
      </c>
    </row>
    <row r="340">
      <c r="A340" t="inlineStr">
        <is>
          <t>Normal-Only Total DPS (this block's swept value)</t>
        </is>
      </c>
      <c r="B340">
        <f>SUM(V307:V328)</f>
        <v/>
      </c>
    </row>
    <row r="341">
      <c r="A341" s="6" t="inlineStr">
        <is>
          <t>TOTAL DPS</t>
        </is>
      </c>
      <c r="B341" s="6">
        <f>SUM(O307:O328)</f>
        <v/>
      </c>
    </row>
    <row r="344">
      <c r="A344" s="6" t="inlineStr">
        <is>
          <t>Stat: FINAL_DAMAGE % (multiplicative source)</t>
        </is>
      </c>
    </row>
    <row r="345">
      <c r="A345" s="5" t="inlineStr">
        <is>
          <t>Key</t>
        </is>
      </c>
      <c r="B345" s="5" t="inlineStr">
        <is>
          <t>Name</t>
        </is>
      </c>
      <c r="C345" s="5" t="inlineStr">
        <is>
          <t>Unlocked</t>
        </is>
      </c>
      <c r="D345" s="5" t="inlineStr">
        <is>
          <t>InputLevel</t>
        </is>
      </c>
      <c r="E345" s="5" t="inlineStr">
        <is>
          <t>Factor</t>
        </is>
      </c>
      <c r="F345" s="5" t="inlineStr">
        <is>
          <t>CoefficientPercent</t>
        </is>
      </c>
      <c r="G345" s="5" t="inlineStr">
        <is>
          <t>EffectiveHits</t>
        </is>
      </c>
      <c r="H345" s="5" t="inlineStr">
        <is>
          <t>ProcProbability</t>
        </is>
      </c>
      <c r="I345" s="5" t="inlineStr">
        <is>
          <t>MapleHeroMultiplier</t>
        </is>
      </c>
      <c r="J345" s="5" t="inlineStr">
        <is>
          <t>BaseDamage</t>
        </is>
      </c>
      <c r="K345" s="5" t="inlineStr">
        <is>
          <t>BaseHitDamage</t>
        </is>
      </c>
      <c r="L345" s="5" t="inlineStr">
        <is>
          <t>NonCritAvg</t>
        </is>
      </c>
      <c r="M345" s="5" t="inlineStr">
        <is>
          <t>CritAvg</t>
        </is>
      </c>
      <c r="N345" s="5" t="inlineStr">
        <is>
          <t>ExpectedDamage(perHit)</t>
        </is>
      </c>
      <c r="O345" s="5" t="inlineStr">
        <is>
          <t>DPS</t>
        </is>
      </c>
      <c r="P345" s="5" t="inlineStr">
        <is>
          <t>% of Total</t>
        </is>
      </c>
      <c r="Q345" s="5" t="inlineStr">
        <is>
          <t>InvCooldown</t>
        </is>
      </c>
      <c r="R345" s="5" t="inlineStr">
        <is>
          <t>CastsInFight</t>
        </is>
      </c>
      <c r="S345" s="5" t="inlineStr">
        <is>
          <t>HitRate(perSec)</t>
        </is>
      </c>
      <c r="U345" t="inlineStr">
        <is>
          <t>helpers</t>
        </is>
      </c>
    </row>
    <row r="346">
      <c r="A346">
        <f>Skills!A2</f>
        <v/>
      </c>
      <c r="B346">
        <f>Skills!B2</f>
        <v/>
      </c>
      <c r="C346">
        <f>Inputs!$B$3&gt;=100</f>
        <v/>
      </c>
      <c r="D346" t="inlineStr"/>
      <c r="E346" t="inlineStr"/>
      <c r="F346">
        <f>U348+Skills!O2</f>
        <v/>
      </c>
      <c r="G346">
        <f>Skills!G2*IF(Skills!H2&gt;0,Skills!I2/Skills!H2,1)</f>
        <v/>
      </c>
      <c r="H346">
        <f>1-(1-Skills!J2/100)^Skills!K2</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20)),(Inputs!$B$23+0+(IF(ArtifactsInput!$M$15,CHOOSE(ArtifactsInput!$N$15+1,25,30,35,40,45,50)/100*(Inputs!$B$11-Inputs!$B$11),0))))/100+(Inputs!$B$23+0+(IF(ArtifactsInput!$M$15,CHOOSE(ArtifactsInput!$N$15+1,25,30,35,40,45,50)/100*(Inputs!$B$11-Inputs!$B$11),0)))/100)/2</f>
        <v/>
      </c>
      <c r="M346">
        <f>L346*(1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IF(B380=0,0,O346/B380)</f>
        <v/>
      </c>
      <c r="Q346" t="n">
        <v>0</v>
      </c>
      <c r="R346" t="n">
        <v>0</v>
      </c>
      <c r="S346">
        <f>IFERROR(O346/N346,0)</f>
        <v/>
      </c>
      <c r="T346">
        <f>IF(C346,(Skills!G2*N346*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6">
        <f>MAX(0,(Inputs!$B$3-100)*3)+Inputs!$B$28+Inputs!$B$29</f>
        <v/>
      </c>
      <c r="V346">
        <f>IF(C346,(Skills!G2*N346*B374)*IF(Inputs!$B$38="pvp",1,(1+(Inputs!$B$21+Skills!Q2+(IF(ArtifactsInput!$M$33,CHOOSE(ArtifactsInput!$N$33+1,30,36,42,48,54,60),0))+(IF(AND(ArtifactsInput!$M$35,Inputs!$B$4&lt;&gt;"Chapter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Skills!A3</f>
        <v/>
      </c>
      <c r="B347">
        <f>Skills!B3</f>
        <v/>
      </c>
      <c r="C347">
        <f>Inputs!$B$3&gt;=35</f>
        <v/>
      </c>
      <c r="D347">
        <f>IF(Skills!C3=1,60+Inputs!$B$25+Inputs!$B$29,IF(Skills!C3=2,90+Inputs!$B$26+Inputs!$B$29,IF(Skills!C3=3,120+Inputs!$B$27+Inputs!$B$29,MAX(0,(Inputs!$B$3-100)*3)+Inputs!$B$28+Inputs!$B$29)))</f>
        <v/>
      </c>
      <c r="E347">
        <f>INDEX(FactorTable!$B$2:$Y$301, MATCH(ROUND(MIN(300,MAX(1,D347)),0), FactorTable!$A$2:$A$301,0), Skills!M3+1)</f>
        <v/>
      </c>
      <c r="F347">
        <f>IF(Skills!N3=TRUE,(Skills!L3/10)*(E347/1000),Skills!L3/10)+Skills!O3</f>
        <v/>
      </c>
      <c r="G347">
        <f>Skills!G3*IF(Skills!H3&gt;0,Skills!I3/Skills!H3,1)</f>
        <v/>
      </c>
      <c r="H347">
        <f>1-(1-Skills!J3/100)^Skills!K3</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t="n">
        <v>0</v>
      </c>
      <c r="R347" t="n">
        <v>0</v>
      </c>
      <c r="S347">
        <f>IFERROR(O347/N347,0)</f>
        <v/>
      </c>
      <c r="T347">
        <f>IF(C347,(Skills!G3*H347*N347*B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INDEX(FactorTable!$B$2:$Y$301, MATCH(ROUND(MIN(300,MAX(1,U346)),0), FactorTable!$A$2:$A$301,0), 22)</f>
        <v/>
      </c>
      <c r="V347">
        <f>IF(C347,(Skills!G3*H347*N347*B374)*IF(Inputs!$B$38="pvp",1,(1+(Inputs!$B$21+Skills!Q3+(IF(ArtifactsInput!$M$33,CHOOSE(ArtifactsInput!$N$33+1,30,36,42,48,54,60),0))+(IF(AND(ArtifactsInput!$M$35,Inputs!$B$4&lt;&gt;"Chapter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Skills!A4</f>
        <v/>
      </c>
      <c r="B348">
        <f>Skills!B4</f>
        <v/>
      </c>
      <c r="C348">
        <f>Inputs!$B$3&gt;=60</f>
        <v/>
      </c>
      <c r="D348">
        <f>IF(Skills!C4=1,60+Inputs!$B$25+Inputs!$B$29,IF(Skills!C4=2,90+Inputs!$B$26+Inputs!$B$29,IF(Skills!C4=3,120+Inputs!$B$27+Inputs!$B$29,MAX(0,(Inputs!$B$3-100)*3)+Inputs!$B$28+Inputs!$B$29)))</f>
        <v/>
      </c>
      <c r="E348">
        <f>INDEX(FactorTable!$B$2:$Y$301, MATCH(ROUND(MIN(300,MAX(1,D348)),0), FactorTable!$A$2:$A$301,0), Skills!M4+1)</f>
        <v/>
      </c>
      <c r="F348">
        <f>IF(Skills!N4=TRUE,(Skills!L4/10)*(E348/1000),Skills!L4/10)+Skills!O4</f>
        <v/>
      </c>
      <c r="G348">
        <f>Skills!G4*IF(Skills!H4&gt;0,Skills!I4/Skills!H4,1)</f>
        <v/>
      </c>
      <c r="H348">
        <f>1-(1-Skills!J4/100)^Skills!K4</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356=TRUE,F356,0)/100)*(1+(IF(Skills!A4="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t="n">
        <v>0</v>
      </c>
      <c r="R348" t="n">
        <v>0</v>
      </c>
      <c r="S348">
        <f>IFERROR(O348/N348,0)</f>
        <v/>
      </c>
      <c r="T348">
        <f>IF(C348,(Skills!G4*H348*N348*B374)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290*U347/1000</f>
        <v/>
      </c>
      <c r="V348">
        <f>IF(C348,(Skills!G4*H348*N348*B374)*IF(Inputs!$B$38="pvp",1,(1+(Inputs!$B$21+Skills!Q4+(IF(ArtifactsInput!$M$33,CHOOSE(ArtifactsInput!$N$33+1,30,36,42,48,54,60),0))+(IF(AND(ArtifactsInput!$M$35,Inputs!$B$4&lt;&gt;"Chapter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Skills!A5</f>
        <v/>
      </c>
      <c r="B349">
        <f>Skills!B5</f>
        <v/>
      </c>
      <c r="C349">
        <f>Inputs!$B$3&gt;=60</f>
        <v/>
      </c>
      <c r="D349">
        <f>IF(Skills!C5=1,60+Inputs!$B$25+Inputs!$B$29,IF(Skills!C5=2,90+Inputs!$B$26+Inputs!$B$29,IF(Skills!C5=3,120+Inputs!$B$27+Inputs!$B$29,MAX(0,(Inputs!$B$3-100)*3)+Inputs!$B$28+Inputs!$B$29)))</f>
        <v/>
      </c>
      <c r="E349">
        <f>INDEX(FactorTable!$B$2:$Y$301, MATCH(ROUND(MIN(300,MAX(1,D349)),0), FactorTable!$A$2:$A$301,0), Skills!M5+1)</f>
        <v/>
      </c>
      <c r="F349">
        <f>IF(Skills!N5=TRUE,(Skills!L5/10)*(E349/1000),Skills!L5/10)+Skills!O5</f>
        <v/>
      </c>
      <c r="G349">
        <f>Skills!G5*IF(Skills!H5&gt;0,Skills!I5/Skills!H5,1)</f>
        <v/>
      </c>
      <c r="H349">
        <f>1-(1-Skills!J5/100)^Skills!K5</f>
        <v/>
      </c>
      <c r="I349" t="inlineStr">
        <is>
          <t>1</t>
        </is>
      </c>
      <c r="J349" t="inlineStr"/>
      <c r="K349" t="inlineStr"/>
      <c r="L349" t="inlineStr"/>
      <c r="M349" t="inlineStr"/>
      <c r="N349" t="inlineStr"/>
      <c r="O349">
        <f>(1-Summary!$B$11)*T349+Summary!$B$11*V349</f>
        <v/>
      </c>
      <c r="P349">
        <f>IF(B380=0,0,O349/B380)</f>
        <v/>
      </c>
      <c r="Q349" t="n">
        <v>0</v>
      </c>
      <c r="R349" t="n">
        <v>0</v>
      </c>
      <c r="S349">
        <f>IFERROR(O349/N349,0)</f>
        <v/>
      </c>
      <c r="T349" t="n">
        <v>0</v>
      </c>
      <c r="V349" t="n">
        <v>0</v>
      </c>
    </row>
    <row r="350">
      <c r="A350">
        <f>Skills!A6</f>
        <v/>
      </c>
      <c r="B350">
        <f>Skills!B6</f>
        <v/>
      </c>
      <c r="C350">
        <f>Inputs!$B$3&gt;=63</f>
        <v/>
      </c>
      <c r="D350">
        <f>IF(Skills!C6=1,60+Inputs!$B$25+Inputs!$B$29,IF(Skills!C6=2,90+Inputs!$B$26+Inputs!$B$29,IF(Skills!C6=3,120+Inputs!$B$27+Inputs!$B$29,MAX(0,(Inputs!$B$3-100)*3)+Inputs!$B$28+Inputs!$B$29)))</f>
        <v/>
      </c>
      <c r="E350">
        <f>INDEX(FactorTable!$B$2:$Y$301, MATCH(ROUND(MIN(300,MAX(1,D350)),0), FactorTable!$A$2:$A$301,0), Skills!M6+1)</f>
        <v/>
      </c>
      <c r="F350">
        <f>IF(Skills!N6=TRUE,(Skills!L6/10)*(E350/1000),Skills!L6/10)+Skills!O6</f>
        <v/>
      </c>
      <c r="G350">
        <f>Skills!G6*IF(Skills!H6&gt;0,Skills!I6/Skills!H6,1)</f>
        <v/>
      </c>
      <c r="H350">
        <f>1-(1-Skills!J6/100)^Skills!K6</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IFERROR(1/(IF(Inputs!$B$38="pvp",15,MAX(0.1,Skills!D6-IF(Skills!E6=TRUE,Inputs!$B$32,0)))*(1-IF(AND(ArtifactsInput!$M$27,Inputs!$B$4="Chapter Hunt"),CHOOSE(ArtifactsInput!$N$27+1,20,24,28,32,36,40),0)/100)),0)</f>
        <v/>
      </c>
      <c r="R350">
        <f>IF(AND(Inputs!$B$38&lt;&gt;"pvp",Inputs!$B$43&gt;0),IF(MAX(0,Inputs!$B$43-B377)&lt;=0,0,(INT(MAX(0,Inputs!$B$43-B377)/(IF(Inputs!$B$38="pvp",15,MAX(0.1,Skills!D6-IF(Skills!E6=TRUE,Inputs!$B$32,0)))*(1-IF(AND(ArtifactsInput!$M$27,Inputs!$B$4="Chapter Hunt"),CHOOSE(ArtifactsInput!$N$27+1,20,24,28,32,36,40),0)/100)))+1)),0)</f>
        <v/>
      </c>
      <c r="S350">
        <f>IFERROR(O350/N350,0)</f>
        <v/>
      </c>
      <c r="T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Skills!A7</f>
        <v/>
      </c>
      <c r="B351">
        <f>Skills!B7</f>
        <v/>
      </c>
      <c r="C351">
        <f>Inputs!$B$3&gt;=100</f>
        <v/>
      </c>
      <c r="D351">
        <f>IF(Skills!C7=1,60+Inputs!$B$25+Inputs!$B$29,IF(Skills!C7=2,90+Inputs!$B$26+Inputs!$B$29,IF(Skills!C7=3,120+Inputs!$B$27+Inputs!$B$29,MAX(0,(Inputs!$B$3-100)*3)+Inputs!$B$28+Inputs!$B$29)))</f>
        <v/>
      </c>
      <c r="E351">
        <f>INDEX(FactorTable!$B$2:$Y$301, MATCH(ROUND(MIN(300,MAX(1,D351)),0), FactorTable!$A$2:$A$301,0), Skills!M7+1)</f>
        <v/>
      </c>
      <c r="F351">
        <f>IF(Skills!N7=TRUE,(Skills!L7/10)*(E351/1000),Skills!L7/10)+Skills!O7</f>
        <v/>
      </c>
      <c r="G351">
        <f>Skills!G7*IF(Skills!H7&gt;0,Skills!I7/Skills!H7,1)</f>
        <v/>
      </c>
      <c r="H351">
        <f>1-(1-Skills!J7/100)^Skills!K7</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IFERROR(1/(IF(Inputs!$B$38="pvp",15,MAX(0.1,Skills!D7-IF(Skills!E7=TRUE,Inputs!$B$32,0)))*(1-IF(AND(ArtifactsInput!$M$27,Inputs!$B$4="Chapter Hunt"),CHOOSE(ArtifactsInput!$N$27+1,20,24,28,32,36,40),0)/100)),0)</f>
        <v/>
      </c>
      <c r="R351">
        <f>IF(AND(Inputs!$B$38&lt;&gt;"pvp",Inputs!$B$43&gt;0),IF(MAX(0,Inputs!$B$43-B377)&lt;=0,0,(INT(MAX(0,Inputs!$B$43-B377)/(IF(Inputs!$B$38="pvp",15,MAX(0.1,Skills!D7-IF(Skills!E7=TRUE,Inputs!$B$32,0)))*(1-IF(AND(ArtifactsInput!$M$27,Inputs!$B$4="Chapter Hunt"),CHOOSE(ArtifactsInput!$N$27+1,20,24,28,32,36,40),0)/100)))+1)),0)</f>
        <v/>
      </c>
      <c r="S351">
        <f>IFERROR(O351/N351,0)</f>
        <v/>
      </c>
      <c r="T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Skills!A8</f>
        <v/>
      </c>
      <c r="B352">
        <f>Skills!B8</f>
        <v/>
      </c>
      <c r="C352">
        <f>Inputs!$B$3&gt;=110</f>
        <v/>
      </c>
      <c r="D352">
        <f>IF(Skills!C8=1,60+Inputs!$B$25+Inputs!$B$29,IF(Skills!C8=2,90+Inputs!$B$26+Inputs!$B$29,IF(Skills!C8=3,120+Inputs!$B$27+Inputs!$B$29,MAX(0,(Inputs!$B$3-100)*3)+Inputs!$B$28+Inputs!$B$29)))</f>
        <v/>
      </c>
      <c r="E352">
        <f>INDEX(FactorTable!$B$2:$Y$301, MATCH(ROUND(MIN(300,MAX(1,D352)),0), FactorTable!$A$2:$A$301,0), Skills!M8+1)</f>
        <v/>
      </c>
      <c r="F352">
        <f>IF(Skills!N8=TRUE,(Skills!L8/10)*(E352/1000),Skills!L8/10)+Skills!O8</f>
        <v/>
      </c>
      <c r="G352">
        <f>Skills!G8*IF(Skills!H8&gt;0,Skills!I8/Skills!H8,1)</f>
        <v/>
      </c>
      <c r="H352">
        <f>1-(1-Skills!J8/100)^Skills!K8</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f>IFERROR(1/(IF(Inputs!$B$38="pvp",15,MAX(0.1,Skills!D8-IF(Skills!E8=TRUE,Inputs!$B$32,0)))*(1-IF(AND(ArtifactsInput!$M$27,Inputs!$B$4="Chapter Hunt"),CHOOSE(ArtifactsInput!$N$27+1,20,24,28,32,36,40),0)/100)),0)</f>
        <v/>
      </c>
      <c r="R352">
        <f>IF(AND(Inputs!$B$38&lt;&gt;"pvp",Inputs!$B$43&gt;0),IF(MAX(0,Inputs!$B$43-B377)&lt;=0,0,(INT(MAX(0,Inputs!$B$43-B377)/(IF(Inputs!$B$38="pvp",15,MAX(0.1,Skills!D8-IF(Skills!E8=TRUE,Inputs!$B$32,0)))*(1-IF(AND(ArtifactsInput!$M$27,Inputs!$B$4="Chapter Hunt"),CHOOSE(ArtifactsInput!$N$27+1,20,24,28,32,36,40),0)/100)))+1)),0)</f>
        <v/>
      </c>
      <c r="S352">
        <f>IFERROR(O352/N352,0)</f>
        <v/>
      </c>
      <c r="T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Skills!A9</f>
        <v/>
      </c>
      <c r="B353">
        <f>Skills!B9</f>
        <v/>
      </c>
      <c r="C353">
        <f>Inputs!$B$3&gt;=110</f>
        <v/>
      </c>
      <c r="D353">
        <f>IF(Skills!C9=1,60+Inputs!$B$25+Inputs!$B$29,IF(Skills!C9=2,90+Inputs!$B$26+Inputs!$B$29,IF(Skills!C9=3,120+Inputs!$B$27+Inputs!$B$29,MAX(0,(Inputs!$B$3-100)*3)+Inputs!$B$28+Inputs!$B$29)))</f>
        <v/>
      </c>
      <c r="E353">
        <f>INDEX(FactorTable!$B$2:$Y$301, MATCH(ROUND(MIN(300,MAX(1,D353)),0), FactorTable!$A$2:$A$301,0), Skills!M9+1)</f>
        <v/>
      </c>
      <c r="F353">
        <f>IF(Skills!N9=TRUE,(Skills!L9/10)*(E353/1000),Skills!L9/10)+Skills!O9</f>
        <v/>
      </c>
      <c r="G353">
        <f>Skills!G9*IF(Skills!H9&gt;0,Skills!I9/Skills!H9,1)</f>
        <v/>
      </c>
      <c r="H353">
        <f>1-(1-Skills!J9/100)^Skills!K9</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364=TRUE)*(F364-Calc!F20)),(Inputs!$B$23+0+(IF(ArtifactsInput!$M$15,CHOOSE(ArtifactsInput!$N$15+1,25,30,35,40,45,50)/100*(Inputs!$B$11-Inputs!$B$11),0))))/100+(Inputs!$B$23+0+(IF(ArtifactsInput!$M$15,CHOOSE(ArtifactsInput!$N$15+1,25,30,35,40,45,50)/100*(Inputs!$B$11-Inputs!$B$11),0)))/100)/2</f>
        <v/>
      </c>
      <c r="M353">
        <f>L353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IF(B380=0,0,O353/B380)</f>
        <v/>
      </c>
      <c r="Q353">
        <f>IFERROR(1/(IF(Inputs!$B$38="pvp",15,MAX(0.1,Skills!D9-IF(Skills!E9=TRUE,Inputs!$B$32,0)))*(1-IF(AND(ArtifactsInput!$M$27,Inputs!$B$4="Chapter Hunt"),CHOOSE(ArtifactsInput!$N$27+1,20,24,28,32,36,40),0)/100)),0)</f>
        <v/>
      </c>
      <c r="R353">
        <f>IF(AND(Inputs!$B$38&lt;&gt;"pvp",Inputs!$B$43&gt;0),IF(MAX(0,Inputs!$B$43-B377)&lt;=0,0,(INT(MAX(0,Inputs!$B$43-B377)/(IF(Inputs!$B$38="pvp",15,MAX(0.1,Skills!D9-IF(Skills!E9=TRUE,Inputs!$B$32,0)))*(1-IF(AND(ArtifactsInput!$M$27,Inputs!$B$4="Chapter Hunt"),CHOOSE(ArtifactsInput!$N$27+1,20,24,28,32,36,40),0)/100)))+1)),0)</f>
        <v/>
      </c>
      <c r="S353">
        <f>IFERROR(O353/N353,0)</f>
        <v/>
      </c>
      <c r="T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Skills!A10</f>
        <v/>
      </c>
      <c r="B354">
        <f>Skills!B10</f>
        <v/>
      </c>
      <c r="C354">
        <f>Inputs!$B$3&gt;=103</f>
        <v/>
      </c>
      <c r="D354">
        <f>IF(Skills!C10=1,60+Inputs!$B$25+Inputs!$B$29,IF(Skills!C10=2,90+Inputs!$B$26+Inputs!$B$29,IF(Skills!C10=3,120+Inputs!$B$27+Inputs!$B$29,MAX(0,(Inputs!$B$3-100)*3)+Inputs!$B$28+Inputs!$B$29)))</f>
        <v/>
      </c>
      <c r="E354">
        <f>INDEX(FactorTable!$B$2:$Y$301, MATCH(ROUND(MIN(300,MAX(1,D354)),0), FactorTable!$A$2:$A$301,0), Skills!M10+1)</f>
        <v/>
      </c>
      <c r="F354">
        <f>IF(Skills!N10=TRUE,(Skills!L10/10)*(E354/1000),Skills!L10/10)+Skills!O10</f>
        <v/>
      </c>
      <c r="G354">
        <f>Skills!G10*IF(Skills!H10&gt;0,Skills!I10/Skills!H10,1)</f>
        <v/>
      </c>
      <c r="H354">
        <f>1-(1-Skills!J10/100)^Skills!K10</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364=TRUE)*(F364-Calc!F20)),(Inputs!$B$23+0+(IF(ArtifactsInput!$M$15,CHOOSE(ArtifactsInput!$N$15+1,25,30,35,40,45,50)/100*(Inputs!$B$11-Inputs!$B$11),0))))/100+(Inputs!$B$23+0+(IF(ArtifactsInput!$M$15,CHOOSE(ArtifactsInput!$N$15+1,25,30,35,40,45,50)/100*(Inputs!$B$11-Inputs!$B$11),0)))/100)/2</f>
        <v/>
      </c>
      <c r="M354">
        <f>L354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IF(B380=0,0,O354/B380)</f>
        <v/>
      </c>
      <c r="Q354">
        <f>IFERROR(1/(IF(Inputs!$B$38="pvp",15,MAX(0.1,Skills!D10-IF(Skills!E10=TRUE,Inputs!$B$32,0)))*(1-IF(AND(ArtifactsInput!$M$27,Inputs!$B$4="Chapter Hunt"),CHOOSE(ArtifactsInput!$N$27+1,20,24,28,32,36,40),0)/100)),0)</f>
        <v/>
      </c>
      <c r="R354">
        <f>IF(AND(Inputs!$B$38&lt;&gt;"pvp",Inputs!$B$43&gt;0),IF(MAX(0,Inputs!$B$43-B377)&lt;=0,0,(INT(MAX(0,Inputs!$B$43-B377)/(IF(Inputs!$B$38="pvp",15,MAX(0.1,Skills!D10-IF(Skills!E10=TRUE,Inputs!$B$32,0)))*(1-IF(AND(ArtifactsInput!$M$27,Inputs!$B$4="Chapter Hunt"),CHOOSE(ArtifactsInput!$N$27+1,20,24,28,32,36,40),0)/100)))+1)),0)</f>
        <v/>
      </c>
      <c r="S354">
        <f>IFERROR(O354/N354,0)</f>
        <v/>
      </c>
      <c r="T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Skills!A11</f>
        <v/>
      </c>
      <c r="B355">
        <f>Skills!B11</f>
        <v/>
      </c>
      <c r="C355">
        <f>Inputs!$B$3&gt;=113</f>
        <v/>
      </c>
      <c r="D355">
        <f>IF(Skills!C11=1,60+Inputs!$B$25+Inputs!$B$29,IF(Skills!C11=2,90+Inputs!$B$26+Inputs!$B$29,IF(Skills!C11=3,120+Inputs!$B$27+Inputs!$B$29,MAX(0,(Inputs!$B$3-100)*3)+Inputs!$B$28+Inputs!$B$29)))</f>
        <v/>
      </c>
      <c r="E355">
        <f>INDEX(FactorTable!$B$2:$Y$301, MATCH(ROUND(MIN(300,MAX(1,D355)),0), FactorTable!$A$2:$A$301,0), Skills!M11+1)</f>
        <v/>
      </c>
      <c r="F355">
        <f>IF(Skills!N11=TRUE,(Skills!L11/10)*(E355/1000),Skills!L11/10)+Skills!O11</f>
        <v/>
      </c>
      <c r="G355">
        <f>Skills!G11*IF(Skills!H11&gt;0,Skills!I11/Skills!H11,1)</f>
        <v/>
      </c>
      <c r="H355">
        <f>1-(1-Skills!J11/100)^Skills!K11</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364=TRUE)*(F364-Calc!F20)),(Inputs!$B$23+0+(IF(ArtifactsInput!$M$15,CHOOSE(ArtifactsInput!$N$15+1,25,30,35,40,45,50)/100*(Inputs!$B$11-Inputs!$B$11),0))))/100+(Inputs!$B$23+0+(IF(ArtifactsInput!$M$15,CHOOSE(ArtifactsInput!$N$15+1,25,30,35,40,45,50)/100*(Inputs!$B$11-Inputs!$B$11),0)))/100)/2</f>
        <v/>
      </c>
      <c r="M355">
        <f>L355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IF(B380=0,0,O355/B380)</f>
        <v/>
      </c>
      <c r="Q355">
        <f>IFERROR(1/(IF(Inputs!$B$38="pvp",15,MAX(0.1,Skills!D11-IF(Skills!E11=TRUE,Inputs!$B$32,0)))*(1-IF(AND(ArtifactsInput!$M$27,Inputs!$B$4="Chapter Hunt"),CHOOSE(ArtifactsInput!$N$27+1,20,24,28,32,36,40),0)/100)),0)</f>
        <v/>
      </c>
      <c r="R355">
        <f>IF(AND(Inputs!$B$38&lt;&gt;"pvp",Inputs!$B$43&gt;0),IF(MAX(0,Inputs!$B$43-B377)&lt;=0,0,(INT(MAX(0,Inputs!$B$43-B377)/(IF(Inputs!$B$38="pvp",15,MAX(0.1,Skills!D11-IF(Skills!E11=TRUE,Inputs!$B$32,0)))*(1-IF(AND(ArtifactsInput!$M$27,Inputs!$B$4="Chapter Hunt"),CHOOSE(ArtifactsInput!$N$27+1,20,24,28,32,36,40),0)/100)))+1)),0)</f>
        <v/>
      </c>
      <c r="S355">
        <f>IFERROR(O355/N355,0)</f>
        <v/>
      </c>
      <c r="T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Skills!A12</f>
        <v/>
      </c>
      <c r="B356">
        <f>Skills!B12</f>
        <v/>
      </c>
      <c r="C356">
        <f>Inputs!$B$3&gt;=100</f>
        <v/>
      </c>
      <c r="D356">
        <f>IF(Skills!C12=1,60+Inputs!$B$25+Inputs!$B$29,IF(Skills!C12=2,90+Inputs!$B$26+Inputs!$B$29,IF(Skills!C12=3,120+Inputs!$B$27+Inputs!$B$29,MAX(0,(Inputs!$B$3-100)*3)+Inputs!$B$28+Inputs!$B$29)))</f>
        <v/>
      </c>
      <c r="E356">
        <f>INDEX(FactorTable!$B$2:$Y$301, MATCH(ROUND(MIN(300,MAX(1,D356)),0), FactorTable!$A$2:$A$301,0), Skills!M12+1)</f>
        <v/>
      </c>
      <c r="F356">
        <f>IF(Skills!N12=TRUE,(Skills!L12/10)*(E356/1000),Skills!L12/10)+Skills!O12</f>
        <v/>
      </c>
      <c r="G356" t="inlineStr"/>
      <c r="H356" t="inlineStr"/>
      <c r="I356" t="inlineStr">
        <is>
          <t>1</t>
        </is>
      </c>
      <c r="J356" t="inlineStr"/>
      <c r="K356" t="inlineStr"/>
      <c r="L356" t="inlineStr"/>
      <c r="M356" t="inlineStr"/>
      <c r="N356" t="inlineStr"/>
      <c r="O356" t="inlineStr"/>
      <c r="P356" t="inlineStr"/>
      <c r="Q356" t="inlineStr"/>
      <c r="R356" t="inlineStr"/>
      <c r="S356" t="inlineStr"/>
      <c r="T356" t="inlineStr"/>
      <c r="V356" t="inlineStr"/>
    </row>
    <row r="357">
      <c r="A357">
        <f>Skills!A13</f>
        <v/>
      </c>
      <c r="B357">
        <f>Skills!B13</f>
        <v/>
      </c>
      <c r="C357">
        <f>Inputs!$B$3&gt;=66</f>
        <v/>
      </c>
      <c r="D357">
        <f>IF(Skills!C13=1,60+Inputs!$B$25+Inputs!$B$29,IF(Skills!C13=2,90+Inputs!$B$26+Inputs!$B$29,IF(Skills!C13=3,120+Inputs!$B$27+Inputs!$B$29,MAX(0,(Inputs!$B$3-100)*3)+Inputs!$B$28+Inputs!$B$29)))</f>
        <v/>
      </c>
      <c r="E357">
        <f>INDEX(FactorTable!$B$2:$Y$301, MATCH(ROUND(MIN(300,MAX(1,D357)),0), FactorTable!$A$2:$A$301,0), Skills!M13+1)</f>
        <v/>
      </c>
      <c r="F357">
        <f>IF(Skills!N13=TRUE,(Skills!L13/10)*(E357/1000),Skills!L13/10)+Skills!O13</f>
        <v/>
      </c>
      <c r="G357">
        <f>Skills!G13*IF(Skills!H13&gt;0,Skills!I13/Skills!H13,1)</f>
        <v/>
      </c>
      <c r="H357">
        <f>1-(1-Skills!J13/100)^Skills!K13</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Skills!A14</f>
        <v/>
      </c>
      <c r="B358">
        <f>Skills!B14</f>
        <v/>
      </c>
      <c r="C358">
        <f>Inputs!$B$3&gt;=107</f>
        <v/>
      </c>
      <c r="D358">
        <f>IF(Skills!C14=1,60+Inputs!$B$25+Inputs!$B$29,IF(Skills!C14=2,90+Inputs!$B$26+Inputs!$B$29,IF(Skills!C14=3,120+Inputs!$B$27+Inputs!$B$29,MAX(0,(Inputs!$B$3-100)*3)+Inputs!$B$28+Inputs!$B$29)))</f>
        <v/>
      </c>
      <c r="E358">
        <f>INDEX(FactorTable!$B$2:$Y$301, MATCH(ROUND(MIN(300,MAX(1,D358)),0), FactorTable!$A$2:$A$301,0), Skills!M14+1)</f>
        <v/>
      </c>
      <c r="F358">
        <f>IF(Skills!N14=TRUE,(Skills!L14/10)*(E358/1000),Skills!L14/10)+Skills!O14</f>
        <v/>
      </c>
      <c r="G358">
        <f>Skills!G14*IF(Skills!H14&gt;0,Skills!I14/Skills!H14,1)</f>
        <v/>
      </c>
      <c r="H358">
        <f>1-(1-Skills!J14/100)^Skills!K14</f>
        <v/>
      </c>
      <c r="I358" t="inlineStr">
        <is>
          <t>1</t>
        </is>
      </c>
      <c r="J358" t="inlineStr"/>
      <c r="K358" t="inlineStr"/>
      <c r="L358" t="inlineStr"/>
      <c r="M358" t="inlineStr"/>
      <c r="N358" t="inlineStr"/>
      <c r="O358">
        <f>(1-Summary!$B$11)*T358+Summary!$B$11*V358</f>
        <v/>
      </c>
      <c r="P358">
        <f>IF(B380=0,0,O358/B380)</f>
        <v/>
      </c>
      <c r="Q358" t="n">
        <v>0</v>
      </c>
      <c r="R358" t="n">
        <v>0</v>
      </c>
      <c r="S358">
        <f>IFERROR(O358/N358,0)</f>
        <v/>
      </c>
      <c r="T358" t="n">
        <v>0</v>
      </c>
      <c r="V358" t="n">
        <v>0</v>
      </c>
    </row>
    <row r="359">
      <c r="A359">
        <f>Skills!A15</f>
        <v/>
      </c>
      <c r="B359">
        <f>Skills!B15</f>
        <v/>
      </c>
      <c r="C359">
        <f>Inputs!$B$3&gt;=115</f>
        <v/>
      </c>
      <c r="D359">
        <f>IF(Skills!C15=1,60+Inputs!$B$25+Inputs!$B$29,IF(Skills!C15=2,90+Inputs!$B$26+Inputs!$B$29,IF(Skills!C15=3,120+Inputs!$B$27+Inputs!$B$29,MAX(0,(Inputs!$B$3-100)*3)+Inputs!$B$28+Inputs!$B$29)))</f>
        <v/>
      </c>
      <c r="E359">
        <f>INDEX(FactorTable!$B$2:$Y$301, MATCH(ROUND(MIN(300,MAX(1,D359)),0), FactorTable!$A$2:$A$301,0), Skills!M15+1)</f>
        <v/>
      </c>
      <c r="F359">
        <f>IF(Skills!N15=TRUE,(Skills!L15/10)*(E359/1000),Skills!L15/10)+Skills!O15</f>
        <v/>
      </c>
      <c r="G359">
        <f>Skills!G15*IF(Skills!H15&gt;0,Skills!I15/Skills!H15,1)</f>
        <v/>
      </c>
      <c r="H359">
        <f>1-(1-Skills!J15/100)^Skills!K15</f>
        <v/>
      </c>
      <c r="I359" t="inlineStr">
        <is>
          <t>1</t>
        </is>
      </c>
      <c r="J359" t="inlineStr"/>
      <c r="K359" t="inlineStr"/>
      <c r="L359" t="inlineStr"/>
      <c r="M359" t="inlineStr"/>
      <c r="N359" t="inlineStr"/>
      <c r="O359">
        <f>(1-Summary!$B$11)*T359+Summary!$B$11*V359</f>
        <v/>
      </c>
      <c r="P359">
        <f>IF(B380=0,0,O359/B380)</f>
        <v/>
      </c>
      <c r="Q359" t="n">
        <v>0</v>
      </c>
      <c r="R359" t="n">
        <v>0</v>
      </c>
      <c r="S359">
        <f>IFERROR(O359/N359,0)</f>
        <v/>
      </c>
      <c r="T359" t="n">
        <v>0</v>
      </c>
      <c r="V359" t="n">
        <v>0</v>
      </c>
    </row>
    <row r="360">
      <c r="A360">
        <f>Skills!A16</f>
        <v/>
      </c>
      <c r="B360">
        <f>Skills!B16</f>
        <v/>
      </c>
      <c r="C360">
        <f>Inputs!$B$3&gt;=15</f>
        <v/>
      </c>
      <c r="D360">
        <f>IF(Skills!C16=1,60+Inputs!$B$25+Inputs!$B$29,IF(Skills!C16=2,90+Inputs!$B$26+Inputs!$B$29,IF(Skills!C16=3,120+Inputs!$B$27+Inputs!$B$29,MAX(0,(Inputs!$B$3-100)*3)+Inputs!$B$28+Inputs!$B$29)))</f>
        <v/>
      </c>
      <c r="E360">
        <f>INDEX(FactorTable!$B$2:$Y$301, MATCH(ROUND(MIN(300,MAX(1,D360)),0), FactorTable!$A$2:$A$301,0), Skills!M16+1)</f>
        <v/>
      </c>
      <c r="F360">
        <f>IF(Skills!N16=TRUE,(Skills!L16/10)*(E360/1000),Skills!L16/10)+Skills!O16</f>
        <v/>
      </c>
      <c r="G360">
        <f>Skills!G16*IF(Skills!H16&gt;0,Skills!I16/Skills!H16,1)</f>
        <v/>
      </c>
      <c r="H360">
        <f>1-(1-Skills!J16/100)^Skills!K16</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Skills!A17</f>
        <v/>
      </c>
      <c r="B361">
        <f>Skills!B17</f>
        <v/>
      </c>
      <c r="C361">
        <f>Inputs!$B$3&gt;=10</f>
        <v/>
      </c>
      <c r="D361">
        <f>IF(Skills!C17=1,60+Inputs!$B$25+Inputs!$B$29,IF(Skills!C17=2,90+Inputs!$B$26+Inputs!$B$29,IF(Skills!C17=3,120+Inputs!$B$27+Inputs!$B$29,MAX(0,(Inputs!$B$3-100)*3)+Inputs!$B$28+Inputs!$B$29)))</f>
        <v/>
      </c>
      <c r="E361">
        <f>INDEX(FactorTable!$B$2:$Y$301, MATCH(ROUND(MIN(300,MAX(1,D361)),0), FactorTable!$A$2:$A$301,0), Skills!M17+1)</f>
        <v/>
      </c>
      <c r="F361">
        <f>IF(Skills!N17=TRUE,(Skills!L17/10)*(E361/1000),Skills!L17/10)+Skills!O17</f>
        <v/>
      </c>
      <c r="G361">
        <f>Skills!G17*IF(Skills!H17&gt;0,Skills!I17/Skills!H17,1)</f>
        <v/>
      </c>
      <c r="H361">
        <f>1-(1-Skills!J17/100)^Skills!K17</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Skills!A18</f>
        <v/>
      </c>
      <c r="B362">
        <f>Skills!B18</f>
        <v/>
      </c>
      <c r="C362">
        <f>Inputs!$B$3&gt;=33</f>
        <v/>
      </c>
      <c r="D362">
        <f>IF(Skills!C18=1,60+Inputs!$B$25+Inputs!$B$29,IF(Skills!C18=2,90+Inputs!$B$26+Inputs!$B$29,IF(Skills!C18=3,120+Inputs!$B$27+Inputs!$B$29,MAX(0,(Inputs!$B$3-100)*3)+Inputs!$B$28+Inputs!$B$29)))</f>
        <v/>
      </c>
      <c r="E362">
        <f>INDEX(FactorTable!$B$2:$Y$301, MATCH(ROUND(MIN(300,MAX(1,D362)),0), FactorTable!$A$2:$A$301,0), Skills!M18+1)</f>
        <v/>
      </c>
      <c r="F362">
        <f>IF(Skills!N18=TRUE,(Skills!L18/10)*(E362/1000),Skills!L18/10)+Skills!O18</f>
        <v/>
      </c>
      <c r="G362">
        <f>Skills!G18*IF(Skills!H18&gt;0,Skills!I18/Skills!H18,1)</f>
        <v/>
      </c>
      <c r="H362">
        <f>1-(1-Skills!J18/100)^Skills!K18</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Skills!A19</f>
        <v/>
      </c>
      <c r="B363">
        <f>Skills!B19</f>
        <v/>
      </c>
      <c r="C363">
        <f>Inputs!$B$3&gt;=40</f>
        <v/>
      </c>
      <c r="D363">
        <f>IF(Skills!C19=1,60+Inputs!$B$25+Inputs!$B$29,IF(Skills!C19=2,90+Inputs!$B$26+Inputs!$B$29,IF(Skills!C19=3,120+Inputs!$B$27+Inputs!$B$29,MAX(0,(Inputs!$B$3-100)*3)+Inputs!$B$28+Inputs!$B$29)))</f>
        <v/>
      </c>
      <c r="E363">
        <f>INDEX(FactorTable!$B$2:$Y$301, MATCH(ROUND(MIN(300,MAX(1,D363)),0), FactorTable!$A$2:$A$301,0), Skills!M19+1)</f>
        <v/>
      </c>
      <c r="F363">
        <f>IF(Skills!N19=TRUE,(Skills!L19/10)*(E363/1000),Skills!L19/10)+Skills!O19</f>
        <v/>
      </c>
      <c r="G363">
        <f>Skills!G19*IF(Skills!H19&gt;0,Skills!I19/Skills!H19,1)</f>
        <v/>
      </c>
      <c r="H363">
        <f>1-(1-Skills!J19/100)^Skills!K19</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Skills!A20</f>
        <v/>
      </c>
      <c r="B364">
        <f>Skills!B20</f>
        <v/>
      </c>
      <c r="C364">
        <f>Inputs!$B$3&gt;=43</f>
        <v/>
      </c>
      <c r="D364">
        <f>IF(Skills!C20=1,60+Inputs!$B$25+Inputs!$B$29,IF(Skills!C20=2,90+Inputs!$B$26+Inputs!$B$29,IF(Skills!C20=3,120+Inputs!$B$27+Inputs!$B$29,MAX(0,(Inputs!$B$3-100)*3)+Inputs!$B$28+Inputs!$B$29)))</f>
        <v/>
      </c>
      <c r="E364">
        <f>INDEX(FactorTable!$B$2:$Y$301, MATCH(ROUND(MIN(300,MAX(1,D364)),0), FactorTable!$A$2:$A$301,0), Skills!M20+1)</f>
        <v/>
      </c>
      <c r="F364">
        <f>IF(Skills!N20=TRUE,(Skills!L20/10)*(E364/1000),Skills!L20/10)+Skills!O20</f>
        <v/>
      </c>
      <c r="G364">
        <f>Skills!G20*IF(Skills!H20&gt;0,Skills!I20/Skills!H20,1)</f>
        <v/>
      </c>
      <c r="H364">
        <f>1-(1-Skills!J20/100)^Skills!K20</f>
        <v/>
      </c>
      <c r="I364" t="inlineStr">
        <is>
          <t>1</t>
        </is>
      </c>
      <c r="J364" t="inlineStr"/>
      <c r="K364" t="inlineStr"/>
      <c r="L364" t="inlineStr"/>
      <c r="M364" t="inlineStr"/>
      <c r="N364" t="inlineStr"/>
      <c r="O364">
        <f>(1-Summary!$B$11)*T364+Summary!$B$11*V364</f>
        <v/>
      </c>
      <c r="P364">
        <f>IF(B380=0,0,O364/B380)</f>
        <v/>
      </c>
      <c r="Q364" t="n">
        <v>0</v>
      </c>
      <c r="R364" t="n">
        <v>0</v>
      </c>
      <c r="S364">
        <f>IFERROR(O364/N364,0)</f>
        <v/>
      </c>
      <c r="T364" t="n">
        <v>0</v>
      </c>
      <c r="V364" t="n">
        <v>0</v>
      </c>
    </row>
    <row r="365">
      <c r="A365">
        <f>Skills!A21</f>
        <v/>
      </c>
      <c r="B365">
        <f>Skills!B21</f>
        <v/>
      </c>
      <c r="C365">
        <f>Inputs!$B$3&gt;=38</f>
        <v/>
      </c>
      <c r="D365">
        <f>IF(Skills!C21=1,60+Inputs!$B$25+Inputs!$B$29,IF(Skills!C21=2,90+Inputs!$B$26+Inputs!$B$29,IF(Skills!C21=3,120+Inputs!$B$27+Inputs!$B$29,MAX(0,(Inputs!$B$3-100)*3)+Inputs!$B$28+Inputs!$B$29)))</f>
        <v/>
      </c>
      <c r="E365">
        <f>INDEX(FactorTable!$B$2:$Y$301, MATCH(ROUND(MIN(300,MAX(1,D365)),0), FactorTable!$A$2:$A$301,0), Skills!M21+1)</f>
        <v/>
      </c>
      <c r="F365">
        <f>IF(Skills!N21=TRUE,(Skills!L21/10)*(E365/1000),Skills!L21/10)+Skills!O21</f>
        <v/>
      </c>
      <c r="G365">
        <f>Skills!G21*IF(Skills!H21&gt;0,Skills!I21/Skills!H21,1)</f>
        <v/>
      </c>
      <c r="H365">
        <f>1-(1-Skills!J21/100)^Skills!K21</f>
        <v/>
      </c>
      <c r="I365" t="inlineStr">
        <is>
          <t>1</t>
        </is>
      </c>
      <c r="J365" t="inlineStr"/>
      <c r="K365" t="inlineStr"/>
      <c r="L365" t="inlineStr"/>
      <c r="M365" t="inlineStr"/>
      <c r="N365" t="inlineStr"/>
      <c r="O365">
        <f>(1-Summary!$B$11)*T365+Summary!$B$11*V365</f>
        <v/>
      </c>
      <c r="P365">
        <f>IF(B380=0,0,O365/B380)</f>
        <v/>
      </c>
      <c r="Q365" t="n">
        <v>0</v>
      </c>
      <c r="R365" t="n">
        <v>0</v>
      </c>
      <c r="S365">
        <f>IFERROR(O365/N365,0)</f>
        <v/>
      </c>
      <c r="T365" t="n">
        <v>0</v>
      </c>
      <c r="V365" t="n">
        <v>0</v>
      </c>
    </row>
    <row r="366">
      <c r="A366">
        <f>Skills!A22</f>
        <v/>
      </c>
      <c r="B366">
        <f>Skills!B22</f>
        <v/>
      </c>
      <c r="C366">
        <f>Inputs!$B$3&gt;=75</f>
        <v/>
      </c>
      <c r="D366">
        <f>IF(Skills!C22=1,60+Inputs!$B$25+Inputs!$B$29,IF(Skills!C22=2,90+Inputs!$B$26+Inputs!$B$29,IF(Skills!C22=3,120+Inputs!$B$27+Inputs!$B$29,MAX(0,(Inputs!$B$3-100)*3)+Inputs!$B$28+Inputs!$B$29)))</f>
        <v/>
      </c>
      <c r="E366">
        <f>INDEX(FactorTable!$B$2:$Y$301, MATCH(ROUND(MIN(300,MAX(1,D366)),0), FactorTable!$A$2:$A$301,0), Skills!M22+1)</f>
        <v/>
      </c>
      <c r="F366">
        <f>IF(Skills!N22=TRUE,(Skills!L22/10)*(E366/1000),Skills!L22/10)+Skills!O22</f>
        <v/>
      </c>
      <c r="G366">
        <f>Skills!G22*IF(Skills!H22&gt;0,Skills!I22/Skills!H22,1)</f>
        <v/>
      </c>
      <c r="H366">
        <f>1-(1-Skills!J22/100)^Skills!K22</f>
        <v/>
      </c>
      <c r="I366" t="inlineStr">
        <is>
          <t>1</t>
        </is>
      </c>
      <c r="J366" t="inlineStr"/>
      <c r="K366" t="inlineStr"/>
      <c r="L366" t="inlineStr"/>
      <c r="M366" t="inlineStr"/>
      <c r="N366" t="inlineStr"/>
      <c r="O366">
        <f>(1-Summary!$B$11)*T366+Summary!$B$11*V366</f>
        <v/>
      </c>
      <c r="P366">
        <f>IF(B380=0,0,O366/B380)</f>
        <v/>
      </c>
      <c r="Q366" t="n">
        <v>0</v>
      </c>
      <c r="R366" t="n">
        <v>0</v>
      </c>
      <c r="S366">
        <f>IFERROR(O366/N366,0)</f>
        <v/>
      </c>
      <c r="T366" t="n">
        <v>0</v>
      </c>
      <c r="V366" t="n">
        <v>0</v>
      </c>
    </row>
    <row r="367">
      <c r="A367">
        <f>Skills!A23</f>
        <v/>
      </c>
      <c r="B367">
        <f>Skills!B23</f>
        <v/>
      </c>
      <c r="C367">
        <f>TRUE</f>
        <v/>
      </c>
      <c r="D367">
        <f>IF(Skills!C23=1,60+Inputs!$B$25+Inputs!$B$29,IF(Skills!C23=2,90+Inputs!$B$26+Inputs!$B$29,IF(Skills!C23=3,120+Inputs!$B$27+Inputs!$B$29,MAX(0,(Inputs!$B$3-100)*3)+Inputs!$B$28+Inputs!$B$29)))</f>
        <v/>
      </c>
      <c r="E367">
        <f>INDEX(FactorTable!$B$2:$Y$301, MATCH(ROUND(MIN(300,MAX(1,D367)),0), FactorTable!$A$2:$A$301,0), Skills!M23+1)</f>
        <v/>
      </c>
      <c r="F367">
        <f>IF(Skills!N23=TRUE,(Skills!L23/10)*(E367/1000),Skills!L23/10)+Skills!O23</f>
        <v/>
      </c>
      <c r="G367">
        <f>Skills!G23*IF(Skills!H23&gt;0,Skills!I23/Skills!H23,1)</f>
        <v/>
      </c>
      <c r="H367">
        <f>1-(1-Skills!J23/100)^Skills!K23</f>
        <v/>
      </c>
      <c r="I367" t="inlineStr">
        <is>
          <t>1</t>
        </is>
      </c>
      <c r="J367" t="inlineStr"/>
      <c r="K367" t="inlineStr"/>
      <c r="L367" t="inlineStr"/>
      <c r="M367" t="inlineStr"/>
      <c r="N367" t="inlineStr"/>
      <c r="O367">
        <f>(1-Summary!$B$11)*T367+Summary!$B$11*V367</f>
        <v/>
      </c>
      <c r="P367">
        <f>IF(B380=0,0,O367/B380)</f>
        <v/>
      </c>
      <c r="Q367">
        <f>IFERROR(1/(IF(Inputs!$B$38="pvp",15,MAX(0.1,Skills!D23-IF(Skills!E23=TRUE,Inputs!$B$32,0)))*(1-IF(AND(ArtifactsInput!$M$27,Inputs!$B$4="Chapter Hunt"),CHOOSE(ArtifactsInput!$N$27+1,20,24,28,32,36,40),0)/100)),0)</f>
        <v/>
      </c>
      <c r="R367">
        <f>IF(AND(Inputs!$B$38&lt;&gt;"pvp",Inputs!$B$43&gt;0),IF(Inputs!$B$43&lt;=0,0,(INT(Inputs!$B$43/(IF(Inputs!$B$38="pvp",15,MAX(0.1,Skills!D23-IF(Skills!E23=TRUE,Inputs!$B$32,0)))*(1-IF(AND(ArtifactsInput!$M$27,Inputs!$B$4="Chapter Hunt"),CHOOSE(ArtifactsInput!$N$27+1,20,24,28,32,36,40),0)/100)))+1)),0)</f>
        <v/>
      </c>
      <c r="S367">
        <f>IFERROR(O367/N367,0)</f>
        <v/>
      </c>
      <c r="T367" t="n">
        <v>0</v>
      </c>
      <c r="V367" t="n">
        <v>0</v>
      </c>
    </row>
    <row r="369">
      <c r="A369" t="inlineStr">
        <is>
          <t>Attack% Bucket Multiplier</t>
        </is>
      </c>
      <c r="B369">
        <f>(1+(((C357=TRUE)*F357*5/7)+((C363=TRUE)*(F363-Calc!F19))+(IF(ArtifactsInput!$M$21,CHOOSE(ArtifactsInput!$N$21+1,25,30,35,40,45,50)*(IF(OR(Inputs!$B$4="Chapter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duty-cycle averaged)</t>
        </is>
      </c>
      <c r="B371">
        <f>((C367=TRUE)*F367*IF(AND(Inputs!$B$38&lt;&gt;"pvp",Inputs!$B$43&gt;0),(((R367-1)*(Skills!T23*(1+Inputs!$B$34/100))+MIN((Skills!T23*(1+Inputs!$B$34/100)),MAX(0,Inputs!$B$43-((R367-1)*Skills!D23))))/Inputs!$B$43),IF(Inputs!$B$38="pvp",MIN((Skills!T23*(1+Inputs!$B$34/100)),15)/15,(Skills!T23*(1+Inputs!$B$34/100))/Skills!D23)))</f>
        <v/>
      </c>
    </row>
    <row r="372">
      <c r="A372" t="inlineStr">
        <is>
          <t>Actions Per Second</t>
        </is>
      </c>
      <c r="B372">
        <f>1+MIN(150,150*(1-(1-(Inputs!$B$11+((C361=TRUE)*(F361-Calc!F17))+((C362=TRUE)*(F362-Calc!F18)))/150)*(1-B371/150)))/100</f>
        <v/>
      </c>
    </row>
    <row r="373">
      <c r="A373" t="inlineStr">
        <is>
          <t>Skill + Buff Cast Rate</t>
        </is>
      </c>
      <c r="B373">
        <f>IF(AND(Inputs!$B$38&lt;&gt;"pvp",Inputs!$B$43&gt;0),SUMPRODUCT((Skills!E2:E23=TRUE)*(C346:C367=TRUE)*R346:R367*Skills!F2:F23)/Inputs!$B$43,SUMPRODUCT((Skills!E2:E23=TRUE)*(C346:C367=TRUE)*Q346:Q367*Skills!F2:F23))</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((C349=TRUE)*F349*((10+IF(Inputs!$B$3&gt;=94,5,0))/((10+IF(Inputs!$B$3&gt;=94,5,0))+5/(B374*(1+IF(Inputs!$B$3&gt;=104,1,0))))))+((C358=TRUE)*F358)+((C359=TRUE)*F359)+((Inputs!$B$3&gt;=110)*20*(B372-1))</f>
        <v/>
      </c>
    </row>
    <row r="377">
      <c r="A377" t="inlineStr">
        <is>
          <t>Buff-Casting Startup Delay (s, fixed-duration only)</t>
        </is>
      </c>
      <c r="B377">
        <f>IF(AND(Inputs!$B$38&lt;&gt;"pvp",Inputs!$B$43&gt;0),SUMPRODUCT((Skills!T2:T23&gt;0)*(Skills!E2:E23=TRUE)*(C346:C367=TRUE))/B372,0)</f>
        <v/>
      </c>
    </row>
    <row r="378">
      <c r="A378" t="inlineStr">
        <is>
          <t>Boss-Only Total DPS (this block's swept value)</t>
        </is>
      </c>
      <c r="B378">
        <f>SUM(T346:T367)</f>
        <v/>
      </c>
    </row>
    <row r="379">
      <c r="A379" t="inlineStr">
        <is>
          <t>Normal-Only Total DPS (this block's swept value)</t>
        </is>
      </c>
      <c r="B379">
        <f>SUM(V346:V367)</f>
        <v/>
      </c>
    </row>
    <row r="380">
      <c r="A380" s="6" t="inlineStr">
        <is>
          <t>TOTAL DPS</t>
        </is>
      </c>
      <c r="B380" s="6">
        <f>SUM(O346:O367)</f>
        <v/>
      </c>
    </row>
    <row r="383">
      <c r="A383" s="6" t="inlineStr">
        <is>
          <t>Stat: MIN_DAMAGE %</t>
        </is>
      </c>
    </row>
    <row r="384">
      <c r="A384" s="5" t="inlineStr">
        <is>
          <t>Key</t>
        </is>
      </c>
      <c r="B384" s="5" t="inlineStr">
        <is>
          <t>Name</t>
        </is>
      </c>
      <c r="C384" s="5" t="inlineStr">
        <is>
          <t>Unlocked</t>
        </is>
      </c>
      <c r="D384" s="5" t="inlineStr">
        <is>
          <t>InputLevel</t>
        </is>
      </c>
      <c r="E384" s="5" t="inlineStr">
        <is>
          <t>Factor</t>
        </is>
      </c>
      <c r="F384" s="5" t="inlineStr">
        <is>
          <t>CoefficientPercent</t>
        </is>
      </c>
      <c r="G384" s="5" t="inlineStr">
        <is>
          <t>EffectiveHits</t>
        </is>
      </c>
      <c r="H384" s="5" t="inlineStr">
        <is>
          <t>ProcProbability</t>
        </is>
      </c>
      <c r="I384" s="5" t="inlineStr">
        <is>
          <t>MapleHeroMultiplier</t>
        </is>
      </c>
      <c r="J384" s="5" t="inlineStr">
        <is>
          <t>BaseDamage</t>
        </is>
      </c>
      <c r="K384" s="5" t="inlineStr">
        <is>
          <t>BaseHitDamage</t>
        </is>
      </c>
      <c r="L384" s="5" t="inlineStr">
        <is>
          <t>NonCritAvg</t>
        </is>
      </c>
      <c r="M384" s="5" t="inlineStr">
        <is>
          <t>CritAvg</t>
        </is>
      </c>
      <c r="N384" s="5" t="inlineStr">
        <is>
          <t>ExpectedDamage(perHit)</t>
        </is>
      </c>
      <c r="O384" s="5" t="inlineStr">
        <is>
          <t>DPS</t>
        </is>
      </c>
      <c r="P384" s="5" t="inlineStr">
        <is>
          <t>% of Total</t>
        </is>
      </c>
      <c r="Q384" s="5" t="inlineStr">
        <is>
          <t>InvCooldown</t>
        </is>
      </c>
      <c r="R384" s="5" t="inlineStr">
        <is>
          <t>CastsInFight</t>
        </is>
      </c>
      <c r="S384" s="5" t="inlineStr">
        <is>
          <t>HitRate(perSec)</t>
        </is>
      </c>
      <c r="U384" t="inlineStr">
        <is>
          <t>helpers</t>
        </is>
      </c>
    </row>
    <row r="385">
      <c r="A385">
        <f>Skills!A2</f>
        <v/>
      </c>
      <c r="B385">
        <f>Skills!B2</f>
        <v/>
      </c>
      <c r="C385">
        <f>Inputs!$B$3&gt;=100</f>
        <v/>
      </c>
      <c r="D385" t="inlineStr"/>
      <c r="E385" t="inlineStr"/>
      <c r="F385">
        <f>U387+Skills!O2</f>
        <v/>
      </c>
      <c r="G385">
        <f>Skills!G2*IF(Skills!H2&gt;0,Skills!I2/Skills!H2,1)</f>
        <v/>
      </c>
      <c r="H385">
        <f>1-(1-Skills!J2/100)^Skills!K2</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403=TRUE)*(F403-Calc!F20)),(Inputs!$B$23+0+(IF(ArtifactsInput!$M$15,CHOOSE(ArtifactsInput!$N$15+1,25,30,35,40,45,50)/100*(Inputs!$B$11-Inputs!$B$11),0))))/100+(Inputs!$B$23+0+(IF(ArtifactsInput!$M$15,CHOOSE(ArtifactsInput!$N$15+1,25,30,35,40,45,50)/100*(Inputs!$B$11-Inputs!$B$11),0)))/100)/2</f>
        <v/>
      </c>
      <c r="M385">
        <f>L385*(1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IF(B419=0,0,O385/B419)</f>
        <v/>
      </c>
      <c r="Q385" t="n">
        <v>0</v>
      </c>
      <c r="R385" t="n">
        <v>0</v>
      </c>
      <c r="S385">
        <f>IFERROR(O385/N385,0)</f>
        <v/>
      </c>
      <c r="T385">
        <f>IF(C385,(Skills!G2*N385*B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MAX(0,(Inputs!$B$3-100)*3)+Inputs!$B$28+Inputs!$B$29</f>
        <v/>
      </c>
      <c r="V385">
        <f>IF(C385,(Skills!G2*N385*B413)*IF(Inputs!$B$38="pvp",1,(1+(Inputs!$B$21+Skills!Q2+(IF(ArtifactsInput!$M$33,CHOOSE(ArtifactsInput!$N$33+1,30,36,42,48,54,60),0))+(IF(AND(ArtifactsInput!$M$35,Inputs!$B$4&lt;&gt;"Chapter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Skills!A3</f>
        <v/>
      </c>
      <c r="B386">
        <f>Skills!B3</f>
        <v/>
      </c>
      <c r="C386">
        <f>Inputs!$B$3&gt;=35</f>
        <v/>
      </c>
      <c r="D386">
        <f>IF(Skills!C3=1,60+Inputs!$B$25+Inputs!$B$29,IF(Skills!C3=2,90+Inputs!$B$26+Inputs!$B$29,IF(Skills!C3=3,120+Inputs!$B$27+Inputs!$B$29,MAX(0,(Inputs!$B$3-100)*3)+Inputs!$B$28+Inputs!$B$29)))</f>
        <v/>
      </c>
      <c r="E386">
        <f>INDEX(FactorTable!$B$2:$Y$301, MATCH(ROUND(MIN(300,MAX(1,D386)),0), FactorTable!$A$2:$A$301,0), Skills!M3+1)</f>
        <v/>
      </c>
      <c r="F386">
        <f>IF(Skills!N3=TRUE,(Skills!L3/10)*(E386/1000),Skills!L3/10)+Skills!O3</f>
        <v/>
      </c>
      <c r="G386">
        <f>Skills!G3*IF(Skills!H3&gt;0,Skills!I3/Skills!H3,1)</f>
        <v/>
      </c>
      <c r="H386">
        <f>1-(1-Skills!J3/100)^Skills!K3</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403=TRUE)*(F403-Calc!F20)),(Inputs!$B$23+0+(IF(ArtifactsInput!$M$15,CHOOSE(ArtifactsInput!$N$15+1,25,30,35,40,45,50)/100*(Inputs!$B$11-Inputs!$B$11),0))))/100+(Inputs!$B$23+0+(IF(ArtifactsInput!$M$15,CHOOSE(ArtifactsInput!$N$15+1,25,30,35,40,45,50)/100*(Inputs!$B$11-Inputs!$B$11),0)))/100)/2</f>
        <v/>
      </c>
      <c r="M386">
        <f>L386*(1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IF(B419=0,0,O386/B419)</f>
        <v/>
      </c>
      <c r="Q386" t="n">
        <v>0</v>
      </c>
      <c r="R386" t="n">
        <v>0</v>
      </c>
      <c r="S386">
        <f>IFERROR(O386/N386,0)</f>
        <v/>
      </c>
      <c r="T386">
        <f>IF(C386,(Skills!G3*H386*N386*B413)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INDEX(FactorTable!$B$2:$Y$301, MATCH(ROUND(MIN(300,MAX(1,U385)),0), FactorTable!$A$2:$A$301,0), 22)</f>
        <v/>
      </c>
      <c r="V386">
        <f>IF(C386,(Skills!G3*H386*N386*B413)*IF(Inputs!$B$38="pvp",1,(1+(Inputs!$B$21+Skills!Q3+(IF(ArtifactsInput!$M$33,CHOOSE(ArtifactsInput!$N$33+1,30,36,42,48,54,60),0))+(IF(AND(ArtifactsInput!$M$35,Inputs!$B$4&lt;&gt;"Chapter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Skills!A4</f>
        <v/>
      </c>
      <c r="B387">
        <f>Skills!B4</f>
        <v/>
      </c>
      <c r="C387">
        <f>Inputs!$B$3&gt;=60</f>
        <v/>
      </c>
      <c r="D387">
        <f>IF(Skills!C4=1,60+Inputs!$B$25+Inputs!$B$29,IF(Skills!C4=2,90+Inputs!$B$26+Inputs!$B$29,IF(Skills!C4=3,120+Inputs!$B$27+Inputs!$B$29,MAX(0,(Inputs!$B$3-100)*3)+Inputs!$B$28+Inputs!$B$29)))</f>
        <v/>
      </c>
      <c r="E387">
        <f>INDEX(FactorTable!$B$2:$Y$301, MATCH(ROUND(MIN(300,MAX(1,D387)),0), FactorTable!$A$2:$A$301,0), Skills!M4+1)</f>
        <v/>
      </c>
      <c r="F387">
        <f>IF(Skills!N4=TRUE,(Skills!L4/10)*(E387/1000),Skills!L4/10)+Skills!O4</f>
        <v/>
      </c>
      <c r="G387">
        <f>Skills!G4*IF(Skills!H4&gt;0,Skills!I4/Skills!H4,1)</f>
        <v/>
      </c>
      <c r="H387">
        <f>1-(1-Skills!J4/100)^Skills!K4</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C403=TRUE)*(F403-Calc!F20)),(Inputs!$B$23+0+(IF(ArtifactsInput!$M$15,CHOOSE(ArtifactsInput!$N$15+1,25,30,35,40,45,50)/100*(Inputs!$B$11-Inputs!$B$11),0))))/100+(Inputs!$B$23+0+(IF(ArtifactsInput!$M$15,CHOOSE(ArtifactsInput!$N$15+1,25,30,35,40,45,50)/100*(Inputs!$B$11-Inputs!$B$11),0)))/100)/2</f>
        <v/>
      </c>
      <c r="M387">
        <f>L387*(1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IF(B419=0,0,O387/B419)</f>
        <v/>
      </c>
      <c r="Q387" t="n">
        <v>0</v>
      </c>
      <c r="R387" t="n">
        <v>0</v>
      </c>
      <c r="S387">
        <f>IFERROR(O387/N387,0)</f>
        <v/>
      </c>
      <c r="T387">
        <f>IF(C387,(Skills!G4*H387*N387*B413)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290*U386/1000</f>
        <v/>
      </c>
      <c r="V387">
        <f>IF(C387,(Skills!G4*H387*N387*B413)*IF(Inputs!$B$38="pvp",1,(1+(Inputs!$B$21+Skills!Q4+(IF(ArtifactsInput!$M$33,CHOOSE(ArtifactsInput!$N$33+1,30,36,42,48,54,60),0))+(IF(AND(ArtifactsInput!$M$35,Inputs!$B$4&lt;&gt;"Chapter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Skills!A5</f>
        <v/>
      </c>
      <c r="B388">
        <f>Skills!B5</f>
        <v/>
      </c>
      <c r="C388">
        <f>Inputs!$B$3&gt;=60</f>
        <v/>
      </c>
      <c r="D388">
        <f>IF(Skills!C5=1,60+Inputs!$B$25+Inputs!$B$29,IF(Skills!C5=2,90+Inputs!$B$26+Inputs!$B$29,IF(Skills!C5=3,120+Inputs!$B$27+Inputs!$B$29,MAX(0,(Inputs!$B$3-100)*3)+Inputs!$B$28+Inputs!$B$29)))</f>
        <v/>
      </c>
      <c r="E388">
        <f>INDEX(FactorTable!$B$2:$Y$301, MATCH(ROUND(MIN(300,MAX(1,D388)),0), FactorTable!$A$2:$A$301,0), Skills!M5+1)</f>
        <v/>
      </c>
      <c r="F388">
        <f>IF(Skills!N5=TRUE,(Skills!L5/10)*(E388/1000),Skills!L5/10)+Skills!O5</f>
        <v/>
      </c>
      <c r="G388">
        <f>Skills!G5*IF(Skills!H5&gt;0,Skills!I5/Skills!H5,1)</f>
        <v/>
      </c>
      <c r="H388">
        <f>1-(1-Skills!J5/100)^Skills!K5</f>
        <v/>
      </c>
      <c r="I388" t="inlineStr">
        <is>
          <t>1</t>
        </is>
      </c>
      <c r="J388" t="inlineStr"/>
      <c r="K388" t="inlineStr"/>
      <c r="L388" t="inlineStr"/>
      <c r="M388" t="inlineStr"/>
      <c r="N388" t="inlineStr"/>
      <c r="O388">
        <f>(1-Summary!$B$11)*T388+Summary!$B$11*V388</f>
        <v/>
      </c>
      <c r="P388">
        <f>IF(B419=0,0,O388/B419)</f>
        <v/>
      </c>
      <c r="Q388" t="n">
        <v>0</v>
      </c>
      <c r="R388" t="n">
        <v>0</v>
      </c>
      <c r="S388">
        <f>IFERROR(O388/N388,0)</f>
        <v/>
      </c>
      <c r="T388" t="n">
        <v>0</v>
      </c>
      <c r="V388" t="n">
        <v>0</v>
      </c>
    </row>
    <row r="389">
      <c r="A389">
        <f>Skills!A6</f>
        <v/>
      </c>
      <c r="B389">
        <f>Skills!B6</f>
        <v/>
      </c>
      <c r="C389">
        <f>Inputs!$B$3&gt;=63</f>
        <v/>
      </c>
      <c r="D389">
        <f>IF(Skills!C6=1,60+Inputs!$B$25+Inputs!$B$29,IF(Skills!C6=2,90+Inputs!$B$26+Inputs!$B$29,IF(Skills!C6=3,120+Inputs!$B$27+Inputs!$B$29,MAX(0,(Inputs!$B$3-100)*3)+Inputs!$B$28+Inputs!$B$29)))</f>
        <v/>
      </c>
      <c r="E389">
        <f>INDEX(FactorTable!$B$2:$Y$301, MATCH(ROUND(MIN(300,MAX(1,D389)),0), FactorTable!$A$2:$A$301,0), Skills!M6+1)</f>
        <v/>
      </c>
      <c r="F389">
        <f>IF(Skills!N6=TRUE,(Skills!L6/10)*(E389/1000),Skills!L6/10)+Skills!O6</f>
        <v/>
      </c>
      <c r="G389">
        <f>Skills!G6*IF(Skills!H6&gt;0,Skills!I6/Skills!H6,1)</f>
        <v/>
      </c>
      <c r="H389">
        <f>1-(1-Skills!J6/100)^Skills!K6</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+1)+((C403=TRUE)*(F403-Calc!F20)),(Inputs!$B$23+0+(IF(ArtifactsInput!$M$15,CHOOSE(ArtifactsInput!$N$15+1,25,30,35,40,45,50)/100*(Inputs!$B$11-Inputs!$B$11),0))))/100+(Inputs!$B$23+0+(IF(ArtifactsInput!$M$15,CHOOSE(ArtifactsInput!$N$15+1,25,30,35,40,45,50)/100*(Inputs!$B$11-Inputs!$B$11),0)))/100)/2</f>
        <v/>
      </c>
      <c r="M389">
        <f>L389*(1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IF(B419=0,0,O389/B419)</f>
        <v/>
      </c>
      <c r="Q389">
        <f>IFERROR(1/(IF(Inputs!$B$38="pvp",15,MAX(0.1,Skills!D6-IF(Skills!E6=TRUE,Inputs!$B$32,0)))*(1-IF(AND(ArtifactsInput!$M$27,Inputs!$B$4="Chapter Hunt"),CHOOSE(ArtifactsInput!$N$27+1,20,24,28,32,36,40),0)/100)),0)</f>
        <v/>
      </c>
      <c r="R389">
        <f>IF(AND(Inputs!$B$38&lt;&gt;"pvp",Inputs!$B$43&gt;0),IF(MAX(0,Inputs!$B$43-B416)&lt;=0,0,(INT(MAX(0,Inputs!$B$43-B416)/(IF(Inputs!$B$38="pvp",15,MAX(0.1,Skills!D6-IF(Skills!E6=TRUE,Inputs!$B$32,0)))*(1-IF(AND(ArtifactsInput!$M$27,Inputs!$B$4="Chapter Hunt"),CHOOSE(ArtifactsInput!$N$27+1,20,24,28,32,36,40),0)/100)))+1)),0)</f>
        <v/>
      </c>
      <c r="S389">
        <f>IFERROR(O389/N389,0)</f>
        <v/>
      </c>
      <c r="T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$21+Skills!Q6+(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Skills!A7</f>
        <v/>
      </c>
      <c r="B390">
        <f>Skills!B7</f>
        <v/>
      </c>
      <c r="C390">
        <f>Inputs!$B$3&gt;=100</f>
        <v/>
      </c>
      <c r="D390">
        <f>IF(Skills!C7=1,60+Inputs!$B$25+Inputs!$B$29,IF(Skills!C7=2,90+Inputs!$B$26+Inputs!$B$29,IF(Skills!C7=3,120+Inputs!$B$27+Inputs!$B$29,MAX(0,(Inputs!$B$3-100)*3)+Inputs!$B$28+Inputs!$B$29)))</f>
        <v/>
      </c>
      <c r="E390">
        <f>INDEX(FactorTable!$B$2:$Y$301, MATCH(ROUND(MIN(300,MAX(1,D390)),0), FactorTable!$A$2:$A$301,0), Skills!M7+1)</f>
        <v/>
      </c>
      <c r="F390">
        <f>IF(Skills!N7=TRUE,(Skills!L7/10)*(E390/1000),Skills!L7/10)+Skills!O7</f>
        <v/>
      </c>
      <c r="G390">
        <f>Skills!G7*IF(Skills!H7&gt;0,Skills!I7/Skills!H7,1)</f>
        <v/>
      </c>
      <c r="H390">
        <f>1-(1-Skills!J7/100)^Skills!K7</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+1)+((C403=TRUE)*(F403-Calc!F20)),(Inputs!$B$23+0+(IF(ArtifactsInput!$M$15,CHOOSE(ArtifactsInput!$N$15+1,25,30,35,40,45,50)/100*(Inputs!$B$11-Inputs!$B$11),0))))/100+(Inputs!$B$23+0+(IF(ArtifactsInput!$M$15,CHOOSE(ArtifactsInput!$N$15+1,25,30,35,40,45,50)/100*(Inputs!$B$11-Inputs!$B$11),0)))/100)/2</f>
        <v/>
      </c>
      <c r="M390">
        <f>L390*(1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IF(B419=0,0,O390/B419)</f>
        <v/>
      </c>
      <c r="Q390">
        <f>IFERROR(1/(IF(Inputs!$B$38="pvp",15,MAX(0.1,Skills!D7-IF(Skills!E7=TRUE,Inputs!$B$32,0)))*(1-IF(AND(ArtifactsInput!$M$27,Inputs!$B$4="Chapter Hunt"),CHOOSE(ArtifactsInput!$N$27+1,20,24,28,32,36,40),0)/100)),0)</f>
        <v/>
      </c>
      <c r="R390">
        <f>IF(AND(Inputs!$B$38&lt;&gt;"pvp",Inputs!$B$43&gt;0),IF(MAX(0,Inputs!$B$43-B416)&lt;=0,0,(INT(MAX(0,Inputs!$B$43-B416)/(IF(Inputs!$B$38="pvp",15,MAX(0.1,Skills!D7-IF(Skills!E7=TRUE,Inputs!$B$32,0)))*(1-IF(AND(ArtifactsInput!$M$27,Inputs!$B$4="Chapter Hunt"),CHOOSE(ArtifactsInput!$N$27+1,20,24,28,32,36,40),0)/100)))+1)),0)</f>
        <v/>
      </c>
      <c r="S390">
        <f>IFERROR(O390/N390,0)</f>
        <v/>
      </c>
      <c r="T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$21+Skills!Q7+(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Skills!A8</f>
        <v/>
      </c>
      <c r="B391">
        <f>Skills!B8</f>
        <v/>
      </c>
      <c r="C391">
        <f>Inputs!$B$3&gt;=110</f>
        <v/>
      </c>
      <c r="D391">
        <f>IF(Skills!C8=1,60+Inputs!$B$25+Inputs!$B$29,IF(Skills!C8=2,90+Inputs!$B$26+Inputs!$B$29,IF(Skills!C8=3,120+Inputs!$B$27+Inputs!$B$29,MAX(0,(Inputs!$B$3-100)*3)+Inputs!$B$28+Inputs!$B$29)))</f>
        <v/>
      </c>
      <c r="E391">
        <f>INDEX(FactorTable!$B$2:$Y$301, MATCH(ROUND(MIN(300,MAX(1,D391)),0), FactorTable!$A$2:$A$301,0), Skills!M8+1)</f>
        <v/>
      </c>
      <c r="F391">
        <f>IF(Skills!N8=TRUE,(Skills!L8/10)*(E391/1000),Skills!L8/10)+Skills!O8</f>
        <v/>
      </c>
      <c r="G391">
        <f>Skills!G8*IF(Skills!H8&gt;0,Skills!I8/Skills!H8,1)</f>
        <v/>
      </c>
      <c r="H391">
        <f>1-(1-Skills!J8/100)^Skills!K8</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C403=TRUE)*(F403-Calc!F20)),(Inputs!$B$23+0+(IF(ArtifactsInput!$M$15,CHOOSE(ArtifactsInput!$N$15+1,25,30,35,40,45,50)/100*(Inputs!$B$11-Inputs!$B$11),0))))/100+(Inputs!$B$23+0+(IF(ArtifactsInput!$M$15,CHOOSE(ArtifactsInput!$N$15+1,25,30,35,40,45,50)/100*(Inputs!$B$11-Inputs!$B$11),0)))/100)/2</f>
        <v/>
      </c>
      <c r="M391">
        <f>L391*(1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IF(B419=0,0,O391/B419)</f>
        <v/>
      </c>
      <c r="Q391">
        <f>IFERROR(1/(IF(Inputs!$B$38="pvp",15,MAX(0.1,Skills!D8-IF(Skills!E8=TRUE,Inputs!$B$32,0)))*(1-IF(AND(ArtifactsInput!$M$27,Inputs!$B$4="Chapter Hunt"),CHOOSE(ArtifactsInput!$N$27+1,20,24,28,32,36,40),0)/100)),0)</f>
        <v/>
      </c>
      <c r="R391">
        <f>IF(AND(Inputs!$B$38&lt;&gt;"pvp",Inputs!$B$43&gt;0),IF(MAX(0,Inputs!$B$43-B416)&lt;=0,0,(INT(MAX(0,Inputs!$B$43-B416)/(IF(Inputs!$B$38="pvp",15,MAX(0.1,Skills!D8-IF(Skills!E8=TRUE,Inputs!$B$32,0)))*(1-IF(AND(ArtifactsInput!$M$27,Inputs!$B$4="Chapter Hunt"),CHOOSE(ArtifactsInput!$N$27+1,20,24,28,32,36,40),0)/100)))+1)),0)</f>
        <v/>
      </c>
      <c r="S391">
        <f>IFERROR(O391/N391,0)</f>
        <v/>
      </c>
      <c r="T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$21+Skills!Q8+(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Skills!A9</f>
        <v/>
      </c>
      <c r="B392">
        <f>Skills!B9</f>
        <v/>
      </c>
      <c r="C392">
        <f>Inputs!$B$3&gt;=110</f>
        <v/>
      </c>
      <c r="D392">
        <f>IF(Skills!C9=1,60+Inputs!$B$25+Inputs!$B$29,IF(Skills!C9=2,90+Inputs!$B$26+Inputs!$B$29,IF(Skills!C9=3,120+Inputs!$B$27+Inputs!$B$29,MAX(0,(Inputs!$B$3-100)*3)+Inputs!$B$28+Inputs!$B$29)))</f>
        <v/>
      </c>
      <c r="E392">
        <f>INDEX(FactorTable!$B$2:$Y$301, MATCH(ROUND(MIN(300,MAX(1,D392)),0), FactorTable!$A$2:$A$301,0), Skills!M9+1)</f>
        <v/>
      </c>
      <c r="F392">
        <f>IF(Skills!N9=TRUE,(Skills!L9/10)*(E392/1000),Skills!L9/10)+Skills!O9</f>
        <v/>
      </c>
      <c r="G392">
        <f>Skills!G9*IF(Skills!H9&gt;0,Skills!I9/Skills!H9,1)</f>
        <v/>
      </c>
      <c r="H392">
        <f>1-(1-Skills!J9/100)^Skills!K9</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C403=TRUE)*(F403-Calc!F20)),(Inputs!$B$23+0+(IF(ArtifactsInput!$M$15,CHOOSE(ArtifactsInput!$N$15+1,25,30,35,40,45,50)/100*(Inputs!$B$11-Inputs!$B$11),0))))/100+(Inputs!$B$23+0+(IF(ArtifactsInput!$M$15,CHOOSE(ArtifactsInput!$N$15+1,25,30,35,40,45,50)/100*(Inputs!$B$11-Inputs!$B$11),0)))/100)/2</f>
        <v/>
      </c>
      <c r="M392">
        <f>L392*(1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IF(B419=0,0,O392/B419)</f>
        <v/>
      </c>
      <c r="Q392">
        <f>IFERROR(1/(IF(Inputs!$B$38="pvp",15,MAX(0.1,Skills!D9-IF(Skills!E9=TRUE,Inputs!$B$32,0)))*(1-IF(AND(ArtifactsInput!$M$27,Inputs!$B$4="Chapter Hunt"),CHOOSE(ArtifactsInput!$N$27+1,20,24,28,32,36,40),0)/100)),0)</f>
        <v/>
      </c>
      <c r="R392">
        <f>IF(AND(Inputs!$B$38&lt;&gt;"pvp",Inputs!$B$43&gt;0),IF(MAX(0,Inputs!$B$43-B416)&lt;=0,0,(INT(MAX(0,Inputs!$B$43-B416)/(IF(Inputs!$B$38="pvp",15,MAX(0.1,Skills!D9-IF(Skills!E9=TRUE,Inputs!$B$32,0)))*(1-IF(AND(ArtifactsInput!$M$27,Inputs!$B$4="Chapter Hunt"),CHOOSE(ArtifactsInput!$N$27+1,20,24,28,32,36,40),0)/100)))+1)),0)</f>
        <v/>
      </c>
      <c r="S392">
        <f>IFERROR(O392/N392,0)</f>
        <v/>
      </c>
      <c r="T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$21+Skills!Q9+(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Skills!A10</f>
        <v/>
      </c>
      <c r="B393">
        <f>Skills!B10</f>
        <v/>
      </c>
      <c r="C393">
        <f>Inputs!$B$3&gt;=103</f>
        <v/>
      </c>
      <c r="D393">
        <f>IF(Skills!C10=1,60+Inputs!$B$25+Inputs!$B$29,IF(Skills!C10=2,90+Inputs!$B$26+Inputs!$B$29,IF(Skills!C10=3,120+Inputs!$B$27+Inputs!$B$29,MAX(0,(Inputs!$B$3-100)*3)+Inputs!$B$28+Inputs!$B$29)))</f>
        <v/>
      </c>
      <c r="E393">
        <f>INDEX(FactorTable!$B$2:$Y$301, MATCH(ROUND(MIN(300,MAX(1,D393)),0), FactorTable!$A$2:$A$301,0), Skills!M10+1)</f>
        <v/>
      </c>
      <c r="F393">
        <f>IF(Skills!N10=TRUE,(Skills!L10/10)*(E393/1000),Skills!L10/10)+Skills!O10</f>
        <v/>
      </c>
      <c r="G393">
        <f>Skills!G10*IF(Skills!H10&gt;0,Skills!I10/Skills!H10,1)</f>
        <v/>
      </c>
      <c r="H393">
        <f>1-(1-Skills!J10/100)^Skills!K10</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403=TRUE)*(F403-Calc!F20)),(Inputs!$B$23+0+(IF(ArtifactsInput!$M$15,CHOOSE(ArtifactsInput!$N$15+1,25,30,35,40,45,50)/100*(Inputs!$B$11-Inputs!$B$11),0))))/100+(Inputs!$B$23+0+(IF(ArtifactsInput!$M$15,CHOOSE(ArtifactsInput!$N$15+1,25,30,35,40,45,50)/100*(Inputs!$B$11-Inputs!$B$11),0)))/100)/2</f>
        <v/>
      </c>
      <c r="M393">
        <f>L393*(1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IF(B419=0,0,O393/B419)</f>
        <v/>
      </c>
      <c r="Q393">
        <f>IFERROR(1/(IF(Inputs!$B$38="pvp",15,MAX(0.1,Skills!D10-IF(Skills!E10=TRUE,Inputs!$B$32,0)))*(1-IF(AND(ArtifactsInput!$M$27,Inputs!$B$4="Chapter Hunt"),CHOOSE(ArtifactsInput!$N$27+1,20,24,28,32,36,40),0)/100)),0)</f>
        <v/>
      </c>
      <c r="R393">
        <f>IF(AND(Inputs!$B$38&lt;&gt;"pvp",Inputs!$B$43&gt;0),IF(MAX(0,Inputs!$B$43-B416)&lt;=0,0,(INT(MAX(0,Inputs!$B$43-B416)/(IF(Inputs!$B$38="pvp",15,MAX(0.1,Skills!D10-IF(Skills!E10=TRUE,Inputs!$B$32,0)))*(1-IF(AND(ArtifactsInput!$M$27,Inputs!$B$4="Chapter Hunt"),CHOOSE(ArtifactsInput!$N$27+1,20,24,28,32,36,40),0)/100)))+1)),0)</f>
        <v/>
      </c>
      <c r="S393">
        <f>IFERROR(O393/N393,0)</f>
        <v/>
      </c>
      <c r="T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$21+Skills!Q10+(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Skills!A11</f>
        <v/>
      </c>
      <c r="B394">
        <f>Skills!B11</f>
        <v/>
      </c>
      <c r="C394">
        <f>Inputs!$B$3&gt;=113</f>
        <v/>
      </c>
      <c r="D394">
        <f>IF(Skills!C11=1,60+Inputs!$B$25+Inputs!$B$29,IF(Skills!C11=2,90+Inputs!$B$26+Inputs!$B$29,IF(Skills!C11=3,120+Inputs!$B$27+Inputs!$B$29,MAX(0,(Inputs!$B$3-100)*3)+Inputs!$B$28+Inputs!$B$29)))</f>
        <v/>
      </c>
      <c r="E394">
        <f>INDEX(FactorTable!$B$2:$Y$301, MATCH(ROUND(MIN(300,MAX(1,D394)),0), FactorTable!$A$2:$A$301,0), Skills!M11+1)</f>
        <v/>
      </c>
      <c r="F394">
        <f>IF(Skills!N11=TRUE,(Skills!L11/10)*(E394/1000),Skills!L11/10)+Skills!O11</f>
        <v/>
      </c>
      <c r="G394">
        <f>Skills!G11*IF(Skills!H11&gt;0,Skills!I11/Skills!H11,1)</f>
        <v/>
      </c>
      <c r="H394">
        <f>1-(1-Skills!J11/100)^Skills!K11</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C403=TRUE)*(F403-Calc!F20)),(Inputs!$B$23+0+(IF(ArtifactsInput!$M$15,CHOOSE(ArtifactsInput!$N$15+1,25,30,35,40,45,50)/100*(Inputs!$B$11-Inputs!$B$11),0))))/100+(Inputs!$B$23+0+(IF(ArtifactsInput!$M$15,CHOOSE(ArtifactsInput!$N$15+1,25,30,35,40,45,50)/100*(Inputs!$B$11-Inputs!$B$11),0)))/100)/2</f>
        <v/>
      </c>
      <c r="M394">
        <f>L394*(1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IF(B419=0,0,O394/B419)</f>
        <v/>
      </c>
      <c r="Q394">
        <f>IFERROR(1/(IF(Inputs!$B$38="pvp",15,MAX(0.1,Skills!D11-IF(Skills!E11=TRUE,Inputs!$B$32,0)))*(1-IF(AND(ArtifactsInput!$M$27,Inputs!$B$4="Chapter Hunt"),CHOOSE(ArtifactsInput!$N$27+1,20,24,28,32,36,40),0)/100)),0)</f>
        <v/>
      </c>
      <c r="R394">
        <f>IF(AND(Inputs!$B$38&lt;&gt;"pvp",Inputs!$B$43&gt;0),IF(MAX(0,Inputs!$B$43-B416)&lt;=0,0,(INT(MAX(0,Inputs!$B$43-B416)/(IF(Inputs!$B$38="pvp",15,MAX(0.1,Skills!D11-IF(Skills!E11=TRUE,Inputs!$B$32,0)))*(1-IF(AND(ArtifactsInput!$M$27,Inputs!$B$4="Chapter Hunt"),CHOOSE(ArtifactsInput!$N$27+1,20,24,28,32,36,40),0)/100)))+1)),0)</f>
        <v/>
      </c>
      <c r="S394">
        <f>IFERROR(O394/N394,0)</f>
        <v/>
      </c>
      <c r="T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$21+Skills!Q11+(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Skills!A12</f>
        <v/>
      </c>
      <c r="B395">
        <f>Skills!B12</f>
        <v/>
      </c>
      <c r="C395">
        <f>Inputs!$B$3&gt;=100</f>
        <v/>
      </c>
      <c r="D395">
        <f>IF(Skills!C12=1,60+Inputs!$B$25+Inputs!$B$29,IF(Skills!C12=2,90+Inputs!$B$26+Inputs!$B$29,IF(Skills!C12=3,120+Inputs!$B$27+Inputs!$B$29,MAX(0,(Inputs!$B$3-100)*3)+Inputs!$B$28+Inputs!$B$29)))</f>
        <v/>
      </c>
      <c r="E395">
        <f>INDEX(FactorTable!$B$2:$Y$301, MATCH(ROUND(MIN(300,MAX(1,D395)),0), FactorTable!$A$2:$A$301,0), Skills!M12+1)</f>
        <v/>
      </c>
      <c r="F395">
        <f>IF(Skills!N12=TRUE,(Skills!L12/10)*(E395/1000),Skills!L12/10)+Skills!O12</f>
        <v/>
      </c>
      <c r="G395" t="inlineStr"/>
      <c r="H395" t="inlineStr"/>
      <c r="I395" t="inlineStr">
        <is>
          <t>1</t>
        </is>
      </c>
      <c r="J395" t="inlineStr"/>
      <c r="K395" t="inlineStr"/>
      <c r="L395" t="inlineStr"/>
      <c r="M395" t="inlineStr"/>
      <c r="N395" t="inlineStr"/>
      <c r="O395" t="inlineStr"/>
      <c r="P395" t="inlineStr"/>
      <c r="Q395" t="inlineStr"/>
      <c r="R395" t="inlineStr"/>
      <c r="S395" t="inlineStr"/>
      <c r="T395" t="inlineStr"/>
      <c r="V395" t="inlineStr"/>
    </row>
    <row r="396">
      <c r="A396">
        <f>Skills!A13</f>
        <v/>
      </c>
      <c r="B396">
        <f>Skills!B13</f>
        <v/>
      </c>
      <c r="C396">
        <f>Inputs!$B$3&gt;=66</f>
        <v/>
      </c>
      <c r="D396">
        <f>IF(Skills!C13=1,60+Inputs!$B$25+Inputs!$B$29,IF(Skills!C13=2,90+Inputs!$B$26+Inputs!$B$29,IF(Skills!C13=3,120+Inputs!$B$27+Inputs!$B$29,MAX(0,(Inputs!$B$3-100)*3)+Inputs!$B$28+Inputs!$B$29)))</f>
        <v/>
      </c>
      <c r="E396">
        <f>INDEX(FactorTable!$B$2:$Y$301, MATCH(ROUND(MIN(300,MAX(1,D396)),0), FactorTable!$A$2:$A$301,0), Skills!M13+1)</f>
        <v/>
      </c>
      <c r="F396">
        <f>IF(Skills!N13=TRUE,(Skills!L13/10)*(E396/1000),Skills!L13/10)+Skills!O13</f>
        <v/>
      </c>
      <c r="G396">
        <f>Skills!G13*IF(Skills!H13&gt;0,Skills!I13/Skills!H13,1)</f>
        <v/>
      </c>
      <c r="H396">
        <f>1-(1-Skills!J13/100)^Skills!K13</f>
        <v/>
      </c>
      <c r="I396" t="inlineStr">
        <is>
          <t>1</t>
        </is>
      </c>
      <c r="J396" t="inlineStr"/>
      <c r="K396" t="inlineStr"/>
      <c r="L396" t="inlineStr"/>
      <c r="M396" t="inlineStr"/>
      <c r="N396" t="inlineStr"/>
      <c r="O396">
        <f>(1-Summary!$B$11)*T396+Summary!$B$11*V396</f>
        <v/>
      </c>
      <c r="P396">
        <f>IF(B419=0,0,O396/B419)</f>
        <v/>
      </c>
      <c r="Q396" t="n">
        <v>0</v>
      </c>
      <c r="R396" t="n">
        <v>0</v>
      </c>
      <c r="S396">
        <f>IFERROR(O396/N396,0)</f>
        <v/>
      </c>
      <c r="T396" t="n">
        <v>0</v>
      </c>
      <c r="V396" t="n">
        <v>0</v>
      </c>
    </row>
    <row r="397">
      <c r="A397">
        <f>Skills!A14</f>
        <v/>
      </c>
      <c r="B397">
        <f>Skills!B14</f>
        <v/>
      </c>
      <c r="C397">
        <f>Inputs!$B$3&gt;=107</f>
        <v/>
      </c>
      <c r="D397">
        <f>IF(Skills!C14=1,60+Inputs!$B$25+Inputs!$B$29,IF(Skills!C14=2,90+Inputs!$B$26+Inputs!$B$29,IF(Skills!C14=3,120+Inputs!$B$27+Inputs!$B$29,MAX(0,(Inputs!$B$3-100)*3)+Inputs!$B$28+Inputs!$B$29)))</f>
        <v/>
      </c>
      <c r="E397">
        <f>INDEX(FactorTable!$B$2:$Y$301, MATCH(ROUND(MIN(300,MAX(1,D397)),0), FactorTable!$A$2:$A$301,0), Skills!M14+1)</f>
        <v/>
      </c>
      <c r="F397">
        <f>IF(Skills!N14=TRUE,(Skills!L14/10)*(E397/1000),Skills!L14/10)+Skills!O14</f>
        <v/>
      </c>
      <c r="G397">
        <f>Skills!G14*IF(Skills!H14&gt;0,Skills!I14/Skills!H14,1)</f>
        <v/>
      </c>
      <c r="H397">
        <f>1-(1-Skills!J14/100)^Skills!K14</f>
        <v/>
      </c>
      <c r="I397" t="inlineStr">
        <is>
          <t>1</t>
        </is>
      </c>
      <c r="J397" t="inlineStr"/>
      <c r="K397" t="inlineStr"/>
      <c r="L397" t="inlineStr"/>
      <c r="M397" t="inlineStr"/>
      <c r="N397" t="inlineStr"/>
      <c r="O397">
        <f>(1-Summary!$B$11)*T397+Summary!$B$11*V397</f>
        <v/>
      </c>
      <c r="P397">
        <f>IF(B419=0,0,O397/B419)</f>
        <v/>
      </c>
      <c r="Q397" t="n">
        <v>0</v>
      </c>
      <c r="R397" t="n">
        <v>0</v>
      </c>
      <c r="S397">
        <f>IFERROR(O397/N397,0)</f>
        <v/>
      </c>
      <c r="T397" t="n">
        <v>0</v>
      </c>
      <c r="V397" t="n">
        <v>0</v>
      </c>
    </row>
    <row r="398">
      <c r="A398">
        <f>Skills!A15</f>
        <v/>
      </c>
      <c r="B398">
        <f>Skills!B15</f>
        <v/>
      </c>
      <c r="C398">
        <f>Inputs!$B$3&gt;=115</f>
        <v/>
      </c>
      <c r="D398">
        <f>IF(Skills!C15=1,60+Inputs!$B$25+Inputs!$B$29,IF(Skills!C15=2,90+Inputs!$B$26+Inputs!$B$29,IF(Skills!C15=3,120+Inputs!$B$27+Inputs!$B$29,MAX(0,(Inputs!$B$3-100)*3)+Inputs!$B$28+Inputs!$B$29)))</f>
        <v/>
      </c>
      <c r="E398">
        <f>INDEX(FactorTable!$B$2:$Y$301, MATCH(ROUND(MIN(300,MAX(1,D398)),0), FactorTable!$A$2:$A$301,0), Skills!M15+1)</f>
        <v/>
      </c>
      <c r="F398">
        <f>IF(Skills!N15=TRUE,(Skills!L15/10)*(E398/1000),Skills!L15/10)+Skills!O15</f>
        <v/>
      </c>
      <c r="G398">
        <f>Skills!G15*IF(Skills!H15&gt;0,Skills!I15/Skills!H15,1)</f>
        <v/>
      </c>
      <c r="H398">
        <f>1-(1-Skills!J15/100)^Skills!K15</f>
        <v/>
      </c>
      <c r="I398" t="inlineStr">
        <is>
          <t>1</t>
        </is>
      </c>
      <c r="J398" t="inlineStr"/>
      <c r="K398" t="inlineStr"/>
      <c r="L398" t="inlineStr"/>
      <c r="M398" t="inlineStr"/>
      <c r="N398" t="inlineStr"/>
      <c r="O398">
        <f>(1-Summary!$B$11)*T398+Summary!$B$11*V398</f>
        <v/>
      </c>
      <c r="P398">
        <f>IF(B419=0,0,O398/B419)</f>
        <v/>
      </c>
      <c r="Q398" t="n">
        <v>0</v>
      </c>
      <c r="R398" t="n">
        <v>0</v>
      </c>
      <c r="S398">
        <f>IFERROR(O398/N398,0)</f>
        <v/>
      </c>
      <c r="T398" t="n">
        <v>0</v>
      </c>
      <c r="V398" t="n">
        <v>0</v>
      </c>
    </row>
    <row r="399">
      <c r="A399">
        <f>Skills!A16</f>
        <v/>
      </c>
      <c r="B399">
        <f>Skills!B16</f>
        <v/>
      </c>
      <c r="C399">
        <f>Inputs!$B$3&gt;=15</f>
        <v/>
      </c>
      <c r="D399">
        <f>IF(Skills!C16=1,60+Inputs!$B$25+Inputs!$B$29,IF(Skills!C16=2,90+Inputs!$B$26+Inputs!$B$29,IF(Skills!C16=3,120+Inputs!$B$27+Inputs!$B$29,MAX(0,(Inputs!$B$3-100)*3)+Inputs!$B$28+Inputs!$B$29)))</f>
        <v/>
      </c>
      <c r="E399">
        <f>INDEX(FactorTable!$B$2:$Y$301, MATCH(ROUND(MIN(300,MAX(1,D399)),0), FactorTable!$A$2:$A$301,0), Skills!M16+1)</f>
        <v/>
      </c>
      <c r="F399">
        <f>IF(Skills!N16=TRUE,(Skills!L16/10)*(E399/1000),Skills!L16/10)+Skills!O16</f>
        <v/>
      </c>
      <c r="G399">
        <f>Skills!G16*IF(Skills!H16&gt;0,Skills!I16/Skills!H16,1)</f>
        <v/>
      </c>
      <c r="H399">
        <f>1-(1-Skills!J16/100)^Skills!K16</f>
        <v/>
      </c>
      <c r="I399" t="inlineStr">
        <is>
          <t>1</t>
        </is>
      </c>
      <c r="J399" t="inlineStr"/>
      <c r="K399" t="inlineStr"/>
      <c r="L399" t="inlineStr"/>
      <c r="M399" t="inlineStr"/>
      <c r="N399" t="inlineStr"/>
      <c r="O399">
        <f>(1-Summary!$B$11)*T399+Summary!$B$11*V399</f>
        <v/>
      </c>
      <c r="P399">
        <f>IF(B419=0,0,O399/B419)</f>
        <v/>
      </c>
      <c r="Q399" t="n">
        <v>0</v>
      </c>
      <c r="R399" t="n">
        <v>0</v>
      </c>
      <c r="S399">
        <f>IFERROR(O399/N399,0)</f>
        <v/>
      </c>
      <c r="T399" t="n">
        <v>0</v>
      </c>
      <c r="V399" t="n">
        <v>0</v>
      </c>
    </row>
    <row r="400">
      <c r="A400">
        <f>Skills!A17</f>
        <v/>
      </c>
      <c r="B400">
        <f>Skills!B17</f>
        <v/>
      </c>
      <c r="C400">
        <f>Inputs!$B$3&gt;=10</f>
        <v/>
      </c>
      <c r="D400">
        <f>IF(Skills!C17=1,60+Inputs!$B$25+Inputs!$B$29,IF(Skills!C17=2,90+Inputs!$B$26+Inputs!$B$29,IF(Skills!C17=3,120+Inputs!$B$27+Inputs!$B$29,MAX(0,(Inputs!$B$3-100)*3)+Inputs!$B$28+Inputs!$B$29)))</f>
        <v/>
      </c>
      <c r="E400">
        <f>INDEX(FactorTable!$B$2:$Y$301, MATCH(ROUND(MIN(300,MAX(1,D400)),0), FactorTable!$A$2:$A$301,0), Skills!M17+1)</f>
        <v/>
      </c>
      <c r="F400">
        <f>IF(Skills!N17=TRUE,(Skills!L17/10)*(E400/1000),Skills!L17/10)+Skills!O17</f>
        <v/>
      </c>
      <c r="G400">
        <f>Skills!G17*IF(Skills!H17&gt;0,Skills!I17/Skills!H17,1)</f>
        <v/>
      </c>
      <c r="H400">
        <f>1-(1-Skills!J17/100)^Skills!K17</f>
        <v/>
      </c>
      <c r="I400" t="inlineStr">
        <is>
          <t>1</t>
        </is>
      </c>
      <c r="J400" t="inlineStr"/>
      <c r="K400" t="inlineStr"/>
      <c r="L400" t="inlineStr"/>
      <c r="M400" t="inlineStr"/>
      <c r="N400" t="inlineStr"/>
      <c r="O400">
        <f>(1-Summary!$B$11)*T400+Summary!$B$11*V400</f>
        <v/>
      </c>
      <c r="P400">
        <f>IF(B419=0,0,O400/B419)</f>
        <v/>
      </c>
      <c r="Q400" t="n">
        <v>0</v>
      </c>
      <c r="R400" t="n">
        <v>0</v>
      </c>
      <c r="S400">
        <f>IFERROR(O400/N400,0)</f>
        <v/>
      </c>
      <c r="T400" t="n">
        <v>0</v>
      </c>
      <c r="V400" t="n">
        <v>0</v>
      </c>
    </row>
    <row r="401">
      <c r="A401">
        <f>Skills!A18</f>
        <v/>
      </c>
      <c r="B401">
        <f>Skills!B18</f>
        <v/>
      </c>
      <c r="C401">
        <f>Inputs!$B$3&gt;=33</f>
        <v/>
      </c>
      <c r="D401">
        <f>IF(Skills!C18=1,60+Inputs!$B$25+Inputs!$B$29,IF(Skills!C18=2,90+Inputs!$B$26+Inputs!$B$29,IF(Skills!C18=3,120+Inputs!$B$27+Inputs!$B$29,MAX(0,(Inputs!$B$3-100)*3)+Inputs!$B$28+Inputs!$B$29)))</f>
        <v/>
      </c>
      <c r="E401">
        <f>INDEX(FactorTable!$B$2:$Y$301, MATCH(ROUND(MIN(300,MAX(1,D401)),0), FactorTable!$A$2:$A$301,0), Skills!M18+1)</f>
        <v/>
      </c>
      <c r="F401">
        <f>IF(Skills!N18=TRUE,(Skills!L18/10)*(E401/1000),Skills!L18/10)+Skills!O18</f>
        <v/>
      </c>
      <c r="G401">
        <f>Skills!G18*IF(Skills!H18&gt;0,Skills!I18/Skills!H18,1)</f>
        <v/>
      </c>
      <c r="H401">
        <f>1-(1-Skills!J18/100)^Skills!K18</f>
        <v/>
      </c>
      <c r="I401" t="inlineStr">
        <is>
          <t>1</t>
        </is>
      </c>
      <c r="J401" t="inlineStr"/>
      <c r="K401" t="inlineStr"/>
      <c r="L401" t="inlineStr"/>
      <c r="M401" t="inlineStr"/>
      <c r="N401" t="inlineStr"/>
      <c r="O401">
        <f>(1-Summary!$B$11)*T401+Summary!$B$11*V401</f>
        <v/>
      </c>
      <c r="P401">
        <f>IF(B419=0,0,O401/B419)</f>
        <v/>
      </c>
      <c r="Q401" t="n">
        <v>0</v>
      </c>
      <c r="R401" t="n">
        <v>0</v>
      </c>
      <c r="S401">
        <f>IFERROR(O401/N401,0)</f>
        <v/>
      </c>
      <c r="T401" t="n">
        <v>0</v>
      </c>
      <c r="V401" t="n">
        <v>0</v>
      </c>
    </row>
    <row r="402">
      <c r="A402">
        <f>Skills!A19</f>
        <v/>
      </c>
      <c r="B402">
        <f>Skills!B19</f>
        <v/>
      </c>
      <c r="C402">
        <f>Inputs!$B$3&gt;=40</f>
        <v/>
      </c>
      <c r="D402">
        <f>IF(Skills!C19=1,60+Inputs!$B$25+Inputs!$B$29,IF(Skills!C19=2,90+Inputs!$B$26+Inputs!$B$29,IF(Skills!C19=3,120+Inputs!$B$27+Inputs!$B$29,MAX(0,(Inputs!$B$3-100)*3)+Inputs!$B$28+Inputs!$B$29)))</f>
        <v/>
      </c>
      <c r="E402">
        <f>INDEX(FactorTable!$B$2:$Y$301, MATCH(ROUND(MIN(300,MAX(1,D402)),0), FactorTable!$A$2:$A$301,0), Skills!M19+1)</f>
        <v/>
      </c>
      <c r="F402">
        <f>IF(Skills!N19=TRUE,(Skills!L19/10)*(E402/1000),Skills!L19/10)+Skills!O19</f>
        <v/>
      </c>
      <c r="G402">
        <f>Skills!G19*IF(Skills!H19&gt;0,Skills!I19/Skills!H19,1)</f>
        <v/>
      </c>
      <c r="H402">
        <f>1-(1-Skills!J19/100)^Skills!K19</f>
        <v/>
      </c>
      <c r="I402" t="inlineStr">
        <is>
          <t>1</t>
        </is>
      </c>
      <c r="J402" t="inlineStr"/>
      <c r="K402" t="inlineStr"/>
      <c r="L402" t="inlineStr"/>
      <c r="M402" t="inlineStr"/>
      <c r="N402" t="inlineStr"/>
      <c r="O402">
        <f>(1-Summary!$B$11)*T402+Summary!$B$11*V402</f>
        <v/>
      </c>
      <c r="P402">
        <f>IF(B419=0,0,O402/B419)</f>
        <v/>
      </c>
      <c r="Q402" t="n">
        <v>0</v>
      </c>
      <c r="R402" t="n">
        <v>0</v>
      </c>
      <c r="S402">
        <f>IFERROR(O402/N402,0)</f>
        <v/>
      </c>
      <c r="T402" t="n">
        <v>0</v>
      </c>
      <c r="V402" t="n">
        <v>0</v>
      </c>
    </row>
    <row r="403">
      <c r="A403">
        <f>Skills!A20</f>
        <v/>
      </c>
      <c r="B403">
        <f>Skills!B20</f>
        <v/>
      </c>
      <c r="C403">
        <f>Inputs!$B$3&gt;=43</f>
        <v/>
      </c>
      <c r="D403">
        <f>IF(Skills!C20=1,60+Inputs!$B$25+Inputs!$B$29,IF(Skills!C20=2,90+Inputs!$B$26+Inputs!$B$29,IF(Skills!C20=3,120+Inputs!$B$27+Inputs!$B$29,MAX(0,(Inputs!$B$3-100)*3)+Inputs!$B$28+Inputs!$B$29)))</f>
        <v/>
      </c>
      <c r="E403">
        <f>INDEX(FactorTable!$B$2:$Y$301, MATCH(ROUND(MIN(300,MAX(1,D403)),0), FactorTable!$A$2:$A$301,0), Skills!M20+1)</f>
        <v/>
      </c>
      <c r="F403">
        <f>IF(Skills!N20=TRUE,(Skills!L20/10)*(E403/1000),Skills!L20/10)+Skills!O20</f>
        <v/>
      </c>
      <c r="G403">
        <f>Skills!G20*IF(Skills!H20&gt;0,Skills!I20/Skills!H20,1)</f>
        <v/>
      </c>
      <c r="H403">
        <f>1-(1-Skills!J20/100)^Skills!K20</f>
        <v/>
      </c>
      <c r="I403" t="inlineStr">
        <is>
          <t>1</t>
        </is>
      </c>
      <c r="J403" t="inlineStr"/>
      <c r="K403" t="inlineStr"/>
      <c r="L403" t="inlineStr"/>
      <c r="M403" t="inlineStr"/>
      <c r="N403" t="inlineStr"/>
      <c r="O403">
        <f>(1-Summary!$B$11)*T403+Summary!$B$11*V403</f>
        <v/>
      </c>
      <c r="P403">
        <f>IF(B419=0,0,O403/B419)</f>
        <v/>
      </c>
      <c r="Q403" t="n">
        <v>0</v>
      </c>
      <c r="R403" t="n">
        <v>0</v>
      </c>
      <c r="S403">
        <f>IFERROR(O403/N403,0)</f>
        <v/>
      </c>
      <c r="T403" t="n">
        <v>0</v>
      </c>
      <c r="V403" t="n">
        <v>0</v>
      </c>
    </row>
    <row r="404">
      <c r="A404">
        <f>Skills!A21</f>
        <v/>
      </c>
      <c r="B404">
        <f>Skills!B21</f>
        <v/>
      </c>
      <c r="C404">
        <f>Inputs!$B$3&gt;=38</f>
        <v/>
      </c>
      <c r="D404">
        <f>IF(Skills!C21=1,60+Inputs!$B$25+Inputs!$B$29,IF(Skills!C21=2,90+Inputs!$B$26+Inputs!$B$29,IF(Skills!C21=3,120+Inputs!$B$27+Inputs!$B$29,MAX(0,(Inputs!$B$3-100)*3)+Inputs!$B$28+Inputs!$B$29)))</f>
        <v/>
      </c>
      <c r="E404">
        <f>INDEX(FactorTable!$B$2:$Y$301, MATCH(ROUND(MIN(300,MAX(1,D404)),0), FactorTable!$A$2:$A$301,0), Skills!M21+1)</f>
        <v/>
      </c>
      <c r="F404">
        <f>IF(Skills!N21=TRUE,(Skills!L21/10)*(E404/1000),Skills!L21/10)+Skills!O21</f>
        <v/>
      </c>
      <c r="G404">
        <f>Skills!G21*IF(Skills!H21&gt;0,Skills!I21/Skills!H21,1)</f>
        <v/>
      </c>
      <c r="H404">
        <f>1-(1-Skills!J21/100)^Skills!K21</f>
        <v/>
      </c>
      <c r="I404" t="inlineStr">
        <is>
          <t>1</t>
        </is>
      </c>
      <c r="J404" t="inlineStr"/>
      <c r="K404" t="inlineStr"/>
      <c r="L404" t="inlineStr"/>
      <c r="M404" t="inlineStr"/>
      <c r="N404" t="inlineStr"/>
      <c r="O404">
        <f>(1-Summary!$B$11)*T404+Summary!$B$11*V404</f>
        <v/>
      </c>
      <c r="P404">
        <f>IF(B419=0,0,O404/B419)</f>
        <v/>
      </c>
      <c r="Q404" t="n">
        <v>0</v>
      </c>
      <c r="R404" t="n">
        <v>0</v>
      </c>
      <c r="S404">
        <f>IFERROR(O404/N404,0)</f>
        <v/>
      </c>
      <c r="T404" t="n">
        <v>0</v>
      </c>
      <c r="V404" t="n">
        <v>0</v>
      </c>
    </row>
    <row r="405">
      <c r="A405">
        <f>Skills!A22</f>
        <v/>
      </c>
      <c r="B405">
        <f>Skills!B22</f>
        <v/>
      </c>
      <c r="C405">
        <f>Inputs!$B$3&gt;=75</f>
        <v/>
      </c>
      <c r="D405">
        <f>IF(Skills!C22=1,60+Inputs!$B$25+Inputs!$B$29,IF(Skills!C22=2,90+Inputs!$B$26+Inputs!$B$29,IF(Skills!C22=3,120+Inputs!$B$27+Inputs!$B$29,MAX(0,(Inputs!$B$3-100)*3)+Inputs!$B$28+Inputs!$B$29)))</f>
        <v/>
      </c>
      <c r="E405">
        <f>INDEX(FactorTable!$B$2:$Y$301, MATCH(ROUND(MIN(300,MAX(1,D405)),0), FactorTable!$A$2:$A$301,0), Skills!M22+1)</f>
        <v/>
      </c>
      <c r="F405">
        <f>IF(Skills!N22=TRUE,(Skills!L22/10)*(E405/1000),Skills!L22/10)+Skills!O22</f>
        <v/>
      </c>
      <c r="G405">
        <f>Skills!G22*IF(Skills!H22&gt;0,Skills!I22/Skills!H22,1)</f>
        <v/>
      </c>
      <c r="H405">
        <f>1-(1-Skills!J22/100)^Skills!K22</f>
        <v/>
      </c>
      <c r="I405" t="inlineStr">
        <is>
          <t>1</t>
        </is>
      </c>
      <c r="J405" t="inlineStr"/>
      <c r="K405" t="inlineStr"/>
      <c r="L405" t="inlineStr"/>
      <c r="M405" t="inlineStr"/>
      <c r="N405" t="inlineStr"/>
      <c r="O405">
        <f>(1-Summary!$B$11)*T405+Summary!$B$11*V405</f>
        <v/>
      </c>
      <c r="P405">
        <f>IF(B419=0,0,O405/B419)</f>
        <v/>
      </c>
      <c r="Q405" t="n">
        <v>0</v>
      </c>
      <c r="R405" t="n">
        <v>0</v>
      </c>
      <c r="S405">
        <f>IFERROR(O405/N405,0)</f>
        <v/>
      </c>
      <c r="T405" t="n">
        <v>0</v>
      </c>
      <c r="V405" t="n">
        <v>0</v>
      </c>
    </row>
    <row r="406">
      <c r="A406">
        <f>Skills!A23</f>
        <v/>
      </c>
      <c r="B406">
        <f>Skills!B23</f>
        <v/>
      </c>
      <c r="C406">
        <f>TRUE</f>
        <v/>
      </c>
      <c r="D406">
        <f>IF(Skills!C23=1,60+Inputs!$B$25+Inputs!$B$29,IF(Skills!C23=2,90+Inputs!$B$26+Inputs!$B$29,IF(Skills!C23=3,120+Inputs!$B$27+Inputs!$B$29,MAX(0,(Inputs!$B$3-100)*3)+Inputs!$B$28+Inputs!$B$29)))</f>
        <v/>
      </c>
      <c r="E406">
        <f>INDEX(FactorTable!$B$2:$Y$301, MATCH(ROUND(MIN(300,MAX(1,D406)),0), FactorTable!$A$2:$A$301,0), Skills!M23+1)</f>
        <v/>
      </c>
      <c r="F406">
        <f>IF(Skills!N23=TRUE,(Skills!L23/10)*(E406/1000),Skills!L23/10)+Skills!O23</f>
        <v/>
      </c>
      <c r="G406">
        <f>Skills!G23*IF(Skills!H23&gt;0,Skills!I23/Skills!H23,1)</f>
        <v/>
      </c>
      <c r="H406">
        <f>1-(1-Skills!J23/100)^Skills!K23</f>
        <v/>
      </c>
      <c r="I406" t="inlineStr">
        <is>
          <t>1</t>
        </is>
      </c>
      <c r="J406" t="inlineStr"/>
      <c r="K406" t="inlineStr"/>
      <c r="L406" t="inlineStr"/>
      <c r="M406" t="inlineStr"/>
      <c r="N406" t="inlineStr"/>
      <c r="O406">
        <f>(1-Summary!$B$11)*T406+Summary!$B$11*V406</f>
        <v/>
      </c>
      <c r="P406">
        <f>IF(B419=0,0,O406/B419)</f>
        <v/>
      </c>
      <c r="Q406">
        <f>IFERROR(1/(IF(Inputs!$B$38="pvp",15,MAX(0.1,Skills!D23-IF(Skills!E23=TRUE,Inputs!$B$32,0)))*(1-IF(AND(ArtifactsInput!$M$27,Inputs!$B$4="Chapter Hunt"),CHOOSE(ArtifactsInput!$N$27+1,20,24,28,32,36,40),0)/100)),0)</f>
        <v/>
      </c>
      <c r="R406">
        <f>IF(AND(Inputs!$B$38&lt;&gt;"pvp",Inputs!$B$43&gt;0),IF(Inputs!$B$43&lt;=0,0,(INT(Inputs!$B$43/(IF(Inputs!$B$38="pvp",15,MAX(0.1,Skills!D23-IF(Skills!E23=TRUE,Inputs!$B$32,0)))*(1-IF(AND(ArtifactsInput!$M$27,Inputs!$B$4="Chapter Hunt"),CHOOSE(ArtifactsInput!$N$27+1,20,24,28,32,36,40),0)/100)))+1)),0)</f>
        <v/>
      </c>
      <c r="S406">
        <f>IFERROR(O406/N406,0)</f>
        <v/>
      </c>
      <c r="T406" t="n">
        <v>0</v>
      </c>
      <c r="V406" t="n">
        <v>0</v>
      </c>
    </row>
    <row r="408">
      <c r="A408" t="inlineStr">
        <is>
          <t>Attack% Bucket Multiplier</t>
        </is>
      </c>
      <c r="B408">
        <f>(1+(((C396=TRUE)*F396*5/7)+((C402=TRUE)*(F402-Calc!F19))+(IF(ArtifactsInput!$M$21,CHOOSE(ArtifactsInput!$N$21+1,25,30,35,40,45,50)*(IF(OR(Inputs!$B$4="Chapter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9">
      <c r="A409" t="inlineStr">
        <is>
          <t>Global Crit Rate Bonus %</t>
        </is>
      </c>
      <c r="B409" t="n">
        <v>0</v>
      </c>
    </row>
    <row r="410">
      <c r="A410" t="inlineStr">
        <is>
          <t>Attack Speed Buff Bonus % (Nimble Feet, duty-cycle averaged)</t>
        </is>
      </c>
      <c r="B410">
        <f>((C406=TRUE)*F406*IF(AND(Inputs!$B$38&lt;&gt;"pvp",Inputs!$B$43&gt;0),(((R406-1)*(Skills!T23*(1+Inputs!$B$34/100))+MIN((Skills!T23*(1+Inputs!$B$34/100)),MAX(0,Inputs!$B$43-((R406-1)*Skills!D23))))/Inputs!$B$43),IF(Inputs!$B$38="pvp",MIN((Skills!T23*(1+Inputs!$B$34/100)),15)/15,(Skills!T23*(1+Inputs!$B$34/100))/Skills!D23)))</f>
        <v/>
      </c>
    </row>
    <row r="411">
      <c r="A411" t="inlineStr">
        <is>
          <t>Actions Per Second</t>
        </is>
      </c>
      <c r="B411">
        <f>1+MIN(150,150*(1-(1-(Inputs!$B$11+((C400=TRUE)*(F400-Calc!F17))+((C401=TRUE)*(F401-Calc!F18)))/150)*(1-B410/150)))/100</f>
        <v/>
      </c>
    </row>
    <row r="412">
      <c r="A412" t="inlineStr">
        <is>
          <t>Skill + Buff Cast Rate</t>
        </is>
      </c>
      <c r="B412">
        <f>IF(AND(Inputs!$B$38&lt;&gt;"pvp",Inputs!$B$43&gt;0),SUMPRODUCT((Skills!E2:E23=TRUE)*(C385:C406=TRUE)*R385:R406*Skills!F2:F23)/Inputs!$B$43,SUMPRODUCT((Skills!E2:E23=TRUE)*(C385:C406=TRUE)*Q385:Q406*Skills!F2:F23))</f>
        <v/>
      </c>
    </row>
    <row r="413">
      <c r="A413" t="inlineStr">
        <is>
          <t>Hook Bomber Casts Per Second</t>
        </is>
      </c>
      <c r="B413">
        <f>MAX(0,B411-B412)</f>
        <v/>
      </c>
    </row>
    <row r="414">
      <c r="A414" t="inlineStr">
        <is>
          <t>Global Critical Damage Bonus % (unused)</t>
        </is>
      </c>
      <c r="B414" t="n">
        <v>0</v>
      </c>
    </row>
    <row r="415">
      <c r="A415" t="inlineStr">
        <is>
          <t>Global Final Damage Bonus % (Serpent Scale + Crossbones + Time Leap + Speed Infusion)</t>
        </is>
      </c>
      <c r="B415">
        <f>((C388=TRUE)*F388*((10+IF(Inputs!$B$3&gt;=94,5,0))/((10+IF(Inputs!$B$3&gt;=94,5,0))+5/(B413*(1+IF(Inputs!$B$3&gt;=104,1,0))))))+((C397=TRUE)*F397)+((C398=TRUE)*F398)+((Inputs!$B$3&gt;=110)*20*(B411-1))</f>
        <v/>
      </c>
    </row>
    <row r="416">
      <c r="A416" t="inlineStr">
        <is>
          <t>Buff-Casting Startup Delay (s, fixed-duration only)</t>
        </is>
      </c>
      <c r="B416">
        <f>IF(AND(Inputs!$B$38&lt;&gt;"pvp",Inputs!$B$43&gt;0),SUMPRODUCT((Skills!T2:T23&gt;0)*(Skills!E2:E23=TRUE)*(C385:C406=TRUE))/B411,0)</f>
        <v/>
      </c>
    </row>
    <row r="417">
      <c r="A417" t="inlineStr">
        <is>
          <t>Boss-Only Total DPS (this block's swept value)</t>
        </is>
      </c>
      <c r="B417">
        <f>SUM(T385:T406)</f>
        <v/>
      </c>
    </row>
    <row r="418">
      <c r="A418" t="inlineStr">
        <is>
          <t>Normal-Only Total DPS (this block's swept value)</t>
        </is>
      </c>
      <c r="B418">
        <f>SUM(V385:V406)</f>
        <v/>
      </c>
    </row>
    <row r="419">
      <c r="A419" s="6" t="inlineStr">
        <is>
          <t>TOTAL DPS</t>
        </is>
      </c>
      <c r="B419" s="6">
        <f>SUM(O385:O406)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Q423" s="5" t="inlineStr">
        <is>
          <t>InvCooldown</t>
        </is>
      </c>
      <c r="R423" s="5" t="inlineStr">
        <is>
          <t>CastsInFight</t>
        </is>
      </c>
      <c r="S423" s="5" t="inlineStr">
        <is>
          <t>HitRate(perSec)</t>
        </is>
      </c>
      <c r="U423" t="inlineStr">
        <is>
          <t>helpers</t>
        </is>
      </c>
    </row>
    <row r="424">
      <c r="A424">
        <f>Skills!A2</f>
        <v/>
      </c>
      <c r="B424">
        <f>Skills!B2</f>
        <v/>
      </c>
      <c r="C424">
        <f>Inputs!$B$3&gt;=100</f>
        <v/>
      </c>
      <c r="D424" t="inlineStr"/>
      <c r="E424" t="inlineStr"/>
      <c r="F424">
        <f>U426+Skills!O2</f>
        <v/>
      </c>
      <c r="G424">
        <f>Skills!G2*IF(Skills!H2&gt;0,Skills!I2/Skills!H2,1)</f>
        <v/>
      </c>
      <c r="H424">
        <f>1-(1-Skills!J2/100)^Skills!K2</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442=TRUE)*(F442-Calc!F20)),((Inputs!$B$23+1)+0+(IF(ArtifactsInput!$M$15,CHOOSE(ArtifactsInput!$N$15+1,25,30,35,40,45,50)/100*(Inputs!$B$11-Inputs!$B$11),0))))/100+((Inputs!$B$23+1)+0+(IF(ArtifactsInput!$M$15,CHOOSE(ArtifactsInput!$N$15+1,25,30,35,40,45,50)/100*(Inputs!$B$11-Inputs!$B$11),0)))/100)/2</f>
        <v/>
      </c>
      <c r="M424">
        <f>L424*(1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IF(B458=0,0,O424/B458)</f>
        <v/>
      </c>
      <c r="Q424" t="n">
        <v>0</v>
      </c>
      <c r="R424" t="n">
        <v>0</v>
      </c>
      <c r="S424">
        <f>IFERROR(O424/N424,0)</f>
        <v/>
      </c>
      <c r="T424">
        <f>IF(C424,(Skills!G2*N424*B452)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4">
        <f>MAX(0,(Inputs!$B$3-100)*3)+Inputs!$B$28+Inputs!$B$29</f>
        <v/>
      </c>
      <c r="V424">
        <f>IF(C424,(Skills!G2*N424*B452)*IF(Inputs!$B$38="pvp",1,(1+(Inputs!$B$21+Skills!Q2+(IF(ArtifactsInput!$M$33,CHOOSE(ArtifactsInput!$N$33+1,30,36,42,48,54,60),0))+(IF(AND(ArtifactsInput!$M$35,Inputs!$B$4&lt;&gt;"Chapter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Skills!A3</f>
        <v/>
      </c>
      <c r="B425">
        <f>Skills!B3</f>
        <v/>
      </c>
      <c r="C425">
        <f>Inputs!$B$3&gt;=35</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Skills!G3*IF(Skills!H3&gt;0,Skills!I3/Skills!H3,1)</f>
        <v/>
      </c>
      <c r="H425">
        <f>1-(1-Skills!J3/100)^Skills!K3</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C442=TRUE)*(F442-Calc!F20)),((Inputs!$B$23+1)+0+(IF(ArtifactsInput!$M$15,CHOOSE(ArtifactsInput!$N$15+1,25,30,35,40,45,50)/100*(Inputs!$B$11-Inputs!$B$11),0))))/100+((Inputs!$B$23+1)+0+(IF(ArtifactsInput!$M$15,CHOOSE(ArtifactsInput!$N$15+1,25,30,35,40,45,50)/100*(Inputs!$B$11-Inputs!$B$11),0)))/100)/2</f>
        <v/>
      </c>
      <c r="M425">
        <f>L425*(1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IF(B458=0,0,O425/B458)</f>
        <v/>
      </c>
      <c r="Q425" t="n">
        <v>0</v>
      </c>
      <c r="R425" t="n">
        <v>0</v>
      </c>
      <c r="S425">
        <f>IFERROR(O425/N425,0)</f>
        <v/>
      </c>
      <c r="T425">
        <f>IF(C425,(Skills!G3*H425*N425*B452)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INDEX(FactorTable!$B$2:$Y$301, MATCH(ROUND(MIN(300,MAX(1,U424)),0), FactorTable!$A$2:$A$301,0), 22)</f>
        <v/>
      </c>
      <c r="V425">
        <f>IF(C425,(Skills!G3*H425*N425*B452)*IF(Inputs!$B$38="pvp",1,(1+(Inputs!$B$21+Skills!Q3+(IF(ArtifactsInput!$M$33,CHOOSE(ArtifactsInput!$N$33+1,30,36,42,48,54,60),0))+(IF(AND(ArtifactsInput!$M$35,Inputs!$B$4&lt;&gt;"Chapter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Skills!A4</f>
        <v/>
      </c>
      <c r="B426">
        <f>Skills!B4</f>
        <v/>
      </c>
      <c r="C426">
        <f>Inputs!$B$3&gt;=60</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Skills!G4*IF(Skills!H4&gt;0,Skills!I4/Skills!H4,1)</f>
        <v/>
      </c>
      <c r="H426">
        <f>1-(1-Skills!J4/100)^Skills!K4</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434=TRUE,F434,0)/100)*(1+(IF(Skills!A4="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C442=TRUE)*(F442-Calc!F20)),((Inputs!$B$23+1)+0+(IF(ArtifactsInput!$M$15,CHOOSE(ArtifactsInput!$N$15+1,25,30,35,40,45,50)/100*(Inputs!$B$11-Inputs!$B$11),0))))/100+((Inputs!$B$23+1)+0+(IF(ArtifactsInput!$M$15,CHOOSE(ArtifactsInput!$N$15+1,25,30,35,40,45,50)/100*(Inputs!$B$11-Inputs!$B$11),0)))/100)/2</f>
        <v/>
      </c>
      <c r="M426">
        <f>L426*(1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IF(B458=0,0,O426/B458)</f>
        <v/>
      </c>
      <c r="Q426" t="n">
        <v>0</v>
      </c>
      <c r="R426" t="n">
        <v>0</v>
      </c>
      <c r="S426">
        <f>IFERROR(O426/N426,0)</f>
        <v/>
      </c>
      <c r="T426">
        <f>IF(C426,(Skills!G4*H426*N426*B452)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290*U425/1000</f>
        <v/>
      </c>
      <c r="V426">
        <f>IF(C426,(Skills!G4*H426*N426*B452)*IF(Inputs!$B$38="pvp",1,(1+(Inputs!$B$21+Skills!Q4+(IF(ArtifactsInput!$M$33,CHOOSE(ArtifactsInput!$N$33+1,30,36,42,48,54,60),0))+(IF(AND(ArtifactsInput!$M$35,Inputs!$B$4&lt;&gt;"Chapter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Inputs!$B$3&gt;=60</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Skills!G5*IF(Skills!H5&gt;0,Skills!I5/Skills!H5,1)</f>
        <v/>
      </c>
      <c r="H427">
        <f>1-(1-Skills!J5/100)^Skills!K5</f>
        <v/>
      </c>
      <c r="I427" t="inlineStr">
        <is>
          <t>1</t>
        </is>
      </c>
      <c r="J427" t="inlineStr"/>
      <c r="K427" t="inlineStr"/>
      <c r="L427" t="inlineStr"/>
      <c r="M427" t="inlineStr"/>
      <c r="N427" t="inlineStr"/>
      <c r="O427">
        <f>(1-Summary!$B$11)*T427+Summary!$B$11*V427</f>
        <v/>
      </c>
      <c r="P427">
        <f>IF(B458=0,0,O427/B458)</f>
        <v/>
      </c>
      <c r="Q427" t="n">
        <v>0</v>
      </c>
      <c r="R427" t="n">
        <v>0</v>
      </c>
      <c r="S427">
        <f>IFERROR(O427/N427,0)</f>
        <v/>
      </c>
      <c r="T427" t="n">
        <v>0</v>
      </c>
      <c r="V427" t="n">
        <v>0</v>
      </c>
    </row>
    <row r="428">
      <c r="A428">
        <f>Skills!A6</f>
        <v/>
      </c>
      <c r="B428">
        <f>Skills!B6</f>
        <v/>
      </c>
      <c r="C428">
        <f>Inputs!$B$3&gt;=63</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Skills!G6*IF(Skills!H6&gt;0,Skills!I6/Skills!H6,1)</f>
        <v/>
      </c>
      <c r="H428">
        <f>1-(1-Skills!J6/100)^Skills!K6</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C442=TRUE)*(F442-Calc!F20)),((Inputs!$B$23+1)+0+(IF(ArtifactsInput!$M$15,CHOOSE(ArtifactsInput!$N$15+1,25,30,35,40,45,50)/100*(Inputs!$B$11-Inputs!$B$11),0))))/100+((Inputs!$B$23+1)+0+(IF(ArtifactsInput!$M$15,CHOOSE(ArtifactsInput!$N$15+1,25,30,35,40,45,50)/100*(Inputs!$B$11-Inputs!$B$11),0)))/100)/2</f>
        <v/>
      </c>
      <c r="M428">
        <f>L428*(1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IF(B458=0,0,O428/B458)</f>
        <v/>
      </c>
      <c r="Q428">
        <f>IFERROR(1/(IF(Inputs!$B$38="pvp",15,MAX(0.1,Skills!D6-IF(Skills!E6=TRUE,Inputs!$B$32,0)))*(1-IF(AND(ArtifactsInput!$M$27,Inputs!$B$4="Chapter Hunt"),CHOOSE(ArtifactsInput!$N$27+1,20,24,28,32,36,40),0)/100)),0)</f>
        <v/>
      </c>
      <c r="R428">
        <f>IF(AND(Inputs!$B$38&lt;&gt;"pvp",Inputs!$B$43&gt;0),IF(MAX(0,Inputs!$B$43-B455)&lt;=0,0,(INT(MAX(0,Inputs!$B$43-B455)/(IF(Inputs!$B$38="pvp",15,MAX(0.1,Skills!D6-IF(Skills!E6=TRUE,Inputs!$B$32,0)))*(1-IF(AND(ArtifactsInput!$M$27,Inputs!$B$4="Chapter Hunt"),CHOOSE(ArtifactsInput!$N$27+1,20,24,28,32,36,40),0)/100)))+1)),0)</f>
        <v/>
      </c>
      <c r="S428">
        <f>IFERROR(O428/N428,0)</f>
        <v/>
      </c>
      <c r="T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$21+Skills!Q6+(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Skills!A7</f>
        <v/>
      </c>
      <c r="B429">
        <f>Skills!B7</f>
        <v/>
      </c>
      <c r="C429">
        <f>Inputs!$B$3&gt;=100</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Skills!G7*IF(Skills!H7&gt;0,Skills!I7/Skills!H7,1)</f>
        <v/>
      </c>
      <c r="H429">
        <f>1-(1-Skills!J7/100)^Skills!K7</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C442=TRUE)*(F442-Calc!F20)),((Inputs!$B$23+1)+0+(IF(ArtifactsInput!$M$15,CHOOSE(ArtifactsInput!$N$15+1,25,30,35,40,45,50)/100*(Inputs!$B$11-Inputs!$B$11),0))))/100+((Inputs!$B$23+1)+0+(IF(ArtifactsInput!$M$15,CHOOSE(ArtifactsInput!$N$15+1,25,30,35,40,45,50)/100*(Inputs!$B$11-Inputs!$B$11),0)))/100)/2</f>
        <v/>
      </c>
      <c r="M429">
        <f>L429*(1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IF(B458=0,0,O429/B458)</f>
        <v/>
      </c>
      <c r="Q429">
        <f>IFERROR(1/(IF(Inputs!$B$38="pvp",15,MAX(0.1,Skills!D7-IF(Skills!E7=TRUE,Inputs!$B$32,0)))*(1-IF(AND(ArtifactsInput!$M$27,Inputs!$B$4="Chapter Hunt"),CHOOSE(ArtifactsInput!$N$27+1,20,24,28,32,36,40),0)/100)),0)</f>
        <v/>
      </c>
      <c r="R429">
        <f>IF(AND(Inputs!$B$38&lt;&gt;"pvp",Inputs!$B$43&gt;0),IF(MAX(0,Inputs!$B$43-B455)&lt;=0,0,(INT(MAX(0,Inputs!$B$43-B455)/(IF(Inputs!$B$38="pvp",15,MAX(0.1,Skills!D7-IF(Skills!E7=TRUE,Inputs!$B$32,0)))*(1-IF(AND(ArtifactsInput!$M$27,Inputs!$B$4="Chapter Hunt"),CHOOSE(ArtifactsInput!$N$27+1,20,24,28,32,36,40),0)/100)))+1)),0)</f>
        <v/>
      </c>
      <c r="S429">
        <f>IFERROR(O429/N429,0)</f>
        <v/>
      </c>
      <c r="T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$21+Skills!Q7+(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Inputs!$B$3&gt;=110</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Skills!G8*IF(Skills!H8&gt;0,Skills!I8/Skills!H8,1)</f>
        <v/>
      </c>
      <c r="H430">
        <f>1-(1-Skills!J8/100)^Skills!K8</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C442=TRUE)*(F442-Calc!F20)),((Inputs!$B$23+1)+0+(IF(ArtifactsInput!$M$15,CHOOSE(ArtifactsInput!$N$15+1,25,30,35,40,45,50)/100*(Inputs!$B$11-Inputs!$B$11),0))))/100+((Inputs!$B$23+1)+0+(IF(ArtifactsInput!$M$15,CHOOSE(ArtifactsInput!$N$15+1,25,30,35,40,45,50)/100*(Inputs!$B$11-Inputs!$B$11),0)))/100)/2</f>
        <v/>
      </c>
      <c r="M430">
        <f>L430*(1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IF(B458=0,0,O430/B458)</f>
        <v/>
      </c>
      <c r="Q430">
        <f>IFERROR(1/(IF(Inputs!$B$38="pvp",15,MAX(0.1,Skills!D8-IF(Skills!E8=TRUE,Inputs!$B$32,0)))*(1-IF(AND(ArtifactsInput!$M$27,Inputs!$B$4="Chapter Hunt"),CHOOSE(ArtifactsInput!$N$27+1,20,24,28,32,36,40),0)/100)),0)</f>
        <v/>
      </c>
      <c r="R430">
        <f>IF(AND(Inputs!$B$38&lt;&gt;"pvp",Inputs!$B$43&gt;0),IF(MAX(0,Inputs!$B$43-B455)&lt;=0,0,(INT(MAX(0,Inputs!$B$43-B455)/(IF(Inputs!$B$38="pvp",15,MAX(0.1,Skills!D8-IF(Skills!E8=TRUE,Inputs!$B$32,0)))*(1-IF(AND(ArtifactsInput!$M$27,Inputs!$B$4="Chapter Hunt"),CHOOSE(ArtifactsInput!$N$27+1,20,24,28,32,36,40),0)/100)))+1)),0)</f>
        <v/>
      </c>
      <c r="S430">
        <f>IFERROR(O430/N430,0)</f>
        <v/>
      </c>
      <c r="T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$21+Skills!Q8+(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Inputs!$B$3&gt;=110</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Skills!G9*IF(Skills!H9&gt;0,Skills!I9/Skills!H9,1)</f>
        <v/>
      </c>
      <c r="H431">
        <f>1-(1-Skills!J9/100)^Skills!K9</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C442=TRUE)*(F442-Calc!F20)),((Inputs!$B$23+1)+0+(IF(ArtifactsInput!$M$15,CHOOSE(ArtifactsInput!$N$15+1,25,30,35,40,45,50)/100*(Inputs!$B$11-Inputs!$B$11),0))))/100+((Inputs!$B$23+1)+0+(IF(ArtifactsInput!$M$15,CHOOSE(ArtifactsInput!$N$15+1,25,30,35,40,45,50)/100*(Inputs!$B$11-Inputs!$B$11),0)))/100)/2</f>
        <v/>
      </c>
      <c r="M431">
        <f>L431*(1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IF(B458=0,0,O431/B458)</f>
        <v/>
      </c>
      <c r="Q431">
        <f>IFERROR(1/(IF(Inputs!$B$38="pvp",15,MAX(0.1,Skills!D9-IF(Skills!E9=TRUE,Inputs!$B$32,0)))*(1-IF(AND(ArtifactsInput!$M$27,Inputs!$B$4="Chapter Hunt"),CHOOSE(ArtifactsInput!$N$27+1,20,24,28,32,36,40),0)/100)),0)</f>
        <v/>
      </c>
      <c r="R431">
        <f>IF(AND(Inputs!$B$38&lt;&gt;"pvp",Inputs!$B$43&gt;0),IF(MAX(0,Inputs!$B$43-B455)&lt;=0,0,(INT(MAX(0,Inputs!$B$43-B455)/(IF(Inputs!$B$38="pvp",15,MAX(0.1,Skills!D9-IF(Skills!E9=TRUE,Inputs!$B$32,0)))*(1-IF(AND(ArtifactsInput!$M$27,Inputs!$B$4="Chapter Hunt"),CHOOSE(ArtifactsInput!$N$27+1,20,24,28,32,36,40),0)/100)))+1)),0)</f>
        <v/>
      </c>
      <c r="S431">
        <f>IFERROR(O431/N431,0)</f>
        <v/>
      </c>
      <c r="T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$21+Skills!Q9+(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Inputs!$B$3&gt;=103</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Skills!G10*IF(Skills!H10&gt;0,Skills!I10/Skills!H10,1)</f>
        <v/>
      </c>
      <c r="H432">
        <f>1-(1-Skills!J10/100)^Skills!K10</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C442=TRUE)*(F442-Calc!F20)),((Inputs!$B$23+1)+0+(IF(ArtifactsInput!$M$15,CHOOSE(ArtifactsInput!$N$15+1,25,30,35,40,45,50)/100*(Inputs!$B$11-Inputs!$B$11),0))))/100+((Inputs!$B$23+1)+0+(IF(ArtifactsInput!$M$15,CHOOSE(ArtifactsInput!$N$15+1,25,30,35,40,45,50)/100*(Inputs!$B$11-Inputs!$B$11),0)))/100)/2</f>
        <v/>
      </c>
      <c r="M432">
        <f>L432*(1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IF(B458=0,0,O432/B458)</f>
        <v/>
      </c>
      <c r="Q432">
        <f>IFERROR(1/(IF(Inputs!$B$38="pvp",15,MAX(0.1,Skills!D10-IF(Skills!E10=TRUE,Inputs!$B$32,0)))*(1-IF(AND(ArtifactsInput!$M$27,Inputs!$B$4="Chapter Hunt"),CHOOSE(ArtifactsInput!$N$27+1,20,24,28,32,36,40),0)/100)),0)</f>
        <v/>
      </c>
      <c r="R432">
        <f>IF(AND(Inputs!$B$38&lt;&gt;"pvp",Inputs!$B$43&gt;0),IF(MAX(0,Inputs!$B$43-B455)&lt;=0,0,(INT(MAX(0,Inputs!$B$43-B455)/(IF(Inputs!$B$38="pvp",15,MAX(0.1,Skills!D10-IF(Skills!E10=TRUE,Inputs!$B$32,0)))*(1-IF(AND(ArtifactsInput!$M$27,Inputs!$B$4="Chapter Hunt"),CHOOSE(ArtifactsInput!$N$27+1,20,24,28,32,36,40),0)/100)))+1)),0)</f>
        <v/>
      </c>
      <c r="S432">
        <f>IFERROR(O432/N432,0)</f>
        <v/>
      </c>
      <c r="T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$21+Skills!Q10+(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Inputs!$B$3&gt;=113</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Skills!G11*IF(Skills!H11&gt;0,Skills!I11/Skills!H11,1)</f>
        <v/>
      </c>
      <c r="H433">
        <f>1-(1-Skills!J11/100)^Skills!K11</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442=TRUE)*(F442-Calc!F20)),((Inputs!$B$23+1)+0+(IF(ArtifactsInput!$M$15,CHOOSE(ArtifactsInput!$N$15+1,25,30,35,40,45,50)/100*(Inputs!$B$11-Inputs!$B$11),0))))/100+((Inputs!$B$23+1)+0+(IF(ArtifactsInput!$M$15,CHOOSE(ArtifactsInput!$N$15+1,25,30,35,40,45,50)/100*(Inputs!$B$11-Inputs!$B$11),0)))/100)/2</f>
        <v/>
      </c>
      <c r="M433">
        <f>L433*(1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IF(B458=0,0,O433/B458)</f>
        <v/>
      </c>
      <c r="Q433">
        <f>IFERROR(1/(IF(Inputs!$B$38="pvp",15,MAX(0.1,Skills!D11-IF(Skills!E11=TRUE,Inputs!$B$32,0)))*(1-IF(AND(ArtifactsInput!$M$27,Inputs!$B$4="Chapter Hunt"),CHOOSE(ArtifactsInput!$N$27+1,20,24,28,32,36,40),0)/100)),0)</f>
        <v/>
      </c>
      <c r="R433">
        <f>IF(AND(Inputs!$B$38&lt;&gt;"pvp",Inputs!$B$43&gt;0),IF(MAX(0,Inputs!$B$43-B455)&lt;=0,0,(INT(MAX(0,Inputs!$B$43-B455)/(IF(Inputs!$B$38="pvp",15,MAX(0.1,Skills!D11-IF(Skills!E11=TRUE,Inputs!$B$32,0)))*(1-IF(AND(ArtifactsInput!$M$27,Inputs!$B$4="Chapter Hunt"),CHOOSE(ArtifactsInput!$N$27+1,20,24,28,32,36,40),0)/100)))+1)),0)</f>
        <v/>
      </c>
      <c r="S433">
        <f>IFERROR(O433/N433,0)</f>
        <v/>
      </c>
      <c r="T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$21+Skills!Q11+(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Skills!A12</f>
        <v/>
      </c>
      <c r="B434">
        <f>Skills!B12</f>
        <v/>
      </c>
      <c r="C434">
        <f>Inputs!$B$3&gt;=100</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V434" t="inlineStr"/>
    </row>
    <row r="435">
      <c r="A435">
        <f>Skills!A13</f>
        <v/>
      </c>
      <c r="B435">
        <f>Skills!B13</f>
        <v/>
      </c>
      <c r="C435">
        <f>Inputs!$B$3&gt;=66</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Skills!G13*IF(Skills!H13&gt;0,Skills!I13/Skills!H13,1)</f>
        <v/>
      </c>
      <c r="H435">
        <f>1-(1-Skills!J13/100)^Skills!K13</f>
        <v/>
      </c>
      <c r="I435" t="inlineStr">
        <is>
          <t>1</t>
        </is>
      </c>
      <c r="J435" t="inlineStr"/>
      <c r="K435" t="inlineStr"/>
      <c r="L435" t="inlineStr"/>
      <c r="M435" t="inlineStr"/>
      <c r="N435" t="inlineStr"/>
      <c r="O435">
        <f>(1-Summary!$B$11)*T435+Summary!$B$11*V435</f>
        <v/>
      </c>
      <c r="P435">
        <f>IF(B458=0,0,O435/B458)</f>
        <v/>
      </c>
      <c r="Q435" t="n">
        <v>0</v>
      </c>
      <c r="R435" t="n">
        <v>0</v>
      </c>
      <c r="S435">
        <f>IFERROR(O435/N435,0)</f>
        <v/>
      </c>
      <c r="T435" t="n">
        <v>0</v>
      </c>
      <c r="V435" t="n">
        <v>0</v>
      </c>
    </row>
    <row r="436">
      <c r="A436">
        <f>Skills!A14</f>
        <v/>
      </c>
      <c r="B436">
        <f>Skills!B14</f>
        <v/>
      </c>
      <c r="C436">
        <f>Inputs!$B$3&gt;=107</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Skills!G14*IF(Skills!H14&gt;0,Skills!I14/Skills!H14,1)</f>
        <v/>
      </c>
      <c r="H436">
        <f>1-(1-Skills!J14/100)^Skills!K14</f>
        <v/>
      </c>
      <c r="I436" t="inlineStr">
        <is>
          <t>1</t>
        </is>
      </c>
      <c r="J436" t="inlineStr"/>
      <c r="K436" t="inlineStr"/>
      <c r="L436" t="inlineStr"/>
      <c r="M436" t="inlineStr"/>
      <c r="N436" t="inlineStr"/>
      <c r="O436">
        <f>(1-Summary!$B$11)*T436+Summary!$B$11*V436</f>
        <v/>
      </c>
      <c r="P436">
        <f>IF(B458=0,0,O436/B458)</f>
        <v/>
      </c>
      <c r="Q436" t="n">
        <v>0</v>
      </c>
      <c r="R436" t="n">
        <v>0</v>
      </c>
      <c r="S436">
        <f>IFERROR(O436/N436,0)</f>
        <v/>
      </c>
      <c r="T436" t="n">
        <v>0</v>
      </c>
      <c r="V436" t="n">
        <v>0</v>
      </c>
    </row>
    <row r="437">
      <c r="A437">
        <f>Skills!A15</f>
        <v/>
      </c>
      <c r="B437">
        <f>Skills!B15</f>
        <v/>
      </c>
      <c r="C437">
        <f>Inputs!$B$3&gt;=115</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Skills!G15*IF(Skills!H15&gt;0,Skills!I15/Skills!H15,1)</f>
        <v/>
      </c>
      <c r="H437">
        <f>1-(1-Skills!J15/100)^Skills!K15</f>
        <v/>
      </c>
      <c r="I437" t="inlineStr">
        <is>
          <t>1</t>
        </is>
      </c>
      <c r="J437" t="inlineStr"/>
      <c r="K437" t="inlineStr"/>
      <c r="L437" t="inlineStr"/>
      <c r="M437" t="inlineStr"/>
      <c r="N437" t="inlineStr"/>
      <c r="O437">
        <f>(1-Summary!$B$11)*T437+Summary!$B$11*V437</f>
        <v/>
      </c>
      <c r="P437">
        <f>IF(B458=0,0,O437/B458)</f>
        <v/>
      </c>
      <c r="Q437" t="n">
        <v>0</v>
      </c>
      <c r="R437" t="n">
        <v>0</v>
      </c>
      <c r="S437">
        <f>IFERROR(O437/N437,0)</f>
        <v/>
      </c>
      <c r="T437" t="n">
        <v>0</v>
      </c>
      <c r="V437" t="n">
        <v>0</v>
      </c>
    </row>
    <row r="438">
      <c r="A438">
        <f>Skills!A16</f>
        <v/>
      </c>
      <c r="B438">
        <f>Skills!B16</f>
        <v/>
      </c>
      <c r="C438">
        <f>Inputs!$B$3&gt;=15</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Skills!G16*IF(Skills!H16&gt;0,Skills!I16/Skills!H16,1)</f>
        <v/>
      </c>
      <c r="H438">
        <f>1-(1-Skills!J16/100)^Skills!K16</f>
        <v/>
      </c>
      <c r="I438" t="inlineStr">
        <is>
          <t>1</t>
        </is>
      </c>
      <c r="J438" t="inlineStr"/>
      <c r="K438" t="inlineStr"/>
      <c r="L438" t="inlineStr"/>
      <c r="M438" t="inlineStr"/>
      <c r="N438" t="inlineStr"/>
      <c r="O438">
        <f>(1-Summary!$B$11)*T438+Summary!$B$11*V438</f>
        <v/>
      </c>
      <c r="P438">
        <f>IF(B458=0,0,O438/B458)</f>
        <v/>
      </c>
      <c r="Q438" t="n">
        <v>0</v>
      </c>
      <c r="R438" t="n">
        <v>0</v>
      </c>
      <c r="S438">
        <f>IFERROR(O438/N438,0)</f>
        <v/>
      </c>
      <c r="T438" t="n">
        <v>0</v>
      </c>
      <c r="V438" t="n">
        <v>0</v>
      </c>
    </row>
    <row r="439">
      <c r="A439">
        <f>Skills!A17</f>
        <v/>
      </c>
      <c r="B439">
        <f>Skills!B17</f>
        <v/>
      </c>
      <c r="C439">
        <f>Inputs!$B$3&gt;=10</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Skills!G17*IF(Skills!H17&gt;0,Skills!I17/Skills!H17,1)</f>
        <v/>
      </c>
      <c r="H439">
        <f>1-(1-Skills!J17/100)^Skills!K17</f>
        <v/>
      </c>
      <c r="I439" t="inlineStr">
        <is>
          <t>1</t>
        </is>
      </c>
      <c r="J439" t="inlineStr"/>
      <c r="K439" t="inlineStr"/>
      <c r="L439" t="inlineStr"/>
      <c r="M439" t="inlineStr"/>
      <c r="N439" t="inlineStr"/>
      <c r="O439">
        <f>(1-Summary!$B$11)*T439+Summary!$B$11*V439</f>
        <v/>
      </c>
      <c r="P439">
        <f>IF(B458=0,0,O439/B458)</f>
        <v/>
      </c>
      <c r="Q439" t="n">
        <v>0</v>
      </c>
      <c r="R439" t="n">
        <v>0</v>
      </c>
      <c r="S439">
        <f>IFERROR(O439/N439,0)</f>
        <v/>
      </c>
      <c r="T439" t="n">
        <v>0</v>
      </c>
      <c r="V439" t="n">
        <v>0</v>
      </c>
    </row>
    <row r="440">
      <c r="A440">
        <f>Skills!A18</f>
        <v/>
      </c>
      <c r="B440">
        <f>Skills!B18</f>
        <v/>
      </c>
      <c r="C440">
        <f>Inputs!$B$3&gt;=33</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Skills!G18*IF(Skills!H18&gt;0,Skills!I18/Skills!H18,1)</f>
        <v/>
      </c>
      <c r="H440">
        <f>1-(1-Skills!J18/100)^Skills!K18</f>
        <v/>
      </c>
      <c r="I440" t="inlineStr">
        <is>
          <t>1</t>
        </is>
      </c>
      <c r="J440" t="inlineStr"/>
      <c r="K440" t="inlineStr"/>
      <c r="L440" t="inlineStr"/>
      <c r="M440" t="inlineStr"/>
      <c r="N440" t="inlineStr"/>
      <c r="O440">
        <f>(1-Summary!$B$11)*T440+Summary!$B$11*V440</f>
        <v/>
      </c>
      <c r="P440">
        <f>IF(B458=0,0,O440/B458)</f>
        <v/>
      </c>
      <c r="Q440" t="n">
        <v>0</v>
      </c>
      <c r="R440" t="n">
        <v>0</v>
      </c>
      <c r="S440">
        <f>IFERROR(O440/N440,0)</f>
        <v/>
      </c>
      <c r="T440" t="n">
        <v>0</v>
      </c>
      <c r="V440" t="n">
        <v>0</v>
      </c>
    </row>
    <row r="441">
      <c r="A441">
        <f>Skills!A19</f>
        <v/>
      </c>
      <c r="B441">
        <f>Skills!B19</f>
        <v/>
      </c>
      <c r="C441">
        <f>Inputs!$B$3&gt;=40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Skills!G19*IF(Skills!H19&gt;0,Skills!I19/Skills!H19,1)</f>
        <v/>
      </c>
      <c r="H441">
        <f>1-(1-Skills!J19/100)^Skills!K19</f>
        <v/>
      </c>
      <c r="I441" t="inlineStr">
        <is>
          <t>1</t>
        </is>
      </c>
      <c r="J441" t="inlineStr"/>
      <c r="K441" t="inlineStr"/>
      <c r="L441" t="inlineStr"/>
      <c r="M441" t="inlineStr"/>
      <c r="N441" t="inlineStr"/>
      <c r="O441">
        <f>(1-Summary!$B$11)*T441+Summary!$B$11*V441</f>
        <v/>
      </c>
      <c r="P441">
        <f>IF(B458=0,0,O441/B458)</f>
        <v/>
      </c>
      <c r="Q441" t="n">
        <v>0</v>
      </c>
      <c r="R441" t="n">
        <v>0</v>
      </c>
      <c r="S441">
        <f>IFERROR(O441/N441,0)</f>
        <v/>
      </c>
      <c r="T441" t="n">
        <v>0</v>
      </c>
      <c r="V441" t="n">
        <v>0</v>
      </c>
    </row>
    <row r="442">
      <c r="A442">
        <f>Skills!A20</f>
        <v/>
      </c>
      <c r="B442">
        <f>Skills!B20</f>
        <v/>
      </c>
      <c r="C442">
        <f>Inputs!$B$3&gt;=43</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Skills!G20*IF(Skills!H20&gt;0,Skills!I20/Skills!H20,1)</f>
        <v/>
      </c>
      <c r="H442">
        <f>1-(1-Skills!J20/100)^Skills!K20</f>
        <v/>
      </c>
      <c r="I442" t="inlineStr">
        <is>
          <t>1</t>
        </is>
      </c>
      <c r="J442" t="inlineStr"/>
      <c r="K442" t="inlineStr"/>
      <c r="L442" t="inlineStr"/>
      <c r="M442" t="inlineStr"/>
      <c r="N442" t="inlineStr"/>
      <c r="O442">
        <f>(1-Summary!$B$11)*T442+Summary!$B$11*V442</f>
        <v/>
      </c>
      <c r="P442">
        <f>IF(B458=0,0,O442/B458)</f>
        <v/>
      </c>
      <c r="Q442" t="n">
        <v>0</v>
      </c>
      <c r="R442" t="n">
        <v>0</v>
      </c>
      <c r="S442">
        <f>IFERROR(O442/N442,0)</f>
        <v/>
      </c>
      <c r="T442" t="n">
        <v>0</v>
      </c>
      <c r="V442" t="n">
        <v>0</v>
      </c>
    </row>
    <row r="443">
      <c r="A443">
        <f>Skills!A21</f>
        <v/>
      </c>
      <c r="B443">
        <f>Skills!B21</f>
        <v/>
      </c>
      <c r="C443">
        <f>Inputs!$B$3&gt;=38</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Skills!G21*IF(Skills!H21&gt;0,Skills!I21/Skills!H21,1)</f>
        <v/>
      </c>
      <c r="H443">
        <f>1-(1-Skills!J21/100)^Skills!K21</f>
        <v/>
      </c>
      <c r="I443" t="inlineStr">
        <is>
          <t>1</t>
        </is>
      </c>
      <c r="J443" t="inlineStr"/>
      <c r="K443" t="inlineStr"/>
      <c r="L443" t="inlineStr"/>
      <c r="M443" t="inlineStr"/>
      <c r="N443" t="inlineStr"/>
      <c r="O443">
        <f>(1-Summary!$B$11)*T443+Summary!$B$11*V443</f>
        <v/>
      </c>
      <c r="P443">
        <f>IF(B458=0,0,O443/B458)</f>
        <v/>
      </c>
      <c r="Q443" t="n">
        <v>0</v>
      </c>
      <c r="R443" t="n">
        <v>0</v>
      </c>
      <c r="S443">
        <f>IFERROR(O443/N443,0)</f>
        <v/>
      </c>
      <c r="T443" t="n">
        <v>0</v>
      </c>
      <c r="V443" t="n">
        <v>0</v>
      </c>
    </row>
    <row r="444">
      <c r="A444">
        <f>Skills!A22</f>
        <v/>
      </c>
      <c r="B444">
        <f>Skills!B22</f>
        <v/>
      </c>
      <c r="C444">
        <f>Inputs!$B$3&gt;=75</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Skills!G22*IF(Skills!H22&gt;0,Skills!I22/Skills!H22,1)</f>
        <v/>
      </c>
      <c r="H444">
        <f>1-(1-Skills!J22/100)^Skills!K22</f>
        <v/>
      </c>
      <c r="I444" t="inlineStr">
        <is>
          <t>1</t>
        </is>
      </c>
      <c r="J444" t="inlineStr"/>
      <c r="K444" t="inlineStr"/>
      <c r="L444" t="inlineStr"/>
      <c r="M444" t="inlineStr"/>
      <c r="N444" t="inlineStr"/>
      <c r="O444">
        <f>(1-Summary!$B$11)*T444+Summary!$B$11*V444</f>
        <v/>
      </c>
      <c r="P444">
        <f>IF(B458=0,0,O444/B458)</f>
        <v/>
      </c>
      <c r="Q444" t="n">
        <v>0</v>
      </c>
      <c r="R444" t="n">
        <v>0</v>
      </c>
      <c r="S444">
        <f>IFERROR(O444/N444,0)</f>
        <v/>
      </c>
      <c r="T444" t="n">
        <v>0</v>
      </c>
      <c r="V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Skills!G23*IF(Skills!H23&gt;0,Skills!I23/Skills!H23,1)</f>
        <v/>
      </c>
      <c r="H445">
        <f>1-(1-Skills!J23/100)^Skills!K23</f>
        <v/>
      </c>
      <c r="I445" t="inlineStr">
        <is>
          <t>1</t>
        </is>
      </c>
      <c r="J445" t="inlineStr"/>
      <c r="K445" t="inlineStr"/>
      <c r="L445" t="inlineStr"/>
      <c r="M445" t="inlineStr"/>
      <c r="N445" t="inlineStr"/>
      <c r="O445">
        <f>(1-Summary!$B$11)*T445+Summary!$B$11*V445</f>
        <v/>
      </c>
      <c r="P445">
        <f>IF(B458=0,0,O445/B458)</f>
        <v/>
      </c>
      <c r="Q445">
        <f>IFERROR(1/(IF(Inputs!$B$38="pvp",15,MAX(0.1,Skills!D23-IF(Skills!E23=TRUE,Inputs!$B$32,0)))*(1-IF(AND(ArtifactsInput!$M$27,Inputs!$B$4="Chapter Hunt"),CHOOSE(ArtifactsInput!$N$27+1,20,24,28,32,36,40),0)/100)),0)</f>
        <v/>
      </c>
      <c r="R445">
        <f>IF(AND(Inputs!$B$38&lt;&gt;"pvp",Inputs!$B$43&gt;0),IF(Inputs!$B$43&lt;=0,0,(INT(Inputs!$B$43/(IF(Inputs!$B$38="pvp",15,MAX(0.1,Skills!D23-IF(Skills!E23=TRUE,Inputs!$B$32,0)))*(1-IF(AND(ArtifactsInput!$M$27,Inputs!$B$4="Chapter Hunt"),CHOOSE(ArtifactsInput!$N$27+1,20,24,28,32,36,40),0)/100)))+1)),0)</f>
        <v/>
      </c>
      <c r="S445">
        <f>IFERROR(O445/N445,0)</f>
        <v/>
      </c>
      <c r="T445" t="n">
        <v>0</v>
      </c>
      <c r="V445" t="n">
        <v>0</v>
      </c>
    </row>
    <row r="447">
      <c r="A447" t="inlineStr">
        <is>
          <t>Attack% Bucket Multiplier</t>
        </is>
      </c>
      <c r="B447">
        <f>(1+(((C435=TRUE)*F435*5/7)+((C441=TRUE)*(F441-Calc!F19))+(IF(ArtifactsInput!$M$21,CHOOSE(ArtifactsInput!$N$21+1,25,30,35,40,45,50)*(IF(OR(Inputs!$B$4="Chapter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8">
      <c r="A448" t="inlineStr">
        <is>
          <t>Global Crit Rate Bonus %</t>
        </is>
      </c>
      <c r="B448" t="n">
        <v>0</v>
      </c>
    </row>
    <row r="449">
      <c r="A449" t="inlineStr">
        <is>
          <t>Attack Speed Buff Bonus % (Nimble Feet, duty-cycle averaged)</t>
        </is>
      </c>
      <c r="B449">
        <f>((C445=TRUE)*F445*IF(AND(Inputs!$B$38&lt;&gt;"pvp",Inputs!$B$43&gt;0),(((R445-1)*(Skills!T23*(1+Inputs!$B$34/100))+MIN((Skills!T23*(1+Inputs!$B$34/100)),MAX(0,Inputs!$B$43-((R445-1)*Skills!D23))))/Inputs!$B$43),IF(Inputs!$B$38="pvp",MIN((Skills!T23*(1+Inputs!$B$34/100)),15)/15,(Skills!T23*(1+Inputs!$B$34/100))/Skills!D23)))</f>
        <v/>
      </c>
    </row>
    <row r="450">
      <c r="A450" t="inlineStr">
        <is>
          <t>Actions Per Second</t>
        </is>
      </c>
      <c r="B450">
        <f>1+MIN(150,150*(1-(1-(Inputs!$B$11+((C439=TRUE)*(F439-Calc!F17))+((C440=TRUE)*(F440-Calc!F18)))/150)*(1-B449/150)))/100</f>
        <v/>
      </c>
    </row>
    <row r="451">
      <c r="A451" t="inlineStr">
        <is>
          <t>Skill + Buff Cast Rate</t>
        </is>
      </c>
      <c r="B451">
        <f>IF(AND(Inputs!$B$38&lt;&gt;"pvp",Inputs!$B$43&gt;0),SUMPRODUCT((Skills!E2:E23=TRUE)*(C424:C445=TRUE)*R424:R445*Skills!F2:F23)/Inputs!$B$43,SUMPRODUCT((Skills!E2:E23=TRUE)*(C424:C445=TRUE)*Q424:Q445*Skills!F2:F23))</f>
        <v/>
      </c>
    </row>
    <row r="452">
      <c r="A452" t="inlineStr">
        <is>
          <t>Hook Bomber Casts Per Second</t>
        </is>
      </c>
      <c r="B452">
        <f>MAX(0,B450-B451)</f>
        <v/>
      </c>
    </row>
    <row r="453">
      <c r="A453" t="inlineStr">
        <is>
          <t>Global Critical Damage Bonus % (unused)</t>
        </is>
      </c>
      <c r="B453" t="n">
        <v>0</v>
      </c>
    </row>
    <row r="454">
      <c r="A454" t="inlineStr">
        <is>
          <t>Global Final Damage Bonus % (Serpent Scale + Crossbones + Time Leap + Speed Infusion)</t>
        </is>
      </c>
      <c r="B454">
        <f>((C427=TRUE)*F427*((10+IF(Inputs!$B$3&gt;=94,5,0))/((10+IF(Inputs!$B$3&gt;=94,5,0))+5/(B452*(1+IF(Inputs!$B$3&gt;=104,1,0))))))+((C436=TRUE)*F436)+((C437=TRUE)*F437)+((Inputs!$B$3&gt;=110)*20*(B450-1))</f>
        <v/>
      </c>
    </row>
    <row r="455">
      <c r="A455" t="inlineStr">
        <is>
          <t>Buff-Casting Startup Delay (s, fixed-duration only)</t>
        </is>
      </c>
      <c r="B455">
        <f>IF(AND(Inputs!$B$38&lt;&gt;"pvp",Inputs!$B$43&gt;0),SUMPRODUCT((Skills!T2:T23&gt;0)*(Skills!E2:E23=TRUE)*(C424:C445=TRUE))/B450,0)</f>
        <v/>
      </c>
    </row>
    <row r="456">
      <c r="A456" t="inlineStr">
        <is>
          <t>Boss-Only Total DPS (this block's swept value)</t>
        </is>
      </c>
      <c r="B456">
        <f>SUM(T424:T445)</f>
        <v/>
      </c>
    </row>
    <row r="457">
      <c r="A457" t="inlineStr">
        <is>
          <t>Normal-Only Total DPS (this block's swept value)</t>
        </is>
      </c>
      <c r="B457">
        <f>SUM(V424:V445)</f>
        <v/>
      </c>
    </row>
    <row r="458">
      <c r="A458" s="6" t="inlineStr">
        <is>
          <t>TOTAL DPS</t>
        </is>
      </c>
      <c r="B458" s="6">
        <f>SUM(O424:O445)</f>
        <v/>
      </c>
    </row>
    <row r="461">
      <c r="A461" s="6" t="inlineStr">
        <is>
          <t>Stat: CRIT_RATE %</t>
        </is>
      </c>
    </row>
    <row r="462">
      <c r="A462" s="5" t="inlineStr">
        <is>
          <t>Key</t>
        </is>
      </c>
      <c r="B462" s="5" t="inlineStr">
        <is>
          <t>Name</t>
        </is>
      </c>
      <c r="C462" s="5" t="inlineStr">
        <is>
          <t>Unlocked</t>
        </is>
      </c>
      <c r="D462" s="5" t="inlineStr">
        <is>
          <t>InputLevel</t>
        </is>
      </c>
      <c r="E462" s="5" t="inlineStr">
        <is>
          <t>Factor</t>
        </is>
      </c>
      <c r="F462" s="5" t="inlineStr">
        <is>
          <t>CoefficientPercent</t>
        </is>
      </c>
      <c r="G462" s="5" t="inlineStr">
        <is>
          <t>EffectiveHits</t>
        </is>
      </c>
      <c r="H462" s="5" t="inlineStr">
        <is>
          <t>ProcProbability</t>
        </is>
      </c>
      <c r="I462" s="5" t="inlineStr">
        <is>
          <t>MapleHeroMultiplier</t>
        </is>
      </c>
      <c r="J462" s="5" t="inlineStr">
        <is>
          <t>BaseDamage</t>
        </is>
      </c>
      <c r="K462" s="5" t="inlineStr">
        <is>
          <t>BaseHitDamage</t>
        </is>
      </c>
      <c r="L462" s="5" t="inlineStr">
        <is>
          <t>NonCritAvg</t>
        </is>
      </c>
      <c r="M462" s="5" t="inlineStr">
        <is>
          <t>CritAvg</t>
        </is>
      </c>
      <c r="N462" s="5" t="inlineStr">
        <is>
          <t>ExpectedDamage(perHit)</t>
        </is>
      </c>
      <c r="O462" s="5" t="inlineStr">
        <is>
          <t>DPS</t>
        </is>
      </c>
      <c r="P462" s="5" t="inlineStr">
        <is>
          <t>% of Total</t>
        </is>
      </c>
      <c r="Q462" s="5" t="inlineStr">
        <is>
          <t>InvCooldown</t>
        </is>
      </c>
      <c r="R462" s="5" t="inlineStr">
        <is>
          <t>CastsInFight</t>
        </is>
      </c>
      <c r="S462" s="5" t="inlineStr">
        <is>
          <t>HitRate(perSec)</t>
        </is>
      </c>
      <c r="U462" t="inlineStr">
        <is>
          <t>helpers</t>
        </is>
      </c>
    </row>
    <row r="463">
      <c r="A463">
        <f>Skills!A2</f>
        <v/>
      </c>
      <c r="B463">
        <f>Skills!B2</f>
        <v/>
      </c>
      <c r="C463">
        <f>Inputs!$B$3&gt;=100</f>
        <v/>
      </c>
      <c r="D463" t="inlineStr"/>
      <c r="E463" t="inlineStr"/>
      <c r="F463">
        <f>U465+Skills!O2</f>
        <v/>
      </c>
      <c r="G463">
        <f>Skills!G2*IF(Skills!H2&gt;0,Skills!I2/Skills!H2,1)</f>
        <v/>
      </c>
      <c r="H463">
        <f>1-(1-Skills!J2/100)^Skills!K2</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481=TRUE)*(F481-Calc!F20)),(Inputs!$B$23+0+(IF(ArtifactsInput!$M$15,CHOOSE(ArtifactsInput!$N$15+1,25,30,35,40,45,50)/100*(Inputs!$B$11-Inputs!$B$11),0))))/100+(Inputs!$B$23+0+(IF(ArtifactsInput!$M$15,CHOOSE(ArtifactsInput!$N$15+1,25,30,35,40,45,50)/100*(Inputs!$B$11-Inputs!$B$11),0)))/100)/2</f>
        <v/>
      </c>
      <c r="M463">
        <f>L463*(1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3">
        <f>L463*(1-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IF(B497=0,0,O463/B497)</f>
        <v/>
      </c>
      <c r="Q463" t="n">
        <v>0</v>
      </c>
      <c r="R463" t="n">
        <v>0</v>
      </c>
      <c r="S463">
        <f>IFERROR(O463/N463,0)</f>
        <v/>
      </c>
      <c r="T463">
        <f>IF(C463,(Skills!G2*N463*B491)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3">
        <f>MAX(0,(Inputs!$B$3-100)*3)+Inputs!$B$28+Inputs!$B$29</f>
        <v/>
      </c>
      <c r="V463">
        <f>IF(C463,(Skills!G2*N463*B491)*IF(Inputs!$B$38="pvp",1,(1+(Inputs!$B$21+Skills!Q2+(IF(ArtifactsInput!$M$33,CHOOSE(ArtifactsInput!$N$33+1,30,36,42,48,54,60),0))+(IF(AND(ArtifactsInput!$M$35,Inputs!$B$4&lt;&gt;"Chapter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Skills!A3</f>
        <v/>
      </c>
      <c r="B464">
        <f>Skills!B3</f>
        <v/>
      </c>
      <c r="C464">
        <f>Inputs!$B$3&gt;=35</f>
        <v/>
      </c>
      <c r="D464">
        <f>IF(Skills!C3=1,60+Inputs!$B$25+Inputs!$B$29,IF(Skills!C3=2,90+Inputs!$B$26+Inputs!$B$29,IF(Skills!C3=3,120+Inputs!$B$27+Inputs!$B$29,MAX(0,(Inputs!$B$3-100)*3)+Inputs!$B$28+Inputs!$B$29)))</f>
        <v/>
      </c>
      <c r="E464">
        <f>INDEX(FactorTable!$B$2:$Y$301, MATCH(ROUND(MIN(300,MAX(1,D464)),0), FactorTable!$A$2:$A$301,0), Skills!M3+1)</f>
        <v/>
      </c>
      <c r="F464">
        <f>IF(Skills!N3=TRUE,(Skills!L3/10)*(E464/1000),Skills!L3/10)+Skills!O3</f>
        <v/>
      </c>
      <c r="G464">
        <f>Skills!G3*IF(Skills!H3&gt;0,Skills!I3/Skills!H3,1)</f>
        <v/>
      </c>
      <c r="H464">
        <f>1-(1-Skills!J3/100)^Skills!K3</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481=TRUE)*(F481-Calc!F20)),(Inputs!$B$23+0+(IF(ArtifactsInput!$M$15,CHOOSE(ArtifactsInput!$N$15+1,25,30,35,40,45,50)/100*(Inputs!$B$11-Inputs!$B$11),0))))/100+(Inputs!$B$23+0+(IF(ArtifactsInput!$M$15,CHOOSE(ArtifactsInput!$N$15+1,25,30,35,40,45,50)/100*(Inputs!$B$11-Inputs!$B$11),0)))/100)/2</f>
        <v/>
      </c>
      <c r="M464">
        <f>L464*(1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4">
        <f>L464*(1-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IF(B497=0,0,O464/B497)</f>
        <v/>
      </c>
      <c r="Q464" t="n">
        <v>0</v>
      </c>
      <c r="R464" t="n">
        <v>0</v>
      </c>
      <c r="S464">
        <f>IFERROR(O464/N464,0)</f>
        <v/>
      </c>
      <c r="T464">
        <f>IF(C464,(Skills!G3*H464*N464*B491)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4">
        <f>INDEX(FactorTable!$B$2:$Y$301, MATCH(ROUND(MIN(300,MAX(1,U463)),0), FactorTable!$A$2:$A$301,0), 22)</f>
        <v/>
      </c>
      <c r="V464">
        <f>IF(C464,(Skills!G3*H464*N464*B491)*IF(Inputs!$B$38="pvp",1,(1+(Inputs!$B$21+Skills!Q3+(IF(ArtifactsInput!$M$33,CHOOSE(ArtifactsInput!$N$33+1,30,36,42,48,54,60),0))+(IF(AND(ArtifactsInput!$M$35,Inputs!$B$4&lt;&gt;"Chapter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Skills!A4</f>
        <v/>
      </c>
      <c r="B465">
        <f>Skills!B4</f>
        <v/>
      </c>
      <c r="C465">
        <f>Inputs!$B$3&gt;=60</f>
        <v/>
      </c>
      <c r="D465">
        <f>IF(Skills!C4=1,60+Inputs!$B$25+Inputs!$B$29,IF(Skills!C4=2,90+Inputs!$B$26+Inputs!$B$29,IF(Skills!C4=3,120+Inputs!$B$27+Inputs!$B$29,MAX(0,(Inputs!$B$3-100)*3)+Inputs!$B$28+Inputs!$B$29)))</f>
        <v/>
      </c>
      <c r="E465">
        <f>INDEX(FactorTable!$B$2:$Y$301, MATCH(ROUND(MIN(300,MAX(1,D465)),0), FactorTable!$A$2:$A$301,0), Skills!M4+1)</f>
        <v/>
      </c>
      <c r="F465">
        <f>IF(Skills!N4=TRUE,(Skills!L4/10)*(E465/1000),Skills!L4/10)+Skills!O4</f>
        <v/>
      </c>
      <c r="G465">
        <f>Skills!G4*IF(Skills!H4&gt;0,Skills!I4/Skills!H4,1)</f>
        <v/>
      </c>
      <c r="H465">
        <f>1-(1-Skills!J4/100)^Skills!K4</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4="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481=TRUE)*(F481-Calc!F20)),(Inputs!$B$23+0+(IF(ArtifactsInput!$M$15,CHOOSE(ArtifactsInput!$N$15+1,25,30,35,40,45,50)/100*(Inputs!$B$11-Inputs!$B$11),0))))/100+(Inputs!$B$23+0+(IF(ArtifactsInput!$M$15,CHOOSE(ArtifactsInput!$N$15+1,25,30,35,40,45,50)/100*(Inputs!$B$11-Inputs!$B$11),0)))/100)/2</f>
        <v/>
      </c>
      <c r="M465">
        <f>L465*(1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5">
        <f>L465*(1-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IF(B497=0,0,O465/B497)</f>
        <v/>
      </c>
      <c r="Q465" t="n">
        <v>0</v>
      </c>
      <c r="R465" t="n">
        <v>0</v>
      </c>
      <c r="S465">
        <f>IFERROR(O465/N465,0)</f>
        <v/>
      </c>
      <c r="T465">
        <f>IF(C465,(Skills!G4*H465*N465*B491)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290*U464/1000</f>
        <v/>
      </c>
      <c r="V465">
        <f>IF(C465,(Skills!G4*H465*N465*B491)*IF(Inputs!$B$38="pvp",1,(1+(Inputs!$B$21+Skills!Q4+(IF(ArtifactsInput!$M$33,CHOOSE(ArtifactsInput!$N$33+1,30,36,42,48,54,60),0))+(IF(AND(ArtifactsInput!$M$35,Inputs!$B$4&lt;&gt;"Chapter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Skills!A5</f>
        <v/>
      </c>
      <c r="B466">
        <f>Skills!B5</f>
        <v/>
      </c>
      <c r="C466">
        <f>Inputs!$B$3&gt;=60</f>
        <v/>
      </c>
      <c r="D466">
        <f>IF(Skills!C5=1,60+Inputs!$B$25+Inputs!$B$29,IF(Skills!C5=2,90+Inputs!$B$26+Inputs!$B$29,IF(Skills!C5=3,120+Inputs!$B$27+Inputs!$B$29,MAX(0,(Inputs!$B$3-100)*3)+Inputs!$B$28+Inputs!$B$29)))</f>
        <v/>
      </c>
      <c r="E466">
        <f>INDEX(FactorTable!$B$2:$Y$301, MATCH(ROUND(MIN(300,MAX(1,D466)),0), FactorTable!$A$2:$A$301,0), Skills!M5+1)</f>
        <v/>
      </c>
      <c r="F466">
        <f>IF(Skills!N5=TRUE,(Skills!L5/10)*(E466/1000),Skills!L5/10)+Skills!O5</f>
        <v/>
      </c>
      <c r="G466">
        <f>Skills!G5*IF(Skills!H5&gt;0,Skills!I5/Skills!H5,1)</f>
        <v/>
      </c>
      <c r="H466">
        <f>1-(1-Skills!J5/100)^Skills!K5</f>
        <v/>
      </c>
      <c r="I466" t="inlineStr">
        <is>
          <t>1</t>
        </is>
      </c>
      <c r="J466" t="inlineStr"/>
      <c r="K466" t="inlineStr"/>
      <c r="L466" t="inlineStr"/>
      <c r="M466" t="inlineStr"/>
      <c r="N466" t="inlineStr"/>
      <c r="O466">
        <f>(1-Summary!$B$11)*T466+Summary!$B$11*V466</f>
        <v/>
      </c>
      <c r="P466">
        <f>IF(B497=0,0,O466/B497)</f>
        <v/>
      </c>
      <c r="Q466" t="n">
        <v>0</v>
      </c>
      <c r="R466" t="n">
        <v>0</v>
      </c>
      <c r="S466">
        <f>IFERROR(O466/N466,0)</f>
        <v/>
      </c>
      <c r="T466" t="n">
        <v>0</v>
      </c>
      <c r="V466" t="n">
        <v>0</v>
      </c>
    </row>
    <row r="467">
      <c r="A467">
        <f>Skills!A6</f>
        <v/>
      </c>
      <c r="B467">
        <f>Skills!B6</f>
        <v/>
      </c>
      <c r="C467">
        <f>Inputs!$B$3&gt;=63</f>
        <v/>
      </c>
      <c r="D467">
        <f>IF(Skills!C6=1,60+Inputs!$B$25+Inputs!$B$29,IF(Skills!C6=2,90+Inputs!$B$26+Inputs!$B$29,IF(Skills!C6=3,120+Inputs!$B$27+Inputs!$B$29,MAX(0,(Inputs!$B$3-100)*3)+Inputs!$B$28+Inputs!$B$29)))</f>
        <v/>
      </c>
      <c r="E467">
        <f>INDEX(FactorTable!$B$2:$Y$301, MATCH(ROUND(MIN(300,MAX(1,D467)),0), FactorTable!$A$2:$A$301,0), Skills!M6+1)</f>
        <v/>
      </c>
      <c r="F467">
        <f>IF(Skills!N6=TRUE,(Skills!L6/10)*(E467/1000),Skills!L6/10)+Skills!O6</f>
        <v/>
      </c>
      <c r="G467">
        <f>Skills!G6*IF(Skills!H6&gt;0,Skills!I6/Skills!H6,1)</f>
        <v/>
      </c>
      <c r="H467">
        <f>1-(1-Skills!J6/100)^Skills!K6</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481=TRUE)*(F481-Calc!F20)),(Inputs!$B$23+0+(IF(ArtifactsInput!$M$15,CHOOSE(ArtifactsInput!$N$15+1,25,30,35,40,45,50)/100*(Inputs!$B$11-Inputs!$B$11),0))))/100+(Inputs!$B$23+0+(IF(ArtifactsInput!$M$15,CHOOSE(ArtifactsInput!$N$15+1,25,30,35,40,45,50)/100*(Inputs!$B$11-Inputs!$B$11),0)))/100)/2</f>
        <v/>
      </c>
      <c r="M467">
        <f>L467*(1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7">
        <f>L467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IF(B497=0,0,O467/B497)</f>
        <v/>
      </c>
      <c r="Q467">
        <f>IFERROR(1/(IF(Inputs!$B$38="pvp",15,MAX(0.1,Skills!D6-IF(Skills!E6=TRUE,Inputs!$B$32,0)))*(1-IF(AND(ArtifactsInput!$M$27,Inputs!$B$4="Chapter Hunt"),CHOOSE(ArtifactsInput!$N$27+1,20,24,28,32,36,40),0)/100)),0)</f>
        <v/>
      </c>
      <c r="R467">
        <f>IF(AND(Inputs!$B$38&lt;&gt;"pvp",Inputs!$B$43&gt;0),IF(MAX(0,Inputs!$B$43-B494)&lt;=0,0,(INT(MAX(0,Inputs!$B$43-B494)/(IF(Inputs!$B$38="pvp",15,MAX(0.1,Skills!D6-IF(Skills!E6=TRUE,Inputs!$B$32,0)))*(1-IF(AND(ArtifactsInput!$M$27,Inputs!$B$4="Chapter Hunt"),CHOOSE(ArtifactsInput!$N$27+1,20,24,28,32,36,40),0)/100)))+1)),0)</f>
        <v/>
      </c>
      <c r="S467">
        <f>IFERROR(O467/N467,0)</f>
        <v/>
      </c>
      <c r="T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$21+Skills!Q6+(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Skills!A7</f>
        <v/>
      </c>
      <c r="B468">
        <f>Skills!B7</f>
        <v/>
      </c>
      <c r="C468">
        <f>Inputs!$B$3&gt;=100</f>
        <v/>
      </c>
      <c r="D468">
        <f>IF(Skills!C7=1,60+Inputs!$B$25+Inputs!$B$29,IF(Skills!C7=2,90+Inputs!$B$26+Inputs!$B$29,IF(Skills!C7=3,120+Inputs!$B$27+Inputs!$B$29,MAX(0,(Inputs!$B$3-100)*3)+Inputs!$B$28+Inputs!$B$29)))</f>
        <v/>
      </c>
      <c r="E468">
        <f>INDEX(FactorTable!$B$2:$Y$301, MATCH(ROUND(MIN(300,MAX(1,D468)),0), FactorTable!$A$2:$A$301,0), Skills!M7+1)</f>
        <v/>
      </c>
      <c r="F468">
        <f>IF(Skills!N7=TRUE,(Skills!L7/10)*(E468/1000),Skills!L7/10)+Skills!O7</f>
        <v/>
      </c>
      <c r="G468">
        <f>Skills!G7*IF(Skills!H7&gt;0,Skills!I7/Skills!H7,1)</f>
        <v/>
      </c>
      <c r="H468">
        <f>1-(1-Skills!J7/100)^Skills!K7</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481=TRUE)*(F481-Calc!F20)),(Inputs!$B$23+0+(IF(ArtifactsInput!$M$15,CHOOSE(ArtifactsInput!$N$15+1,25,30,35,40,45,50)/100*(Inputs!$B$11-Inputs!$B$11),0))))/100+(Inputs!$B$23+0+(IF(ArtifactsInput!$M$15,CHOOSE(ArtifactsInput!$N$15+1,25,30,35,40,45,50)/100*(Inputs!$B$11-Inputs!$B$11),0)))/100)/2</f>
        <v/>
      </c>
      <c r="M468">
        <f>L468*(1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IF(B497=0,0,O468/B497)</f>
        <v/>
      </c>
      <c r="Q468">
        <f>IFERROR(1/(IF(Inputs!$B$38="pvp",15,MAX(0.1,Skills!D7-IF(Skills!E7=TRUE,Inputs!$B$32,0)))*(1-IF(AND(ArtifactsInput!$M$27,Inputs!$B$4="Chapter Hunt"),CHOOSE(ArtifactsInput!$N$27+1,20,24,28,32,36,40),0)/100)),0)</f>
        <v/>
      </c>
      <c r="R468">
        <f>IF(AND(Inputs!$B$38&lt;&gt;"pvp",Inputs!$B$43&gt;0),IF(MAX(0,Inputs!$B$43-B494)&lt;=0,0,(INT(MAX(0,Inputs!$B$43-B494)/(IF(Inputs!$B$38="pvp",15,MAX(0.1,Skills!D7-IF(Skills!E7=TRUE,Inputs!$B$32,0)))*(1-IF(AND(ArtifactsInput!$M$27,Inputs!$B$4="Chapter Hunt"),CHOOSE(ArtifactsInput!$N$27+1,20,24,28,32,36,40),0)/100)))+1)),0)</f>
        <v/>
      </c>
      <c r="S468">
        <f>IFERROR(O468/N468,0)</f>
        <v/>
      </c>
      <c r="T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$21+Skills!Q7+(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Skills!A8</f>
        <v/>
      </c>
      <c r="B469">
        <f>Skills!B8</f>
        <v/>
      </c>
      <c r="C469">
        <f>Inputs!$B$3&gt;=110</f>
        <v/>
      </c>
      <c r="D469">
        <f>IF(Skills!C8=1,60+Inputs!$B$25+Inputs!$B$29,IF(Skills!C8=2,90+Inputs!$B$26+Inputs!$B$29,IF(Skills!C8=3,120+Inputs!$B$27+Inputs!$B$29,MAX(0,(Inputs!$B$3-100)*3)+Inputs!$B$28+Inputs!$B$29)))</f>
        <v/>
      </c>
      <c r="E469">
        <f>INDEX(FactorTable!$B$2:$Y$301, MATCH(ROUND(MIN(300,MAX(1,D469)),0), FactorTable!$A$2:$A$301,0), Skills!M8+1)</f>
        <v/>
      </c>
      <c r="F469">
        <f>IF(Skills!N8=TRUE,(Skills!L8/10)*(E469/1000),Skills!L8/10)+Skills!O8</f>
        <v/>
      </c>
      <c r="G469">
        <f>Skills!G8*IF(Skills!H8&gt;0,Skills!I8/Skills!H8,1)</f>
        <v/>
      </c>
      <c r="H469">
        <f>1-(1-Skills!J8/100)^Skills!K8</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481=TRUE)*(F481-Calc!F20)),(Inputs!$B$23+0+(IF(ArtifactsInput!$M$15,CHOOSE(ArtifactsInput!$N$15+1,25,30,35,40,45,50)/100*(Inputs!$B$11-Inputs!$B$11),0))))/100+(Inputs!$B$23+0+(IF(ArtifactsInput!$M$15,CHOOSE(ArtifactsInput!$N$15+1,25,30,35,40,45,50)/100*(Inputs!$B$11-Inputs!$B$11),0)))/100)/2</f>
        <v/>
      </c>
      <c r="M469">
        <f>L469*(1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IF(B497=0,0,O469/B497)</f>
        <v/>
      </c>
      <c r="Q469">
        <f>IFERROR(1/(IF(Inputs!$B$38="pvp",15,MAX(0.1,Skills!D8-IF(Skills!E8=TRUE,Inputs!$B$32,0)))*(1-IF(AND(ArtifactsInput!$M$27,Inputs!$B$4="Chapter Hunt"),CHOOSE(ArtifactsInput!$N$27+1,20,24,28,32,36,40),0)/100)),0)</f>
        <v/>
      </c>
      <c r="R469">
        <f>IF(AND(Inputs!$B$38&lt;&gt;"pvp",Inputs!$B$43&gt;0),IF(MAX(0,Inputs!$B$43-B494)&lt;=0,0,(INT(MAX(0,Inputs!$B$43-B494)/(IF(Inputs!$B$38="pvp",15,MAX(0.1,Skills!D8-IF(Skills!E8=TRUE,Inputs!$B$32,0)))*(1-IF(AND(ArtifactsInput!$M$27,Inputs!$B$4="Chapter Hunt"),CHOOSE(ArtifactsInput!$N$27+1,20,24,28,32,36,40),0)/100)))+1)),0)</f>
        <v/>
      </c>
      <c r="S469">
        <f>IFERROR(O469/N469,0)</f>
        <v/>
      </c>
      <c r="T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$21+Skills!Q8+(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Skills!A9</f>
        <v/>
      </c>
      <c r="B470">
        <f>Skills!B9</f>
        <v/>
      </c>
      <c r="C470">
        <f>Inputs!$B$3&gt;=110</f>
        <v/>
      </c>
      <c r="D470">
        <f>IF(Skills!C9=1,60+Inputs!$B$25+Inputs!$B$29,IF(Skills!C9=2,90+Inputs!$B$26+Inputs!$B$29,IF(Skills!C9=3,120+Inputs!$B$27+Inputs!$B$29,MAX(0,(Inputs!$B$3-100)*3)+Inputs!$B$28+Inputs!$B$29)))</f>
        <v/>
      </c>
      <c r="E470">
        <f>INDEX(FactorTable!$B$2:$Y$301, MATCH(ROUND(MIN(300,MAX(1,D470)),0), FactorTable!$A$2:$A$301,0), Skills!M9+1)</f>
        <v/>
      </c>
      <c r="F470">
        <f>IF(Skills!N9=TRUE,(Skills!L9/10)*(E470/1000),Skills!L9/10)+Skills!O9</f>
        <v/>
      </c>
      <c r="G470">
        <f>Skills!G9*IF(Skills!H9&gt;0,Skills!I9/Skills!H9,1)</f>
        <v/>
      </c>
      <c r="H470">
        <f>1-(1-Skills!J9/100)^Skills!K9</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481=TRUE)*(F481-Calc!F20)),(Inputs!$B$23+0+(IF(ArtifactsInput!$M$15,CHOOSE(ArtifactsInput!$N$15+1,25,30,35,40,45,50)/100*(Inputs!$B$11-Inputs!$B$11),0))))/100+(Inputs!$B$23+0+(IF(ArtifactsInput!$M$15,CHOOSE(ArtifactsInput!$N$15+1,25,30,35,40,45,50)/100*(Inputs!$B$11-Inputs!$B$11),0)))/100)/2</f>
        <v/>
      </c>
      <c r="M470">
        <f>L470*(1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IF(B497=0,0,O470/B497)</f>
        <v/>
      </c>
      <c r="Q470">
        <f>IFERROR(1/(IF(Inputs!$B$38="pvp",15,MAX(0.1,Skills!D9-IF(Skills!E9=TRUE,Inputs!$B$32,0)))*(1-IF(AND(ArtifactsInput!$M$27,Inputs!$B$4="Chapter Hunt"),CHOOSE(ArtifactsInput!$N$27+1,20,24,28,32,36,40),0)/100)),0)</f>
        <v/>
      </c>
      <c r="R470">
        <f>IF(AND(Inputs!$B$38&lt;&gt;"pvp",Inputs!$B$43&gt;0),IF(MAX(0,Inputs!$B$43-B494)&lt;=0,0,(INT(MAX(0,Inputs!$B$43-B494)/(IF(Inputs!$B$38="pvp",15,MAX(0.1,Skills!D9-IF(Skills!E9=TRUE,Inputs!$B$32,0)))*(1-IF(AND(ArtifactsInput!$M$27,Inputs!$B$4="Chapter Hunt"),CHOOSE(ArtifactsInput!$N$27+1,20,24,28,32,36,40),0)/100)))+1)),0)</f>
        <v/>
      </c>
      <c r="S470">
        <f>IFERROR(O470/N470,0)</f>
        <v/>
      </c>
      <c r="T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$21+Skills!Q9+(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Skills!A10</f>
        <v/>
      </c>
      <c r="B471">
        <f>Skills!B10</f>
        <v/>
      </c>
      <c r="C471">
        <f>Inputs!$B$3&gt;=103</f>
        <v/>
      </c>
      <c r="D471">
        <f>IF(Skills!C10=1,60+Inputs!$B$25+Inputs!$B$29,IF(Skills!C10=2,90+Inputs!$B$26+Inputs!$B$29,IF(Skills!C10=3,120+Inputs!$B$27+Inputs!$B$29,MAX(0,(Inputs!$B$3-100)*3)+Inputs!$B$28+Inputs!$B$29)))</f>
        <v/>
      </c>
      <c r="E471">
        <f>INDEX(FactorTable!$B$2:$Y$301, MATCH(ROUND(MIN(300,MAX(1,D471)),0), FactorTable!$A$2:$A$301,0), Skills!M10+1)</f>
        <v/>
      </c>
      <c r="F471">
        <f>IF(Skills!N10=TRUE,(Skills!L10/10)*(E471/1000),Skills!L10/10)+Skills!O10</f>
        <v/>
      </c>
      <c r="G471">
        <f>Skills!G10*IF(Skills!H10&gt;0,Skills!I10/Skills!H10,1)</f>
        <v/>
      </c>
      <c r="H471">
        <f>1-(1-Skills!J10/100)^Skills!K10</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481=TRUE)*(F481-Calc!F20)),(Inputs!$B$23+0+(IF(ArtifactsInput!$M$15,CHOOSE(ArtifactsInput!$N$15+1,25,30,35,40,45,50)/100*(Inputs!$B$11-Inputs!$B$11),0))))/100+(Inputs!$B$23+0+(IF(ArtifactsInput!$M$15,CHOOSE(ArtifactsInput!$N$15+1,25,30,35,40,45,50)/100*(Inputs!$B$11-Inputs!$B$11),0)))/100)/2</f>
        <v/>
      </c>
      <c r="M471">
        <f>L471*(1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IF(B497=0,0,O471/B497)</f>
        <v/>
      </c>
      <c r="Q471">
        <f>IFERROR(1/(IF(Inputs!$B$38="pvp",15,MAX(0.1,Skills!D10-IF(Skills!E10=TRUE,Inputs!$B$32,0)))*(1-IF(AND(ArtifactsInput!$M$27,Inputs!$B$4="Chapter Hunt"),CHOOSE(ArtifactsInput!$N$27+1,20,24,28,32,36,40),0)/100)),0)</f>
        <v/>
      </c>
      <c r="R471">
        <f>IF(AND(Inputs!$B$38&lt;&gt;"pvp",Inputs!$B$43&gt;0),IF(MAX(0,Inputs!$B$43-B494)&lt;=0,0,(INT(MAX(0,Inputs!$B$43-B494)/(IF(Inputs!$B$38="pvp",15,MAX(0.1,Skills!D10-IF(Skills!E10=TRUE,Inputs!$B$32,0)))*(1-IF(AND(ArtifactsInput!$M$27,Inputs!$B$4="Chapter Hunt"),CHOOSE(ArtifactsInput!$N$27+1,20,24,28,32,36,40),0)/100)))+1)),0)</f>
        <v/>
      </c>
      <c r="S471">
        <f>IFERROR(O471/N471,0)</f>
        <v/>
      </c>
      <c r="T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$21+Skills!Q10+(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Skills!A11</f>
        <v/>
      </c>
      <c r="B472">
        <f>Skills!B11</f>
        <v/>
      </c>
      <c r="C472">
        <f>Inputs!$B$3&gt;=113</f>
        <v/>
      </c>
      <c r="D472">
        <f>IF(Skills!C11=1,60+Inputs!$B$25+Inputs!$B$29,IF(Skills!C11=2,90+Inputs!$B$26+Inputs!$B$29,IF(Skills!C11=3,120+Inputs!$B$27+Inputs!$B$29,MAX(0,(Inputs!$B$3-100)*3)+Inputs!$B$28+Inputs!$B$29)))</f>
        <v/>
      </c>
      <c r="E472">
        <f>INDEX(FactorTable!$B$2:$Y$301, MATCH(ROUND(MIN(300,MAX(1,D472)),0), FactorTable!$A$2:$A$301,0), Skills!M11+1)</f>
        <v/>
      </c>
      <c r="F472">
        <f>IF(Skills!N11=TRUE,(Skills!L11/10)*(E472/1000),Skills!L11/10)+Skills!O11</f>
        <v/>
      </c>
      <c r="G472">
        <f>Skills!G11*IF(Skills!H11&gt;0,Skills!I11/Skills!H11,1)</f>
        <v/>
      </c>
      <c r="H472">
        <f>1-(1-Skills!J11/100)^Skills!K11</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481=TRUE)*(F481-Calc!F20)),(Inputs!$B$23+0+(IF(ArtifactsInput!$M$15,CHOOSE(ArtifactsInput!$N$15+1,25,30,35,40,45,50)/100*(Inputs!$B$11-Inputs!$B$11),0))))/100+(Inputs!$B$23+0+(IF(ArtifactsInput!$M$15,CHOOSE(ArtifactsInput!$N$15+1,25,30,35,40,45,50)/100*(Inputs!$B$11-Inputs!$B$11),0)))/100)/2</f>
        <v/>
      </c>
      <c r="M472">
        <f>L472*(1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2">
        <f>L472*(1-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IF(B497=0,0,O472/B497)</f>
        <v/>
      </c>
      <c r="Q472">
        <f>IFERROR(1/(IF(Inputs!$B$38="pvp",15,MAX(0.1,Skills!D11-IF(Skills!E11=TRUE,Inputs!$B$32,0)))*(1-IF(AND(ArtifactsInput!$M$27,Inputs!$B$4="Chapter Hunt"),CHOOSE(ArtifactsInput!$N$27+1,20,24,28,32,36,40),0)/100)),0)</f>
        <v/>
      </c>
      <c r="R472">
        <f>IF(AND(Inputs!$B$38&lt;&gt;"pvp",Inputs!$B$43&gt;0),IF(MAX(0,Inputs!$B$43-B494)&lt;=0,0,(INT(MAX(0,Inputs!$B$43-B494)/(IF(Inputs!$B$38="pvp",15,MAX(0.1,Skills!D11-IF(Skills!E11=TRUE,Inputs!$B$32,0)))*(1-IF(AND(ArtifactsInput!$M$27,Inputs!$B$4="Chapter Hunt"),CHOOSE(ArtifactsInput!$N$27+1,20,24,28,32,36,40),0)/100)))+1)),0)</f>
        <v/>
      </c>
      <c r="S472">
        <f>IFERROR(O472/N472,0)</f>
        <v/>
      </c>
      <c r="T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$21+Skills!Q11+(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Skills!A12</f>
        <v/>
      </c>
      <c r="B473">
        <f>Skills!B12</f>
        <v/>
      </c>
      <c r="C473">
        <f>Inputs!$B$3&gt;=100</f>
        <v/>
      </c>
      <c r="D473">
        <f>IF(Skills!C12=1,60+Inputs!$B$25+Inputs!$B$29,IF(Skills!C12=2,90+Inputs!$B$26+Inputs!$B$29,IF(Skills!C12=3,120+Inputs!$B$27+Inputs!$B$29,MAX(0,(Inputs!$B$3-100)*3)+Inputs!$B$28+Inputs!$B$29)))</f>
        <v/>
      </c>
      <c r="E473">
        <f>INDEX(FactorTable!$B$2:$Y$301, MATCH(ROUND(MIN(300,MAX(1,D473)),0), FactorTable!$A$2:$A$301,0), Skills!M12+1)</f>
        <v/>
      </c>
      <c r="F473">
        <f>IF(Skills!N12=TRUE,(Skills!L12/10)*(E473/1000),Skills!L12/10)+Skills!O12</f>
        <v/>
      </c>
      <c r="G473" t="inlineStr"/>
      <c r="H473" t="inlineStr"/>
      <c r="I473" t="inlineStr">
        <is>
          <t>1</t>
        </is>
      </c>
      <c r="J473" t="inlineStr"/>
      <c r="K473" t="inlineStr"/>
      <c r="L473" t="inlineStr"/>
      <c r="M473" t="inlineStr"/>
      <c r="N473" t="inlineStr"/>
      <c r="O473" t="inlineStr"/>
      <c r="P473" t="inlineStr"/>
      <c r="Q473" t="inlineStr"/>
      <c r="R473" t="inlineStr"/>
      <c r="S473" t="inlineStr"/>
      <c r="T473" t="inlineStr"/>
      <c r="V473" t="inlineStr"/>
    </row>
    <row r="474">
      <c r="A474">
        <f>Skills!A13</f>
        <v/>
      </c>
      <c r="B474">
        <f>Skills!B13</f>
        <v/>
      </c>
      <c r="C474">
        <f>Inputs!$B$3&gt;=66</f>
        <v/>
      </c>
      <c r="D474">
        <f>IF(Skills!C13=1,60+Inputs!$B$25+Inputs!$B$29,IF(Skills!C13=2,90+Inputs!$B$26+Inputs!$B$29,IF(Skills!C13=3,120+Inputs!$B$27+Inputs!$B$29,MAX(0,(Inputs!$B$3-100)*3)+Inputs!$B$28+Inputs!$B$29)))</f>
        <v/>
      </c>
      <c r="E474">
        <f>INDEX(FactorTable!$B$2:$Y$301, MATCH(ROUND(MIN(300,MAX(1,D474)),0), FactorTable!$A$2:$A$301,0), Skills!M13+1)</f>
        <v/>
      </c>
      <c r="F474">
        <f>IF(Skills!N13=TRUE,(Skills!L13/10)*(E474/1000),Skills!L13/10)+Skills!O13</f>
        <v/>
      </c>
      <c r="G474">
        <f>Skills!G13*IF(Skills!H13&gt;0,Skills!I13/Skills!H13,1)</f>
        <v/>
      </c>
      <c r="H474">
        <f>1-(1-Skills!J13/100)^Skills!K13</f>
        <v/>
      </c>
      <c r="I474" t="inlineStr">
        <is>
          <t>1</t>
        </is>
      </c>
      <c r="J474" t="inlineStr"/>
      <c r="K474" t="inlineStr"/>
      <c r="L474" t="inlineStr"/>
      <c r="M474" t="inlineStr"/>
      <c r="N474" t="inlineStr"/>
      <c r="O474">
        <f>(1-Summary!$B$11)*T474+Summary!$B$11*V474</f>
        <v/>
      </c>
      <c r="P474">
        <f>IF(B497=0,0,O474/B497)</f>
        <v/>
      </c>
      <c r="Q474" t="n">
        <v>0</v>
      </c>
      <c r="R474" t="n">
        <v>0</v>
      </c>
      <c r="S474">
        <f>IFERROR(O474/N474,0)</f>
        <v/>
      </c>
      <c r="T474" t="n">
        <v>0</v>
      </c>
      <c r="V474" t="n">
        <v>0</v>
      </c>
    </row>
    <row r="475">
      <c r="A475">
        <f>Skills!A14</f>
        <v/>
      </c>
      <c r="B475">
        <f>Skills!B14</f>
        <v/>
      </c>
      <c r="C475">
        <f>Inputs!$B$3&gt;=107</f>
        <v/>
      </c>
      <c r="D475">
        <f>IF(Skills!C14=1,60+Inputs!$B$25+Inputs!$B$29,IF(Skills!C14=2,90+Inputs!$B$26+Inputs!$B$29,IF(Skills!C14=3,120+Inputs!$B$27+Inputs!$B$29,MAX(0,(Inputs!$B$3-100)*3)+Inputs!$B$28+Inputs!$B$29)))</f>
        <v/>
      </c>
      <c r="E475">
        <f>INDEX(FactorTable!$B$2:$Y$301, MATCH(ROUND(MIN(300,MAX(1,D475)),0), FactorTable!$A$2:$A$301,0), Skills!M14+1)</f>
        <v/>
      </c>
      <c r="F475">
        <f>IF(Skills!N14=TRUE,(Skills!L14/10)*(E475/1000),Skills!L14/10)+Skills!O14</f>
        <v/>
      </c>
      <c r="G475">
        <f>Skills!G14*IF(Skills!H14&gt;0,Skills!I14/Skills!H14,1)</f>
        <v/>
      </c>
      <c r="H475">
        <f>1-(1-Skills!J14/100)^Skills!K14</f>
        <v/>
      </c>
      <c r="I475" t="inlineStr">
        <is>
          <t>1</t>
        </is>
      </c>
      <c r="J475" t="inlineStr"/>
      <c r="K475" t="inlineStr"/>
      <c r="L475" t="inlineStr"/>
      <c r="M475" t="inlineStr"/>
      <c r="N475" t="inlineStr"/>
      <c r="O475">
        <f>(1-Summary!$B$11)*T475+Summary!$B$11*V475</f>
        <v/>
      </c>
      <c r="P475">
        <f>IF(B497=0,0,O475/B497)</f>
        <v/>
      </c>
      <c r="Q475" t="n">
        <v>0</v>
      </c>
      <c r="R475" t="n">
        <v>0</v>
      </c>
      <c r="S475">
        <f>IFERROR(O475/N475,0)</f>
        <v/>
      </c>
      <c r="T475" t="n">
        <v>0</v>
      </c>
      <c r="V475" t="n">
        <v>0</v>
      </c>
    </row>
    <row r="476">
      <c r="A476">
        <f>Skills!A15</f>
        <v/>
      </c>
      <c r="B476">
        <f>Skills!B15</f>
        <v/>
      </c>
      <c r="C476">
        <f>Inputs!$B$3&gt;=115</f>
        <v/>
      </c>
      <c r="D476">
        <f>IF(Skills!C15=1,60+Inputs!$B$25+Inputs!$B$29,IF(Skills!C15=2,90+Inputs!$B$26+Inputs!$B$29,IF(Skills!C15=3,120+Inputs!$B$27+Inputs!$B$29,MAX(0,(Inputs!$B$3-100)*3)+Inputs!$B$28+Inputs!$B$29)))</f>
        <v/>
      </c>
      <c r="E476">
        <f>INDEX(FactorTable!$B$2:$Y$301, MATCH(ROUND(MIN(300,MAX(1,D476)),0), FactorTable!$A$2:$A$301,0), Skills!M15+1)</f>
        <v/>
      </c>
      <c r="F476">
        <f>IF(Skills!N15=TRUE,(Skills!L15/10)*(E476/1000),Skills!L15/10)+Skills!O15</f>
        <v/>
      </c>
      <c r="G476">
        <f>Skills!G15*IF(Skills!H15&gt;0,Skills!I15/Skills!H15,1)</f>
        <v/>
      </c>
      <c r="H476">
        <f>1-(1-Skills!J15/100)^Skills!K15</f>
        <v/>
      </c>
      <c r="I476" t="inlineStr">
        <is>
          <t>1</t>
        </is>
      </c>
      <c r="J476" t="inlineStr"/>
      <c r="K476" t="inlineStr"/>
      <c r="L476" t="inlineStr"/>
      <c r="M476" t="inlineStr"/>
      <c r="N476" t="inlineStr"/>
      <c r="O476">
        <f>(1-Summary!$B$11)*T476+Summary!$B$11*V476</f>
        <v/>
      </c>
      <c r="P476">
        <f>IF(B497=0,0,O476/B497)</f>
        <v/>
      </c>
      <c r="Q476" t="n">
        <v>0</v>
      </c>
      <c r="R476" t="n">
        <v>0</v>
      </c>
      <c r="S476">
        <f>IFERROR(O476/N476,0)</f>
        <v/>
      </c>
      <c r="T476" t="n">
        <v>0</v>
      </c>
      <c r="V476" t="n">
        <v>0</v>
      </c>
    </row>
    <row r="477">
      <c r="A477">
        <f>Skills!A16</f>
        <v/>
      </c>
      <c r="B477">
        <f>Skills!B16</f>
        <v/>
      </c>
      <c r="C477">
        <f>Inputs!$B$3&gt;=15</f>
        <v/>
      </c>
      <c r="D477">
        <f>IF(Skills!C16=1,60+Inputs!$B$25+Inputs!$B$29,IF(Skills!C16=2,90+Inputs!$B$26+Inputs!$B$29,IF(Skills!C16=3,120+Inputs!$B$27+Inputs!$B$29,MAX(0,(Inputs!$B$3-100)*3)+Inputs!$B$28+Inputs!$B$29)))</f>
        <v/>
      </c>
      <c r="E477">
        <f>INDEX(FactorTable!$B$2:$Y$301, MATCH(ROUND(MIN(300,MAX(1,D477)),0), FactorTable!$A$2:$A$301,0), Skills!M16+1)</f>
        <v/>
      </c>
      <c r="F477">
        <f>IF(Skills!N16=TRUE,(Skills!L16/10)*(E477/1000),Skills!L16/10)+Skills!O16</f>
        <v/>
      </c>
      <c r="G477">
        <f>Skills!G16*IF(Skills!H16&gt;0,Skills!I16/Skills!H16,1)</f>
        <v/>
      </c>
      <c r="H477">
        <f>1-(1-Skills!J16/100)^Skills!K16</f>
        <v/>
      </c>
      <c r="I477" t="inlineStr">
        <is>
          <t>1</t>
        </is>
      </c>
      <c r="J477" t="inlineStr"/>
      <c r="K477" t="inlineStr"/>
      <c r="L477" t="inlineStr"/>
      <c r="M477" t="inlineStr"/>
      <c r="N477" t="inlineStr"/>
      <c r="O477">
        <f>(1-Summary!$B$11)*T477+Summary!$B$11*V477</f>
        <v/>
      </c>
      <c r="P477">
        <f>IF(B497=0,0,O477/B497)</f>
        <v/>
      </c>
      <c r="Q477" t="n">
        <v>0</v>
      </c>
      <c r="R477" t="n">
        <v>0</v>
      </c>
      <c r="S477">
        <f>IFERROR(O477/N477,0)</f>
        <v/>
      </c>
      <c r="T477" t="n">
        <v>0</v>
      </c>
      <c r="V477" t="n">
        <v>0</v>
      </c>
    </row>
    <row r="478">
      <c r="A478">
        <f>Skills!A17</f>
        <v/>
      </c>
      <c r="B478">
        <f>Skills!B17</f>
        <v/>
      </c>
      <c r="C478">
        <f>Inputs!$B$3&gt;=10</f>
        <v/>
      </c>
      <c r="D478">
        <f>IF(Skills!C17=1,60+Inputs!$B$25+Inputs!$B$29,IF(Skills!C17=2,90+Inputs!$B$26+Inputs!$B$29,IF(Skills!C17=3,120+Inputs!$B$27+Inputs!$B$29,MAX(0,(Inputs!$B$3-100)*3)+Inputs!$B$28+Inputs!$B$29)))</f>
        <v/>
      </c>
      <c r="E478">
        <f>INDEX(FactorTable!$B$2:$Y$301, MATCH(ROUND(MIN(300,MAX(1,D478)),0), FactorTable!$A$2:$A$301,0), Skills!M17+1)</f>
        <v/>
      </c>
      <c r="F478">
        <f>IF(Skills!N17=TRUE,(Skills!L17/10)*(E478/1000),Skills!L17/10)+Skills!O17</f>
        <v/>
      </c>
      <c r="G478">
        <f>Skills!G17*IF(Skills!H17&gt;0,Skills!I17/Skills!H17,1)</f>
        <v/>
      </c>
      <c r="H478">
        <f>1-(1-Skills!J17/100)^Skills!K17</f>
        <v/>
      </c>
      <c r="I478" t="inlineStr">
        <is>
          <t>1</t>
        </is>
      </c>
      <c r="J478" t="inlineStr"/>
      <c r="K478" t="inlineStr"/>
      <c r="L478" t="inlineStr"/>
      <c r="M478" t="inlineStr"/>
      <c r="N478" t="inlineStr"/>
      <c r="O478">
        <f>(1-Summary!$B$11)*T478+Summary!$B$11*V478</f>
        <v/>
      </c>
      <c r="P478">
        <f>IF(B497=0,0,O478/B497)</f>
        <v/>
      </c>
      <c r="Q478" t="n">
        <v>0</v>
      </c>
      <c r="R478" t="n">
        <v>0</v>
      </c>
      <c r="S478">
        <f>IFERROR(O478/N478,0)</f>
        <v/>
      </c>
      <c r="T478" t="n">
        <v>0</v>
      </c>
      <c r="V478" t="n">
        <v>0</v>
      </c>
    </row>
    <row r="479">
      <c r="A479">
        <f>Skills!A18</f>
        <v/>
      </c>
      <c r="B479">
        <f>Skills!B18</f>
        <v/>
      </c>
      <c r="C479">
        <f>Inputs!$B$3&gt;=33</f>
        <v/>
      </c>
      <c r="D479">
        <f>IF(Skills!C18=1,60+Inputs!$B$25+Inputs!$B$29,IF(Skills!C18=2,90+Inputs!$B$26+Inputs!$B$29,IF(Skills!C18=3,120+Inputs!$B$27+Inputs!$B$29,MAX(0,(Inputs!$B$3-100)*3)+Inputs!$B$28+Inputs!$B$29)))</f>
        <v/>
      </c>
      <c r="E479">
        <f>INDEX(FactorTable!$B$2:$Y$301, MATCH(ROUND(MIN(300,MAX(1,D479)),0), FactorTable!$A$2:$A$301,0), Skills!M18+1)</f>
        <v/>
      </c>
      <c r="F479">
        <f>IF(Skills!N18=TRUE,(Skills!L18/10)*(E479/1000),Skills!L18/10)+Skills!O18</f>
        <v/>
      </c>
      <c r="G479">
        <f>Skills!G18*IF(Skills!H18&gt;0,Skills!I18/Skills!H18,1)</f>
        <v/>
      </c>
      <c r="H479">
        <f>1-(1-Skills!J18/100)^Skills!K18</f>
        <v/>
      </c>
      <c r="I479" t="inlineStr">
        <is>
          <t>1</t>
        </is>
      </c>
      <c r="J479" t="inlineStr"/>
      <c r="K479" t="inlineStr"/>
      <c r="L479" t="inlineStr"/>
      <c r="M479" t="inlineStr"/>
      <c r="N479" t="inlineStr"/>
      <c r="O479">
        <f>(1-Summary!$B$11)*T479+Summary!$B$11*V479</f>
        <v/>
      </c>
      <c r="P479">
        <f>IF(B497=0,0,O479/B497)</f>
        <v/>
      </c>
      <c r="Q479" t="n">
        <v>0</v>
      </c>
      <c r="R479" t="n">
        <v>0</v>
      </c>
      <c r="S479">
        <f>IFERROR(O479/N479,0)</f>
        <v/>
      </c>
      <c r="T479" t="n">
        <v>0</v>
      </c>
      <c r="V479" t="n">
        <v>0</v>
      </c>
    </row>
    <row r="480">
      <c r="A480">
        <f>Skills!A19</f>
        <v/>
      </c>
      <c r="B480">
        <f>Skills!B19</f>
        <v/>
      </c>
      <c r="C480">
        <f>Inputs!$B$3&gt;=40</f>
        <v/>
      </c>
      <c r="D480">
        <f>IF(Skills!C19=1,60+Inputs!$B$25+Inputs!$B$29,IF(Skills!C19=2,90+Inputs!$B$26+Inputs!$B$29,IF(Skills!C19=3,120+Inputs!$B$27+Inputs!$B$29,MAX(0,(Inputs!$B$3-100)*3)+Inputs!$B$28+Inputs!$B$29)))</f>
        <v/>
      </c>
      <c r="E480">
        <f>INDEX(FactorTable!$B$2:$Y$301, MATCH(ROUND(MIN(300,MAX(1,D480)),0), FactorTable!$A$2:$A$301,0), Skills!M19+1)</f>
        <v/>
      </c>
      <c r="F480">
        <f>IF(Skills!N19=TRUE,(Skills!L19/10)*(E480/1000),Skills!L19/10)+Skills!O19</f>
        <v/>
      </c>
      <c r="G480">
        <f>Skills!G19*IF(Skills!H19&gt;0,Skills!I19/Skills!H19,1)</f>
        <v/>
      </c>
      <c r="H480">
        <f>1-(1-Skills!J19/100)^Skills!K19</f>
        <v/>
      </c>
      <c r="I480" t="inlineStr">
        <is>
          <t>1</t>
        </is>
      </c>
      <c r="J480" t="inlineStr"/>
      <c r="K480" t="inlineStr"/>
      <c r="L480" t="inlineStr"/>
      <c r="M480" t="inlineStr"/>
      <c r="N480" t="inlineStr"/>
      <c r="O480">
        <f>(1-Summary!$B$11)*T480+Summary!$B$11*V480</f>
        <v/>
      </c>
      <c r="P480">
        <f>IF(B497=0,0,O480/B497)</f>
        <v/>
      </c>
      <c r="Q480" t="n">
        <v>0</v>
      </c>
      <c r="R480" t="n">
        <v>0</v>
      </c>
      <c r="S480">
        <f>IFERROR(O480/N480,0)</f>
        <v/>
      </c>
      <c r="T480" t="n">
        <v>0</v>
      </c>
      <c r="V480" t="n">
        <v>0</v>
      </c>
    </row>
    <row r="481">
      <c r="A481">
        <f>Skills!A20</f>
        <v/>
      </c>
      <c r="B481">
        <f>Skills!B20</f>
        <v/>
      </c>
      <c r="C481">
        <f>Inputs!$B$3&gt;=43</f>
        <v/>
      </c>
      <c r="D481">
        <f>IF(Skills!C20=1,60+Inputs!$B$25+Inputs!$B$29,IF(Skills!C20=2,90+Inputs!$B$26+Inputs!$B$29,IF(Skills!C20=3,120+Inputs!$B$27+Inputs!$B$29,MAX(0,(Inputs!$B$3-100)*3)+Inputs!$B$28+Inputs!$B$29)))</f>
        <v/>
      </c>
      <c r="E481">
        <f>INDEX(FactorTable!$B$2:$Y$301, MATCH(ROUND(MIN(300,MAX(1,D481)),0), FactorTable!$A$2:$A$301,0), Skills!M20+1)</f>
        <v/>
      </c>
      <c r="F481">
        <f>IF(Skills!N20=TRUE,(Skills!L20/10)*(E481/1000),Skills!L20/10)+Skills!O20</f>
        <v/>
      </c>
      <c r="G481">
        <f>Skills!G20*IF(Skills!H20&gt;0,Skills!I20/Skills!H20,1)</f>
        <v/>
      </c>
      <c r="H481">
        <f>1-(1-Skills!J20/100)^Skills!K20</f>
        <v/>
      </c>
      <c r="I481" t="inlineStr">
        <is>
          <t>1</t>
        </is>
      </c>
      <c r="J481" t="inlineStr"/>
      <c r="K481" t="inlineStr"/>
      <c r="L481" t="inlineStr"/>
      <c r="M481" t="inlineStr"/>
      <c r="N481" t="inlineStr"/>
      <c r="O481">
        <f>(1-Summary!$B$11)*T481+Summary!$B$11*V481</f>
        <v/>
      </c>
      <c r="P481">
        <f>IF(B497=0,0,O481/B497)</f>
        <v/>
      </c>
      <c r="Q481" t="n">
        <v>0</v>
      </c>
      <c r="R481" t="n">
        <v>0</v>
      </c>
      <c r="S481">
        <f>IFERROR(O481/N481,0)</f>
        <v/>
      </c>
      <c r="T481" t="n">
        <v>0</v>
      </c>
      <c r="V481" t="n">
        <v>0</v>
      </c>
    </row>
    <row r="482">
      <c r="A482">
        <f>Skills!A21</f>
        <v/>
      </c>
      <c r="B482">
        <f>Skills!B21</f>
        <v/>
      </c>
      <c r="C482">
        <f>Inputs!$B$3&gt;=38</f>
        <v/>
      </c>
      <c r="D482">
        <f>IF(Skills!C21=1,60+Inputs!$B$25+Inputs!$B$29,IF(Skills!C21=2,90+Inputs!$B$26+Inputs!$B$29,IF(Skills!C21=3,120+Inputs!$B$27+Inputs!$B$29,MAX(0,(Inputs!$B$3-100)*3)+Inputs!$B$28+Inputs!$B$29)))</f>
        <v/>
      </c>
      <c r="E482">
        <f>INDEX(FactorTable!$B$2:$Y$301, MATCH(ROUND(MIN(300,MAX(1,D482)),0), FactorTable!$A$2:$A$301,0), Skills!M21+1)</f>
        <v/>
      </c>
      <c r="F482">
        <f>IF(Skills!N21=TRUE,(Skills!L21/10)*(E482/1000),Skills!L21/10)+Skills!O21</f>
        <v/>
      </c>
      <c r="G482">
        <f>Skills!G21*IF(Skills!H21&gt;0,Skills!I21/Skills!H21,1)</f>
        <v/>
      </c>
      <c r="H482">
        <f>1-(1-Skills!J21/100)^Skills!K21</f>
        <v/>
      </c>
      <c r="I482" t="inlineStr">
        <is>
          <t>1</t>
        </is>
      </c>
      <c r="J482" t="inlineStr"/>
      <c r="K482" t="inlineStr"/>
      <c r="L482" t="inlineStr"/>
      <c r="M482" t="inlineStr"/>
      <c r="N482" t="inlineStr"/>
      <c r="O482">
        <f>(1-Summary!$B$11)*T482+Summary!$B$11*V482</f>
        <v/>
      </c>
      <c r="P482">
        <f>IF(B497=0,0,O482/B497)</f>
        <v/>
      </c>
      <c r="Q482" t="n">
        <v>0</v>
      </c>
      <c r="R482" t="n">
        <v>0</v>
      </c>
      <c r="S482">
        <f>IFERROR(O482/N482,0)</f>
        <v/>
      </c>
      <c r="T482" t="n">
        <v>0</v>
      </c>
      <c r="V482" t="n">
        <v>0</v>
      </c>
    </row>
    <row r="483">
      <c r="A483">
        <f>Skills!A22</f>
        <v/>
      </c>
      <c r="B483">
        <f>Skills!B22</f>
        <v/>
      </c>
      <c r="C483">
        <f>Inputs!$B$3&gt;=75</f>
        <v/>
      </c>
      <c r="D483">
        <f>IF(Skills!C22=1,60+Inputs!$B$25+Inputs!$B$29,IF(Skills!C22=2,90+Inputs!$B$26+Inputs!$B$29,IF(Skills!C22=3,120+Inputs!$B$27+Inputs!$B$29,MAX(0,(Inputs!$B$3-100)*3)+Inputs!$B$28+Inputs!$B$29)))</f>
        <v/>
      </c>
      <c r="E483">
        <f>INDEX(FactorTable!$B$2:$Y$301, MATCH(ROUND(MIN(300,MAX(1,D483)),0), FactorTable!$A$2:$A$301,0), Skills!M22+1)</f>
        <v/>
      </c>
      <c r="F483">
        <f>IF(Skills!N22=TRUE,(Skills!L22/10)*(E483/1000),Skills!L22/10)+Skills!O22</f>
        <v/>
      </c>
      <c r="G483">
        <f>Skills!G22*IF(Skills!H22&gt;0,Skills!I22/Skills!H22,1)</f>
        <v/>
      </c>
      <c r="H483">
        <f>1-(1-Skills!J22/100)^Skills!K22</f>
        <v/>
      </c>
      <c r="I483" t="inlineStr">
        <is>
          <t>1</t>
        </is>
      </c>
      <c r="J483" t="inlineStr"/>
      <c r="K483" t="inlineStr"/>
      <c r="L483" t="inlineStr"/>
      <c r="M483" t="inlineStr"/>
      <c r="N483" t="inlineStr"/>
      <c r="O483">
        <f>(1-Summary!$B$11)*T483+Summary!$B$11*V483</f>
        <v/>
      </c>
      <c r="P483">
        <f>IF(B497=0,0,O483/B497)</f>
        <v/>
      </c>
      <c r="Q483" t="n">
        <v>0</v>
      </c>
      <c r="R483" t="n">
        <v>0</v>
      </c>
      <c r="S483">
        <f>IFERROR(O483/N483,0)</f>
        <v/>
      </c>
      <c r="T483" t="n">
        <v>0</v>
      </c>
      <c r="V483" t="n">
        <v>0</v>
      </c>
    </row>
    <row r="484">
      <c r="A484">
        <f>Skills!A23</f>
        <v/>
      </c>
      <c r="B484">
        <f>Skills!B23</f>
        <v/>
      </c>
      <c r="C484">
        <f>TRUE</f>
        <v/>
      </c>
      <c r="D484">
        <f>IF(Skills!C23=1,60+Inputs!$B$25+Inputs!$B$29,IF(Skills!C23=2,90+Inputs!$B$26+Inputs!$B$29,IF(Skills!C23=3,120+Inputs!$B$27+Inputs!$B$29,MAX(0,(Inputs!$B$3-100)*3)+Inputs!$B$28+Inputs!$B$29)))</f>
        <v/>
      </c>
      <c r="E484">
        <f>INDEX(FactorTable!$B$2:$Y$301, MATCH(ROUND(MIN(300,MAX(1,D484)),0), FactorTable!$A$2:$A$301,0), Skills!M23+1)</f>
        <v/>
      </c>
      <c r="F484">
        <f>IF(Skills!N23=TRUE,(Skills!L23/10)*(E484/1000),Skills!L23/10)+Skills!O23</f>
        <v/>
      </c>
      <c r="G484">
        <f>Skills!G23*IF(Skills!H23&gt;0,Skills!I23/Skills!H23,1)</f>
        <v/>
      </c>
      <c r="H484">
        <f>1-(1-Skills!J23/100)^Skills!K23</f>
        <v/>
      </c>
      <c r="I484" t="inlineStr">
        <is>
          <t>1</t>
        </is>
      </c>
      <c r="J484" t="inlineStr"/>
      <c r="K484" t="inlineStr"/>
      <c r="L484" t="inlineStr"/>
      <c r="M484" t="inlineStr"/>
      <c r="N484" t="inlineStr"/>
      <c r="O484">
        <f>(1-Summary!$B$11)*T484+Summary!$B$11*V484</f>
        <v/>
      </c>
      <c r="P484">
        <f>IF(B497=0,0,O484/B497)</f>
        <v/>
      </c>
      <c r="Q484">
        <f>IFERROR(1/(IF(Inputs!$B$38="pvp",15,MAX(0.1,Skills!D23-IF(Skills!E23=TRUE,Inputs!$B$32,0)))*(1-IF(AND(ArtifactsInput!$M$27,Inputs!$B$4="Chapter Hunt"),CHOOSE(ArtifactsInput!$N$27+1,20,24,28,32,36,40),0)/100)),0)</f>
        <v/>
      </c>
      <c r="R484">
        <f>IF(AND(Inputs!$B$38&lt;&gt;"pvp",Inputs!$B$43&gt;0),IF(Inputs!$B$43&lt;=0,0,(INT(Inputs!$B$43/(IF(Inputs!$B$38="pvp",15,MAX(0.1,Skills!D23-IF(Skills!E23=TRUE,Inputs!$B$32,0)))*(1-IF(AND(ArtifactsInput!$M$27,Inputs!$B$4="Chapter Hunt"),CHOOSE(ArtifactsInput!$N$27+1,20,24,28,32,36,40),0)/100)))+1)),0)</f>
        <v/>
      </c>
      <c r="S484">
        <f>IFERROR(O484/N484,0)</f>
        <v/>
      </c>
      <c r="T484" t="n">
        <v>0</v>
      </c>
      <c r="V484" t="n">
        <v>0</v>
      </c>
    </row>
    <row r="486">
      <c r="A486" t="inlineStr">
        <is>
          <t>Attack% Bucket Multiplier</t>
        </is>
      </c>
      <c r="B486">
        <f>(1+(((C474=TRUE)*F474*5/7)+((C480=TRUE)*(F480-Calc!F19))+(IF(ArtifactsInput!$M$21,CHOOSE(ArtifactsInput!$N$21+1,25,30,35,40,45,50)*(IF(OR(Inputs!$B$4="Chapter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7">
      <c r="A487" t="inlineStr">
        <is>
          <t>Global Crit Rate Bonus %</t>
        </is>
      </c>
      <c r="B487" t="n">
        <v>0</v>
      </c>
    </row>
    <row r="488">
      <c r="A488" t="inlineStr">
        <is>
          <t>Attack Speed Buff Bonus % (Nimble Feet, duty-cycle averaged)</t>
        </is>
      </c>
      <c r="B488">
        <f>((C484=TRUE)*F484*IF(AND(Inputs!$B$38&lt;&gt;"pvp",Inputs!$B$43&gt;0),(((R484-1)*(Skills!T23*(1+Inputs!$B$34/100))+MIN((Skills!T23*(1+Inputs!$B$34/100)),MAX(0,Inputs!$B$43-((R484-1)*Skills!D23))))/Inputs!$B$43),IF(Inputs!$B$38="pvp",MIN((Skills!T23*(1+Inputs!$B$34/100)),15)/15,(Skills!T23*(1+Inputs!$B$34/100))/Skills!D23)))</f>
        <v/>
      </c>
    </row>
    <row r="489">
      <c r="A489" t="inlineStr">
        <is>
          <t>Actions Per Second</t>
        </is>
      </c>
      <c r="B489">
        <f>1+MIN(150,150*(1-(1-(Inputs!$B$11+((C478=TRUE)*(F478-Calc!F17))+((C479=TRUE)*(F479-Calc!F18)))/150)*(1-B488/150)))/100</f>
        <v/>
      </c>
    </row>
    <row r="490">
      <c r="A490" t="inlineStr">
        <is>
          <t>Skill + Buff Cast Rate</t>
        </is>
      </c>
      <c r="B490">
        <f>IF(AND(Inputs!$B$38&lt;&gt;"pvp",Inputs!$B$43&gt;0),SUMPRODUCT((Skills!E2:E23=TRUE)*(C463:C484=TRUE)*R463:R484*Skills!F2:F23)/Inputs!$B$43,SUMPRODUCT((Skills!E2:E23=TRUE)*(C463:C484=TRUE)*Q463:Q484*Skills!F2:F23))</f>
        <v/>
      </c>
    </row>
    <row r="491">
      <c r="A491" t="inlineStr">
        <is>
          <t>Hook Bomber Casts Per Second</t>
        </is>
      </c>
      <c r="B491">
        <f>MAX(0,B489-B490)</f>
        <v/>
      </c>
    </row>
    <row r="492">
      <c r="A492" t="inlineStr">
        <is>
          <t>Global Critical Damage Bonus % (unused)</t>
        </is>
      </c>
      <c r="B492" t="n">
        <v>0</v>
      </c>
    </row>
    <row r="493">
      <c r="A493" t="inlineStr">
        <is>
          <t>Global Final Damage Bonus % (Serpent Scale + Crossbones + Time Leap + Speed Infusion)</t>
        </is>
      </c>
      <c r="B493">
        <f>((C466=TRUE)*F466*((10+IF(Inputs!$B$3&gt;=94,5,0))/((10+IF(Inputs!$B$3&gt;=94,5,0))+5/(B491*(1+IF(Inputs!$B$3&gt;=104,1,0))))))+((C475=TRUE)*F475)+((C476=TRUE)*F476)+((Inputs!$B$3&gt;=110)*20*(B489-1))</f>
        <v/>
      </c>
    </row>
    <row r="494">
      <c r="A494" t="inlineStr">
        <is>
          <t>Buff-Casting Startup Delay (s, fixed-duration only)</t>
        </is>
      </c>
      <c r="B494">
        <f>IF(AND(Inputs!$B$38&lt;&gt;"pvp",Inputs!$B$43&gt;0),SUMPRODUCT((Skills!T2:T23&gt;0)*(Skills!E2:E23=TRUE)*(C463:C484=TRUE))/B489,0)</f>
        <v/>
      </c>
    </row>
    <row r="495">
      <c r="A495" t="inlineStr">
        <is>
          <t>Boss-Only Total DPS (this block's swept value)</t>
        </is>
      </c>
      <c r="B495">
        <f>SUM(T463:T484)</f>
        <v/>
      </c>
    </row>
    <row r="496">
      <c r="A496" t="inlineStr">
        <is>
          <t>Normal-Only Total DPS (this block's swept value)</t>
        </is>
      </c>
      <c r="B496">
        <f>SUM(V463:V484)</f>
        <v/>
      </c>
    </row>
    <row r="497">
      <c r="A497" s="6" t="inlineStr">
        <is>
          <t>TOTAL DPS</t>
        </is>
      </c>
      <c r="B497" s="6">
        <f>SUM(O463:O484)</f>
        <v/>
      </c>
    </row>
    <row r="500">
      <c r="A500" s="6" t="inlineStr">
        <is>
          <t>Stat: CRIT_DAMAGE %</t>
        </is>
      </c>
    </row>
    <row r="501">
      <c r="A501" s="5" t="inlineStr">
        <is>
          <t>Key</t>
        </is>
      </c>
      <c r="B501" s="5" t="inlineStr">
        <is>
          <t>Name</t>
        </is>
      </c>
      <c r="C501" s="5" t="inlineStr">
        <is>
          <t>Unlocked</t>
        </is>
      </c>
      <c r="D501" s="5" t="inlineStr">
        <is>
          <t>InputLevel</t>
        </is>
      </c>
      <c r="E501" s="5" t="inlineStr">
        <is>
          <t>Factor</t>
        </is>
      </c>
      <c r="F501" s="5" t="inlineStr">
        <is>
          <t>CoefficientPercent</t>
        </is>
      </c>
      <c r="G501" s="5" t="inlineStr">
        <is>
          <t>EffectiveHits</t>
        </is>
      </c>
      <c r="H501" s="5" t="inlineStr">
        <is>
          <t>ProcProbability</t>
        </is>
      </c>
      <c r="I501" s="5" t="inlineStr">
        <is>
          <t>MapleHeroMultiplier</t>
        </is>
      </c>
      <c r="J501" s="5" t="inlineStr">
        <is>
          <t>BaseDamage</t>
        </is>
      </c>
      <c r="K501" s="5" t="inlineStr">
        <is>
          <t>BaseHitDamage</t>
        </is>
      </c>
      <c r="L501" s="5" t="inlineStr">
        <is>
          <t>NonCritAvg</t>
        </is>
      </c>
      <c r="M501" s="5" t="inlineStr">
        <is>
          <t>CritAvg</t>
        </is>
      </c>
      <c r="N501" s="5" t="inlineStr">
        <is>
          <t>ExpectedDamage(perHit)</t>
        </is>
      </c>
      <c r="O501" s="5" t="inlineStr">
        <is>
          <t>DPS</t>
        </is>
      </c>
      <c r="P501" s="5" t="inlineStr">
        <is>
          <t>% of Total</t>
        </is>
      </c>
      <c r="Q501" s="5" t="inlineStr">
        <is>
          <t>InvCooldown</t>
        </is>
      </c>
      <c r="R501" s="5" t="inlineStr">
        <is>
          <t>CastsInFight</t>
        </is>
      </c>
      <c r="S501" s="5" t="inlineStr">
        <is>
          <t>HitRate(perSec)</t>
        </is>
      </c>
      <c r="U501" t="inlineStr">
        <is>
          <t>helpers</t>
        </is>
      </c>
    </row>
    <row r="502">
      <c r="A502">
        <f>Skills!A2</f>
        <v/>
      </c>
      <c r="B502">
        <f>Skills!B2</f>
        <v/>
      </c>
      <c r="C502">
        <f>Inputs!$B$3&gt;=100</f>
        <v/>
      </c>
      <c r="D502" t="inlineStr"/>
      <c r="E502" t="inlineStr"/>
      <c r="F502">
        <f>U504+Skills!O2</f>
        <v/>
      </c>
      <c r="G502">
        <f>Skills!G2*IF(Skills!H2&gt;0,Skills!I2/Skills!H2,1)</f>
        <v/>
      </c>
      <c r="H502">
        <f>1-(1-Skills!J2/100)^Skills!K2</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520=TRUE)*(F520-Calc!F20)),(Inputs!$B$23+0+(IF(ArtifactsInput!$M$15,CHOOSE(ArtifactsInput!$N$15+1,25,30,35,40,45,50)/100*(Inputs!$B$11-Inputs!$B$11),0))))/100+(Inputs!$B$23+0+(IF(ArtifactsInput!$M$15,CHOOSE(ArtifactsInput!$N$15+1,25,30,35,40,45,50)/100*(Inputs!$B$11-Inputs!$B$11),0)))/100)/2</f>
        <v/>
      </c>
      <c r="M502">
        <f>L502*(1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IF(B536=0,0,O502/B536)</f>
        <v/>
      </c>
      <c r="Q502" t="n">
        <v>0</v>
      </c>
      <c r="R502" t="n">
        <v>0</v>
      </c>
      <c r="S502">
        <f>IFERROR(O502/N502,0)</f>
        <v/>
      </c>
      <c r="T502">
        <f>IF(C502,(Skills!G2*N502*B530)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2">
        <f>MAX(0,(Inputs!$B$3-100)*3)+Inputs!$B$28+Inputs!$B$29</f>
        <v/>
      </c>
      <c r="V502">
        <f>IF(C502,(Skills!G2*N502*B530)*IF(Inputs!$B$38="pvp",1,(1+(Inputs!$B$21+Skills!Q2+(IF(ArtifactsInput!$M$33,CHOOSE(ArtifactsInput!$N$33+1,30,36,42,48,54,60),0))+(IF(AND(ArtifactsInput!$M$35,Inputs!$B$4&lt;&gt;"Chapter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Skills!A3</f>
        <v/>
      </c>
      <c r="B503">
        <f>Skills!B3</f>
        <v/>
      </c>
      <c r="C503">
        <f>Inputs!$B$3&gt;=35</f>
        <v/>
      </c>
      <c r="D503">
        <f>IF(Skills!C3=1,60+Inputs!$B$25+Inputs!$B$29,IF(Skills!C3=2,90+Inputs!$B$26+Inputs!$B$29,IF(Skills!C3=3,120+Inputs!$B$27+Inputs!$B$29,MAX(0,(Inputs!$B$3-100)*3)+Inputs!$B$28+Inputs!$B$29)))</f>
        <v/>
      </c>
      <c r="E503">
        <f>INDEX(FactorTable!$B$2:$Y$301, MATCH(ROUND(MIN(300,MAX(1,D503)),0), FactorTable!$A$2:$A$301,0), Skills!M3+1)</f>
        <v/>
      </c>
      <c r="F503">
        <f>IF(Skills!N3=TRUE,(Skills!L3/10)*(E503/1000),Skills!L3/10)+Skills!O3</f>
        <v/>
      </c>
      <c r="G503">
        <f>Skills!G3*IF(Skills!H3&gt;0,Skills!I3/Skills!H3,1)</f>
        <v/>
      </c>
      <c r="H503">
        <f>1-(1-Skills!J3/100)^Skills!K3</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520=TRUE)*(F520-Calc!F20)),(Inputs!$B$23+0+(IF(ArtifactsInput!$M$15,CHOOSE(ArtifactsInput!$N$15+1,25,30,35,40,45,50)/100*(Inputs!$B$11-Inputs!$B$11),0))))/100+(Inputs!$B$23+0+(IF(ArtifactsInput!$M$15,CHOOSE(ArtifactsInput!$N$15+1,25,30,35,40,45,50)/100*(Inputs!$B$11-Inputs!$B$11),0)))/100)/2</f>
        <v/>
      </c>
      <c r="M503">
        <f>L503*(1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IF(B536=0,0,O503/B536)</f>
        <v/>
      </c>
      <c r="Q503" t="n">
        <v>0</v>
      </c>
      <c r="R503" t="n">
        <v>0</v>
      </c>
      <c r="S503">
        <f>IFERROR(O503/N503,0)</f>
        <v/>
      </c>
      <c r="T503">
        <f>IF(C503,(Skills!G3*H503*N503*B530)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INDEX(FactorTable!$B$2:$Y$301, MATCH(ROUND(MIN(300,MAX(1,U502)),0), FactorTable!$A$2:$A$301,0), 22)</f>
        <v/>
      </c>
      <c r="V503">
        <f>IF(C503,(Skills!G3*H503*N503*B530)*IF(Inputs!$B$38="pvp",1,(1+(Inputs!$B$21+Skills!Q3+(IF(ArtifactsInput!$M$33,CHOOSE(ArtifactsInput!$N$33+1,30,36,42,48,54,60),0))+(IF(AND(ArtifactsInput!$M$35,Inputs!$B$4&lt;&gt;"Chapter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Skills!A4</f>
        <v/>
      </c>
      <c r="B504">
        <f>Skills!B4</f>
        <v/>
      </c>
      <c r="C504">
        <f>Inputs!$B$3&gt;=60</f>
        <v/>
      </c>
      <c r="D504">
        <f>IF(Skills!C4=1,60+Inputs!$B$25+Inputs!$B$29,IF(Skills!C4=2,90+Inputs!$B$26+Inputs!$B$29,IF(Skills!C4=3,120+Inputs!$B$27+Inputs!$B$29,MAX(0,(Inputs!$B$3-100)*3)+Inputs!$B$28+Inputs!$B$29)))</f>
        <v/>
      </c>
      <c r="E504">
        <f>INDEX(FactorTable!$B$2:$Y$301, MATCH(ROUND(MIN(300,MAX(1,D504)),0), FactorTable!$A$2:$A$301,0), Skills!M4+1)</f>
        <v/>
      </c>
      <c r="F504">
        <f>IF(Skills!N4=TRUE,(Skills!L4/10)*(E504/1000),Skills!L4/10)+Skills!O4</f>
        <v/>
      </c>
      <c r="G504">
        <f>Skills!G4*IF(Skills!H4&gt;0,Skills!I4/Skills!H4,1)</f>
        <v/>
      </c>
      <c r="H504">
        <f>1-(1-Skills!J4/100)^Skills!K4</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512=TRUE,F512,0)/100)*(1+(IF(Skills!A4="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520=TRUE)*(F520-Calc!F20)),(Inputs!$B$23+0+(IF(ArtifactsInput!$M$15,CHOOSE(ArtifactsInput!$N$15+1,25,30,35,40,45,50)/100*(Inputs!$B$11-Inputs!$B$11),0))))/100+(Inputs!$B$23+0+(IF(ArtifactsInput!$M$15,CHOOSE(ArtifactsInput!$N$15+1,25,30,35,40,45,50)/100*(Inputs!$B$11-Inputs!$B$11),0)))/100)/2</f>
        <v/>
      </c>
      <c r="M504">
        <f>L504*(1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IF(B536=0,0,O504/B536)</f>
        <v/>
      </c>
      <c r="Q504" t="n">
        <v>0</v>
      </c>
      <c r="R504" t="n">
        <v>0</v>
      </c>
      <c r="S504">
        <f>IFERROR(O504/N504,0)</f>
        <v/>
      </c>
      <c r="T504">
        <f>IF(C504,(Skills!G4*H504*N504*B530)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290*U503/1000</f>
        <v/>
      </c>
      <c r="V504">
        <f>IF(C504,(Skills!G4*H504*N504*B530)*IF(Inputs!$B$38="pvp",1,(1+(Inputs!$B$21+Skills!Q4+(IF(ArtifactsInput!$M$33,CHOOSE(ArtifactsInput!$N$33+1,30,36,42,48,54,60),0))+(IF(AND(ArtifactsInput!$M$35,Inputs!$B$4&lt;&gt;"Chapter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Skills!A5</f>
        <v/>
      </c>
      <c r="B505">
        <f>Skills!B5</f>
        <v/>
      </c>
      <c r="C505">
        <f>Inputs!$B$3&gt;=60</f>
        <v/>
      </c>
      <c r="D505">
        <f>IF(Skills!C5=1,60+Inputs!$B$25+Inputs!$B$29,IF(Skills!C5=2,90+Inputs!$B$26+Inputs!$B$29,IF(Skills!C5=3,120+Inputs!$B$27+Inputs!$B$29,MAX(0,(Inputs!$B$3-100)*3)+Inputs!$B$28+Inputs!$B$29)))</f>
        <v/>
      </c>
      <c r="E505">
        <f>INDEX(FactorTable!$B$2:$Y$301, MATCH(ROUND(MIN(300,MAX(1,D505)),0), FactorTable!$A$2:$A$301,0), Skills!M5+1)</f>
        <v/>
      </c>
      <c r="F505">
        <f>IF(Skills!N5=TRUE,(Skills!L5/10)*(E505/1000),Skills!L5/10)+Skills!O5</f>
        <v/>
      </c>
      <c r="G505">
        <f>Skills!G5*IF(Skills!H5&gt;0,Skills!I5/Skills!H5,1)</f>
        <v/>
      </c>
      <c r="H505">
        <f>1-(1-Skills!J5/100)^Skills!K5</f>
        <v/>
      </c>
      <c r="I505" t="inlineStr">
        <is>
          <t>1</t>
        </is>
      </c>
      <c r="J505" t="inlineStr"/>
      <c r="K505" t="inlineStr"/>
      <c r="L505" t="inlineStr"/>
      <c r="M505" t="inlineStr"/>
      <c r="N505" t="inlineStr"/>
      <c r="O505">
        <f>(1-Summary!$B$11)*T505+Summary!$B$11*V505</f>
        <v/>
      </c>
      <c r="P505">
        <f>IF(B536=0,0,O505/B536)</f>
        <v/>
      </c>
      <c r="Q505" t="n">
        <v>0</v>
      </c>
      <c r="R505" t="n">
        <v>0</v>
      </c>
      <c r="S505">
        <f>IFERROR(O505/N505,0)</f>
        <v/>
      </c>
      <c r="T505" t="n">
        <v>0</v>
      </c>
      <c r="V505" t="n">
        <v>0</v>
      </c>
    </row>
    <row r="506">
      <c r="A506">
        <f>Skills!A6</f>
        <v/>
      </c>
      <c r="B506">
        <f>Skills!B6</f>
        <v/>
      </c>
      <c r="C506">
        <f>Inputs!$B$3&gt;=63</f>
        <v/>
      </c>
      <c r="D506">
        <f>IF(Skills!C6=1,60+Inputs!$B$25+Inputs!$B$29,IF(Skills!C6=2,90+Inputs!$B$26+Inputs!$B$29,IF(Skills!C6=3,120+Inputs!$B$27+Inputs!$B$29,MAX(0,(Inputs!$B$3-100)*3)+Inputs!$B$28+Inputs!$B$29)))</f>
        <v/>
      </c>
      <c r="E506">
        <f>INDEX(FactorTable!$B$2:$Y$301, MATCH(ROUND(MIN(300,MAX(1,D506)),0), FactorTable!$A$2:$A$301,0), Skills!M6+1)</f>
        <v/>
      </c>
      <c r="F506">
        <f>IF(Skills!N6=TRUE,(Skills!L6/10)*(E506/1000),Skills!L6/10)+Skills!O6</f>
        <v/>
      </c>
      <c r="G506">
        <f>Skills!G6*IF(Skills!H6&gt;0,Skills!I6/Skills!H6,1)</f>
        <v/>
      </c>
      <c r="H506">
        <f>1-(1-Skills!J6/100)^Skills!K6</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520=TRUE)*(F520-Calc!F20)),(Inputs!$B$23+0+(IF(ArtifactsInput!$M$15,CHOOSE(ArtifactsInput!$N$15+1,25,30,35,40,45,50)/100*(Inputs!$B$11-Inputs!$B$11),0))))/100+(Inputs!$B$23+0+(IF(ArtifactsInput!$M$15,CHOOSE(ArtifactsInput!$N$15+1,25,30,35,40,45,50)/100*(Inputs!$B$11-Inputs!$B$11),0)))/100)/2</f>
        <v/>
      </c>
      <c r="M506">
        <f>L506*(1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IF(B536=0,0,O506/B536)</f>
        <v/>
      </c>
      <c r="Q506">
        <f>IFERROR(1/(IF(Inputs!$B$38="pvp",15,MAX(0.1,Skills!D6-IF(Skills!E6=TRUE,Inputs!$B$32,0)))*(1-IF(AND(ArtifactsInput!$M$27,Inputs!$B$4="Chapter Hunt"),CHOOSE(ArtifactsInput!$N$27+1,20,24,28,32,36,40),0)/100)),0)</f>
        <v/>
      </c>
      <c r="R506">
        <f>IF(AND(Inputs!$B$38&lt;&gt;"pvp",Inputs!$B$43&gt;0),IF(MAX(0,Inputs!$B$43-B533)&lt;=0,0,(INT(MAX(0,Inputs!$B$43-B533)/(IF(Inputs!$B$38="pvp",15,MAX(0.1,Skills!D6-IF(Skills!E6=TRUE,Inputs!$B$32,0)))*(1-IF(AND(ArtifactsInput!$M$27,Inputs!$B$4="Chapter Hunt"),CHOOSE(ArtifactsInput!$N$27+1,20,24,28,32,36,40),0)/100)))+1)),0)</f>
        <v/>
      </c>
      <c r="S506">
        <f>IFERROR(O506/N506,0)</f>
        <v/>
      </c>
      <c r="T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$21+Skills!Q6+(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Skills!A7</f>
        <v/>
      </c>
      <c r="B507">
        <f>Skills!B7</f>
        <v/>
      </c>
      <c r="C507">
        <f>Inputs!$B$3&gt;=100</f>
        <v/>
      </c>
      <c r="D507">
        <f>IF(Skills!C7=1,60+Inputs!$B$25+Inputs!$B$29,IF(Skills!C7=2,90+Inputs!$B$26+Inputs!$B$29,IF(Skills!C7=3,120+Inputs!$B$27+Inputs!$B$29,MAX(0,(Inputs!$B$3-100)*3)+Inputs!$B$28+Inputs!$B$29)))</f>
        <v/>
      </c>
      <c r="E507">
        <f>INDEX(FactorTable!$B$2:$Y$301, MATCH(ROUND(MIN(300,MAX(1,D507)),0), FactorTable!$A$2:$A$301,0), Skills!M7+1)</f>
        <v/>
      </c>
      <c r="F507">
        <f>IF(Skills!N7=TRUE,(Skills!L7/10)*(E507/1000),Skills!L7/10)+Skills!O7</f>
        <v/>
      </c>
      <c r="G507">
        <f>Skills!G7*IF(Skills!H7&gt;0,Skills!I7/Skills!H7,1)</f>
        <v/>
      </c>
      <c r="H507">
        <f>1-(1-Skills!J7/100)^Skills!K7</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520=TRUE)*(F520-Calc!F20)),(Inputs!$B$23+0+(IF(ArtifactsInput!$M$15,CHOOSE(ArtifactsInput!$N$15+1,25,30,35,40,45,50)/100*(Inputs!$B$11-Inputs!$B$11),0))))/100+(Inputs!$B$23+0+(IF(ArtifactsInput!$M$15,CHOOSE(ArtifactsInput!$N$15+1,25,30,35,40,45,50)/100*(Inputs!$B$11-Inputs!$B$11),0)))/100)/2</f>
        <v/>
      </c>
      <c r="M507">
        <f>L507*(1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IF(B536=0,0,O507/B536)</f>
        <v/>
      </c>
      <c r="Q507">
        <f>IFERROR(1/(IF(Inputs!$B$38="pvp",15,MAX(0.1,Skills!D7-IF(Skills!E7=TRUE,Inputs!$B$32,0)))*(1-IF(AND(ArtifactsInput!$M$27,Inputs!$B$4="Chapter Hunt"),CHOOSE(ArtifactsInput!$N$27+1,20,24,28,32,36,40),0)/100)),0)</f>
        <v/>
      </c>
      <c r="R507">
        <f>IF(AND(Inputs!$B$38&lt;&gt;"pvp",Inputs!$B$43&gt;0),IF(MAX(0,Inputs!$B$43-B533)&lt;=0,0,(INT(MAX(0,Inputs!$B$43-B533)/(IF(Inputs!$B$38="pvp",15,MAX(0.1,Skills!D7-IF(Skills!E7=TRUE,Inputs!$B$32,0)))*(1-IF(AND(ArtifactsInput!$M$27,Inputs!$B$4="Chapter Hunt"),CHOOSE(ArtifactsInput!$N$27+1,20,24,28,32,36,40),0)/100)))+1)),0)</f>
        <v/>
      </c>
      <c r="S507">
        <f>IFERROR(O507/N507,0)</f>
        <v/>
      </c>
      <c r="T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$21+Skills!Q7+(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Skills!A8</f>
        <v/>
      </c>
      <c r="B508">
        <f>Skills!B8</f>
        <v/>
      </c>
      <c r="C508">
        <f>Inputs!$B$3&gt;=110</f>
        <v/>
      </c>
      <c r="D508">
        <f>IF(Skills!C8=1,60+Inputs!$B$25+Inputs!$B$29,IF(Skills!C8=2,90+Inputs!$B$26+Inputs!$B$29,IF(Skills!C8=3,120+Inputs!$B$27+Inputs!$B$29,MAX(0,(Inputs!$B$3-100)*3)+Inputs!$B$28+Inputs!$B$29)))</f>
        <v/>
      </c>
      <c r="E508">
        <f>INDEX(FactorTable!$B$2:$Y$301, MATCH(ROUND(MIN(300,MAX(1,D508)),0), FactorTable!$A$2:$A$301,0), Skills!M8+1)</f>
        <v/>
      </c>
      <c r="F508">
        <f>IF(Skills!N8=TRUE,(Skills!L8/10)*(E508/1000),Skills!L8/10)+Skills!O8</f>
        <v/>
      </c>
      <c r="G508">
        <f>Skills!G8*IF(Skills!H8&gt;0,Skills!I8/Skills!H8,1)</f>
        <v/>
      </c>
      <c r="H508">
        <f>1-(1-Skills!J8/100)^Skills!K8</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520=TRUE)*(F520-Calc!F20)),(Inputs!$B$23+0+(IF(ArtifactsInput!$M$15,CHOOSE(ArtifactsInput!$N$15+1,25,30,35,40,45,50)/100*(Inputs!$B$11-Inputs!$B$11),0))))/100+(Inputs!$B$23+0+(IF(ArtifactsInput!$M$15,CHOOSE(ArtifactsInput!$N$15+1,25,30,35,40,45,50)/100*(Inputs!$B$11-Inputs!$B$11),0)))/100)/2</f>
        <v/>
      </c>
      <c r="M508">
        <f>L508*(1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IF(B536=0,0,O508/B536)</f>
        <v/>
      </c>
      <c r="Q508">
        <f>IFERROR(1/(IF(Inputs!$B$38="pvp",15,MAX(0.1,Skills!D8-IF(Skills!E8=TRUE,Inputs!$B$32,0)))*(1-IF(AND(ArtifactsInput!$M$27,Inputs!$B$4="Chapter Hunt"),CHOOSE(ArtifactsInput!$N$27+1,20,24,28,32,36,40),0)/100)),0)</f>
        <v/>
      </c>
      <c r="R508">
        <f>IF(AND(Inputs!$B$38&lt;&gt;"pvp",Inputs!$B$43&gt;0),IF(MAX(0,Inputs!$B$43-B533)&lt;=0,0,(INT(MAX(0,Inputs!$B$43-B533)/(IF(Inputs!$B$38="pvp",15,MAX(0.1,Skills!D8-IF(Skills!E8=TRUE,Inputs!$B$32,0)))*(1-IF(AND(ArtifactsInput!$M$27,Inputs!$B$4="Chapter Hunt"),CHOOSE(ArtifactsInput!$N$27+1,20,24,28,32,36,40),0)/100)))+1)),0)</f>
        <v/>
      </c>
      <c r="S508">
        <f>IFERROR(O508/N508,0)</f>
        <v/>
      </c>
      <c r="T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$21+Skills!Q8+(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Skills!A9</f>
        <v/>
      </c>
      <c r="B509">
        <f>Skills!B9</f>
        <v/>
      </c>
      <c r="C509">
        <f>Inputs!$B$3&gt;=110</f>
        <v/>
      </c>
      <c r="D509">
        <f>IF(Skills!C9=1,60+Inputs!$B$25+Inputs!$B$29,IF(Skills!C9=2,90+Inputs!$B$26+Inputs!$B$29,IF(Skills!C9=3,120+Inputs!$B$27+Inputs!$B$29,MAX(0,(Inputs!$B$3-100)*3)+Inputs!$B$28+Inputs!$B$29)))</f>
        <v/>
      </c>
      <c r="E509">
        <f>INDEX(FactorTable!$B$2:$Y$301, MATCH(ROUND(MIN(300,MAX(1,D509)),0), FactorTable!$A$2:$A$301,0), Skills!M9+1)</f>
        <v/>
      </c>
      <c r="F509">
        <f>IF(Skills!N9=TRUE,(Skills!L9/10)*(E509/1000),Skills!L9/10)+Skills!O9</f>
        <v/>
      </c>
      <c r="G509">
        <f>Skills!G9*IF(Skills!H9&gt;0,Skills!I9/Skills!H9,1)</f>
        <v/>
      </c>
      <c r="H509">
        <f>1-(1-Skills!J9/100)^Skills!K9</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520=TRUE)*(F520-Calc!F20)),(Inputs!$B$23+0+(IF(ArtifactsInput!$M$15,CHOOSE(ArtifactsInput!$N$15+1,25,30,35,40,45,50)/100*(Inputs!$B$11-Inputs!$B$11),0))))/100+(Inputs!$B$23+0+(IF(ArtifactsInput!$M$15,CHOOSE(ArtifactsInput!$N$15+1,25,30,35,40,45,50)/100*(Inputs!$B$11-Inputs!$B$11),0)))/100)/2</f>
        <v/>
      </c>
      <c r="M509">
        <f>L509*(1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IF(B536=0,0,O509/B536)</f>
        <v/>
      </c>
      <c r="Q509">
        <f>IFERROR(1/(IF(Inputs!$B$38="pvp",15,MAX(0.1,Skills!D9-IF(Skills!E9=TRUE,Inputs!$B$32,0)))*(1-IF(AND(ArtifactsInput!$M$27,Inputs!$B$4="Chapter Hunt"),CHOOSE(ArtifactsInput!$N$27+1,20,24,28,32,36,40),0)/100)),0)</f>
        <v/>
      </c>
      <c r="R509">
        <f>IF(AND(Inputs!$B$38&lt;&gt;"pvp",Inputs!$B$43&gt;0),IF(MAX(0,Inputs!$B$43-B533)&lt;=0,0,(INT(MAX(0,Inputs!$B$43-B533)/(IF(Inputs!$B$38="pvp",15,MAX(0.1,Skills!D9-IF(Skills!E9=TRUE,Inputs!$B$32,0)))*(1-IF(AND(ArtifactsInput!$M$27,Inputs!$B$4="Chapter Hunt"),CHOOSE(ArtifactsInput!$N$27+1,20,24,28,32,36,40),0)/100)))+1)),0)</f>
        <v/>
      </c>
      <c r="S509">
        <f>IFERROR(O509/N509,0)</f>
        <v/>
      </c>
      <c r="T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$21+Skills!Q9+(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Skills!A10</f>
        <v/>
      </c>
      <c r="B510">
        <f>Skills!B10</f>
        <v/>
      </c>
      <c r="C510">
        <f>Inputs!$B$3&gt;=103</f>
        <v/>
      </c>
      <c r="D510">
        <f>IF(Skills!C10=1,60+Inputs!$B$25+Inputs!$B$29,IF(Skills!C10=2,90+Inputs!$B$26+Inputs!$B$29,IF(Skills!C10=3,120+Inputs!$B$27+Inputs!$B$29,MAX(0,(Inputs!$B$3-100)*3)+Inputs!$B$28+Inputs!$B$29)))</f>
        <v/>
      </c>
      <c r="E510">
        <f>INDEX(FactorTable!$B$2:$Y$301, MATCH(ROUND(MIN(300,MAX(1,D510)),0), FactorTable!$A$2:$A$301,0), Skills!M10+1)</f>
        <v/>
      </c>
      <c r="F510">
        <f>IF(Skills!N10=TRUE,(Skills!L10/10)*(E510/1000),Skills!L10/10)+Skills!O10</f>
        <v/>
      </c>
      <c r="G510">
        <f>Skills!G10*IF(Skills!H10&gt;0,Skills!I10/Skills!H10,1)</f>
        <v/>
      </c>
      <c r="H510">
        <f>1-(1-Skills!J10/100)^Skills!K10</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520=TRUE)*(F520-Calc!F20)),(Inputs!$B$23+0+(IF(ArtifactsInput!$M$15,CHOOSE(ArtifactsInput!$N$15+1,25,30,35,40,45,50)/100*(Inputs!$B$11-Inputs!$B$11),0))))/100+(Inputs!$B$23+0+(IF(ArtifactsInput!$M$15,CHOOSE(ArtifactsInput!$N$15+1,25,30,35,40,45,50)/100*(Inputs!$B$11-Inputs!$B$11),0)))/100)/2</f>
        <v/>
      </c>
      <c r="M510">
        <f>L510*(1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IF(B536=0,0,O510/B536)</f>
        <v/>
      </c>
      <c r="Q510">
        <f>IFERROR(1/(IF(Inputs!$B$38="pvp",15,MAX(0.1,Skills!D10-IF(Skills!E10=TRUE,Inputs!$B$32,0)))*(1-IF(AND(ArtifactsInput!$M$27,Inputs!$B$4="Chapter Hunt"),CHOOSE(ArtifactsInput!$N$27+1,20,24,28,32,36,40),0)/100)),0)</f>
        <v/>
      </c>
      <c r="R510">
        <f>IF(AND(Inputs!$B$38&lt;&gt;"pvp",Inputs!$B$43&gt;0),IF(MAX(0,Inputs!$B$43-B533)&lt;=0,0,(INT(MAX(0,Inputs!$B$43-B533)/(IF(Inputs!$B$38="pvp",15,MAX(0.1,Skills!D10-IF(Skills!E10=TRUE,Inputs!$B$32,0)))*(1-IF(AND(ArtifactsInput!$M$27,Inputs!$B$4="Chapter Hunt"),CHOOSE(ArtifactsInput!$N$27+1,20,24,28,32,36,40),0)/100)))+1)),0)</f>
        <v/>
      </c>
      <c r="S510">
        <f>IFERROR(O510/N510,0)</f>
        <v/>
      </c>
      <c r="T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$21+Skills!Q10+(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Skills!A11</f>
        <v/>
      </c>
      <c r="B511">
        <f>Skills!B11</f>
        <v/>
      </c>
      <c r="C511">
        <f>Inputs!$B$3&gt;=113</f>
        <v/>
      </c>
      <c r="D511">
        <f>IF(Skills!C11=1,60+Inputs!$B$25+Inputs!$B$29,IF(Skills!C11=2,90+Inputs!$B$26+Inputs!$B$29,IF(Skills!C11=3,120+Inputs!$B$27+Inputs!$B$29,MAX(0,(Inputs!$B$3-100)*3)+Inputs!$B$28+Inputs!$B$29)))</f>
        <v/>
      </c>
      <c r="E511">
        <f>INDEX(FactorTable!$B$2:$Y$301, MATCH(ROUND(MIN(300,MAX(1,D511)),0), FactorTable!$A$2:$A$301,0), Skills!M11+1)</f>
        <v/>
      </c>
      <c r="F511">
        <f>IF(Skills!N11=TRUE,(Skills!L11/10)*(E511/1000),Skills!L11/10)+Skills!O11</f>
        <v/>
      </c>
      <c r="G511">
        <f>Skills!G11*IF(Skills!H11&gt;0,Skills!I11/Skills!H11,1)</f>
        <v/>
      </c>
      <c r="H511">
        <f>1-(1-Skills!J11/100)^Skills!K11</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520=TRUE)*(F520-Calc!F20)),(Inputs!$B$23+0+(IF(ArtifactsInput!$M$15,CHOOSE(ArtifactsInput!$N$15+1,25,30,35,40,45,50)/100*(Inputs!$B$11-Inputs!$B$11),0))))/100+(Inputs!$B$23+0+(IF(ArtifactsInput!$M$15,CHOOSE(ArtifactsInput!$N$15+1,25,30,35,40,45,50)/100*(Inputs!$B$11-Inputs!$B$11),0)))/100)/2</f>
        <v/>
      </c>
      <c r="M511">
        <f>L511*(1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IF(B536=0,0,O511/B536)</f>
        <v/>
      </c>
      <c r="Q511">
        <f>IFERROR(1/(IF(Inputs!$B$38="pvp",15,MAX(0.1,Skills!D11-IF(Skills!E11=TRUE,Inputs!$B$32,0)))*(1-IF(AND(ArtifactsInput!$M$27,Inputs!$B$4="Chapter Hunt"),CHOOSE(ArtifactsInput!$N$27+1,20,24,28,32,36,40),0)/100)),0)</f>
        <v/>
      </c>
      <c r="R511">
        <f>IF(AND(Inputs!$B$38&lt;&gt;"pvp",Inputs!$B$43&gt;0),IF(MAX(0,Inputs!$B$43-B533)&lt;=0,0,(INT(MAX(0,Inputs!$B$43-B533)/(IF(Inputs!$B$38="pvp",15,MAX(0.1,Skills!D11-IF(Skills!E11=TRUE,Inputs!$B$32,0)))*(1-IF(AND(ArtifactsInput!$M$27,Inputs!$B$4="Chapter Hunt"),CHOOSE(ArtifactsInput!$N$27+1,20,24,28,32,36,40),0)/100)))+1)),0)</f>
        <v/>
      </c>
      <c r="S511">
        <f>IFERROR(O511/N511,0)</f>
        <v/>
      </c>
      <c r="T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$21+Skills!Q11+(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Skills!A12</f>
        <v/>
      </c>
      <c r="B512">
        <f>Skills!B12</f>
        <v/>
      </c>
      <c r="C512">
        <f>Inputs!$B$3&gt;=100</f>
        <v/>
      </c>
      <c r="D512">
        <f>IF(Skills!C12=1,60+Inputs!$B$25+Inputs!$B$29,IF(Skills!C12=2,90+Inputs!$B$26+Inputs!$B$29,IF(Skills!C12=3,120+Inputs!$B$27+Inputs!$B$29,MAX(0,(Inputs!$B$3-100)*3)+Inputs!$B$28+Inputs!$B$29)))</f>
        <v/>
      </c>
      <c r="E512">
        <f>INDEX(FactorTable!$B$2:$Y$301, MATCH(ROUND(MIN(300,MAX(1,D512)),0), FactorTable!$A$2:$A$301,0), Skills!M12+1)</f>
        <v/>
      </c>
      <c r="F512">
        <f>IF(Skills!N12=TRUE,(Skills!L12/10)*(E512/1000),Skills!L12/10)+Skills!O12</f>
        <v/>
      </c>
      <c r="G512" t="inlineStr"/>
      <c r="H512" t="inlineStr"/>
      <c r="I512" t="inlineStr">
        <is>
          <t>1</t>
        </is>
      </c>
      <c r="J512" t="inlineStr"/>
      <c r="K512" t="inlineStr"/>
      <c r="L512" t="inlineStr"/>
      <c r="M512" t="inlineStr"/>
      <c r="N512" t="inlineStr"/>
      <c r="O512" t="inlineStr"/>
      <c r="P512" t="inlineStr"/>
      <c r="Q512" t="inlineStr"/>
      <c r="R512" t="inlineStr"/>
      <c r="S512" t="inlineStr"/>
      <c r="T512" t="inlineStr"/>
      <c r="V512" t="inlineStr"/>
    </row>
    <row r="513">
      <c r="A513">
        <f>Skills!A13</f>
        <v/>
      </c>
      <c r="B513">
        <f>Skills!B13</f>
        <v/>
      </c>
      <c r="C513">
        <f>Inputs!$B$3&gt;=66</f>
        <v/>
      </c>
      <c r="D513">
        <f>IF(Skills!C13=1,60+Inputs!$B$25+Inputs!$B$29,IF(Skills!C13=2,90+Inputs!$B$26+Inputs!$B$29,IF(Skills!C13=3,120+Inputs!$B$27+Inputs!$B$29,MAX(0,(Inputs!$B$3-100)*3)+Inputs!$B$28+Inputs!$B$29)))</f>
        <v/>
      </c>
      <c r="E513">
        <f>INDEX(FactorTable!$B$2:$Y$301, MATCH(ROUND(MIN(300,MAX(1,D513)),0), FactorTable!$A$2:$A$301,0), Skills!M13+1)</f>
        <v/>
      </c>
      <c r="F513">
        <f>IF(Skills!N13=TRUE,(Skills!L13/10)*(E513/1000),Skills!L13/10)+Skills!O13</f>
        <v/>
      </c>
      <c r="G513">
        <f>Skills!G13*IF(Skills!H13&gt;0,Skills!I13/Skills!H13,1)</f>
        <v/>
      </c>
      <c r="H513">
        <f>1-(1-Skills!J13/100)^Skills!K13</f>
        <v/>
      </c>
      <c r="I513" t="inlineStr">
        <is>
          <t>1</t>
        </is>
      </c>
      <c r="J513" t="inlineStr"/>
      <c r="K513" t="inlineStr"/>
      <c r="L513" t="inlineStr"/>
      <c r="M513" t="inlineStr"/>
      <c r="N513" t="inlineStr"/>
      <c r="O513">
        <f>(1-Summary!$B$11)*T513+Summary!$B$11*V513</f>
        <v/>
      </c>
      <c r="P513">
        <f>IF(B536=0,0,O513/B536)</f>
        <v/>
      </c>
      <c r="Q513" t="n">
        <v>0</v>
      </c>
      <c r="R513" t="n">
        <v>0</v>
      </c>
      <c r="S513">
        <f>IFERROR(O513/N513,0)</f>
        <v/>
      </c>
      <c r="T513" t="n">
        <v>0</v>
      </c>
      <c r="V513" t="n">
        <v>0</v>
      </c>
    </row>
    <row r="514">
      <c r="A514">
        <f>Skills!A14</f>
        <v/>
      </c>
      <c r="B514">
        <f>Skills!B14</f>
        <v/>
      </c>
      <c r="C514">
        <f>Inputs!$B$3&gt;=107</f>
        <v/>
      </c>
      <c r="D514">
        <f>IF(Skills!C14=1,60+Inputs!$B$25+Inputs!$B$29,IF(Skills!C14=2,90+Inputs!$B$26+Inputs!$B$29,IF(Skills!C14=3,120+Inputs!$B$27+Inputs!$B$29,MAX(0,(Inputs!$B$3-100)*3)+Inputs!$B$28+Inputs!$B$29)))</f>
        <v/>
      </c>
      <c r="E514">
        <f>INDEX(FactorTable!$B$2:$Y$301, MATCH(ROUND(MIN(300,MAX(1,D514)),0), FactorTable!$A$2:$A$301,0), Skills!M14+1)</f>
        <v/>
      </c>
      <c r="F514">
        <f>IF(Skills!N14=TRUE,(Skills!L14/10)*(E514/1000),Skills!L14/10)+Skills!O14</f>
        <v/>
      </c>
      <c r="G514">
        <f>Skills!G14*IF(Skills!H14&gt;0,Skills!I14/Skills!H14,1)</f>
        <v/>
      </c>
      <c r="H514">
        <f>1-(1-Skills!J14/100)^Skills!K14</f>
        <v/>
      </c>
      <c r="I514" t="inlineStr">
        <is>
          <t>1</t>
        </is>
      </c>
      <c r="J514" t="inlineStr"/>
      <c r="K514" t="inlineStr"/>
      <c r="L514" t="inlineStr"/>
      <c r="M514" t="inlineStr"/>
      <c r="N514" t="inlineStr"/>
      <c r="O514">
        <f>(1-Summary!$B$11)*T514+Summary!$B$11*V514</f>
        <v/>
      </c>
      <c r="P514">
        <f>IF(B536=0,0,O514/B536)</f>
        <v/>
      </c>
      <c r="Q514" t="n">
        <v>0</v>
      </c>
      <c r="R514" t="n">
        <v>0</v>
      </c>
      <c r="S514">
        <f>IFERROR(O514/N514,0)</f>
        <v/>
      </c>
      <c r="T514" t="n">
        <v>0</v>
      </c>
      <c r="V514" t="n">
        <v>0</v>
      </c>
    </row>
    <row r="515">
      <c r="A515">
        <f>Skills!A15</f>
        <v/>
      </c>
      <c r="B515">
        <f>Skills!B15</f>
        <v/>
      </c>
      <c r="C515">
        <f>Inputs!$B$3&gt;=115</f>
        <v/>
      </c>
      <c r="D515">
        <f>IF(Skills!C15=1,60+Inputs!$B$25+Inputs!$B$29,IF(Skills!C15=2,90+Inputs!$B$26+Inputs!$B$29,IF(Skills!C15=3,120+Inputs!$B$27+Inputs!$B$29,MAX(0,(Inputs!$B$3-100)*3)+Inputs!$B$28+Inputs!$B$29)))</f>
        <v/>
      </c>
      <c r="E515">
        <f>INDEX(FactorTable!$B$2:$Y$301, MATCH(ROUND(MIN(300,MAX(1,D515)),0), FactorTable!$A$2:$A$301,0), Skills!M15+1)</f>
        <v/>
      </c>
      <c r="F515">
        <f>IF(Skills!N15=TRUE,(Skills!L15/10)*(E515/1000),Skills!L15/10)+Skills!O15</f>
        <v/>
      </c>
      <c r="G515">
        <f>Skills!G15*IF(Skills!H15&gt;0,Skills!I15/Skills!H15,1)</f>
        <v/>
      </c>
      <c r="H515">
        <f>1-(1-Skills!J15/100)^Skills!K15</f>
        <v/>
      </c>
      <c r="I515" t="inlineStr">
        <is>
          <t>1</t>
        </is>
      </c>
      <c r="J515" t="inlineStr"/>
      <c r="K515" t="inlineStr"/>
      <c r="L515" t="inlineStr"/>
      <c r="M515" t="inlineStr"/>
      <c r="N515" t="inlineStr"/>
      <c r="O515">
        <f>(1-Summary!$B$11)*T515+Summary!$B$11*V515</f>
        <v/>
      </c>
      <c r="P515">
        <f>IF(B536=0,0,O515/B536)</f>
        <v/>
      </c>
      <c r="Q515" t="n">
        <v>0</v>
      </c>
      <c r="R515" t="n">
        <v>0</v>
      </c>
      <c r="S515">
        <f>IFERROR(O515/N515,0)</f>
        <v/>
      </c>
      <c r="T515" t="n">
        <v>0</v>
      </c>
      <c r="V515" t="n">
        <v>0</v>
      </c>
    </row>
    <row r="516">
      <c r="A516">
        <f>Skills!A16</f>
        <v/>
      </c>
      <c r="B516">
        <f>Skills!B16</f>
        <v/>
      </c>
      <c r="C516">
        <f>Inputs!$B$3&gt;=15</f>
        <v/>
      </c>
      <c r="D516">
        <f>IF(Skills!C16=1,60+Inputs!$B$25+Inputs!$B$29,IF(Skills!C16=2,90+Inputs!$B$26+Inputs!$B$29,IF(Skills!C16=3,120+Inputs!$B$27+Inputs!$B$29,MAX(0,(Inputs!$B$3-100)*3)+Inputs!$B$28+Inputs!$B$29)))</f>
        <v/>
      </c>
      <c r="E516">
        <f>INDEX(FactorTable!$B$2:$Y$301, MATCH(ROUND(MIN(300,MAX(1,D516)),0), FactorTable!$A$2:$A$301,0), Skills!M16+1)</f>
        <v/>
      </c>
      <c r="F516">
        <f>IF(Skills!N16=TRUE,(Skills!L16/10)*(E516/1000),Skills!L16/10)+Skills!O16</f>
        <v/>
      </c>
      <c r="G516">
        <f>Skills!G16*IF(Skills!H16&gt;0,Skills!I16/Skills!H16,1)</f>
        <v/>
      </c>
      <c r="H516">
        <f>1-(1-Skills!J16/100)^Skills!K16</f>
        <v/>
      </c>
      <c r="I516" t="inlineStr">
        <is>
          <t>1</t>
        </is>
      </c>
      <c r="J516" t="inlineStr"/>
      <c r="K516" t="inlineStr"/>
      <c r="L516" t="inlineStr"/>
      <c r="M516" t="inlineStr"/>
      <c r="N516" t="inlineStr"/>
      <c r="O516">
        <f>(1-Summary!$B$11)*T516+Summary!$B$11*V516</f>
        <v/>
      </c>
      <c r="P516">
        <f>IF(B536=0,0,O516/B536)</f>
        <v/>
      </c>
      <c r="Q516" t="n">
        <v>0</v>
      </c>
      <c r="R516" t="n">
        <v>0</v>
      </c>
      <c r="S516">
        <f>IFERROR(O516/N516,0)</f>
        <v/>
      </c>
      <c r="T516" t="n">
        <v>0</v>
      </c>
      <c r="V516" t="n">
        <v>0</v>
      </c>
    </row>
    <row r="517">
      <c r="A517">
        <f>Skills!A17</f>
        <v/>
      </c>
      <c r="B517">
        <f>Skills!B17</f>
        <v/>
      </c>
      <c r="C517">
        <f>Inputs!$B$3&gt;=10</f>
        <v/>
      </c>
      <c r="D517">
        <f>IF(Skills!C17=1,60+Inputs!$B$25+Inputs!$B$29,IF(Skills!C17=2,90+Inputs!$B$26+Inputs!$B$29,IF(Skills!C17=3,120+Inputs!$B$27+Inputs!$B$29,MAX(0,(Inputs!$B$3-100)*3)+Inputs!$B$28+Inputs!$B$29)))</f>
        <v/>
      </c>
      <c r="E517">
        <f>INDEX(FactorTable!$B$2:$Y$301, MATCH(ROUND(MIN(300,MAX(1,D517)),0), FactorTable!$A$2:$A$301,0), Skills!M17+1)</f>
        <v/>
      </c>
      <c r="F517">
        <f>IF(Skills!N17=TRUE,(Skills!L17/10)*(E517/1000),Skills!L17/10)+Skills!O17</f>
        <v/>
      </c>
      <c r="G517">
        <f>Skills!G17*IF(Skills!H17&gt;0,Skills!I17/Skills!H17,1)</f>
        <v/>
      </c>
      <c r="H517">
        <f>1-(1-Skills!J17/100)^Skills!K17</f>
        <v/>
      </c>
      <c r="I517" t="inlineStr">
        <is>
          <t>1</t>
        </is>
      </c>
      <c r="J517" t="inlineStr"/>
      <c r="K517" t="inlineStr"/>
      <c r="L517" t="inlineStr"/>
      <c r="M517" t="inlineStr"/>
      <c r="N517" t="inlineStr"/>
      <c r="O517">
        <f>(1-Summary!$B$11)*T517+Summary!$B$11*V517</f>
        <v/>
      </c>
      <c r="P517">
        <f>IF(B536=0,0,O517/B536)</f>
        <v/>
      </c>
      <c r="Q517" t="n">
        <v>0</v>
      </c>
      <c r="R517" t="n">
        <v>0</v>
      </c>
      <c r="S517">
        <f>IFERROR(O517/N517,0)</f>
        <v/>
      </c>
      <c r="T517" t="n">
        <v>0</v>
      </c>
      <c r="V517" t="n">
        <v>0</v>
      </c>
    </row>
    <row r="518">
      <c r="A518">
        <f>Skills!A18</f>
        <v/>
      </c>
      <c r="B518">
        <f>Skills!B18</f>
        <v/>
      </c>
      <c r="C518">
        <f>Inputs!$B$3&gt;=33</f>
        <v/>
      </c>
      <c r="D518">
        <f>IF(Skills!C18=1,60+Inputs!$B$25+Inputs!$B$29,IF(Skills!C18=2,90+Inputs!$B$26+Inputs!$B$29,IF(Skills!C18=3,120+Inputs!$B$27+Inputs!$B$29,MAX(0,(Inputs!$B$3-100)*3)+Inputs!$B$28+Inputs!$B$29)))</f>
        <v/>
      </c>
      <c r="E518">
        <f>INDEX(FactorTable!$B$2:$Y$301, MATCH(ROUND(MIN(300,MAX(1,D518)),0), FactorTable!$A$2:$A$301,0), Skills!M18+1)</f>
        <v/>
      </c>
      <c r="F518">
        <f>IF(Skills!N18=TRUE,(Skills!L18/10)*(E518/1000),Skills!L18/10)+Skills!O18</f>
        <v/>
      </c>
      <c r="G518">
        <f>Skills!G18*IF(Skills!H18&gt;0,Skills!I18/Skills!H18,1)</f>
        <v/>
      </c>
      <c r="H518">
        <f>1-(1-Skills!J18/100)^Skills!K18</f>
        <v/>
      </c>
      <c r="I518" t="inlineStr">
        <is>
          <t>1</t>
        </is>
      </c>
      <c r="J518" t="inlineStr"/>
      <c r="K518" t="inlineStr"/>
      <c r="L518" t="inlineStr"/>
      <c r="M518" t="inlineStr"/>
      <c r="N518" t="inlineStr"/>
      <c r="O518">
        <f>(1-Summary!$B$11)*T518+Summary!$B$11*V518</f>
        <v/>
      </c>
      <c r="P518">
        <f>IF(B536=0,0,O518/B536)</f>
        <v/>
      </c>
      <c r="Q518" t="n">
        <v>0</v>
      </c>
      <c r="R518" t="n">
        <v>0</v>
      </c>
      <c r="S518">
        <f>IFERROR(O518/N518,0)</f>
        <v/>
      </c>
      <c r="T518" t="n">
        <v>0</v>
      </c>
      <c r="V518" t="n">
        <v>0</v>
      </c>
    </row>
    <row r="519">
      <c r="A519">
        <f>Skills!A19</f>
        <v/>
      </c>
      <c r="B519">
        <f>Skills!B19</f>
        <v/>
      </c>
      <c r="C519">
        <f>Inputs!$B$3&gt;=40</f>
        <v/>
      </c>
      <c r="D519">
        <f>IF(Skills!C19=1,60+Inputs!$B$25+Inputs!$B$29,IF(Skills!C19=2,90+Inputs!$B$26+Inputs!$B$29,IF(Skills!C19=3,120+Inputs!$B$27+Inputs!$B$29,MAX(0,(Inputs!$B$3-100)*3)+Inputs!$B$28+Inputs!$B$29)))</f>
        <v/>
      </c>
      <c r="E519">
        <f>INDEX(FactorTable!$B$2:$Y$301, MATCH(ROUND(MIN(300,MAX(1,D519)),0), FactorTable!$A$2:$A$301,0), Skills!M19+1)</f>
        <v/>
      </c>
      <c r="F519">
        <f>IF(Skills!N19=TRUE,(Skills!L19/10)*(E519/1000),Skills!L19/10)+Skills!O19</f>
        <v/>
      </c>
      <c r="G519">
        <f>Skills!G19*IF(Skills!H19&gt;0,Skills!I19/Skills!H19,1)</f>
        <v/>
      </c>
      <c r="H519">
        <f>1-(1-Skills!J19/100)^Skills!K19</f>
        <v/>
      </c>
      <c r="I519" t="inlineStr">
        <is>
          <t>1</t>
        </is>
      </c>
      <c r="J519" t="inlineStr"/>
      <c r="K519" t="inlineStr"/>
      <c r="L519" t="inlineStr"/>
      <c r="M519" t="inlineStr"/>
      <c r="N519" t="inlineStr"/>
      <c r="O519">
        <f>(1-Summary!$B$11)*T519+Summary!$B$11*V519</f>
        <v/>
      </c>
      <c r="P519">
        <f>IF(B536=0,0,O519/B536)</f>
        <v/>
      </c>
      <c r="Q519" t="n">
        <v>0</v>
      </c>
      <c r="R519" t="n">
        <v>0</v>
      </c>
      <c r="S519">
        <f>IFERROR(O519/N519,0)</f>
        <v/>
      </c>
      <c r="T519" t="n">
        <v>0</v>
      </c>
      <c r="V519" t="n">
        <v>0</v>
      </c>
    </row>
    <row r="520">
      <c r="A520">
        <f>Skills!A20</f>
        <v/>
      </c>
      <c r="B520">
        <f>Skills!B20</f>
        <v/>
      </c>
      <c r="C520">
        <f>Inputs!$B$3&gt;=43</f>
        <v/>
      </c>
      <c r="D520">
        <f>IF(Skills!C20=1,60+Inputs!$B$25+Inputs!$B$29,IF(Skills!C20=2,90+Inputs!$B$26+Inputs!$B$29,IF(Skills!C20=3,120+Inputs!$B$27+Inputs!$B$29,MAX(0,(Inputs!$B$3-100)*3)+Inputs!$B$28+Inputs!$B$29)))</f>
        <v/>
      </c>
      <c r="E520">
        <f>INDEX(FactorTable!$B$2:$Y$301, MATCH(ROUND(MIN(300,MAX(1,D520)),0), FactorTable!$A$2:$A$301,0), Skills!M20+1)</f>
        <v/>
      </c>
      <c r="F520">
        <f>IF(Skills!N20=TRUE,(Skills!L20/10)*(E520/1000),Skills!L20/10)+Skills!O20</f>
        <v/>
      </c>
      <c r="G520">
        <f>Skills!G20*IF(Skills!H20&gt;0,Skills!I20/Skills!H20,1)</f>
        <v/>
      </c>
      <c r="H520">
        <f>1-(1-Skills!J20/100)^Skills!K20</f>
        <v/>
      </c>
      <c r="I520" t="inlineStr">
        <is>
          <t>1</t>
        </is>
      </c>
      <c r="J520" t="inlineStr"/>
      <c r="K520" t="inlineStr"/>
      <c r="L520" t="inlineStr"/>
      <c r="M520" t="inlineStr"/>
      <c r="N520" t="inlineStr"/>
      <c r="O520">
        <f>(1-Summary!$B$11)*T520+Summary!$B$11*V520</f>
        <v/>
      </c>
      <c r="P520">
        <f>IF(B536=0,0,O520/B536)</f>
        <v/>
      </c>
      <c r="Q520" t="n">
        <v>0</v>
      </c>
      <c r="R520" t="n">
        <v>0</v>
      </c>
      <c r="S520">
        <f>IFERROR(O520/N520,0)</f>
        <v/>
      </c>
      <c r="T520" t="n">
        <v>0</v>
      </c>
      <c r="V520" t="n">
        <v>0</v>
      </c>
    </row>
    <row r="521">
      <c r="A521">
        <f>Skills!A21</f>
        <v/>
      </c>
      <c r="B521">
        <f>Skills!B21</f>
        <v/>
      </c>
      <c r="C521">
        <f>Inputs!$B$3&gt;=38</f>
        <v/>
      </c>
      <c r="D521">
        <f>IF(Skills!C21=1,60+Inputs!$B$25+Inputs!$B$29,IF(Skills!C21=2,90+Inputs!$B$26+Inputs!$B$29,IF(Skills!C21=3,120+Inputs!$B$27+Inputs!$B$29,MAX(0,(Inputs!$B$3-100)*3)+Inputs!$B$28+Inputs!$B$29)))</f>
        <v/>
      </c>
      <c r="E521">
        <f>INDEX(FactorTable!$B$2:$Y$301, MATCH(ROUND(MIN(300,MAX(1,D521)),0), FactorTable!$A$2:$A$301,0), Skills!M21+1)</f>
        <v/>
      </c>
      <c r="F521">
        <f>IF(Skills!N21=TRUE,(Skills!L21/10)*(E521/1000),Skills!L21/10)+Skills!O21</f>
        <v/>
      </c>
      <c r="G521">
        <f>Skills!G21*IF(Skills!H21&gt;0,Skills!I21/Skills!H21,1)</f>
        <v/>
      </c>
      <c r="H521">
        <f>1-(1-Skills!J21/100)^Skills!K21</f>
        <v/>
      </c>
      <c r="I521" t="inlineStr">
        <is>
          <t>1</t>
        </is>
      </c>
      <c r="J521" t="inlineStr"/>
      <c r="K521" t="inlineStr"/>
      <c r="L521" t="inlineStr"/>
      <c r="M521" t="inlineStr"/>
      <c r="N521" t="inlineStr"/>
      <c r="O521">
        <f>(1-Summary!$B$11)*T521+Summary!$B$11*V521</f>
        <v/>
      </c>
      <c r="P521">
        <f>IF(B536=0,0,O521/B536)</f>
        <v/>
      </c>
      <c r="Q521" t="n">
        <v>0</v>
      </c>
      <c r="R521" t="n">
        <v>0</v>
      </c>
      <c r="S521">
        <f>IFERROR(O521/N521,0)</f>
        <v/>
      </c>
      <c r="T521" t="n">
        <v>0</v>
      </c>
      <c r="V521" t="n">
        <v>0</v>
      </c>
    </row>
    <row r="522">
      <c r="A522">
        <f>Skills!A22</f>
        <v/>
      </c>
      <c r="B522">
        <f>Skills!B22</f>
        <v/>
      </c>
      <c r="C522">
        <f>Inputs!$B$3&gt;=75</f>
        <v/>
      </c>
      <c r="D522">
        <f>IF(Skills!C22=1,60+Inputs!$B$25+Inputs!$B$29,IF(Skills!C22=2,90+Inputs!$B$26+Inputs!$B$29,IF(Skills!C22=3,120+Inputs!$B$27+Inputs!$B$29,MAX(0,(Inputs!$B$3-100)*3)+Inputs!$B$28+Inputs!$B$29)))</f>
        <v/>
      </c>
      <c r="E522">
        <f>INDEX(FactorTable!$B$2:$Y$301, MATCH(ROUND(MIN(300,MAX(1,D522)),0), FactorTable!$A$2:$A$301,0), Skills!M22+1)</f>
        <v/>
      </c>
      <c r="F522">
        <f>IF(Skills!N22=TRUE,(Skills!L22/10)*(E522/1000),Skills!L22/10)+Skills!O22</f>
        <v/>
      </c>
      <c r="G522">
        <f>Skills!G22*IF(Skills!H22&gt;0,Skills!I22/Skills!H22,1)</f>
        <v/>
      </c>
      <c r="H522">
        <f>1-(1-Skills!J22/100)^Skills!K22</f>
        <v/>
      </c>
      <c r="I522" t="inlineStr">
        <is>
          <t>1</t>
        </is>
      </c>
      <c r="J522" t="inlineStr"/>
      <c r="K522" t="inlineStr"/>
      <c r="L522" t="inlineStr"/>
      <c r="M522" t="inlineStr"/>
      <c r="N522" t="inlineStr"/>
      <c r="O522">
        <f>(1-Summary!$B$11)*T522+Summary!$B$11*V522</f>
        <v/>
      </c>
      <c r="P522">
        <f>IF(B536=0,0,O522/B536)</f>
        <v/>
      </c>
      <c r="Q522" t="n">
        <v>0</v>
      </c>
      <c r="R522" t="n">
        <v>0</v>
      </c>
      <c r="S522">
        <f>IFERROR(O522/N522,0)</f>
        <v/>
      </c>
      <c r="T522" t="n">
        <v>0</v>
      </c>
      <c r="V522" t="n">
        <v>0</v>
      </c>
    </row>
    <row r="523">
      <c r="A523">
        <f>Skills!A23</f>
        <v/>
      </c>
      <c r="B523">
        <f>Skills!B23</f>
        <v/>
      </c>
      <c r="C523">
        <f>TRUE</f>
        <v/>
      </c>
      <c r="D523">
        <f>IF(Skills!C23=1,60+Inputs!$B$25+Inputs!$B$29,IF(Skills!C23=2,90+Inputs!$B$26+Inputs!$B$29,IF(Skills!C23=3,120+Inputs!$B$27+Inputs!$B$29,MAX(0,(Inputs!$B$3-100)*3)+Inputs!$B$28+Inputs!$B$29)))</f>
        <v/>
      </c>
      <c r="E523">
        <f>INDEX(FactorTable!$B$2:$Y$301, MATCH(ROUND(MIN(300,MAX(1,D523)),0), FactorTable!$A$2:$A$301,0), Skills!M23+1)</f>
        <v/>
      </c>
      <c r="F523">
        <f>IF(Skills!N23=TRUE,(Skills!L23/10)*(E523/1000),Skills!L23/10)+Skills!O23</f>
        <v/>
      </c>
      <c r="G523">
        <f>Skills!G23*IF(Skills!H23&gt;0,Skills!I23/Skills!H23,1)</f>
        <v/>
      </c>
      <c r="H523">
        <f>1-(1-Skills!J23/100)^Skills!K23</f>
        <v/>
      </c>
      <c r="I523" t="inlineStr">
        <is>
          <t>1</t>
        </is>
      </c>
      <c r="J523" t="inlineStr"/>
      <c r="K523" t="inlineStr"/>
      <c r="L523" t="inlineStr"/>
      <c r="M523" t="inlineStr"/>
      <c r="N523" t="inlineStr"/>
      <c r="O523">
        <f>(1-Summary!$B$11)*T523+Summary!$B$11*V523</f>
        <v/>
      </c>
      <c r="P523">
        <f>IF(B536=0,0,O523/B536)</f>
        <v/>
      </c>
      <c r="Q523">
        <f>IFERROR(1/(IF(Inputs!$B$38="pvp",15,MAX(0.1,Skills!D23-IF(Skills!E23=TRUE,Inputs!$B$32,0)))*(1-IF(AND(ArtifactsInput!$M$27,Inputs!$B$4="Chapter Hunt"),CHOOSE(ArtifactsInput!$N$27+1,20,24,28,32,36,40),0)/100)),0)</f>
        <v/>
      </c>
      <c r="R523">
        <f>IF(AND(Inputs!$B$38&lt;&gt;"pvp",Inputs!$B$43&gt;0),IF(Inputs!$B$43&lt;=0,0,(INT(Inputs!$B$43/(IF(Inputs!$B$38="pvp",15,MAX(0.1,Skills!D23-IF(Skills!E23=TRUE,Inputs!$B$32,0)))*(1-IF(AND(ArtifactsInput!$M$27,Inputs!$B$4="Chapter Hunt"),CHOOSE(ArtifactsInput!$N$27+1,20,24,28,32,36,40),0)/100)))+1)),0)</f>
        <v/>
      </c>
      <c r="S523">
        <f>IFERROR(O523/N523,0)</f>
        <v/>
      </c>
      <c r="T523" t="n">
        <v>0</v>
      </c>
      <c r="V523" t="n">
        <v>0</v>
      </c>
    </row>
    <row r="525">
      <c r="A525" t="inlineStr">
        <is>
          <t>Attack% Bucket Multiplier</t>
        </is>
      </c>
      <c r="B525">
        <f>(1+(((C513=TRUE)*F513*5/7)+((C519=TRUE)*(F519-Calc!F19))+(IF(ArtifactsInput!$M$21,CHOOSE(ArtifactsInput!$N$21+1,25,30,35,40,45,50)*(IF(OR(Inputs!$B$4="Chapter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6">
      <c r="A526" t="inlineStr">
        <is>
          <t>Global Crit Rate Bonus %</t>
        </is>
      </c>
      <c r="B526" t="n">
        <v>0</v>
      </c>
    </row>
    <row r="527">
      <c r="A527" t="inlineStr">
        <is>
          <t>Attack Speed Buff Bonus % (Nimble Feet, duty-cycle averaged)</t>
        </is>
      </c>
      <c r="B527">
        <f>((C523=TRUE)*F523*IF(AND(Inputs!$B$38&lt;&gt;"pvp",Inputs!$B$43&gt;0),(((R523-1)*(Skills!T23*(1+Inputs!$B$34/100))+MIN((Skills!T23*(1+Inputs!$B$34/100)),MAX(0,Inputs!$B$43-((R523-1)*Skills!D23))))/Inputs!$B$43),IF(Inputs!$B$38="pvp",MIN((Skills!T23*(1+Inputs!$B$34/100)),15)/15,(Skills!T23*(1+Inputs!$B$34/100))/Skills!D23)))</f>
        <v/>
      </c>
    </row>
    <row r="528">
      <c r="A528" t="inlineStr">
        <is>
          <t>Actions Per Second</t>
        </is>
      </c>
      <c r="B528">
        <f>1+MIN(150,150*(1-(1-(Inputs!$B$11+((C517=TRUE)*(F517-Calc!F17))+((C518=TRUE)*(F518-Calc!F18)))/150)*(1-B527/150)))/100</f>
        <v/>
      </c>
    </row>
    <row r="529">
      <c r="A529" t="inlineStr">
        <is>
          <t>Skill + Buff Cast Rate</t>
        </is>
      </c>
      <c r="B529">
        <f>IF(AND(Inputs!$B$38&lt;&gt;"pvp",Inputs!$B$43&gt;0),SUMPRODUCT((Skills!E2:E23=TRUE)*(C502:C523=TRUE)*R502:R523*Skills!F2:F23)/Inputs!$B$43,SUMPRODUCT((Skills!E2:E23=TRUE)*(C502:C523=TRUE)*Q502:Q523*Skills!F2:F23))</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((C505=TRUE)*F505*((10+IF(Inputs!$B$3&gt;=94,5,0))/((10+IF(Inputs!$B$3&gt;=94,5,0))+5/(B530*(1+IF(Inputs!$B$3&gt;=104,1,0))))))+((C514=TRUE)*F514)+((C515=TRUE)*F515)+((Inputs!$B$3&gt;=110)*20*(B528-1))</f>
        <v/>
      </c>
    </row>
    <row r="533">
      <c r="A533" t="inlineStr">
        <is>
          <t>Buff-Casting Startup Delay (s, fixed-duration only)</t>
        </is>
      </c>
      <c r="B533">
        <f>IF(AND(Inputs!$B$38&lt;&gt;"pvp",Inputs!$B$43&gt;0),SUMPRODUCT((Skills!T2:T23&gt;0)*(Skills!E2:E23=TRUE)*(C502:C523=TRUE))/B528,0)</f>
        <v/>
      </c>
    </row>
    <row r="534">
      <c r="A534" t="inlineStr">
        <is>
          <t>Boss-Only Total DPS (this block's swept value)</t>
        </is>
      </c>
      <c r="B534">
        <f>SUM(T502:T523)</f>
        <v/>
      </c>
    </row>
    <row r="535">
      <c r="A535" t="inlineStr">
        <is>
          <t>Normal-Only Total DPS (this block's swept value)</t>
        </is>
      </c>
      <c r="B535">
        <f>SUM(V502:V523)</f>
        <v/>
      </c>
    </row>
    <row r="536">
      <c r="A536" s="6" t="inlineStr">
        <is>
          <t>TOTAL DPS</t>
        </is>
      </c>
      <c r="B536" s="6">
        <f>SUM(O502:O523)</f>
        <v/>
      </c>
    </row>
    <row r="539">
      <c r="A539" s="6" t="inlineStr">
        <is>
          <t>Stat: ATTACK_SPEED % (diminishing returns, factor 150)</t>
        </is>
      </c>
    </row>
    <row r="540">
      <c r="A540" s="5" t="inlineStr">
        <is>
          <t>Key</t>
        </is>
      </c>
      <c r="B540" s="5" t="inlineStr">
        <is>
          <t>Name</t>
        </is>
      </c>
      <c r="C540" s="5" t="inlineStr">
        <is>
          <t>Unlocked</t>
        </is>
      </c>
      <c r="D540" s="5" t="inlineStr">
        <is>
          <t>InputLevel</t>
        </is>
      </c>
      <c r="E540" s="5" t="inlineStr">
        <is>
          <t>Factor</t>
        </is>
      </c>
      <c r="F540" s="5" t="inlineStr">
        <is>
          <t>CoefficientPercent</t>
        </is>
      </c>
      <c r="G540" s="5" t="inlineStr">
        <is>
          <t>EffectiveHits</t>
        </is>
      </c>
      <c r="H540" s="5" t="inlineStr">
        <is>
          <t>ProcProbability</t>
        </is>
      </c>
      <c r="I540" s="5" t="inlineStr">
        <is>
          <t>MapleHeroMultiplier</t>
        </is>
      </c>
      <c r="J540" s="5" t="inlineStr">
        <is>
          <t>BaseDamage</t>
        </is>
      </c>
      <c r="K540" s="5" t="inlineStr">
        <is>
          <t>BaseHitDamage</t>
        </is>
      </c>
      <c r="L540" s="5" t="inlineStr">
        <is>
          <t>NonCritAvg</t>
        </is>
      </c>
      <c r="M540" s="5" t="inlineStr">
        <is>
          <t>CritAvg</t>
        </is>
      </c>
      <c r="N540" s="5" t="inlineStr">
        <is>
          <t>ExpectedDamage(perHit)</t>
        </is>
      </c>
      <c r="O540" s="5" t="inlineStr">
        <is>
          <t>DPS</t>
        </is>
      </c>
      <c r="P540" s="5" t="inlineStr">
        <is>
          <t>% of Total</t>
        </is>
      </c>
      <c r="Q540" s="5" t="inlineStr">
        <is>
          <t>InvCooldown</t>
        </is>
      </c>
      <c r="R540" s="5" t="inlineStr">
        <is>
          <t>CastsInFight</t>
        </is>
      </c>
      <c r="S540" s="5"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559=TRUE)*(F559-Calc!F20)),(Inputs!$B$23+0+(IF(ArtifactsInput!$M$15,CHOOSE(ArtifactsInput!$N$15+1,25,30,35,40,45,50)/100*(((1-(1-Inputs!$B$11/150)*(1-1/150))*150)-Inputs!$B$11),0))))/100+(Inputs!$B$23+0+(IF(ArtifactsInput!$M$15,CHOOSE(ArtifactsInput!$N$15+1,25,30,35,40,45,50)/100*(((1-(1-Inputs!$B$11/150)*(1-1/150))*150)-Inputs!$B$11),0)))/100)/2</f>
        <v/>
      </c>
      <c r="M541">
        <f>L541*(1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IF(B575=0,0,O541/B575)</f>
        <v/>
      </c>
      <c r="Q541" t="n">
        <v>0</v>
      </c>
      <c r="R541" t="n">
        <v>0</v>
      </c>
      <c r="S541">
        <f>IFERROR(O541/N541,0)</f>
        <v/>
      </c>
      <c r="T541">
        <f>IF(C541,(Skills!G2*N541*B569)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1">
        <f>MAX(0,(Inputs!$B$3-100)*3)+Inputs!$B$28+Inputs!$B$29</f>
        <v/>
      </c>
      <c r="V541">
        <f>IF(C541,(Skills!G2*N541*B569)*IF(Inputs!$B$38="pvp",1,(1+(Inputs!$B$21+Skills!Q2+(IF(ArtifactsInput!$M$33,CHOOSE(ArtifactsInput!$N$33+1,30,36,42,48,54,60),0))+(IF(AND(ArtifactsInput!$M$35,Inputs!$B$4&lt;&gt;"Chapter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Skills!A3</f>
        <v/>
      </c>
      <c r="B542">
        <f>Skills!B3</f>
        <v/>
      </c>
      <c r="C542">
        <f>Inputs!$B$3&gt;=35</f>
        <v/>
      </c>
      <c r="D542">
        <f>IF(Skills!C3=1,60+Inputs!$B$25+Inputs!$B$29,IF(Skills!C3=2,90+Inputs!$B$26+Inputs!$B$29,IF(Skills!C3=3,120+Inputs!$B$27+Inputs!$B$29,MAX(0,(Inputs!$B$3-100)*3)+Inputs!$B$28+Inputs!$B$29)))</f>
        <v/>
      </c>
      <c r="E542">
        <f>INDEX(FactorTable!$B$2:$Y$301, MATCH(ROUND(MIN(300,MAX(1,D542)),0), FactorTable!$A$2:$A$301,0), Skills!M3+1)</f>
        <v/>
      </c>
      <c r="F542">
        <f>IF(Skills!N3=TRUE,(Skills!L3/10)*(E542/1000),Skills!L3/10)+Skills!O3</f>
        <v/>
      </c>
      <c r="G542">
        <f>Skills!G3*IF(Skills!H3&gt;0,Skills!I3/Skills!H3,1)</f>
        <v/>
      </c>
      <c r="H542">
        <f>1-(1-Skills!J3/100)^Skills!K3</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559=TRUE)*(F559-Calc!F20)),(Inputs!$B$23+0+(IF(ArtifactsInput!$M$15,CHOOSE(ArtifactsInput!$N$15+1,25,30,35,40,45,50)/100*(((1-(1-Inputs!$B$11/150)*(1-1/150))*150)-Inputs!$B$11),0))))/100+(Inputs!$B$23+0+(IF(ArtifactsInput!$M$15,CHOOSE(ArtifactsInput!$N$15+1,25,30,35,40,45,50)/100*(((1-(1-Inputs!$B$11/150)*(1-1/150))*150)-Inputs!$B$11),0)))/100)/2</f>
        <v/>
      </c>
      <c r="M542">
        <f>L542*(1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IF(B575=0,0,O542/B575)</f>
        <v/>
      </c>
      <c r="Q542" t="n">
        <v>0</v>
      </c>
      <c r="R542" t="n">
        <v>0</v>
      </c>
      <c r="S542">
        <f>IFERROR(O542/N542,0)</f>
        <v/>
      </c>
      <c r="T542">
        <f>IF(C542,(Skills!G3*H542*N542*B569)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2">
        <f>INDEX(FactorTable!$B$2:$Y$301, MATCH(ROUND(MIN(300,MAX(1,U541)),0), FactorTable!$A$2:$A$301,0), 22)</f>
        <v/>
      </c>
      <c r="V542">
        <f>IF(C542,(Skills!G3*H542*N542*B569)*IF(Inputs!$B$38="pvp",1,(1+(Inputs!$B$21+Skills!Q3+(IF(ArtifactsInput!$M$33,CHOOSE(ArtifactsInput!$N$33+1,30,36,42,48,54,60),0))+(IF(AND(ArtifactsInput!$M$35,Inputs!$B$4&lt;&gt;"Chapter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Skills!A4</f>
        <v/>
      </c>
      <c r="B543">
        <f>Skills!B4</f>
        <v/>
      </c>
      <c r="C543">
        <f>Inputs!$B$3&gt;=60</f>
        <v/>
      </c>
      <c r="D543">
        <f>IF(Skills!C4=1,60+Inputs!$B$25+Inputs!$B$29,IF(Skills!C4=2,90+Inputs!$B$26+Inputs!$B$29,IF(Skills!C4=3,120+Inputs!$B$27+Inputs!$B$29,MAX(0,(Inputs!$B$3-100)*3)+Inputs!$B$28+Inputs!$B$29)))</f>
        <v/>
      </c>
      <c r="E543">
        <f>INDEX(FactorTable!$B$2:$Y$301, MATCH(ROUND(MIN(300,MAX(1,D543)),0), FactorTable!$A$2:$A$301,0), Skills!M4+1)</f>
        <v/>
      </c>
      <c r="F543">
        <f>IF(Skills!N4=TRUE,(Skills!L4/10)*(E543/1000),Skills!L4/10)+Skills!O4</f>
        <v/>
      </c>
      <c r="G543">
        <f>Skills!G4*IF(Skills!H4&gt;0,Skills!I4/Skills!H4,1)</f>
        <v/>
      </c>
      <c r="H543">
        <f>1-(1-Skills!J4/100)^Skills!K4</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551=TRUE,F551,0)/100)*(1+(IF(Skills!A4="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559=TRUE)*(F559-Calc!F20)),(Inputs!$B$23+0+(IF(ArtifactsInput!$M$15,CHOOSE(ArtifactsInput!$N$15+1,25,30,35,40,45,50)/100*(((1-(1-Inputs!$B$11/150)*(1-1/150))*150)-Inputs!$B$11),0))))/100+(Inputs!$B$23+0+(IF(ArtifactsInput!$M$15,CHOOSE(ArtifactsInput!$N$15+1,25,30,35,40,45,50)/100*(((1-(1-Inputs!$B$11/150)*(1-1/150))*150)-Inputs!$B$11),0)))/100)/2</f>
        <v/>
      </c>
      <c r="M543">
        <f>L543*(1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IF(B575=0,0,O543/B575)</f>
        <v/>
      </c>
      <c r="Q543" t="n">
        <v>0</v>
      </c>
      <c r="R543" t="n">
        <v>0</v>
      </c>
      <c r="S543">
        <f>IFERROR(O543/N543,0)</f>
        <v/>
      </c>
      <c r="T543">
        <f>IF(C543,(Skills!G4*H543*N543*B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290*U542/1000</f>
        <v/>
      </c>
      <c r="V543">
        <f>IF(C543,(Skills!G4*H543*N543*B569)*IF(Inputs!$B$38="pvp",1,(1+(Inputs!$B$21+Skills!Q4+(IF(ArtifactsInput!$M$33,CHOOSE(ArtifactsInput!$N$33+1,30,36,42,48,54,60),0))+(IF(AND(ArtifactsInput!$M$35,Inputs!$B$4&lt;&gt;"Chapter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Skills!A5</f>
        <v/>
      </c>
      <c r="B544">
        <f>Skills!B5</f>
        <v/>
      </c>
      <c r="C544">
        <f>Inputs!$B$3&gt;=60</f>
        <v/>
      </c>
      <c r="D544">
        <f>IF(Skills!C5=1,60+Inputs!$B$25+Inputs!$B$29,IF(Skills!C5=2,90+Inputs!$B$26+Inputs!$B$29,IF(Skills!C5=3,120+Inputs!$B$27+Inputs!$B$29,MAX(0,(Inputs!$B$3-100)*3)+Inputs!$B$28+Inputs!$B$29)))</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t="inlineStr"/>
      <c r="K544" t="inlineStr"/>
      <c r="L544" t="inlineStr"/>
      <c r="M544" t="inlineStr"/>
      <c r="N544" t="inlineStr"/>
      <c r="O544">
        <f>(1-Summary!$B$11)*T544+Summary!$B$11*V544</f>
        <v/>
      </c>
      <c r="P544">
        <f>IF(B575=0,0,O544/B575)</f>
        <v/>
      </c>
      <c r="Q544" t="n">
        <v>0</v>
      </c>
      <c r="R544" t="n">
        <v>0</v>
      </c>
      <c r="S544">
        <f>IFERROR(O544/N544,0)</f>
        <v/>
      </c>
      <c r="T544" t="n">
        <v>0</v>
      </c>
      <c r="V544" t="n">
        <v>0</v>
      </c>
    </row>
    <row r="545">
      <c r="A545">
        <f>Skills!A6</f>
        <v/>
      </c>
      <c r="B545">
        <f>Skills!B6</f>
        <v/>
      </c>
      <c r="C545">
        <f>Inputs!$B$3&gt;=63</f>
        <v/>
      </c>
      <c r="D545">
        <f>IF(Skills!C6=1,60+Inputs!$B$25+Inputs!$B$29,IF(Skills!C6=2,90+Inputs!$B$26+Inputs!$B$29,IF(Skills!C6=3,120+Inputs!$B$27+Inputs!$B$29,MAX(0,(Inputs!$B$3-100)*3)+Inputs!$B$28+Inputs!$B$29)))</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559=TRUE)*(F559-Calc!F20)),(Inputs!$B$23+0+(IF(ArtifactsInput!$M$15,CHOOSE(ArtifactsInput!$N$15+1,25,30,35,40,45,50)/100*(((1-(1-Inputs!$B$11/150)*(1-1/150))*150)-Inputs!$B$11),0))))/100+(Inputs!$B$23+0+(IF(ArtifactsInput!$M$15,CHOOSE(ArtifactsInput!$N$15+1,25,30,35,40,45,50)/100*(((1-(1-Inputs!$B$11/150)*(1-1/150))*150)-Inputs!$B$11),0)))/100)/2</f>
        <v/>
      </c>
      <c r="M545">
        <f>L545*(1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IF(B575=0,0,O545/B575)</f>
        <v/>
      </c>
      <c r="Q545">
        <f>IFERROR(1/(IF(Inputs!$B$38="pvp",15,MAX(0.1,Skills!D6-IF(Skills!E6=TRUE,Inputs!$B$32,0)))*(1-IF(AND(ArtifactsInput!$M$27,Inputs!$B$4="Chapter Hunt"),CHOOSE(ArtifactsInput!$N$27+1,20,24,28,32,36,40),0)/100)),0)</f>
        <v/>
      </c>
      <c r="R545">
        <f>IF(AND(Inputs!$B$38&lt;&gt;"pvp",Inputs!$B$43&gt;0),IF(MAX(0,Inputs!$B$43-B572)&lt;=0,0,(INT(MAX(0,Inputs!$B$43-B572)/(IF(Inputs!$B$38="pvp",15,MAX(0.1,Skills!D6-IF(Skills!E6=TRUE,Inputs!$B$32,0)))*(1-IF(AND(ArtifactsInput!$M$27,Inputs!$B$4="Chapter Hunt"),CHOOSE(ArtifactsInput!$N$27+1,20,24,28,32,36,40),0)/100)))+1)),0)</f>
        <v/>
      </c>
      <c r="S545">
        <f>IFERROR(O545/N545,0)</f>
        <v/>
      </c>
      <c r="T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$21+Skills!Q6+(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Skills!A7</f>
        <v/>
      </c>
      <c r="B546">
        <f>Skills!B7</f>
        <v/>
      </c>
      <c r="C546">
        <f>Inputs!$B$3&gt;=100</f>
        <v/>
      </c>
      <c r="D546">
        <f>IF(Skills!C7=1,60+Inputs!$B$25+Inputs!$B$29,IF(Skills!C7=2,90+Inputs!$B$26+Inputs!$B$29,IF(Skills!C7=3,120+Inputs!$B$27+Inputs!$B$29,MAX(0,(Inputs!$B$3-100)*3)+Inputs!$B$28+Inputs!$B$29)))</f>
        <v/>
      </c>
      <c r="E546">
        <f>INDEX(FactorTable!$B$2:$Y$301, MATCH(ROUND(MIN(300,MAX(1,D546)),0), FactorTable!$A$2:$A$301,0), Skills!M7+1)</f>
        <v/>
      </c>
      <c r="F546">
        <f>IF(Skills!N7=TRUE,(Skills!L7/10)*(E546/1000),Skills!L7/10)+Skills!O7</f>
        <v/>
      </c>
      <c r="G546">
        <f>Skills!G7*IF(Skills!H7&gt;0,Skills!I7/Skills!H7,1)</f>
        <v/>
      </c>
      <c r="H546">
        <f>1-(1-Skills!J7/100)^Skills!K7</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559=TRUE)*(F559-Calc!F20)),(Inputs!$B$23+0+(IF(ArtifactsInput!$M$15,CHOOSE(ArtifactsInput!$N$15+1,25,30,35,40,45,50)/100*(((1-(1-Inputs!$B$11/150)*(1-1/150))*150)-Inputs!$B$11),0))))/100+(Inputs!$B$23+0+(IF(ArtifactsInput!$M$15,CHOOSE(ArtifactsInput!$N$15+1,25,30,35,40,45,50)/100*(((1-(1-Inputs!$B$11/150)*(1-1/150))*150)-Inputs!$B$11),0)))/100)/2</f>
        <v/>
      </c>
      <c r="M546">
        <f>L546*(1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IF(B575=0,0,O546/B575)</f>
        <v/>
      </c>
      <c r="Q546">
        <f>IFERROR(1/(IF(Inputs!$B$38="pvp",15,MAX(0.1,Skills!D7-IF(Skills!E7=TRUE,Inputs!$B$32,0)))*(1-IF(AND(ArtifactsInput!$M$27,Inputs!$B$4="Chapter Hunt"),CHOOSE(ArtifactsInput!$N$27+1,20,24,28,32,36,40),0)/100)),0)</f>
        <v/>
      </c>
      <c r="R546">
        <f>IF(AND(Inputs!$B$38&lt;&gt;"pvp",Inputs!$B$43&gt;0),IF(MAX(0,Inputs!$B$43-B572)&lt;=0,0,(INT(MAX(0,Inputs!$B$43-B572)/(IF(Inputs!$B$38="pvp",15,MAX(0.1,Skills!D7-IF(Skills!E7=TRUE,Inputs!$B$32,0)))*(1-IF(AND(ArtifactsInput!$M$27,Inputs!$B$4="Chapter Hunt"),CHOOSE(ArtifactsInput!$N$27+1,20,24,28,32,36,40),0)/100)))+1)),0)</f>
        <v/>
      </c>
      <c r="S546">
        <f>IFERROR(O546/N546,0)</f>
        <v/>
      </c>
      <c r="T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$21+Skills!Q7+(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Skills!A8</f>
        <v/>
      </c>
      <c r="B547">
        <f>Skills!B8</f>
        <v/>
      </c>
      <c r="C547">
        <f>Inputs!$B$3&gt;=110</f>
        <v/>
      </c>
      <c r="D547">
        <f>IF(Skills!C8=1,60+Inputs!$B$25+Inputs!$B$29,IF(Skills!C8=2,90+Inputs!$B$26+Inputs!$B$29,IF(Skills!C8=3,120+Inputs!$B$27+Inputs!$B$29,MAX(0,(Inputs!$B$3-100)*3)+Inputs!$B$28+Inputs!$B$29)))</f>
        <v/>
      </c>
      <c r="E547">
        <f>INDEX(FactorTable!$B$2:$Y$301, MATCH(ROUND(MIN(300,MAX(1,D547)),0), FactorTable!$A$2:$A$301,0), Skills!M8+1)</f>
        <v/>
      </c>
      <c r="F547">
        <f>IF(Skills!N8=TRUE,(Skills!L8/10)*(E547/1000),Skills!L8/10)+Skills!O8</f>
        <v/>
      </c>
      <c r="G547">
        <f>Skills!G8*IF(Skills!H8&gt;0,Skills!I8/Skills!H8,1)</f>
        <v/>
      </c>
      <c r="H547">
        <f>1-(1-Skills!J8/100)^Skills!K8</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559=TRUE)*(F559-Calc!F20)),(Inputs!$B$23+0+(IF(ArtifactsInput!$M$15,CHOOSE(ArtifactsInput!$N$15+1,25,30,35,40,45,50)/100*(((1-(1-Inputs!$B$11/150)*(1-1/150))*150)-Inputs!$B$11),0))))/100+(Inputs!$B$23+0+(IF(ArtifactsInput!$M$15,CHOOSE(ArtifactsInput!$N$15+1,25,30,35,40,45,50)/100*(((1-(1-Inputs!$B$11/150)*(1-1/150))*150)-Inputs!$B$11),0)))/100)/2</f>
        <v/>
      </c>
      <c r="M547">
        <f>L547*(1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IF(B575=0,0,O547/B575)</f>
        <v/>
      </c>
      <c r="Q547">
        <f>IFERROR(1/(IF(Inputs!$B$38="pvp",15,MAX(0.1,Skills!D8-IF(Skills!E8=TRUE,Inputs!$B$32,0)))*(1-IF(AND(ArtifactsInput!$M$27,Inputs!$B$4="Chapter Hunt"),CHOOSE(ArtifactsInput!$N$27+1,20,24,28,32,36,40),0)/100)),0)</f>
        <v/>
      </c>
      <c r="R547">
        <f>IF(AND(Inputs!$B$38&lt;&gt;"pvp",Inputs!$B$43&gt;0),IF(MAX(0,Inputs!$B$43-B572)&lt;=0,0,(INT(MAX(0,Inputs!$B$43-B572)/(IF(Inputs!$B$38="pvp",15,MAX(0.1,Skills!D8-IF(Skills!E8=TRUE,Inputs!$B$32,0)))*(1-IF(AND(ArtifactsInput!$M$27,Inputs!$B$4="Chapter Hunt"),CHOOSE(ArtifactsInput!$N$27+1,20,24,28,32,36,40),0)/100)))+1)),0)</f>
        <v/>
      </c>
      <c r="S547">
        <f>IFERROR(O547/N547,0)</f>
        <v/>
      </c>
      <c r="T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$21+Skills!Q8+(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Skills!A9</f>
        <v/>
      </c>
      <c r="B548">
        <f>Skills!B9</f>
        <v/>
      </c>
      <c r="C548">
        <f>Inputs!$B$3&gt;=110</f>
        <v/>
      </c>
      <c r="D548">
        <f>IF(Skills!C9=1,60+Inputs!$B$25+Inputs!$B$29,IF(Skills!C9=2,90+Inputs!$B$26+Inputs!$B$29,IF(Skills!C9=3,120+Inputs!$B$27+Inputs!$B$29,MAX(0,(Inputs!$B$3-100)*3)+Inputs!$B$28+Inputs!$B$29)))</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559=TRUE)*(F559-Calc!F20)),(Inputs!$B$23+0+(IF(ArtifactsInput!$M$15,CHOOSE(ArtifactsInput!$N$15+1,25,30,35,40,45,50)/100*(((1-(1-Inputs!$B$11/150)*(1-1/150))*150)-Inputs!$B$11),0))))/100+(Inputs!$B$23+0+(IF(ArtifactsInput!$M$15,CHOOSE(ArtifactsInput!$N$15+1,25,30,35,40,45,50)/100*(((1-(1-Inputs!$B$11/150)*(1-1/150))*150)-Inputs!$B$11),0)))/100)/2</f>
        <v/>
      </c>
      <c r="M548">
        <f>L548*(1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IF(B575=0,0,O548/B575)</f>
        <v/>
      </c>
      <c r="Q548">
        <f>IFERROR(1/(IF(Inputs!$B$38="pvp",15,MAX(0.1,Skills!D9-IF(Skills!E9=TRUE,Inputs!$B$32,0)))*(1-IF(AND(ArtifactsInput!$M$27,Inputs!$B$4="Chapter Hunt"),CHOOSE(ArtifactsInput!$N$27+1,20,24,28,32,36,40),0)/100)),0)</f>
        <v/>
      </c>
      <c r="R548">
        <f>IF(AND(Inputs!$B$38&lt;&gt;"pvp",Inputs!$B$43&gt;0),IF(MAX(0,Inputs!$B$43-B572)&lt;=0,0,(INT(MAX(0,Inputs!$B$43-B572)/(IF(Inputs!$B$38="pvp",15,MAX(0.1,Skills!D9-IF(Skills!E9=TRUE,Inputs!$B$32,0)))*(1-IF(AND(ArtifactsInput!$M$27,Inputs!$B$4="Chapter Hunt"),CHOOSE(ArtifactsInput!$N$27+1,20,24,28,32,36,40),0)/100)))+1)),0)</f>
        <v/>
      </c>
      <c r="S548">
        <f>IFERROR(O548/N548,0)</f>
        <v/>
      </c>
      <c r="T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$21+Skills!Q9+(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Skills!A10</f>
        <v/>
      </c>
      <c r="B549">
        <f>Skills!B10</f>
        <v/>
      </c>
      <c r="C549">
        <f>Inputs!$B$3&gt;=103</f>
        <v/>
      </c>
      <c r="D549">
        <f>IF(Skills!C10=1,60+Inputs!$B$25+Inputs!$B$29,IF(Skills!C10=2,90+Inputs!$B$26+Inputs!$B$29,IF(Skills!C10=3,120+Inputs!$B$27+Inputs!$B$29,MAX(0,(Inputs!$B$3-100)*3)+Inputs!$B$28+Inputs!$B$29)))</f>
        <v/>
      </c>
      <c r="E549">
        <f>INDEX(FactorTable!$B$2:$Y$301, MATCH(ROUND(MIN(300,MAX(1,D549)),0), FactorTable!$A$2:$A$301,0), Skills!M10+1)</f>
        <v/>
      </c>
      <c r="F549">
        <f>IF(Skills!N10=TRUE,(Skills!L10/10)*(E549/1000),Skills!L10/10)+Skills!O10</f>
        <v/>
      </c>
      <c r="G549">
        <f>Skills!G10*IF(Skills!H10&gt;0,Skills!I10/Skills!H10,1)</f>
        <v/>
      </c>
      <c r="H549">
        <f>1-(1-Skills!J10/100)^Skills!K10</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559=TRUE)*(F559-Calc!F20)),(Inputs!$B$23+0+(IF(ArtifactsInput!$M$15,CHOOSE(ArtifactsInput!$N$15+1,25,30,35,40,45,50)/100*(((1-(1-Inputs!$B$11/150)*(1-1/150))*150)-Inputs!$B$11),0))))/100+(Inputs!$B$23+0+(IF(ArtifactsInput!$M$15,CHOOSE(ArtifactsInput!$N$15+1,25,30,35,40,45,50)/100*(((1-(1-Inputs!$B$11/150)*(1-1/150))*150)-Inputs!$B$11),0)))/100)/2</f>
        <v/>
      </c>
      <c r="M549">
        <f>L549*(1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IF(B575=0,0,O549/B575)</f>
        <v/>
      </c>
      <c r="Q549">
        <f>IFERROR(1/(IF(Inputs!$B$38="pvp",15,MAX(0.1,Skills!D10-IF(Skills!E10=TRUE,Inputs!$B$32,0)))*(1-IF(AND(ArtifactsInput!$M$27,Inputs!$B$4="Chapter Hunt"),CHOOSE(ArtifactsInput!$N$27+1,20,24,28,32,36,40),0)/100)),0)</f>
        <v/>
      </c>
      <c r="R549">
        <f>IF(AND(Inputs!$B$38&lt;&gt;"pvp",Inputs!$B$43&gt;0),IF(MAX(0,Inputs!$B$43-B572)&lt;=0,0,(INT(MAX(0,Inputs!$B$43-B572)/(IF(Inputs!$B$38="pvp",15,MAX(0.1,Skills!D10-IF(Skills!E10=TRUE,Inputs!$B$32,0)))*(1-IF(AND(ArtifactsInput!$M$27,Inputs!$B$4="Chapter Hunt"),CHOOSE(ArtifactsInput!$N$27+1,20,24,28,32,36,40),0)/100)))+1)),0)</f>
        <v/>
      </c>
      <c r="S549">
        <f>IFERROR(O549/N549,0)</f>
        <v/>
      </c>
      <c r="T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$21+Skills!Q10+(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Skills!A11</f>
        <v/>
      </c>
      <c r="B550">
        <f>Skills!B11</f>
        <v/>
      </c>
      <c r="C550">
        <f>Inputs!$B$3&gt;=113</f>
        <v/>
      </c>
      <c r="D550">
        <f>IF(Skills!C11=1,60+Inputs!$B$25+Inputs!$B$29,IF(Skills!C11=2,90+Inputs!$B$26+Inputs!$B$29,IF(Skills!C11=3,120+Inputs!$B$27+Inputs!$B$29,MAX(0,(Inputs!$B$3-100)*3)+Inputs!$B$28+Inputs!$B$29)))</f>
        <v/>
      </c>
      <c r="E550">
        <f>INDEX(FactorTable!$B$2:$Y$301, MATCH(ROUND(MIN(300,MAX(1,D550)),0), FactorTable!$A$2:$A$301,0), Skills!M11+1)</f>
        <v/>
      </c>
      <c r="F550">
        <f>IF(Skills!N11=TRUE,(Skills!L11/10)*(E550/1000),Skills!L11/10)+Skills!O11</f>
        <v/>
      </c>
      <c r="G550">
        <f>Skills!G11*IF(Skills!H11&gt;0,Skills!I11/Skills!H11,1)</f>
        <v/>
      </c>
      <c r="H550">
        <f>1-(1-Skills!J11/100)^Skills!K11</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559=TRUE)*(F559-Calc!F20)),(Inputs!$B$23+0+(IF(ArtifactsInput!$M$15,CHOOSE(ArtifactsInput!$N$15+1,25,30,35,40,45,50)/100*(((1-(1-Inputs!$B$11/150)*(1-1/150))*150)-Inputs!$B$11),0))))/100+(Inputs!$B$23+0+(IF(ArtifactsInput!$M$15,CHOOSE(ArtifactsInput!$N$15+1,25,30,35,40,45,50)/100*(((1-(1-Inputs!$B$11/150)*(1-1/150))*150)-Inputs!$B$11),0)))/100)/2</f>
        <v/>
      </c>
      <c r="M550">
        <f>L550*(1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IF(B575=0,0,O550/B575)</f>
        <v/>
      </c>
      <c r="Q550">
        <f>IFERROR(1/(IF(Inputs!$B$38="pvp",15,MAX(0.1,Skills!D11-IF(Skills!E11=TRUE,Inputs!$B$32,0)))*(1-IF(AND(ArtifactsInput!$M$27,Inputs!$B$4="Chapter Hunt"),CHOOSE(ArtifactsInput!$N$27+1,20,24,28,32,36,40),0)/100)),0)</f>
        <v/>
      </c>
      <c r="R550">
        <f>IF(AND(Inputs!$B$38&lt;&gt;"pvp",Inputs!$B$43&gt;0),IF(MAX(0,Inputs!$B$43-B572)&lt;=0,0,(INT(MAX(0,Inputs!$B$43-B572)/(IF(Inputs!$B$38="pvp",15,MAX(0.1,Skills!D11-IF(Skills!E11=TRUE,Inputs!$B$32,0)))*(1-IF(AND(ArtifactsInput!$M$27,Inputs!$B$4="Chapter Hunt"),CHOOSE(ArtifactsInput!$N$27+1,20,24,28,32,36,40),0)/100)))+1)),0)</f>
        <v/>
      </c>
      <c r="S550">
        <f>IFERROR(O550/N550,0)</f>
        <v/>
      </c>
      <c r="T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$21+Skills!Q11+(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Skills!A12</f>
        <v/>
      </c>
      <c r="B551">
        <f>Skills!B12</f>
        <v/>
      </c>
      <c r="C551">
        <f>Inputs!$B$3&gt;=100</f>
        <v/>
      </c>
      <c r="D551">
        <f>IF(Skills!C12=1,60+Inputs!$B$25+Inputs!$B$29,IF(Skills!C12=2,90+Inputs!$B$26+Inputs!$B$29,IF(Skills!C12=3,120+Inputs!$B$27+Inputs!$B$29,MAX(0,(Inputs!$B$3-100)*3)+Inputs!$B$28+Inputs!$B$29)))</f>
        <v/>
      </c>
      <c r="E551">
        <f>INDEX(FactorTable!$B$2:$Y$301, MATCH(ROUND(MIN(300,MAX(1,D551)),0), FactorTable!$A$2:$A$301,0), Skills!M12+1)</f>
        <v/>
      </c>
      <c r="F551">
        <f>IF(Skills!N12=TRUE,(Skills!L12/10)*(E551/1000),Skills!L12/10)+Skills!O12</f>
        <v/>
      </c>
      <c r="G551" t="inlineStr"/>
      <c r="H551" t="inlineStr"/>
      <c r="I551" t="inlineStr">
        <is>
          <t>1</t>
        </is>
      </c>
      <c r="J551" t="inlineStr"/>
      <c r="K551" t="inlineStr"/>
      <c r="L551" t="inlineStr"/>
      <c r="M551" t="inlineStr"/>
      <c r="N551" t="inlineStr"/>
      <c r="O551" t="inlineStr"/>
      <c r="P551" t="inlineStr"/>
      <c r="Q551" t="inlineStr"/>
      <c r="R551" t="inlineStr"/>
      <c r="S551" t="inlineStr"/>
      <c r="T551" t="inlineStr"/>
      <c r="V551" t="inlineStr"/>
    </row>
    <row r="552">
      <c r="A552">
        <f>Skills!A13</f>
        <v/>
      </c>
      <c r="B552">
        <f>Skills!B13</f>
        <v/>
      </c>
      <c r="C552">
        <f>Inputs!$B$3&gt;=66</f>
        <v/>
      </c>
      <c r="D552">
        <f>IF(Skills!C13=1,60+Inputs!$B$25+Inputs!$B$29,IF(Skills!C13=2,90+Inputs!$B$26+Inputs!$B$29,IF(Skills!C13=3,120+Inputs!$B$27+Inputs!$B$29,MAX(0,(Inputs!$B$3-100)*3)+Inputs!$B$28+Inputs!$B$29)))</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Skills!A14</f>
        <v/>
      </c>
      <c r="B553">
        <f>Skills!B14</f>
        <v/>
      </c>
      <c r="C553">
        <f>Inputs!$B$3&gt;=107</f>
        <v/>
      </c>
      <c r="D553">
        <f>IF(Skills!C14=1,60+Inputs!$B$25+Inputs!$B$29,IF(Skills!C14=2,90+Inputs!$B$26+Inputs!$B$29,IF(Skills!C14=3,120+Inputs!$B$27+Inputs!$B$29,MAX(0,(Inputs!$B$3-100)*3)+Inputs!$B$28+Inputs!$B$29)))</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(1-Summary!$B$11)*T553+Summary!$B$11*V553</f>
        <v/>
      </c>
      <c r="P553">
        <f>IF(B575=0,0,O553/B575)</f>
        <v/>
      </c>
      <c r="Q553" t="n">
        <v>0</v>
      </c>
      <c r="R553" t="n">
        <v>0</v>
      </c>
      <c r="S553">
        <f>IFERROR(O553/N553,0)</f>
        <v/>
      </c>
      <c r="T553" t="n">
        <v>0</v>
      </c>
      <c r="V553" t="n">
        <v>0</v>
      </c>
    </row>
    <row r="554">
      <c r="A554">
        <f>Skills!A15</f>
        <v/>
      </c>
      <c r="B554">
        <f>Skills!B15</f>
        <v/>
      </c>
      <c r="C554">
        <f>Inputs!$B$3&gt;=115</f>
        <v/>
      </c>
      <c r="D554">
        <f>IF(Skills!C15=1,60+Inputs!$B$25+Inputs!$B$29,IF(Skills!C15=2,90+Inputs!$B$26+Inputs!$B$29,IF(Skills!C15=3,120+Inputs!$B$27+Inputs!$B$29,MAX(0,(Inputs!$B$3-100)*3)+Inputs!$B$28+Inputs!$B$29)))</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(1-Summary!$B$11)*T554+Summary!$B$11*V554</f>
        <v/>
      </c>
      <c r="P554">
        <f>IF(B575=0,0,O554/B575)</f>
        <v/>
      </c>
      <c r="Q554" t="n">
        <v>0</v>
      </c>
      <c r="R554" t="n">
        <v>0</v>
      </c>
      <c r="S554">
        <f>IFERROR(O554/N554,0)</f>
        <v/>
      </c>
      <c r="T554" t="n">
        <v>0</v>
      </c>
      <c r="V554" t="n">
        <v>0</v>
      </c>
    </row>
    <row r="555">
      <c r="A555">
        <f>Skills!A16</f>
        <v/>
      </c>
      <c r="B555">
        <f>Skills!B16</f>
        <v/>
      </c>
      <c r="C555">
        <f>Inputs!$B$3&gt;=15</f>
        <v/>
      </c>
      <c r="D555">
        <f>IF(Skills!C16=1,60+Inputs!$B$25+Inputs!$B$29,IF(Skills!C16=2,90+Inputs!$B$26+Inputs!$B$29,IF(Skills!C16=3,120+Inputs!$B$27+Inputs!$B$29,MAX(0,(Inputs!$B$3-100)*3)+Inputs!$B$28+Inputs!$B$29)))</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Skills!A17</f>
        <v/>
      </c>
      <c r="B556">
        <f>Skills!B17</f>
        <v/>
      </c>
      <c r="C556">
        <f>Inputs!$B$3&gt;=10</f>
        <v/>
      </c>
      <c r="D556">
        <f>IF(Skills!C17=1,60+Inputs!$B$25+Inputs!$B$29,IF(Skills!C17=2,90+Inputs!$B$26+Inputs!$B$29,IF(Skills!C17=3,120+Inputs!$B$27+Inputs!$B$29,MAX(0,(Inputs!$B$3-100)*3)+Inputs!$B$28+Inputs!$B$29)))</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Skills!A18</f>
        <v/>
      </c>
      <c r="B557">
        <f>Skills!B18</f>
        <v/>
      </c>
      <c r="C557">
        <f>Inputs!$B$3&gt;=33</f>
        <v/>
      </c>
      <c r="D557">
        <f>IF(Skills!C18=1,60+Inputs!$B$25+Inputs!$B$29,IF(Skills!C18=2,90+Inputs!$B$26+Inputs!$B$29,IF(Skills!C18=3,120+Inputs!$B$27+Inputs!$B$29,MAX(0,(Inputs!$B$3-100)*3)+Inputs!$B$28+Inputs!$B$29)))</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Skills!A19</f>
        <v/>
      </c>
      <c r="B558">
        <f>Skills!B19</f>
        <v/>
      </c>
      <c r="C558">
        <f>Inputs!$B$3&gt;=40</f>
        <v/>
      </c>
      <c r="D558">
        <f>IF(Skills!C19=1,60+Inputs!$B$25+Inputs!$B$29,IF(Skills!C19=2,90+Inputs!$B$26+Inputs!$B$29,IF(Skills!C19=3,120+Inputs!$B$27+Inputs!$B$29,MAX(0,(Inputs!$B$3-100)*3)+Inputs!$B$28+Inputs!$B$29)))</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Skills!A20</f>
        <v/>
      </c>
      <c r="B559">
        <f>Skills!B20</f>
        <v/>
      </c>
      <c r="C559">
        <f>Inputs!$B$3&gt;=43</f>
        <v/>
      </c>
      <c r="D559">
        <f>IF(Skills!C20=1,60+Inputs!$B$25+Inputs!$B$29,IF(Skills!C20=2,90+Inputs!$B$26+Inputs!$B$29,IF(Skills!C20=3,120+Inputs!$B$27+Inputs!$B$29,MAX(0,(Inputs!$B$3-100)*3)+Inputs!$B$28+Inputs!$B$29)))</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Skills!A21</f>
        <v/>
      </c>
      <c r="B560">
        <f>Skills!B21</f>
        <v/>
      </c>
      <c r="C560">
        <f>Inputs!$B$3&gt;=38</f>
        <v/>
      </c>
      <c r="D560">
        <f>IF(Skills!C21=1,60+Inputs!$B$25+Inputs!$B$29,IF(Skills!C21=2,90+Inputs!$B$26+Inputs!$B$29,IF(Skills!C21=3,120+Inputs!$B$27+Inputs!$B$29,MAX(0,(Inputs!$B$3-100)*3)+Inputs!$B$28+Inputs!$B$29)))</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1">
      <c r="A561">
        <f>Skills!A22</f>
        <v/>
      </c>
      <c r="B561">
        <f>Skills!B22</f>
        <v/>
      </c>
      <c r="C561">
        <f>Inputs!$B$3&gt;=75</f>
        <v/>
      </c>
      <c r="D561">
        <f>IF(Skills!C22=1,60+Inputs!$B$25+Inputs!$B$29,IF(Skills!C22=2,90+Inputs!$B$26+Inputs!$B$29,IF(Skills!C22=3,120+Inputs!$B$27+Inputs!$B$29,MAX(0,(Inputs!$B$3-100)*3)+Inputs!$B$28+Inputs!$B$29)))</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(1-Summary!$B$11)*T561+Summary!$B$11*V561</f>
        <v/>
      </c>
      <c r="P561">
        <f>IF(B575=0,0,O561/B575)</f>
        <v/>
      </c>
      <c r="Q561" t="n">
        <v>0</v>
      </c>
      <c r="R561" t="n">
        <v>0</v>
      </c>
      <c r="S561">
        <f>IFERROR(O561/N561,0)</f>
        <v/>
      </c>
      <c r="T561" t="n">
        <v>0</v>
      </c>
      <c r="V561" t="n">
        <v>0</v>
      </c>
    </row>
    <row r="562">
      <c r="A562">
        <f>Skills!A23</f>
        <v/>
      </c>
      <c r="B562">
        <f>Skills!B23</f>
        <v/>
      </c>
      <c r="C562">
        <f>TRUE</f>
        <v/>
      </c>
      <c r="D562">
        <f>IF(Skills!C23=1,60+Inputs!$B$25+Inputs!$B$29,IF(Skills!C23=2,90+Inputs!$B$26+Inputs!$B$29,IF(Skills!C23=3,120+Inputs!$B$27+Inputs!$B$29,MAX(0,(Inputs!$B$3-100)*3)+Inputs!$B$28+Inputs!$B$29)))</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(1-Summary!$B$11)*T562+Summary!$B$11*V562</f>
        <v/>
      </c>
      <c r="P562">
        <f>IF(B575=0,0,O562/B575)</f>
        <v/>
      </c>
      <c r="Q562">
        <f>IFERROR(1/(IF(Inputs!$B$38="pvp",15,MAX(0.1,Skills!D23-IF(Skills!E23=TRUE,Inputs!$B$32,0)))*(1-IF(AND(ArtifactsInput!$M$27,Inputs!$B$4="Chapter Hunt"),CHOOSE(ArtifactsInput!$N$27+1,20,24,28,32,36,40),0)/100)),0)</f>
        <v/>
      </c>
      <c r="R562">
        <f>IF(AND(Inputs!$B$38&lt;&gt;"pvp",Inputs!$B$43&gt;0),IF(Inputs!$B$43&lt;=0,0,(INT(Inputs!$B$43/(IF(Inputs!$B$38="pvp",15,MAX(0.1,Skills!D23-IF(Skills!E23=TRUE,Inputs!$B$32,0)))*(1-IF(AND(ArtifactsInput!$M$27,Inputs!$B$4="Chapter Hunt"),CHOOSE(ArtifactsInput!$N$27+1,20,24,28,32,36,40),0)/100)))+1)),0)</f>
        <v/>
      </c>
      <c r="S562">
        <f>IFERROR(O562/N562,0)</f>
        <v/>
      </c>
      <c r="T562" t="n">
        <v>0</v>
      </c>
      <c r="V562" t="n">
        <v>0</v>
      </c>
    </row>
    <row r="564">
      <c r="A564" t="inlineStr">
        <is>
          <t>Attack% Bucket Multiplier</t>
        </is>
      </c>
      <c r="B564">
        <f>(1+(((C552=TRUE)*F552*5/7)+((C558=TRUE)*(F558-Calc!F19))+(IF(ArtifactsInput!$M$21,CHOOSE(ArtifactsInput!$N$21+1,25,30,35,40,45,50)*(IF(OR(Inputs!$B$4="Chapter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5">
      <c r="A565" t="inlineStr">
        <is>
          <t>Global Crit Rate Bonus %</t>
        </is>
      </c>
      <c r="B565" t="n">
        <v>0</v>
      </c>
    </row>
    <row r="566">
      <c r="A566" t="inlineStr">
        <is>
          <t>Attack Speed Buff Bonus % (Nimble Feet, duty-cycle averaged)</t>
        </is>
      </c>
      <c r="B566">
        <f>((C562=TRUE)*F562*IF(AND(Inputs!$B$38&lt;&gt;"pvp",Inputs!$B$43&gt;0),(((R562-1)*(Skills!T23*(1+Inputs!$B$34/100))+MIN((Skills!T23*(1+Inputs!$B$34/100)),MAX(0,Inputs!$B$43-((R562-1)*Skills!D23))))/Inputs!$B$43),IF(Inputs!$B$38="pvp",MIN((Skills!T23*(1+Inputs!$B$34/100)),15)/15,(Skills!T23*(1+Inputs!$B$34/100))/Skills!D23)))</f>
        <v/>
      </c>
    </row>
    <row r="567">
      <c r="A567" t="inlineStr">
        <is>
          <t>Actions Per Second</t>
        </is>
      </c>
      <c r="B567">
        <f>1+MIN(150,150*(1-(1-(((1-(1-Inputs!$B$11/150)*(1-1/150))*150)+((C556=TRUE)*(F556-Calc!F17))+((C557=TRUE)*(F557-Calc!F18)))/150)*(1-B566/150)))/100</f>
        <v/>
      </c>
    </row>
    <row r="568">
      <c r="A568" t="inlineStr">
        <is>
          <t>Skill + Buff Cast Rate</t>
        </is>
      </c>
      <c r="B568">
        <f>IF(AND(Inputs!$B$38&lt;&gt;"pvp",Inputs!$B$43&gt;0),SUMPRODUCT((Skills!E2:E23=TRUE)*(C541:C562=TRUE)*R541:R562*Skills!F2:F23)/Inputs!$B$43,SUMPRODUCT((Skills!E2:E23=TRUE)*(C541:C562=TRUE)*Q541:Q562*Skills!F2:F23))</f>
        <v/>
      </c>
    </row>
    <row r="569">
      <c r="A569" t="inlineStr">
        <is>
          <t>Hook Bomber Casts Per Second</t>
        </is>
      </c>
      <c r="B569">
        <f>MAX(0,B567-B568)</f>
        <v/>
      </c>
    </row>
    <row r="570">
      <c r="A570" t="inlineStr">
        <is>
          <t>Global Critical Damage Bonus % (unused)</t>
        </is>
      </c>
      <c r="B570" t="n">
        <v>0</v>
      </c>
    </row>
    <row r="571">
      <c r="A571" t="inlineStr">
        <is>
          <t>Global Final Damage Bonus % (Serpent Scale + Crossbones + Time Leap + Speed Infusion)</t>
        </is>
      </c>
      <c r="B571">
        <f>((C544=TRUE)*F544*((10+IF(Inputs!$B$3&gt;=94,5,0))/((10+IF(Inputs!$B$3&gt;=94,5,0))+5/(B569*(1+IF(Inputs!$B$3&gt;=104,1,0))))))+((C553=TRUE)*F553)+((C554=TRUE)*F554)+((Inputs!$B$3&gt;=110)*20*(B567-1))</f>
        <v/>
      </c>
    </row>
    <row r="572">
      <c r="A572" t="inlineStr">
        <is>
          <t>Buff-Casting Startup Delay (s, fixed-duration only)</t>
        </is>
      </c>
      <c r="B572">
        <f>IF(AND(Inputs!$B$38&lt;&gt;"pvp",Inputs!$B$43&gt;0),SUMPRODUCT((Skills!T2:T23&gt;0)*(Skills!E2:E23=TRUE)*(C541:C562=TRUE))/B567,0)</f>
        <v/>
      </c>
    </row>
    <row r="573">
      <c r="A573" t="inlineStr">
        <is>
          <t>Boss-Only Total DPS (this block's swept value)</t>
        </is>
      </c>
      <c r="B573">
        <f>SUM(T541:T562)</f>
        <v/>
      </c>
    </row>
    <row r="574">
      <c r="A574" t="inlineStr">
        <is>
          <t>Normal-Only Total DPS (this block's swept value)</t>
        </is>
      </c>
      <c r="B574">
        <f>SUM(V541:V562)</f>
        <v/>
      </c>
    </row>
    <row r="575">
      <c r="A575" s="6" t="inlineStr">
        <is>
          <t>TOTAL DPS</t>
        </is>
      </c>
      <c r="B575" s="6">
        <f>SUM(O541:O562)</f>
        <v/>
      </c>
    </row>
    <row r="578">
      <c r="A578" s="6" t="inlineStr">
        <is>
          <t>Stat: DEF_PEN % (diminishing returns, factor 100)</t>
        </is>
      </c>
    </row>
    <row r="579">
      <c r="A579" s="5" t="inlineStr">
        <is>
          <t>Key</t>
        </is>
      </c>
      <c r="B579" s="5" t="inlineStr">
        <is>
          <t>Name</t>
        </is>
      </c>
      <c r="C579" s="5" t="inlineStr">
        <is>
          <t>Unlocked</t>
        </is>
      </c>
      <c r="D579" s="5" t="inlineStr">
        <is>
          <t>InputLevel</t>
        </is>
      </c>
      <c r="E579" s="5" t="inlineStr">
        <is>
          <t>Factor</t>
        </is>
      </c>
      <c r="F579" s="5" t="inlineStr">
        <is>
          <t>CoefficientPercent</t>
        </is>
      </c>
      <c r="G579" s="5" t="inlineStr">
        <is>
          <t>EffectiveHits</t>
        </is>
      </c>
      <c r="H579" s="5" t="inlineStr">
        <is>
          <t>ProcProbability</t>
        </is>
      </c>
      <c r="I579" s="5" t="inlineStr">
        <is>
          <t>MapleHeroMultiplier</t>
        </is>
      </c>
      <c r="J579" s="5" t="inlineStr">
        <is>
          <t>BaseDamage</t>
        </is>
      </c>
      <c r="K579" s="5" t="inlineStr">
        <is>
          <t>BaseHitDamage</t>
        </is>
      </c>
      <c r="L579" s="5" t="inlineStr">
        <is>
          <t>NonCritAvg</t>
        </is>
      </c>
      <c r="M579" s="5" t="inlineStr">
        <is>
          <t>CritAvg</t>
        </is>
      </c>
      <c r="N579" s="5" t="inlineStr">
        <is>
          <t>ExpectedDamage(perHit)</t>
        </is>
      </c>
      <c r="O579" s="5" t="inlineStr">
        <is>
          <t>DPS</t>
        </is>
      </c>
      <c r="P579" s="5" t="inlineStr">
        <is>
          <t>% of Total</t>
        </is>
      </c>
      <c r="Q579" s="5" t="inlineStr">
        <is>
          <t>InvCooldown</t>
        </is>
      </c>
      <c r="R579" s="5" t="inlineStr">
        <is>
          <t>CastsInFight</t>
        </is>
      </c>
      <c r="S579" s="5" t="inlineStr">
        <is>
          <t>HitRate(perSec)</t>
        </is>
      </c>
      <c r="U579" t="inlineStr">
        <is>
          <t>helpers</t>
        </is>
      </c>
    </row>
    <row r="580">
      <c r="A580">
        <f>Skills!A2</f>
        <v/>
      </c>
      <c r="B580">
        <f>Skills!B2</f>
        <v/>
      </c>
      <c r="C580">
        <f>Inputs!$B$3&gt;=100</f>
        <v/>
      </c>
      <c r="D580" t="inlineStr"/>
      <c r="E580" t="inlineStr"/>
      <c r="F580">
        <f>U582+Skills!O2</f>
        <v/>
      </c>
      <c r="G580">
        <f>Skills!G2*IF(Skills!H2&gt;0,Skills!I2/Skills!H2,1)</f>
        <v/>
      </c>
      <c r="H580">
        <f>1-(1-Skills!J2/100)^Skills!K2</f>
        <v/>
      </c>
      <c r="I580" t="inlineStr">
        <is>
          <t>1</t>
        </is>
      </c>
      <c r="J580">
        <f>((Inputs!$B$6*(1+Inputs!$B$7/100))+(((Inputs!$B$12*(1+Inputs!$B$13/100))-(Inputs!$B$12*(1+Inputs!$B$13/100)))+0.25*(Inputs!$B$14-Inputs!$B$14))*(1+Inputs!$B$7/100))*(F580/100)</f>
        <v/>
      </c>
      <c r="K580">
        <f>J580*(1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598=TRUE)*(F598-Calc!F20)),(Inputs!$B$23+0+(IF(ArtifactsInput!$M$15,CHOOSE(ArtifactsInput!$N$15+1,25,30,35,40,45,50)/100*(Inputs!$B$11-Inputs!$B$11),0))))/100+(Inputs!$B$23+0+(IF(ArtifactsInput!$M$15,CHOOSE(ArtifactsInput!$N$15+1,25,30,35,40,45,50)/100*(Inputs!$B$11-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t="n">
        <v>0</v>
      </c>
      <c r="R580" t="n">
        <v>0</v>
      </c>
      <c r="S580">
        <f>IFERROR(O580/N580,0)</f>
        <v/>
      </c>
      <c r="T580">
        <f>IF(C580,(Skills!G2*N580*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MAX(0,(Inputs!$B$3-100)*3)+Inputs!$B$28+Inputs!$B$29</f>
        <v/>
      </c>
      <c r="V580">
        <f>IF(C580,(Skills!G2*N580*B608)*IF(Inputs!$B$38="pvp",1,(1+(Inputs!$B$21+Skills!Q2+(IF(ArtifactsInput!$M$33,CHOOSE(ArtifactsInput!$N$33+1,30,36,42,48,54,60),0))+(IF(AND(ArtifactsInput!$M$35,Inputs!$B$4&lt;&gt;"Chapter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Skills!A3</f>
        <v/>
      </c>
      <c r="B581">
        <f>Skills!B3</f>
        <v/>
      </c>
      <c r="C581">
        <f>Inputs!$B$3&gt;=35</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Skills!G3*IF(Skills!H3&gt;0,Skills!I3/Skills!H3,1)</f>
        <v/>
      </c>
      <c r="H581">
        <f>1-(1-Skills!J3/100)^Skills!K3</f>
        <v/>
      </c>
      <c r="I581" t="inlineStr">
        <is>
          <t>1</t>
        </is>
      </c>
      <c r="J581">
        <f>((Inputs!$B$6*(1+Inputs!$B$7/100))+(((Inputs!$B$12*(1+Inputs!$B$13/100))-(Inputs!$B$12*(1+Inputs!$B$13/100)))+0.25*(Inputs!$B$14-Inputs!$B$14))*(1+Inputs!$B$7/100))*(F581/100)</f>
        <v/>
      </c>
      <c r="K581">
        <f>J581*(1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598=TRUE)*(F598-Calc!F20)),(Inputs!$B$23+0+(IF(ArtifactsInput!$M$15,CHOOSE(ArtifactsInput!$N$15+1,25,30,35,40,45,50)/100*(Inputs!$B$11-Inputs!$B$11),0))))/100+(Inputs!$B$23+0+(IF(ArtifactsInput!$M$15,CHOOSE(ArtifactsInput!$N$15+1,25,30,35,40,45,50)/100*(Inputs!$B$11-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t="n">
        <v>0</v>
      </c>
      <c r="R581" t="n">
        <v>0</v>
      </c>
      <c r="S581">
        <f>IFERROR(O581/N581,0)</f>
        <v/>
      </c>
      <c r="T581">
        <f>IF(C581,(Skills!G3*H581*N581*B608)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INDEX(FactorTable!$B$2:$Y$301, MATCH(ROUND(MIN(300,MAX(1,U580)),0), FactorTable!$A$2:$A$301,0), 22)</f>
        <v/>
      </c>
      <c r="V581">
        <f>IF(C581,(Skills!G3*H581*N581*B608)*IF(Inputs!$B$38="pvp",1,(1+(Inputs!$B$21+Skills!Q3+(IF(ArtifactsInput!$M$33,CHOOSE(ArtifactsInput!$N$33+1,30,36,42,48,54,60),0))+(IF(AND(ArtifactsInput!$M$35,Inputs!$B$4&lt;&gt;"Chapter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Skills!A4</f>
        <v/>
      </c>
      <c r="B582">
        <f>Skills!B4</f>
        <v/>
      </c>
      <c r="C582">
        <f>Inputs!$B$3&gt;=60</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Skills!G4*IF(Skills!H4&gt;0,Skills!I4/Skills!H4,1)</f>
        <v/>
      </c>
      <c r="H582">
        <f>1-(1-Skills!J4/100)^Skills!K4</f>
        <v/>
      </c>
      <c r="I582" t="inlineStr">
        <is>
          <t>1</t>
        </is>
      </c>
      <c r="J582">
        <f>((Inputs!$B$6*(1+Inputs!$B$7/100))+(((Inputs!$B$12*(1+Inputs!$B$13/100))-(Inputs!$B$12*(1+Inputs!$B$13/100)))+0.25*(Inputs!$B$14-Inputs!$B$14))*(1+Inputs!$B$7/100))*(F582/100)</f>
        <v/>
      </c>
      <c r="K582">
        <f>J582*(1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590=TRUE,F590,0)/100)*(1+(IF(Skills!A4="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598=TRUE)*(F598-Calc!F20)),(Inputs!$B$23+0+(IF(ArtifactsInput!$M$15,CHOOSE(ArtifactsInput!$N$15+1,25,30,35,40,45,50)/100*(Inputs!$B$11-Inputs!$B$11),0))))/100+(Inputs!$B$23+0+(IF(ArtifactsInput!$M$15,CHOOSE(ArtifactsInput!$N$15+1,25,30,35,40,45,50)/100*(Inputs!$B$11-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t="n">
        <v>0</v>
      </c>
      <c r="R582" t="n">
        <v>0</v>
      </c>
      <c r="S582">
        <f>IFERROR(O582/N582,0)</f>
        <v/>
      </c>
      <c r="T582">
        <f>IF(C582,(Skills!G4*H582*N582*B608)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290*U581/1000</f>
        <v/>
      </c>
      <c r="V582">
        <f>IF(C582,(Skills!G4*H582*N582*B608)*IF(Inputs!$B$38="pvp",1,(1+(Inputs!$B$21+Skills!Q4+(IF(ArtifactsInput!$M$33,CHOOSE(ArtifactsInput!$N$33+1,30,36,42,48,54,60),0))+(IF(AND(ArtifactsInput!$M$35,Inputs!$B$4&lt;&gt;"Chapter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Skills!A5</f>
        <v/>
      </c>
      <c r="B583">
        <f>Skills!B5</f>
        <v/>
      </c>
      <c r="C583">
        <f>Inputs!$B$3&gt;=60</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Skills!G5*IF(Skills!H5&gt;0,Skills!I5/Skills!H5,1)</f>
        <v/>
      </c>
      <c r="H583">
        <f>1-(1-Skills!J5/100)^Skills!K5</f>
        <v/>
      </c>
      <c r="I583" t="inlineStr">
        <is>
          <t>1</t>
        </is>
      </c>
      <c r="J583" t="inlineStr"/>
      <c r="K583" t="inlineStr"/>
      <c r="L583" t="inlineStr"/>
      <c r="M583" t="inlineStr"/>
      <c r="N583" t="inlineStr"/>
      <c r="O583">
        <f>(1-Summary!$B$11)*T583+Summary!$B$11*V583</f>
        <v/>
      </c>
      <c r="P583">
        <f>IF(B614=0,0,O583/B614)</f>
        <v/>
      </c>
      <c r="Q583" t="n">
        <v>0</v>
      </c>
      <c r="R583" t="n">
        <v>0</v>
      </c>
      <c r="S583">
        <f>IFERROR(O583/N583,0)</f>
        <v/>
      </c>
      <c r="T583" t="n">
        <v>0</v>
      </c>
      <c r="V583" t="n">
        <v>0</v>
      </c>
    </row>
    <row r="584">
      <c r="A584">
        <f>Skills!A6</f>
        <v/>
      </c>
      <c r="B584">
        <f>Skills!B6</f>
        <v/>
      </c>
      <c r="C584">
        <f>Inputs!$B$3&gt;=63</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Skills!G6*IF(Skills!H6&gt;0,Skills!I6/Skills!H6,1)</f>
        <v/>
      </c>
      <c r="H584">
        <f>1-(1-Skills!J6/100)^Skills!K6</f>
        <v/>
      </c>
      <c r="I584" t="inlineStr">
        <is>
          <t>1</t>
        </is>
      </c>
      <c r="J584">
        <f>((Inputs!$B$6*(1+Inputs!$B$7/100))+(((Inputs!$B$12*(1+Inputs!$B$13/100))-(Inputs!$B$12*(1+Inputs!$B$13/100)))+0.25*(Inputs!$B$14-Inputs!$B$14))*(1+Inputs!$B$7/100))*(F584/100)</f>
        <v/>
      </c>
      <c r="K584">
        <f>J584*(1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598=TRUE)*(F598-Calc!F20)),(Inputs!$B$23+0+(IF(ArtifactsInput!$M$15,CHOOSE(ArtifactsInput!$N$15+1,25,30,35,40,45,50)/100*(Inputs!$B$11-Inputs!$B$11),0))))/100+(Inputs!$B$23+0+(IF(ArtifactsInput!$M$15,CHOOSE(ArtifactsInput!$N$15+1,25,30,35,40,45,50)/100*(Inputs!$B$11-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IFERROR(1/(IF(Inputs!$B$38="pvp",15,MAX(0.1,Skills!D6-IF(Skills!E6=TRUE,Inputs!$B$32,0)))*(1-IF(AND(ArtifactsInput!$M$27,Inputs!$B$4="Chapter Hunt"),CHOOSE(ArtifactsInput!$N$27+1,20,24,28,32,36,40),0)/100)),0)</f>
        <v/>
      </c>
      <c r="R584">
        <f>IF(AND(Inputs!$B$38&lt;&gt;"pvp",Inputs!$B$43&gt;0),IF(MAX(0,Inputs!$B$43-B611)&lt;=0,0,(INT(MAX(0,Inputs!$B$43-B611)/(IF(Inputs!$B$38="pvp",15,MAX(0.1,Skills!D6-IF(Skills!E6=TRUE,Inputs!$B$32,0)))*(1-IF(AND(ArtifactsInput!$M$27,Inputs!$B$4="Chapter Hunt"),CHOOSE(ArtifactsInput!$N$27+1,20,24,28,32,36,40),0)/100)))+1)),0)</f>
        <v/>
      </c>
      <c r="S584">
        <f>IFERROR(O584/N584,0)</f>
        <v/>
      </c>
      <c r="T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Skills!A7</f>
        <v/>
      </c>
      <c r="B585">
        <f>Skills!B7</f>
        <v/>
      </c>
      <c r="C585">
        <f>Inputs!$B$3&gt;=100</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Skills!G7*IF(Skills!H7&gt;0,Skills!I7/Skills!H7,1)</f>
        <v/>
      </c>
      <c r="H585">
        <f>1-(1-Skills!J7/100)^Skills!K7</f>
        <v/>
      </c>
      <c r="I585" t="inlineStr">
        <is>
          <t>1</t>
        </is>
      </c>
      <c r="J585">
        <f>((Inputs!$B$6*(1+Inputs!$B$7/100))+(((Inputs!$B$12*(1+Inputs!$B$13/100))-(Inputs!$B$12*(1+Inputs!$B$13/100)))+0.25*(Inputs!$B$14-Inputs!$B$14))*(1+Inputs!$B$7/100))*(F585/100)</f>
        <v/>
      </c>
      <c r="K585">
        <f>J585*(1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598=TRUE)*(F598-Calc!F20)),(Inputs!$B$23+0+(IF(ArtifactsInput!$M$15,CHOOSE(ArtifactsInput!$N$15+1,25,30,35,40,45,50)/100*(Inputs!$B$11-Inputs!$B$11),0))))/100+(Inputs!$B$23+0+(IF(ArtifactsInput!$M$15,CHOOSE(ArtifactsInput!$N$15+1,25,30,35,40,45,50)/100*(Inputs!$B$11-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IFERROR(1/(IF(Inputs!$B$38="pvp",15,MAX(0.1,Skills!D7-IF(Skills!E7=TRUE,Inputs!$B$32,0)))*(1-IF(AND(ArtifactsInput!$M$27,Inputs!$B$4="Chapter Hunt"),CHOOSE(ArtifactsInput!$N$27+1,20,24,28,32,36,40),0)/100)),0)</f>
        <v/>
      </c>
      <c r="R585">
        <f>IF(AND(Inputs!$B$38&lt;&gt;"pvp",Inputs!$B$43&gt;0),IF(MAX(0,Inputs!$B$43-B611)&lt;=0,0,(INT(MAX(0,Inputs!$B$43-B611)/(IF(Inputs!$B$38="pvp",15,MAX(0.1,Skills!D7-IF(Skills!E7=TRUE,Inputs!$B$32,0)))*(1-IF(AND(ArtifactsInput!$M$27,Inputs!$B$4="Chapter Hunt"),CHOOSE(ArtifactsInput!$N$27+1,20,24,28,32,36,40),0)/100)))+1)),0)</f>
        <v/>
      </c>
      <c r="S585">
        <f>IFERROR(O585/N585,0)</f>
        <v/>
      </c>
      <c r="T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Skills!A8</f>
        <v/>
      </c>
      <c r="B586">
        <f>Skills!B8</f>
        <v/>
      </c>
      <c r="C586">
        <f>Inputs!$B$3&gt;=110</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Skills!G8*IF(Skills!H8&gt;0,Skills!I8/Skills!H8,1)</f>
        <v/>
      </c>
      <c r="H586">
        <f>1-(1-Skills!J8/100)^Skills!K8</f>
        <v/>
      </c>
      <c r="I586" t="inlineStr">
        <is>
          <t>1</t>
        </is>
      </c>
      <c r="J586">
        <f>((Inputs!$B$6*(1+Inputs!$B$7/100))+(((Inputs!$B$12*(1+Inputs!$B$13/100))-(Inputs!$B$12*(1+Inputs!$B$13/100)))+0.25*(Inputs!$B$14-Inputs!$B$14))*(1+Inputs!$B$7/100))*(F586/100)</f>
        <v/>
      </c>
      <c r="K586">
        <f>J586*(1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598=TRUE)*(F598-Calc!F20)),(Inputs!$B$23+0+(IF(ArtifactsInput!$M$15,CHOOSE(ArtifactsInput!$N$15+1,25,30,35,40,45,50)/100*(Inputs!$B$11-Inputs!$B$11),0))))/100+(Inputs!$B$23+0+(IF(ArtifactsInput!$M$15,CHOOSE(ArtifactsInput!$N$15+1,25,30,35,40,45,50)/100*(Inputs!$B$11-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IFERROR(1/(IF(Inputs!$B$38="pvp",15,MAX(0.1,Skills!D8-IF(Skills!E8=TRUE,Inputs!$B$32,0)))*(1-IF(AND(ArtifactsInput!$M$27,Inputs!$B$4="Chapter Hunt"),CHOOSE(ArtifactsInput!$N$27+1,20,24,28,32,36,40),0)/100)),0)</f>
        <v/>
      </c>
      <c r="R586">
        <f>IF(AND(Inputs!$B$38&lt;&gt;"pvp",Inputs!$B$43&gt;0),IF(MAX(0,Inputs!$B$43-B611)&lt;=0,0,(INT(MAX(0,Inputs!$B$43-B611)/(IF(Inputs!$B$38="pvp",15,MAX(0.1,Skills!D8-IF(Skills!E8=TRUE,Inputs!$B$32,0)))*(1-IF(AND(ArtifactsInput!$M$27,Inputs!$B$4="Chapter Hunt"),CHOOSE(ArtifactsInput!$N$27+1,20,24,28,32,36,40),0)/100)))+1)),0)</f>
        <v/>
      </c>
      <c r="S586">
        <f>IFERROR(O586/N586,0)</f>
        <v/>
      </c>
      <c r="T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Skills!A9</f>
        <v/>
      </c>
      <c r="B587">
        <f>Skills!B9</f>
        <v/>
      </c>
      <c r="C587">
        <f>Inputs!$B$3&gt;=110</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Skills!G9*IF(Skills!H9&gt;0,Skills!I9/Skills!H9,1)</f>
        <v/>
      </c>
      <c r="H587">
        <f>1-(1-Skills!J9/100)^Skills!K9</f>
        <v/>
      </c>
      <c r="I587" t="inlineStr">
        <is>
          <t>1</t>
        </is>
      </c>
      <c r="J587">
        <f>((Inputs!$B$6*(1+Inputs!$B$7/100))+(((Inputs!$B$12*(1+Inputs!$B$13/100))-(Inputs!$B$12*(1+Inputs!$B$13/100)))+0.25*(Inputs!$B$14-Inputs!$B$14))*(1+Inputs!$B$7/100))*(F587/100)</f>
        <v/>
      </c>
      <c r="K587">
        <f>J587*(1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598=TRUE)*(F598-Calc!F20)),(Inputs!$B$23+0+(IF(ArtifactsInput!$M$15,CHOOSE(ArtifactsInput!$N$15+1,25,30,35,40,45,50)/100*(Inputs!$B$11-Inputs!$B$11),0))))/100+(Inputs!$B$23+0+(IF(ArtifactsInput!$M$15,CHOOSE(ArtifactsInput!$N$15+1,25,30,35,40,45,50)/100*(Inputs!$B$11-Inputs!$B$11),0)))/100)/2</f>
        <v/>
      </c>
      <c r="M587">
        <f>L587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IF(B614=0,0,O587/B614)</f>
        <v/>
      </c>
      <c r="Q587">
        <f>IFERROR(1/(IF(Inputs!$B$38="pvp",15,MAX(0.1,Skills!D9-IF(Skills!E9=TRUE,Inputs!$B$32,0)))*(1-IF(AND(ArtifactsInput!$M$27,Inputs!$B$4="Chapter Hunt"),CHOOSE(ArtifactsInput!$N$27+1,20,24,28,32,36,40),0)/100)),0)</f>
        <v/>
      </c>
      <c r="R587">
        <f>IF(AND(Inputs!$B$38&lt;&gt;"pvp",Inputs!$B$43&gt;0),IF(MAX(0,Inputs!$B$43-B611)&lt;=0,0,(INT(MAX(0,Inputs!$B$43-B611)/(IF(Inputs!$B$38="pvp",15,MAX(0.1,Skills!D9-IF(Skills!E9=TRUE,Inputs!$B$32,0)))*(1-IF(AND(ArtifactsInput!$M$27,Inputs!$B$4="Chapter Hunt"),CHOOSE(ArtifactsInput!$N$27+1,20,24,28,32,36,40),0)/100)))+1)),0)</f>
        <v/>
      </c>
      <c r="S587">
        <f>IFERROR(O587/N587,0)</f>
        <v/>
      </c>
      <c r="T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Skills!A10</f>
        <v/>
      </c>
      <c r="B588">
        <f>Skills!B10</f>
        <v/>
      </c>
      <c r="C588">
        <f>Inputs!$B$3&gt;=103</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Skills!G10*IF(Skills!H10&gt;0,Skills!I10/Skills!H10,1)</f>
        <v/>
      </c>
      <c r="H588">
        <f>1-(1-Skills!J10/100)^Skills!K10</f>
        <v/>
      </c>
      <c r="I588" t="inlineStr">
        <is>
          <t>1</t>
        </is>
      </c>
      <c r="J588">
        <f>((Inputs!$B$6*(1+Inputs!$B$7/100))+(((Inputs!$B$12*(1+Inputs!$B$13/100))-(Inputs!$B$12*(1+Inputs!$B$13/100)))+0.25*(Inputs!$B$14-Inputs!$B$14))*(1+Inputs!$B$7/100))*(F588/100)</f>
        <v/>
      </c>
      <c r="K588">
        <f>J588*(1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598=TRUE)*(F598-Calc!F20)),(Inputs!$B$23+0+(IF(ArtifactsInput!$M$15,CHOOSE(ArtifactsInput!$N$15+1,25,30,35,40,45,50)/100*(Inputs!$B$11-Inputs!$B$11),0))))/100+(Inputs!$B$23+0+(IF(ArtifactsInput!$M$15,CHOOSE(ArtifactsInput!$N$15+1,25,30,35,40,45,50)/100*(Inputs!$B$11-Inputs!$B$11),0)))/100)/2</f>
        <v/>
      </c>
      <c r="M588">
        <f>L588*(1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IF(B614=0,0,O588/B614)</f>
        <v/>
      </c>
      <c r="Q588">
        <f>IFERROR(1/(IF(Inputs!$B$38="pvp",15,MAX(0.1,Skills!D10-IF(Skills!E10=TRUE,Inputs!$B$32,0)))*(1-IF(AND(ArtifactsInput!$M$27,Inputs!$B$4="Chapter Hunt"),CHOOSE(ArtifactsInput!$N$27+1,20,24,28,32,36,40),0)/100)),0)</f>
        <v/>
      </c>
      <c r="R588">
        <f>IF(AND(Inputs!$B$38&lt;&gt;"pvp",Inputs!$B$43&gt;0),IF(MAX(0,Inputs!$B$43-B611)&lt;=0,0,(INT(MAX(0,Inputs!$B$43-B611)/(IF(Inputs!$B$38="pvp",15,MAX(0.1,Skills!D10-IF(Skills!E10=TRUE,Inputs!$B$32,0)))*(1-IF(AND(ArtifactsInput!$M$27,Inputs!$B$4="Chapter Hunt"),CHOOSE(ArtifactsInput!$N$27+1,20,24,28,32,36,40),0)/100)))+1)),0)</f>
        <v/>
      </c>
      <c r="S588">
        <f>IFERROR(O588/N588,0)</f>
        <v/>
      </c>
      <c r="T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Skills!A11</f>
        <v/>
      </c>
      <c r="B589">
        <f>Skills!B11</f>
        <v/>
      </c>
      <c r="C589">
        <f>Inputs!$B$3&gt;=113</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Skills!G11*IF(Skills!H11&gt;0,Skills!I11/Skills!H11,1)</f>
        <v/>
      </c>
      <c r="H589">
        <f>1-(1-Skills!J11/100)^Skills!K11</f>
        <v/>
      </c>
      <c r="I589" t="inlineStr">
        <is>
          <t>1</t>
        </is>
      </c>
      <c r="J589">
        <f>((Inputs!$B$6*(1+Inputs!$B$7/100))+(((Inputs!$B$12*(1+Inputs!$B$13/100))-(Inputs!$B$12*(1+Inputs!$B$13/100)))+0.25*(Inputs!$B$14-Inputs!$B$14))*(1+Inputs!$B$7/100))*(F589/100)</f>
        <v/>
      </c>
      <c r="K589">
        <f>J589*(1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598=TRUE)*(F598-Calc!F20)),(Inputs!$B$23+0+(IF(ArtifactsInput!$M$15,CHOOSE(ArtifactsInput!$N$15+1,25,30,35,40,45,50)/100*(Inputs!$B$11-Inputs!$B$11),0))))/100+(Inputs!$B$23+0+(IF(ArtifactsInput!$M$15,CHOOSE(ArtifactsInput!$N$15+1,25,30,35,40,45,50)/100*(Inputs!$B$11-Inputs!$B$11),0)))/100)/2</f>
        <v/>
      </c>
      <c r="M589">
        <f>L589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IF(B614=0,0,O589/B614)</f>
        <v/>
      </c>
      <c r="Q589">
        <f>IFERROR(1/(IF(Inputs!$B$38="pvp",15,MAX(0.1,Skills!D11-IF(Skills!E11=TRUE,Inputs!$B$32,0)))*(1-IF(AND(ArtifactsInput!$M$27,Inputs!$B$4="Chapter Hunt"),CHOOSE(ArtifactsInput!$N$27+1,20,24,28,32,36,40),0)/100)),0)</f>
        <v/>
      </c>
      <c r="R589">
        <f>IF(AND(Inputs!$B$38&lt;&gt;"pvp",Inputs!$B$43&gt;0),IF(MAX(0,Inputs!$B$43-B611)&lt;=0,0,(INT(MAX(0,Inputs!$B$43-B611)/(IF(Inputs!$B$38="pvp",15,MAX(0.1,Skills!D11-IF(Skills!E11=TRUE,Inputs!$B$32,0)))*(1-IF(AND(ArtifactsInput!$M$27,Inputs!$B$4="Chapter Hunt"),CHOOSE(ArtifactsInput!$N$27+1,20,24,28,32,36,40),0)/100)))+1)),0)</f>
        <v/>
      </c>
      <c r="S589">
        <f>IFERROR(O589/N589,0)</f>
        <v/>
      </c>
      <c r="T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Skills!A12</f>
        <v/>
      </c>
      <c r="B590">
        <f>Skills!B12</f>
        <v/>
      </c>
      <c r="C590">
        <f>Inputs!$B$3&gt;=100</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t="inlineStr"/>
      <c r="H590" t="inlineStr"/>
      <c r="I590" t="inlineStr">
        <is>
          <t>1</t>
        </is>
      </c>
      <c r="J590" t="inlineStr"/>
      <c r="K590" t="inlineStr"/>
      <c r="L590" t="inlineStr"/>
      <c r="M590" t="inlineStr"/>
      <c r="N590" t="inlineStr"/>
      <c r="O590" t="inlineStr"/>
      <c r="P590" t="inlineStr"/>
      <c r="Q590" t="inlineStr"/>
      <c r="R590" t="inlineStr"/>
      <c r="S590" t="inlineStr"/>
      <c r="T590" t="inlineStr"/>
      <c r="V590" t="inlineStr"/>
    </row>
    <row r="591">
      <c r="A591">
        <f>Skills!A13</f>
        <v/>
      </c>
      <c r="B591">
        <f>Skills!B13</f>
        <v/>
      </c>
      <c r="C591">
        <f>Inputs!$B$3&gt;=66</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Skills!G13*IF(Skills!H13&gt;0,Skills!I13/Skills!H13,1)</f>
        <v/>
      </c>
      <c r="H591">
        <f>1-(1-Skills!J13/100)^Skills!K13</f>
        <v/>
      </c>
      <c r="I591" t="inlineStr">
        <is>
          <t>1</t>
        </is>
      </c>
      <c r="J591" t="inlineStr"/>
      <c r="K591" t="inlineStr"/>
      <c r="L591" t="inlineStr"/>
      <c r="M591" t="inlineStr"/>
      <c r="N591" t="inlineStr"/>
      <c r="O591">
        <f>(1-Summary!$B$11)*T591+Summary!$B$11*V591</f>
        <v/>
      </c>
      <c r="P591">
        <f>IF(B614=0,0,O591/B614)</f>
        <v/>
      </c>
      <c r="Q591" t="n">
        <v>0</v>
      </c>
      <c r="R591" t="n">
        <v>0</v>
      </c>
      <c r="S591">
        <f>IFERROR(O591/N591,0)</f>
        <v/>
      </c>
      <c r="T591" t="n">
        <v>0</v>
      </c>
      <c r="V591" t="n">
        <v>0</v>
      </c>
    </row>
    <row r="592">
      <c r="A592">
        <f>Skills!A14</f>
        <v/>
      </c>
      <c r="B592">
        <f>Skills!B14</f>
        <v/>
      </c>
      <c r="C592">
        <f>Inputs!$B$3&gt;=107</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Skills!G14*IF(Skills!H14&gt;0,Skills!I14/Skills!H14,1)</f>
        <v/>
      </c>
      <c r="H592">
        <f>1-(1-Skills!J14/100)^Skills!K14</f>
        <v/>
      </c>
      <c r="I592" t="inlineStr">
        <is>
          <t>1</t>
        </is>
      </c>
      <c r="J592" t="inlineStr"/>
      <c r="K592" t="inlineStr"/>
      <c r="L592" t="inlineStr"/>
      <c r="M592" t="inlineStr"/>
      <c r="N592" t="inlineStr"/>
      <c r="O592">
        <f>(1-Summary!$B$11)*T592+Summary!$B$11*V592</f>
        <v/>
      </c>
      <c r="P592">
        <f>IF(B614=0,0,O592/B614)</f>
        <v/>
      </c>
      <c r="Q592" t="n">
        <v>0</v>
      </c>
      <c r="R592" t="n">
        <v>0</v>
      </c>
      <c r="S592">
        <f>IFERROR(O592/N592,0)</f>
        <v/>
      </c>
      <c r="T592" t="n">
        <v>0</v>
      </c>
      <c r="V592" t="n">
        <v>0</v>
      </c>
    </row>
    <row r="593">
      <c r="A593">
        <f>Skills!A15</f>
        <v/>
      </c>
      <c r="B593">
        <f>Skills!B15</f>
        <v/>
      </c>
      <c r="C593">
        <f>Inputs!$B$3&gt;=115</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Skills!G15*IF(Skills!H15&gt;0,Skills!I15/Skills!H15,1)</f>
        <v/>
      </c>
      <c r="H593">
        <f>1-(1-Skills!J15/100)^Skills!K15</f>
        <v/>
      </c>
      <c r="I593" t="inlineStr">
        <is>
          <t>1</t>
        </is>
      </c>
      <c r="J593" t="inlineStr"/>
      <c r="K593" t="inlineStr"/>
      <c r="L593" t="inlineStr"/>
      <c r="M593" t="inlineStr"/>
      <c r="N593" t="inlineStr"/>
      <c r="O593">
        <f>(1-Summary!$B$11)*T593+Summary!$B$11*V593</f>
        <v/>
      </c>
      <c r="P593">
        <f>IF(B614=0,0,O593/B614)</f>
        <v/>
      </c>
      <c r="Q593" t="n">
        <v>0</v>
      </c>
      <c r="R593" t="n">
        <v>0</v>
      </c>
      <c r="S593">
        <f>IFERROR(O593/N593,0)</f>
        <v/>
      </c>
      <c r="T593" t="n">
        <v>0</v>
      </c>
      <c r="V593" t="n">
        <v>0</v>
      </c>
    </row>
    <row r="594">
      <c r="A594">
        <f>Skills!A16</f>
        <v/>
      </c>
      <c r="B594">
        <f>Skills!B16</f>
        <v/>
      </c>
      <c r="C594">
        <f>Inputs!$B$3&gt;=15</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Skills!G16*IF(Skills!H16&gt;0,Skills!I16/Skills!H16,1)</f>
        <v/>
      </c>
      <c r="H594">
        <f>1-(1-Skills!J16/100)^Skills!K16</f>
        <v/>
      </c>
      <c r="I594" t="inlineStr">
        <is>
          <t>1</t>
        </is>
      </c>
      <c r="J594" t="inlineStr"/>
      <c r="K594" t="inlineStr"/>
      <c r="L594" t="inlineStr"/>
      <c r="M594" t="inlineStr"/>
      <c r="N594" t="inlineStr"/>
      <c r="O594">
        <f>(1-Summary!$B$11)*T594+Summary!$B$11*V594</f>
        <v/>
      </c>
      <c r="P594">
        <f>IF(B614=0,0,O594/B614)</f>
        <v/>
      </c>
      <c r="Q594" t="n">
        <v>0</v>
      </c>
      <c r="R594" t="n">
        <v>0</v>
      </c>
      <c r="S594">
        <f>IFERROR(O594/N594,0)</f>
        <v/>
      </c>
      <c r="T594" t="n">
        <v>0</v>
      </c>
      <c r="V594" t="n">
        <v>0</v>
      </c>
    </row>
    <row r="595">
      <c r="A595">
        <f>Skills!A17</f>
        <v/>
      </c>
      <c r="B595">
        <f>Skills!B17</f>
        <v/>
      </c>
      <c r="C595">
        <f>Inputs!$B$3&gt;=10</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Skills!G17*IF(Skills!H17&gt;0,Skills!I17/Skills!H17,1)</f>
        <v/>
      </c>
      <c r="H595">
        <f>1-(1-Skills!J17/100)^Skills!K17</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Skills!A18</f>
        <v/>
      </c>
      <c r="B596">
        <f>Skills!B18</f>
        <v/>
      </c>
      <c r="C596">
        <f>Inputs!$B$3&gt;=33</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Skills!G18*IF(Skills!H18&gt;0,Skills!I18/Skills!H18,1)</f>
        <v/>
      </c>
      <c r="H596">
        <f>1-(1-Skills!J18/100)^Skills!K18</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Skills!A19</f>
        <v/>
      </c>
      <c r="B597">
        <f>Skills!B19</f>
        <v/>
      </c>
      <c r="C597">
        <f>Inputs!$B$3&gt;=40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Skills!G19*IF(Skills!H19&gt;0,Skills!I19/Skills!H19,1)</f>
        <v/>
      </c>
      <c r="H597">
        <f>1-(1-Skills!J19/100)^Skills!K19</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Skills!A20</f>
        <v/>
      </c>
      <c r="B598">
        <f>Skills!B20</f>
        <v/>
      </c>
      <c r="C598">
        <f>Inputs!$B$3&gt;=43</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Skills!G20*IF(Skills!H20&gt;0,Skills!I20/Skills!H20,1)</f>
        <v/>
      </c>
      <c r="H598">
        <f>1-(1-Skills!J20/100)^Skills!K20</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Skills!A21</f>
        <v/>
      </c>
      <c r="B599">
        <f>Skills!B21</f>
        <v/>
      </c>
      <c r="C599">
        <f>Inputs!$B$3&gt;=38</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Skills!G21*IF(Skills!H21&gt;0,Skills!I21/Skills!H21,1)</f>
        <v/>
      </c>
      <c r="H599">
        <f>1-(1-Skills!J21/100)^Skills!K21</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Skills!A22</f>
        <v/>
      </c>
      <c r="B600">
        <f>Skills!B22</f>
        <v/>
      </c>
      <c r="C600">
        <f>Inputs!$B$3&gt;=75</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Skills!G22*IF(Skills!H22&gt;0,Skills!I22/Skills!H22,1)</f>
        <v/>
      </c>
      <c r="H600">
        <f>1-(1-Skills!J22/100)^Skills!K22</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Skills!G23*IF(Skills!H23&gt;0,Skills!I23/Skills!H23,1)</f>
        <v/>
      </c>
      <c r="H601">
        <f>1-(1-Skills!J23/100)^Skills!K23</f>
        <v/>
      </c>
      <c r="I601" t="inlineStr">
        <is>
          <t>1</t>
        </is>
      </c>
      <c r="J601" t="inlineStr"/>
      <c r="K601" t="inlineStr"/>
      <c r="L601" t="inlineStr"/>
      <c r="M601" t="inlineStr"/>
      <c r="N601" t="inlineStr"/>
      <c r="O601">
        <f>(1-Summary!$B$11)*T601+Summary!$B$11*V601</f>
        <v/>
      </c>
      <c r="P601">
        <f>IF(B614=0,0,O601/B614)</f>
        <v/>
      </c>
      <c r="Q601">
        <f>IFERROR(1/(IF(Inputs!$B$38="pvp",15,MAX(0.1,Skills!D23-IF(Skills!E23=TRUE,Inputs!$B$32,0)))*(1-IF(AND(ArtifactsInput!$M$27,Inputs!$B$4="Chapter Hunt"),CHOOSE(ArtifactsInput!$N$27+1,20,24,28,32,36,40),0)/100)),0)</f>
        <v/>
      </c>
      <c r="R601">
        <f>IF(AND(Inputs!$B$38&lt;&gt;"pvp",Inputs!$B$43&gt;0),IF(Inputs!$B$43&lt;=0,0,(INT(Inputs!$B$43/(IF(Inputs!$B$38="pvp",15,MAX(0.1,Skills!D23-IF(Skills!E23=TRUE,Inputs!$B$32,0)))*(1-IF(AND(ArtifactsInput!$M$27,Inputs!$B$4="Chapter Hunt"),CHOOSE(ArtifactsInput!$N$27+1,20,24,28,32,36,40),0)/100)))+1)),0)</f>
        <v/>
      </c>
      <c r="S601">
        <f>IFERROR(O601/N601,0)</f>
        <v/>
      </c>
      <c r="T601" t="n">
        <v>0</v>
      </c>
      <c r="V601" t="n">
        <v>0</v>
      </c>
    </row>
    <row r="603">
      <c r="A603" t="inlineStr">
        <is>
          <t>Attack% Bucket Multiplier</t>
        </is>
      </c>
      <c r="B603">
        <f>(1+(((C591=TRUE)*F591*5/7)+((C597=TRUE)*(F597-Calc!F19))+(IF(ArtifactsInput!$M$21,CHOOSE(ArtifactsInput!$N$21+1,25,30,35,40,45,50)*(IF(OR(Inputs!$B$4="Chapter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 (Nimble Feet, duty-cycle averaged)</t>
        </is>
      </c>
      <c r="B605">
        <f>((C601=TRUE)*F601*IF(AND(Inputs!$B$38&lt;&gt;"pvp",Inputs!$B$43&gt;0),(((R601-1)*(Skills!T23*(1+Inputs!$B$34/100))+MIN((Skills!T23*(1+Inputs!$B$34/100)),MAX(0,Inputs!$B$43-((R601-1)*Skills!D23))))/Inputs!$B$43),IF(Inputs!$B$38="pvp",MIN((Skills!T23*(1+Inputs!$B$34/100)),15)/15,(Skills!T23*(1+Inputs!$B$34/100))/Skills!D23)))</f>
        <v/>
      </c>
    </row>
    <row r="606">
      <c r="A606" t="inlineStr">
        <is>
          <t>Actions Per Second</t>
        </is>
      </c>
      <c r="B606">
        <f>1+MIN(150,150*(1-(1-(Inputs!$B$11+((C595=TRUE)*(F595-Calc!F17))+((C596=TRUE)*(F596-Calc!F18)))/150)*(1-B605/150)))/100</f>
        <v/>
      </c>
    </row>
    <row r="607">
      <c r="A607" t="inlineStr">
        <is>
          <t>Skill + Buff Cast Rate</t>
        </is>
      </c>
      <c r="B607">
        <f>IF(AND(Inputs!$B$38&lt;&gt;"pvp",Inputs!$B$43&gt;0),SUMPRODUCT((Skills!E2:E23=TRUE)*(C580:C601=TRUE)*R580:R601*Skills!F2:F23)/Inputs!$B$43,SUMPRODUCT((Skills!E2:E23=TRUE)*(C580:C601=TRUE)*Q580:Q601*Skills!F2:F23))</f>
        <v/>
      </c>
    </row>
    <row r="608">
      <c r="A608" t="inlineStr">
        <is>
          <t>Hook Bomber Casts Per Second</t>
        </is>
      </c>
      <c r="B608">
        <f>MAX(0,B606-B607)</f>
        <v/>
      </c>
    </row>
    <row r="609">
      <c r="A609" t="inlineStr">
        <is>
          <t>Global Critical Damage Bonus % (unused)</t>
        </is>
      </c>
      <c r="B609" t="n">
        <v>0</v>
      </c>
    </row>
    <row r="610">
      <c r="A610" t="inlineStr">
        <is>
          <t>Global Final Damage Bonus % (Serpent Scale + Crossbones + Time Leap + Speed Infusion)</t>
        </is>
      </c>
      <c r="B610">
        <f>((C583=TRUE)*F583*((10+IF(Inputs!$B$3&gt;=94,5,0))/((10+IF(Inputs!$B$3&gt;=94,5,0))+5/(B608*(1+IF(Inputs!$B$3&gt;=104,1,0))))))+((C592=TRUE)*F592)+((C593=TRUE)*F593)+((Inputs!$B$3&gt;=110)*20*(B606-1))</f>
        <v/>
      </c>
    </row>
    <row r="611">
      <c r="A611" t="inlineStr">
        <is>
          <t>Buff-Casting Startup Delay (s, fixed-duration only)</t>
        </is>
      </c>
      <c r="B611">
        <f>IF(AND(Inputs!$B$38&lt;&gt;"pvp",Inputs!$B$43&gt;0),SUMPRODUCT((Skills!T2:T23&gt;0)*(Skills!E2:E23=TRUE)*(C580:C601=TRUE))/B606,0)</f>
        <v/>
      </c>
    </row>
    <row r="612">
      <c r="A612" t="inlineStr">
        <is>
          <t>Boss-Only Total DPS (this block's swept value)</t>
        </is>
      </c>
      <c r="B612">
        <f>SUM(T580:T601)</f>
        <v/>
      </c>
    </row>
    <row r="613">
      <c r="A613" t="inlineStr">
        <is>
          <t>Normal-Only Total DPS (this block's swept value)</t>
        </is>
      </c>
      <c r="B613">
        <f>SUM(V580:V601)</f>
        <v/>
      </c>
    </row>
    <row r="614">
      <c r="A614" s="6" t="inlineStr">
        <is>
          <t>TOTAL DPS</t>
        </is>
      </c>
      <c r="B614" s="6">
        <f>SUM(O580:O601)</f>
        <v/>
      </c>
    </row>
    <row r="617">
      <c r="A617" s="6" t="inlineStr">
        <is>
          <t>Stat: BASIC_ATTACK_DAMAGE %</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637=TRUE)*(F637-Calc!F20)),(Inputs!$B$23+0+(IF(ArtifactsInput!$M$15,CHOOSE(ArtifactsInput!$N$15+1,25,30,35,40,45,50)/100*(Inputs!$B$11-Inputs!$B$11),0))))/100+(Inputs!$B$23+0+(IF(ArtifactsInput!$M$15,CHOOSE(ArtifactsInput!$N$15+1,25,30,35,40,45,50)/100*(Inputs!$B$11-Inputs!$B$11),0)))/100)/2</f>
        <v/>
      </c>
      <c r="M619">
        <f>L619*(1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IF(B653=0,0,O619/B653)</f>
        <v/>
      </c>
      <c r="Q619" t="n">
        <v>0</v>
      </c>
      <c r="R619" t="n">
        <v>0</v>
      </c>
      <c r="S619">
        <f>IFERROR(O619/N619,0)</f>
        <v/>
      </c>
      <c r="T619">
        <f>IF(C619,(Skills!G2*N619*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Inputs!$B$3&gt;=35</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f>Skills!G3*IF(Skills!H3&gt;0,Skills!I3/Skills!H3,1)</f>
        <v/>
      </c>
      <c r="H620">
        <f>1-(1-Skills!J3/100)^Skills!K3</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637=TRUE)*(F637-Calc!F20)),(Inputs!$B$23+0+(IF(ArtifactsInput!$M$15,CHOOSE(ArtifactsInput!$N$15+1,25,30,35,40,45,50)/100*(Inputs!$B$11-Inputs!$B$11),0))))/100+(Inputs!$B$23+0+(IF(ArtifactsInput!$M$15,CHOOSE(ArtifactsInput!$N$15+1,25,30,35,40,45,50)/100*(Inputs!$B$11-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t="n">
        <v>0</v>
      </c>
      <c r="R620" t="n">
        <v>0</v>
      </c>
      <c r="S620">
        <f>IFERROR(O620/N620,0)</f>
        <v/>
      </c>
      <c r="T620">
        <f>IF(C620,(Skills!G3*H620*N620*B647)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0">
        <f>INDEX(FactorTable!$B$2:$Y$301, MATCH(ROUND(MIN(300,MAX(1,U619)),0), FactorTable!$A$2:$A$301,0), 22)</f>
        <v/>
      </c>
      <c r="V620">
        <f>IF(C620,(Skills!G3*H620*N620*B647)*IF(Inputs!$B$38="pvp",1,(1+(Inputs!$B$21+Skills!Q3+(IF(ArtifactsInput!$M$33,CHOOSE(ArtifactsInput!$N$33+1,30,36,42,48,54,60),0))+(IF(AND(ArtifactsInput!$M$35,Inputs!$B$4&lt;&gt;"Chapter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Skills!A4</f>
        <v/>
      </c>
      <c r="B621">
        <f>Skills!B4</f>
        <v/>
      </c>
      <c r="C621">
        <f>Inputs!$B$3&gt;=60</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f>Skills!G4*IF(Skills!H4&gt;0,Skills!I4/Skills!H4,1)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4="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637=TRUE)*(F637-Calc!F20)),(Inputs!$B$23+0+(IF(ArtifactsInput!$M$15,CHOOSE(ArtifactsInput!$N$15+1,25,30,35,40,45,50)/100*(Inputs!$B$11-Inputs!$B$11),0))))/100+(Inputs!$B$23+0+(IF(ArtifactsInput!$M$15,CHOOSE(ArtifactsInput!$N$15+1,25,30,35,40,45,50)/100*(Inputs!$B$11-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f>IFERROR(O621/N621,0)</f>
        <v/>
      </c>
      <c r="T621">
        <f>IF(C621,(Skills!G4*H621*N621*B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IF(C621,(Skills!G4*H621*N621*B647)*IF(Inputs!$B$38="pvp",1,(1+(Inputs!$B$21+Skills!Q4+(IF(ArtifactsInput!$M$33,CHOOSE(ArtifactsInput!$N$33+1,30,36,42,48,54,60),0))+(IF(AND(ArtifactsInput!$M$35,Inputs!$B$4&lt;&gt;"Chapter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Inputs!$B$3&gt;=60</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t="inlineStr"/>
      <c r="K622" t="inlineStr"/>
      <c r="L622" t="inlineStr"/>
      <c r="M622" t="inlineStr"/>
      <c r="N622" t="inlineStr"/>
      <c r="O622">
        <f>(1-Summary!$B$11)*T622+Summary!$B$11*V622</f>
        <v/>
      </c>
      <c r="P622">
        <f>IF(B653=0,0,O622/B653)</f>
        <v/>
      </c>
      <c r="Q622" t="n">
        <v>0</v>
      </c>
      <c r="R622" t="n">
        <v>0</v>
      </c>
      <c r="S622">
        <f>IFERROR(O622/N622,0)</f>
        <v/>
      </c>
      <c r="T622" t="n">
        <v>0</v>
      </c>
      <c r="V622" t="n">
        <v>0</v>
      </c>
    </row>
    <row r="623">
      <c r="A623">
        <f>Skills!A6</f>
        <v/>
      </c>
      <c r="B623">
        <f>Skills!B6</f>
        <v/>
      </c>
      <c r="C623">
        <f>Inputs!$B$3&gt;=63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637=TRUE)*(F637-Calc!F20)),(Inputs!$B$23+0+(IF(ArtifactsInput!$M$15,CHOOSE(ArtifactsInput!$N$15+1,25,30,35,40,45,50)/100*(Inputs!$B$11-Inputs!$B$11),0))))/100+(Inputs!$B$23+0+(IF(ArtifactsInput!$M$15,CHOOSE(ArtifactsInput!$N$15+1,25,30,35,40,45,50)/100*(Inputs!$B$11-Inputs!$B$11),0)))/100)/2</f>
        <v/>
      </c>
      <c r="M623">
        <f>L623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IF(B653=0,0,O623/B653)</f>
        <v/>
      </c>
      <c r="Q623">
        <f>IFERROR(1/(IF(Inputs!$B$38="pvp",15,MAX(0.1,Skills!D6-IF(Skills!E6=TRUE,Inputs!$B$32,0)))*(1-IF(AND(ArtifactsInput!$M$27,Inputs!$B$4="Chapter Hunt"),CHOOSE(ArtifactsInput!$N$27+1,20,24,28,32,36,40),0)/100)),0)</f>
        <v/>
      </c>
      <c r="R623">
        <f>IF(AND(Inputs!$B$38&lt;&gt;"pvp",Inputs!$B$43&gt;0),IF(MAX(0,Inputs!$B$43-B650)&lt;=0,0,(INT(MAX(0,Inputs!$B$43-B650)/(IF(Inputs!$B$38="pvp",15,MAX(0.1,Skills!D6-IF(Skills!E6=TRUE,Inputs!$B$32,0)))*(1-IF(AND(ArtifactsInput!$M$27,Inputs!$B$4="Chapter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Inputs!$B$3&gt;=100</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637=TRUE)*(F637-Calc!F20)),(Inputs!$B$23+0+(IF(ArtifactsInput!$M$15,CHOOSE(ArtifactsInput!$N$15+1,25,30,35,40,45,50)/100*(Inputs!$B$11-Inputs!$B$11),0))))/100+(Inputs!$B$23+0+(IF(ArtifactsInput!$M$15,CHOOSE(ArtifactsInput!$N$15+1,25,30,35,40,45,50)/100*(Inputs!$B$11-Inputs!$B$11),0)))/100)/2</f>
        <v/>
      </c>
      <c r="M624">
        <f>L624*(1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IF(B653=0,0,O624/B653)</f>
        <v/>
      </c>
      <c r="Q624">
        <f>IFERROR(1/(IF(Inputs!$B$38="pvp",15,MAX(0.1,Skills!D7-IF(Skills!E7=TRUE,Inputs!$B$32,0)))*(1-IF(AND(ArtifactsInput!$M$27,Inputs!$B$4="Chapter Hunt"),CHOOSE(ArtifactsInput!$N$27+1,20,24,28,32,36,40),0)/100)),0)</f>
        <v/>
      </c>
      <c r="R624">
        <f>IF(AND(Inputs!$B$38&lt;&gt;"pvp",Inputs!$B$43&gt;0),IF(MAX(0,Inputs!$B$43-B650)&lt;=0,0,(INT(MAX(0,Inputs!$B$43-B650)/(IF(Inputs!$B$38="pvp",15,MAX(0.1,Skills!D7-IF(Skills!E7=TRUE,Inputs!$B$32,0)))*(1-IF(AND(ArtifactsInput!$M$27,Inputs!$B$4="Chapter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Inputs!$B$3&gt;=110</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637=TRUE)*(F637-Calc!F20)),(Inputs!$B$23+0+(IF(ArtifactsInput!$M$15,CHOOSE(ArtifactsInput!$N$15+1,25,30,35,40,45,50)/100*(Inputs!$B$11-Inputs!$B$11),0))))/100+(Inputs!$B$23+0+(IF(ArtifactsInput!$M$15,CHOOSE(ArtifactsInput!$N$15+1,25,30,35,40,45,50)/100*(Inputs!$B$11-Inputs!$B$11),0)))/100)/2</f>
        <v/>
      </c>
      <c r="M625">
        <f>L625*(1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IF(B653=0,0,O625/B653)</f>
        <v/>
      </c>
      <c r="Q625">
        <f>IFERROR(1/(IF(Inputs!$B$38="pvp",15,MAX(0.1,Skills!D8-IF(Skills!E8=TRUE,Inputs!$B$32,0)))*(1-IF(AND(ArtifactsInput!$M$27,Inputs!$B$4="Chapter Hunt"),CHOOSE(ArtifactsInput!$N$27+1,20,24,28,32,36,40),0)/100)),0)</f>
        <v/>
      </c>
      <c r="R625">
        <f>IF(AND(Inputs!$B$38&lt;&gt;"pvp",Inputs!$B$43&gt;0),IF(MAX(0,Inputs!$B$43-B650)&lt;=0,0,(INT(MAX(0,Inputs!$B$43-B650)/(IF(Inputs!$B$38="pvp",15,MAX(0.1,Skills!D8-IF(Skills!E8=TRUE,Inputs!$B$32,0)))*(1-IF(AND(ArtifactsInput!$M$27,Inputs!$B$4="Chapter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Inputs!$B$3&gt;=110</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637=TRUE)*(F637-Calc!F20)),(Inputs!$B$23+0+(IF(ArtifactsInput!$M$15,CHOOSE(ArtifactsInput!$N$15+1,25,30,35,40,45,50)/100*(Inputs!$B$11-Inputs!$B$11),0))))/100+(Inputs!$B$23+0+(IF(ArtifactsInput!$M$15,CHOOSE(ArtifactsInput!$N$15+1,25,30,35,40,45,50)/100*(Inputs!$B$11-Inputs!$B$11),0)))/100)/2</f>
        <v/>
      </c>
      <c r="M626">
        <f>L626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IF(B653=0,0,O626/B653)</f>
        <v/>
      </c>
      <c r="Q626">
        <f>IFERROR(1/(IF(Inputs!$B$38="pvp",15,MAX(0.1,Skills!D9-IF(Skills!E9=TRUE,Inputs!$B$32,0)))*(1-IF(AND(ArtifactsInput!$M$27,Inputs!$B$4="Chapter Hunt"),CHOOSE(ArtifactsInput!$N$27+1,20,24,28,32,36,40),0)/100)),0)</f>
        <v/>
      </c>
      <c r="R626">
        <f>IF(AND(Inputs!$B$38&lt;&gt;"pvp",Inputs!$B$43&gt;0),IF(MAX(0,Inputs!$B$43-B650)&lt;=0,0,(INT(MAX(0,Inputs!$B$43-B650)/(IF(Inputs!$B$38="pvp",15,MAX(0.1,Skills!D9-IF(Skills!E9=TRUE,Inputs!$B$32,0)))*(1-IF(AND(ArtifactsInput!$M$27,Inputs!$B$4="Chapter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Inputs!$B$3&gt;=103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637=TRUE)*(F637-Calc!F20)),(Inputs!$B$23+0+(IF(ArtifactsInput!$M$15,CHOOSE(ArtifactsInput!$N$15+1,25,30,35,40,45,50)/100*(Inputs!$B$11-Inputs!$B$11),0))))/100+(Inputs!$B$23+0+(IF(ArtifactsInput!$M$15,CHOOSE(ArtifactsInput!$N$15+1,25,30,35,40,45,50)/100*(Inputs!$B$11-Inputs!$B$11),0)))/100)/2</f>
        <v/>
      </c>
      <c r="M627">
        <f>L627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IF(B653=0,0,O627/B653)</f>
        <v/>
      </c>
      <c r="Q627">
        <f>IFERROR(1/(IF(Inputs!$B$38="pvp",15,MAX(0.1,Skills!D10-IF(Skills!E10=TRUE,Inputs!$B$32,0)))*(1-IF(AND(ArtifactsInput!$M$27,Inputs!$B$4="Chapter Hunt"),CHOOSE(ArtifactsInput!$N$27+1,20,24,28,32,36,40),0)/100)),0)</f>
        <v/>
      </c>
      <c r="R627">
        <f>IF(AND(Inputs!$B$38&lt;&gt;"pvp",Inputs!$B$43&gt;0),IF(MAX(0,Inputs!$B$43-B650)&lt;=0,0,(INT(MAX(0,Inputs!$B$43-B650)/(IF(Inputs!$B$38="pvp",15,MAX(0.1,Skills!D10-IF(Skills!E10=TRUE,Inputs!$B$32,0)))*(1-IF(AND(ArtifactsInput!$M$27,Inputs!$B$4="Chapter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Inputs!$B$3&gt;=113</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637=TRUE)*(F637-Calc!F20)),(Inputs!$B$23+0+(IF(ArtifactsInput!$M$15,CHOOSE(ArtifactsInput!$N$15+1,25,30,35,40,45,50)/100*(Inputs!$B$11-Inputs!$B$11),0))))/100+(Inputs!$B$23+0+(IF(ArtifactsInput!$M$15,CHOOSE(ArtifactsInput!$N$15+1,25,30,35,40,45,50)/100*(Inputs!$B$11-Inputs!$B$11),0)))/100)/2</f>
        <v/>
      </c>
      <c r="M628">
        <f>L628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IF(B653=0,0,O628/B653)</f>
        <v/>
      </c>
      <c r="Q628">
        <f>IFERROR(1/(IF(Inputs!$B$38="pvp",15,MAX(0.1,Skills!D11-IF(Skills!E11=TRUE,Inputs!$B$32,0)))*(1-IF(AND(ArtifactsInput!$M$27,Inputs!$B$4="Chapter Hunt"),CHOOSE(ArtifactsInput!$N$27+1,20,24,28,32,36,40),0)/100)),0)</f>
        <v/>
      </c>
      <c r="R628">
        <f>IF(AND(Inputs!$B$38&lt;&gt;"pvp",Inputs!$B$43&gt;0),IF(MAX(0,Inputs!$B$43-B650)&lt;=0,0,(INT(MAX(0,Inputs!$B$43-B650)/(IF(Inputs!$B$38="pvp",15,MAX(0.1,Skills!D11-IF(Skills!E11=TRUE,Inputs!$B$32,0)))*(1-IF(AND(ArtifactsInput!$M$27,Inputs!$B$4="Chapter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c r="T629" t="inlineStr"/>
      <c r="V629" t="inlineStr"/>
    </row>
    <row r="630">
      <c r="A630">
        <f>Skills!A13</f>
        <v/>
      </c>
      <c r="B630">
        <f>Skills!B13</f>
        <v/>
      </c>
      <c r="C630">
        <f>Inputs!$B$3&gt;=66</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IF(B653=0,0,O630/B653)</f>
        <v/>
      </c>
      <c r="Q630" t="n">
        <v>0</v>
      </c>
      <c r="R630" t="n">
        <v>0</v>
      </c>
      <c r="S630">
        <f>IFERROR(O630/N630,0)</f>
        <v/>
      </c>
      <c r="T630" t="n">
        <v>0</v>
      </c>
      <c r="V630" t="n">
        <v>0</v>
      </c>
    </row>
    <row r="631">
      <c r="A631">
        <f>Skills!A14</f>
        <v/>
      </c>
      <c r="B631">
        <f>Skills!B14</f>
        <v/>
      </c>
      <c r="C631">
        <f>Inputs!$B$3&gt;=107</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IF(B653=0,0,O631/B653)</f>
        <v/>
      </c>
      <c r="Q631" t="n">
        <v>0</v>
      </c>
      <c r="R631" t="n">
        <v>0</v>
      </c>
      <c r="S631">
        <f>IFERROR(O631/N631,0)</f>
        <v/>
      </c>
      <c r="T631" t="n">
        <v>0</v>
      </c>
      <c r="V631" t="n">
        <v>0</v>
      </c>
    </row>
    <row r="632">
      <c r="A632">
        <f>Skills!A15</f>
        <v/>
      </c>
      <c r="B632">
        <f>Skills!B15</f>
        <v/>
      </c>
      <c r="C632">
        <f>Inputs!$B$3&gt;=115</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IF(B653=0,0,O632/B653)</f>
        <v/>
      </c>
      <c r="Q632" t="n">
        <v>0</v>
      </c>
      <c r="R632" t="n">
        <v>0</v>
      </c>
      <c r="S632">
        <f>IFERROR(O632/N632,0)</f>
        <v/>
      </c>
      <c r="T632" t="n">
        <v>0</v>
      </c>
      <c r="V632" t="n">
        <v>0</v>
      </c>
    </row>
    <row r="633">
      <c r="A633">
        <f>Skills!A16</f>
        <v/>
      </c>
      <c r="B633">
        <f>Skills!B16</f>
        <v/>
      </c>
      <c r="C633">
        <f>Inputs!$B$3&gt;=15</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IF(B653=0,0,O633/B653)</f>
        <v/>
      </c>
      <c r="Q633" t="n">
        <v>0</v>
      </c>
      <c r="R633" t="n">
        <v>0</v>
      </c>
      <c r="S633">
        <f>IFERROR(O633/N633,0)</f>
        <v/>
      </c>
      <c r="T633" t="n">
        <v>0</v>
      </c>
      <c r="V633" t="n">
        <v>0</v>
      </c>
    </row>
    <row r="634">
      <c r="A634">
        <f>Skills!A17</f>
        <v/>
      </c>
      <c r="B634">
        <f>Skills!B17</f>
        <v/>
      </c>
      <c r="C634">
        <f>Inputs!$B$3&gt;=10</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IF(B653=0,0,O634/B653)</f>
        <v/>
      </c>
      <c r="Q634" t="n">
        <v>0</v>
      </c>
      <c r="R634" t="n">
        <v>0</v>
      </c>
      <c r="S634">
        <f>IFERROR(O634/N634,0)</f>
        <v/>
      </c>
      <c r="T634" t="n">
        <v>0</v>
      </c>
      <c r="V634" t="n">
        <v>0</v>
      </c>
    </row>
    <row r="635">
      <c r="A635">
        <f>Skills!A18</f>
        <v/>
      </c>
      <c r="B635">
        <f>Skills!B18</f>
        <v/>
      </c>
      <c r="C635">
        <f>Inputs!$B$3&gt;=33</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IF(B653=0,0,O635/B653)</f>
        <v/>
      </c>
      <c r="Q635" t="n">
        <v>0</v>
      </c>
      <c r="R635" t="n">
        <v>0</v>
      </c>
      <c r="S635">
        <f>IFERROR(O635/N635,0)</f>
        <v/>
      </c>
      <c r="T635" t="n">
        <v>0</v>
      </c>
      <c r="V635" t="n">
        <v>0</v>
      </c>
    </row>
    <row r="636">
      <c r="A636">
        <f>Skills!A19</f>
        <v/>
      </c>
      <c r="B636">
        <f>Skills!B19</f>
        <v/>
      </c>
      <c r="C636">
        <f>Inputs!$B$3&gt;=40</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IF(B653=0,0,O636/B653)</f>
        <v/>
      </c>
      <c r="Q636" t="n">
        <v>0</v>
      </c>
      <c r="R636" t="n">
        <v>0</v>
      </c>
      <c r="S636">
        <f>IFERROR(O636/N636,0)</f>
        <v/>
      </c>
      <c r="T636" t="n">
        <v>0</v>
      </c>
      <c r="V636" t="n">
        <v>0</v>
      </c>
    </row>
    <row r="637">
      <c r="A637">
        <f>Skills!A20</f>
        <v/>
      </c>
      <c r="B637">
        <f>Skills!B20</f>
        <v/>
      </c>
      <c r="C637">
        <f>Inputs!$B$3&gt;=43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IF(B653=0,0,O637/B653)</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IF(B653=0,0,O638/B653)</f>
        <v/>
      </c>
      <c r="Q638" t="n">
        <v>0</v>
      </c>
      <c r="R638" t="n">
        <v>0</v>
      </c>
      <c r="S638">
        <f>IFERROR(O638/N638,0)</f>
        <v/>
      </c>
      <c r="T638" t="n">
        <v>0</v>
      </c>
      <c r="V638" t="n">
        <v>0</v>
      </c>
    </row>
    <row r="639">
      <c r="A639">
        <f>Skills!A22</f>
        <v/>
      </c>
      <c r="B639">
        <f>Skills!B22</f>
        <v/>
      </c>
      <c r="C639">
        <f>Inputs!$B$3&gt;=75</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IF(B653=0,0,O639/B653)</f>
        <v/>
      </c>
      <c r="Q639" t="n">
        <v>0</v>
      </c>
      <c r="R639" t="n">
        <v>0</v>
      </c>
      <c r="S639">
        <f>IFERROR(O639/N639,0)</f>
        <v/>
      </c>
      <c r="T639" t="n">
        <v>0</v>
      </c>
      <c r="V639" t="n">
        <v>0</v>
      </c>
    </row>
    <row r="640">
      <c r="A640">
        <f>Skills!A23</f>
        <v/>
      </c>
      <c r="B640">
        <f>Skills!B23</f>
        <v/>
      </c>
      <c r="C640">
        <f>TRUE</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IF(B653=0,0,O640/B653)</f>
        <v/>
      </c>
      <c r="Q640">
        <f>IFERROR(1/(IF(Inputs!$B$38="pvp",15,MAX(0.1,Skills!D23-IF(Skills!E23=TRUE,Inputs!$B$32,0)))*(1-IF(AND(ArtifactsInput!$M$27,Inputs!$B$4="Chapter Hunt"),CHOOSE(ArtifactsInput!$N$27+1,20,24,28,32,36,40),0)/100)),0)</f>
        <v/>
      </c>
      <c r="R640">
        <f>IF(AND(Inputs!$B$38&lt;&gt;"pvp",Inputs!$B$43&gt;0),IF(Inputs!$B$43&lt;=0,0,(INT(Inputs!$B$43/(IF(Inputs!$B$38="pvp",15,MAX(0.1,Skills!D23-IF(Skills!E23=TRUE,Inputs!$B$32,0)))*(1-IF(AND(ArtifactsInput!$M$27,Inputs!$B$4="Chapter Hunt"),CHOOSE(ArtifactsInput!$N$27+1,20,24,28,32,36,40),0)/100)))+1)),0)</f>
        <v/>
      </c>
      <c r="S640">
        <f>IFERROR(O640/N640,0)</f>
        <v/>
      </c>
      <c r="T640" t="n">
        <v>0</v>
      </c>
      <c r="V640" t="n">
        <v>0</v>
      </c>
    </row>
    <row r="642">
      <c r="A642" t="inlineStr">
        <is>
          <t>Attack% Bucket Multiplier</t>
        </is>
      </c>
      <c r="B642">
        <f>(1+(((C630=TRUE)*F630*5/7)+((C636=TRUE)*(F636-Calc!F19))+(IF(ArtifactsInput!$M$21,CHOOSE(ArtifactsInput!$N$21+1,25,30,35,40,45,50)*(IF(OR(Inputs!$B$4="Chapter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 (Nimble Feet, duty-cycle averaged)</t>
        </is>
      </c>
      <c r="B644">
        <f>((C640=TRUE)*F640*IF(AND(Inputs!$B$38&lt;&gt;"pvp",Inputs!$B$43&gt;0),(((R640-1)*(Skills!T23*(1+Inputs!$B$34/100))+MIN((Skills!T23*(1+Inputs!$B$34/100)),MAX(0,Inputs!$B$43-((R640-1)*Skills!D23))))/Inputs!$B$43),IF(Inputs!$B$38="pvp",MIN((Skills!T23*(1+Inputs!$B$34/100)),15)/15,(Skills!T23*(1+Inputs!$B$34/100))/Skills!D23)))</f>
        <v/>
      </c>
    </row>
    <row r="645">
      <c r="A645" t="inlineStr">
        <is>
          <t>Actions Per Second</t>
        </is>
      </c>
      <c r="B645">
        <f>1+MIN(150,150*(1-(1-(Inputs!$B$11+((C634=TRUE)*(F634-Calc!F17))+((C635=TRUE)*(F635-Calc!F18)))/150)*(1-B644/150)))/100</f>
        <v/>
      </c>
    </row>
    <row r="646">
      <c r="A646" t="inlineStr">
        <is>
          <t>Skill + Buff Cast Rate</t>
        </is>
      </c>
      <c r="B646">
        <f>IF(AND(Inputs!$B$38&lt;&gt;"pvp",Inputs!$B$43&gt;0),SUMPRODUCT((Skills!E2:E23=TRUE)*(C619:C640=TRUE)*R619:R640*Skills!F2:F23)/Inputs!$B$43,SUMPRODUCT((Skills!E2:E23=TRUE)*(C619:C640=TRUE)*Q619:Q640*Skills!F2:F23))</f>
        <v/>
      </c>
    </row>
    <row r="647">
      <c r="A647" t="inlineStr">
        <is>
          <t>Hook Bomber Casts Per Second</t>
        </is>
      </c>
      <c r="B647">
        <f>MAX(0,B645-B646)</f>
        <v/>
      </c>
    </row>
    <row r="648">
      <c r="A648" t="inlineStr">
        <is>
          <t>Global Critical Damage Bonus % (unused)</t>
        </is>
      </c>
      <c r="B648" t="n">
        <v>0</v>
      </c>
    </row>
    <row r="649">
      <c r="A649" t="inlineStr">
        <is>
          <t>Global Final Damage Bonus % (Serpent Scale + Crossbones + Time Leap + Speed Infusion)</t>
        </is>
      </c>
      <c r="B649">
        <f>((C622=TRUE)*F622*((10+IF(Inputs!$B$3&gt;=94,5,0))/((10+IF(Inputs!$B$3&gt;=94,5,0))+5/(B647*(1+IF(Inputs!$B$3&gt;=104,1,0))))))+((C631=TRUE)*F631)+((C632=TRUE)*F632)+((Inputs!$B$3&gt;=110)*20*(B645-1))</f>
        <v/>
      </c>
    </row>
    <row r="650">
      <c r="A650" t="inlineStr">
        <is>
          <t>Buff-Casting Startup Delay (s, fixed-duration only)</t>
        </is>
      </c>
      <c r="B650">
        <f>IF(AND(Inputs!$B$38&lt;&gt;"pvp",Inputs!$B$43&gt;0),SUMPRODUCT((Skills!T2:T23&gt;0)*(Skills!E2:E23=TRUE)*(C619:C640=TRUE))/B645,0)</f>
        <v/>
      </c>
    </row>
    <row r="651">
      <c r="A651" t="inlineStr">
        <is>
          <t>Boss-Only Total DPS (this block's swept value)</t>
        </is>
      </c>
      <c r="B651">
        <f>SUM(T619:T640)</f>
        <v/>
      </c>
    </row>
    <row r="652">
      <c r="A652" t="inlineStr">
        <is>
          <t>Normal-Only Total DPS (this block's swept value)</t>
        </is>
      </c>
      <c r="B652">
        <f>SUM(V619:V640)</f>
        <v/>
      </c>
    </row>
    <row r="653">
      <c r="A653" s="6" t="inlineStr">
        <is>
          <t>TOTAL DPS</t>
        </is>
      </c>
      <c r="B653" s="6">
        <f>SUM(O619:O640)</f>
        <v/>
      </c>
    </row>
    <row r="656">
      <c r="A656" s="6" t="inlineStr">
        <is>
          <t>Stat: SKILL_DAMAGE %</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t="n">
        <v>0</v>
      </c>
      <c r="R658" t="n">
        <v>0</v>
      </c>
      <c r="S658">
        <f>IFERROR(O658/N658,0)</f>
        <v/>
      </c>
      <c r="T658">
        <f>IF(C658,(Skills!G2*N658*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Skills!G3*IF(Skills!H3&gt;0,Skills!I3/Skills!H3,1)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IF(B692=0,0,O659/B692)</f>
        <v/>
      </c>
      <c r="Q659" t="n">
        <v>0</v>
      </c>
      <c r="R659" t="n">
        <v>0</v>
      </c>
      <c r="S659">
        <f>IFERROR(O659/N659,0)</f>
        <v/>
      </c>
      <c r="T659">
        <f>IF(C659,(Skills!G3*H659*N659*B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IF(C659,(Skills!G3*H659*N659*B686)*IF(Inputs!$B$38="pvp",1,(1+(Inputs!$B$21+Skills!Q3+(IF(ArtifactsInput!$M$33,CHOOSE(ArtifactsInput!$N$33+1,30,36,42,48,54,60),0))+(IF(AND(ArtifactsInput!$M$35,Inputs!$B$4&lt;&gt;"Chapter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Inputs!$B$3&gt;=60</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Skills!G4*IF(Skills!H4&gt;0,Skills!I4/Skills!H4,1)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t="n">
        <v>0</v>
      </c>
      <c r="R660" t="n">
        <v>0</v>
      </c>
      <c r="S660">
        <f>IFERROR(O660/N660,0)</f>
        <v/>
      </c>
      <c r="T660">
        <f>IF(C660,(Skills!G4*H660*N660*B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IF(C660,(Skills!G4*H660*N660*B686)*IF(Inputs!$B$38="pvp",1,(1+(Inputs!$B$21+Skills!Q4+(IF(ArtifactsInput!$M$33,CHOOSE(ArtifactsInput!$N$33+1,30,36,42,48,54,60),0))+(IF(AND(ArtifactsInput!$M$35,Inputs!$B$4&lt;&gt;"Chapter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Inputs!$B$3&gt;=60</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t="inlineStr"/>
      <c r="K661" t="inlineStr"/>
      <c r="L661" t="inlineStr"/>
      <c r="M661" t="inlineStr"/>
      <c r="N661" t="inlineStr"/>
      <c r="O661">
        <f>(1-Summary!$B$11)*T661+Summary!$B$11*V661</f>
        <v/>
      </c>
      <c r="P661">
        <f>IF(B692=0,0,O661/B692)</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IF(B692=0,0,O662/B692)</f>
        <v/>
      </c>
      <c r="Q662">
        <f>IFERROR(1/(IF(Inputs!$B$38="pvp",15,MAX(0.1,Skills!D6-IF(Skills!E6=TRUE,Inputs!$B$32,0)))*(1-IF(AND(ArtifactsInput!$M$27,Inputs!$B$4="Chapter Hunt"),CHOOSE(ArtifactsInput!$N$27+1,20,24,28,32,36,40),0)/100)),0)</f>
        <v/>
      </c>
      <c r="R662">
        <f>IF(AND(Inputs!$B$38&lt;&gt;"pvp",Inputs!$B$43&gt;0),IF(MAX(0,Inputs!$B$43-B689)&lt;=0,0,(INT(MAX(0,Inputs!$B$43-B689)/(IF(Inputs!$B$38="pvp",15,MAX(0.1,Skills!D6-IF(Skills!E6=TRUE,Inputs!$B$32,0)))*(1-IF(AND(ArtifactsInput!$M$27,Inputs!$B$4="Chapter Hunt"),CHOOSE(ArtifactsInput!$N$27+1,20,24,28,32,36,40),0)/100)))+1)),0)</f>
        <v/>
      </c>
      <c r="S662">
        <f>IFERROR(O662/N662,0)</f>
        <v/>
      </c>
      <c r="T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Inputs!$B$3&gt;=100</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IF(B692=0,0,O663/B692)</f>
        <v/>
      </c>
      <c r="Q663">
        <f>IFERROR(1/(IF(Inputs!$B$38="pvp",15,MAX(0.1,Skills!D7-IF(Skills!E7=TRUE,Inputs!$B$32,0)))*(1-IF(AND(ArtifactsInput!$M$27,Inputs!$B$4="Chapter Hunt"),CHOOSE(ArtifactsInput!$N$27+1,20,24,28,32,36,40),0)/100)),0)</f>
        <v/>
      </c>
      <c r="R663">
        <f>IF(AND(Inputs!$B$38&lt;&gt;"pvp",Inputs!$B$43&gt;0),IF(MAX(0,Inputs!$B$43-B689)&lt;=0,0,(INT(MAX(0,Inputs!$B$43-B689)/(IF(Inputs!$B$38="pvp",15,MAX(0.1,Skills!D7-IF(Skills!E7=TRUE,Inputs!$B$32,0)))*(1-IF(AND(ArtifactsInput!$M$27,Inputs!$B$4="Chapter Hunt"),CHOOSE(ArtifactsInput!$N$27+1,20,24,28,32,36,40),0)/100)))+1)),0)</f>
        <v/>
      </c>
      <c r="S663">
        <f>IFERROR(O663/N663,0)</f>
        <v/>
      </c>
      <c r="T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$21+Skills!Q7+(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Skills!G8*IF(Skills!H8&gt;0,Skills!I8/Skills!H8,1)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IF(B692=0,0,O664/B692)</f>
        <v/>
      </c>
      <c r="Q664">
        <f>IFERROR(1/(IF(Inputs!$B$38="pvp",15,MAX(0.1,Skills!D8-IF(Skills!E8=TRUE,Inputs!$B$32,0)))*(1-IF(AND(ArtifactsInput!$M$27,Inputs!$B$4="Chapter Hunt"),CHOOSE(ArtifactsInput!$N$27+1,20,24,28,32,36,40),0)/100)),0)</f>
        <v/>
      </c>
      <c r="R664">
        <f>IF(AND(Inputs!$B$38&lt;&gt;"pvp",Inputs!$B$43&gt;0),IF(MAX(0,Inputs!$B$43-B689)&lt;=0,0,(INT(MAX(0,Inputs!$B$43-B689)/(IF(Inputs!$B$38="pvp",15,MAX(0.1,Skills!D8-IF(Skills!E8=TRUE,Inputs!$B$32,0)))*(1-IF(AND(ArtifactsInput!$M$27,Inputs!$B$4="Chapter Hunt"),CHOOSE(ArtifactsInput!$N$27+1,20,24,28,32,36,40),0)/100)))+1)),0)</f>
        <v/>
      </c>
      <c r="S664">
        <f>IFERROR(O664/N664,0)</f>
        <v/>
      </c>
      <c r="T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Inputs!$B$3&gt;=110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IF(B692=0,0,O665/B692)</f>
        <v/>
      </c>
      <c r="Q665">
        <f>IFERROR(1/(IF(Inputs!$B$38="pvp",15,MAX(0.1,Skills!D9-IF(Skills!E9=TRUE,Inputs!$B$32,0)))*(1-IF(AND(ArtifactsInput!$M$27,Inputs!$B$4="Chapter Hunt"),CHOOSE(ArtifactsInput!$N$27+1,20,24,28,32,36,40),0)/100)),0)</f>
        <v/>
      </c>
      <c r="R665">
        <f>IF(AND(Inputs!$B$38&lt;&gt;"pvp",Inputs!$B$43&gt;0),IF(MAX(0,Inputs!$B$43-B689)&lt;=0,0,(INT(MAX(0,Inputs!$B$43-B689)/(IF(Inputs!$B$38="pvp",15,MAX(0.1,Skills!D9-IF(Skills!E9=TRUE,Inputs!$B$32,0)))*(1-IF(AND(ArtifactsInput!$M$27,Inputs!$B$4="Chapter Hunt"),CHOOSE(ArtifactsInput!$N$27+1,20,24,28,32,36,40),0)/100)))+1)),0)</f>
        <v/>
      </c>
      <c r="S665">
        <f>IFERROR(O665/N665,0)</f>
        <v/>
      </c>
      <c r="T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Inputs!$B$3&gt;=103</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IF(B692=0,0,O666/B692)</f>
        <v/>
      </c>
      <c r="Q666">
        <f>IFERROR(1/(IF(Inputs!$B$38="pvp",15,MAX(0.1,Skills!D10-IF(Skills!E10=TRUE,Inputs!$B$32,0)))*(1-IF(AND(ArtifactsInput!$M$27,Inputs!$B$4="Chapter Hunt"),CHOOSE(ArtifactsInput!$N$27+1,20,24,28,32,36,40),0)/100)),0)</f>
        <v/>
      </c>
      <c r="R666">
        <f>IF(AND(Inputs!$B$38&lt;&gt;"pvp",Inputs!$B$43&gt;0),IF(MAX(0,Inputs!$B$43-B689)&lt;=0,0,(INT(MAX(0,Inputs!$B$43-B689)/(IF(Inputs!$B$38="pvp",15,MAX(0.1,Skills!D10-IF(Skills!E10=TRUE,Inputs!$B$32,0)))*(1-IF(AND(ArtifactsInput!$M$27,Inputs!$B$4="Chapter Hunt"),CHOOSE(ArtifactsInput!$N$27+1,20,24,28,32,36,40),0)/100)))+1)),0)</f>
        <v/>
      </c>
      <c r="S666">
        <f>IFERROR(O666/N666,0)</f>
        <v/>
      </c>
      <c r="T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IF(B692=0,0,O667/B692)</f>
        <v/>
      </c>
      <c r="Q667">
        <f>IFERROR(1/(IF(Inputs!$B$38="pvp",15,MAX(0.1,Skills!D11-IF(Skills!E11=TRUE,Inputs!$B$32,0)))*(1-IF(AND(ArtifactsInput!$M$27,Inputs!$B$4="Chapter Hunt"),CHOOSE(ArtifactsInput!$N$27+1,20,24,28,32,36,40),0)/100)),0)</f>
        <v/>
      </c>
      <c r="R667">
        <f>IF(AND(Inputs!$B$38&lt;&gt;"pvp",Inputs!$B$43&gt;0),IF(MAX(0,Inputs!$B$43-B689)&lt;=0,0,(INT(MAX(0,Inputs!$B$43-B689)/(IF(Inputs!$B$38="pvp",15,MAX(0.1,Skills!D11-IF(Skills!E11=TRUE,Inputs!$B$32,0)))*(1-IF(AND(ArtifactsInput!$M$27,Inputs!$B$4="Chapter Hunt"),CHOOSE(ArtifactsInput!$N$27+1,20,24,28,32,36,40),0)/100)))+1)),0)</f>
        <v/>
      </c>
      <c r="S667">
        <f>IFERROR(O667/N667,0)</f>
        <v/>
      </c>
      <c r="T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Inputs!$B$3&gt;=66</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Skills!A14</f>
        <v/>
      </c>
      <c r="B670">
        <f>Skills!B14</f>
        <v/>
      </c>
      <c r="C670">
        <f>Inputs!$B$3&gt;=107</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IF(B692=0,0,O670/B692)</f>
        <v/>
      </c>
      <c r="Q670" t="n">
        <v>0</v>
      </c>
      <c r="R670" t="n">
        <v>0</v>
      </c>
      <c r="S670">
        <f>IFERROR(O670/N670,0)</f>
        <v/>
      </c>
      <c r="T670" t="n">
        <v>0</v>
      </c>
      <c r="V670" t="n">
        <v>0</v>
      </c>
    </row>
    <row r="671">
      <c r="A671">
        <f>Skills!A15</f>
        <v/>
      </c>
      <c r="B671">
        <f>Skills!B15</f>
        <v/>
      </c>
      <c r="C671">
        <f>Inputs!$B$3&gt;=115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IF(B692=0,0,O671/B692)</f>
        <v/>
      </c>
      <c r="Q671" t="n">
        <v>0</v>
      </c>
      <c r="R671" t="n">
        <v>0</v>
      </c>
      <c r="S671">
        <f>IFERROR(O671/N671,0)</f>
        <v/>
      </c>
      <c r="T671" t="n">
        <v>0</v>
      </c>
      <c r="V671" t="n">
        <v>0</v>
      </c>
    </row>
    <row r="672">
      <c r="A672">
        <f>Skills!A16</f>
        <v/>
      </c>
      <c r="B672">
        <f>Skills!B16</f>
        <v/>
      </c>
      <c r="C672">
        <f>Inputs!$B$3&gt;=15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Skills!A17</f>
        <v/>
      </c>
      <c r="B673">
        <f>Skills!B17</f>
        <v/>
      </c>
      <c r="C673">
        <f>Inputs!$B$3&gt;=10</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IF(B692=0,0,O679/B692)</f>
        <v/>
      </c>
      <c r="Q679">
        <f>IFERROR(1/(IF(Inputs!$B$38="pvp",15,MAX(0.1,Skills!D23-IF(Skills!E23=TRUE,Inputs!$B$32,0)))*(1-IF(AND(ArtifactsInput!$M$27,Inputs!$B$4="Chapter Hunt"),CHOOSE(ArtifactsInput!$N$27+1,20,24,28,32,36,40),0)/100)),0)</f>
        <v/>
      </c>
      <c r="R679">
        <f>IF(AND(Inputs!$B$38&lt;&gt;"pvp",Inputs!$B$43&gt;0),IF(Inputs!$B$43&lt;=0,0,(INT(Inputs!$B$43/(IF(Inputs!$B$38="pvp",15,MAX(0.1,Skills!D23-IF(Skills!E23=TRUE,Inputs!$B$32,0)))*(1-IF(AND(ArtifactsInput!$M$27,Inputs!$B$4="Chapter Hunt"),CHOOSE(ArtifactsInput!$N$27+1,20,24,28,32,36,40),0)/100)))+1)),0)</f>
        <v/>
      </c>
      <c r="S679">
        <f>IFERROR(O679/N679,0)</f>
        <v/>
      </c>
      <c r="T679" t="n">
        <v>0</v>
      </c>
      <c r="V679" t="n">
        <v>0</v>
      </c>
    </row>
    <row r="681">
      <c r="A681" t="inlineStr">
        <is>
          <t>Attack% Bucket Multiplier</t>
        </is>
      </c>
      <c r="B681">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 (Nimble Feet, duty-cycle averaged)</t>
        </is>
      </c>
      <c r="B683">
        <f>((C679=TRUE)*F679*IF(AND(Inputs!$B$38&lt;&gt;"pvp",Inputs!$B$43&gt;0),(((R679-1)*(Skills!T23*(1+Inputs!$B$34/100))+MIN((Skills!T23*(1+Inputs!$B$34/100)),MAX(0,Inputs!$B$43-((R679-1)*Skills!D23))))/Inputs!$B$43),IF(Inputs!$B$38="pvp",MIN((Skills!T23*(1+Inputs!$B$34/100)),15)/15,(Skills!T23*(1+Inputs!$B$34/100))/Skills!D23)))</f>
        <v/>
      </c>
    </row>
    <row r="684">
      <c r="A684" t="inlineStr">
        <is>
          <t>Actions Per Second</t>
        </is>
      </c>
      <c r="B684">
        <f>1+MIN(150,150*(1-(1-(Inputs!$B$11+((C673=TRUE)*(F673-Calc!F17))+((C674=TRUE)*(F674-Calc!F18)))/150)*(1-B683/150)))/100</f>
        <v/>
      </c>
    </row>
    <row r="685">
      <c r="A685" t="inlineStr">
        <is>
          <t>Skill + Buff Cast Rate</t>
        </is>
      </c>
      <c r="B685">
        <f>IF(AND(Inputs!$B$38&lt;&gt;"pvp",Inputs!$B$43&gt;0),SUMPRODUCT((Skills!E2:E23=TRUE)*(C658:C679=TRUE)*R658:R679*Skills!F2:F23)/Inputs!$B$43,SUMPRODUCT((Skills!E2:E23=TRUE)*(C658:C679=TRUE)*Q658:Q679*Skills!F2:F23))</f>
        <v/>
      </c>
    </row>
    <row r="686">
      <c r="A686" t="inlineStr">
        <is>
          <t>Hook Bomber Casts Per Second</t>
        </is>
      </c>
      <c r="B686">
        <f>MAX(0,B684-B685)</f>
        <v/>
      </c>
    </row>
    <row r="687">
      <c r="A687" t="inlineStr">
        <is>
          <t>Global Critical Damage Bonus % (unused)</t>
        </is>
      </c>
      <c r="B687" t="n">
        <v>0</v>
      </c>
    </row>
    <row r="688">
      <c r="A688" t="inlineStr">
        <is>
          <t>Global Final Damage Bonus % (Serpent Scale + Crossbones + Time Leap + Speed Infusion)</t>
        </is>
      </c>
      <c r="B688">
        <f>((C661=TRUE)*F661*((10+IF(Inputs!$B$3&gt;=94,5,0))/((10+IF(Inputs!$B$3&gt;=94,5,0))+5/(B686*(1+IF(Inputs!$B$3&gt;=104,1,0))))))+((C670=TRUE)*F670)+((C671=TRUE)*F671)+((Inputs!$B$3&gt;=110)*20*(B684-1))</f>
        <v/>
      </c>
    </row>
    <row r="689">
      <c r="A689" t="inlineStr">
        <is>
          <t>Buff-Casting Startup Delay (s, fixed-duration only)</t>
        </is>
      </c>
      <c r="B689">
        <f>IF(AND(Inputs!$B$38&lt;&gt;"pvp",Inputs!$B$43&gt;0),SUMPRODUCT((Skills!T2:T23&gt;0)*(Skills!E2:E23=TRUE)*(C658:C679=TRUE))/B684,0)</f>
        <v/>
      </c>
    </row>
    <row r="690">
      <c r="A690" t="inlineStr">
        <is>
          <t>Boss-Only Total DPS (this block's swept value)</t>
        </is>
      </c>
      <c r="B690">
        <f>SUM(T658:T679)</f>
        <v/>
      </c>
    </row>
    <row r="691">
      <c r="A691" t="inlineStr">
        <is>
          <t>Normal-Only Total DPS (this block's swept value)</t>
        </is>
      </c>
      <c r="B691">
        <f>SUM(V658:V679)</f>
        <v/>
      </c>
    </row>
    <row r="692">
      <c r="A692" s="6" t="inlineStr">
        <is>
          <t>TOTAL DPS</t>
        </is>
      </c>
      <c r="B692" s="6">
        <f>SUM(O658:O679)</f>
        <v/>
      </c>
    </row>
    <row r="695">
      <c r="A695" s="6" t="inlineStr">
        <is>
          <t>Stat: Skill Level Bonus — 1st Job</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715=TRUE)*(F715-Calc!F20)),(Inputs!$B$23+0+(IF(ArtifactsInput!$M$15,CHOOSE(ArtifactsInput!$N$15+1,25,30,35,40,45,50)/100*(Inputs!$B$11-Inputs!$B$11),0))))/100+(Inputs!$B$23+0+(IF(ArtifactsInput!$M$15,CHOOSE(ArtifactsInput!$N$15+1,25,30,35,40,45,50)/100*(Inputs!$B$11-Inputs!$B$11),0)))/100)/2</f>
        <v/>
      </c>
      <c r="M697">
        <f>L697*(1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IF(B731=0,0,O697/B731)</f>
        <v/>
      </c>
      <c r="Q697" t="n">
        <v>0</v>
      </c>
      <c r="R697" t="n">
        <v>0</v>
      </c>
      <c r="S697">
        <f>IFERROR(O697/N697,0)</f>
        <v/>
      </c>
      <c r="T697">
        <f>IF(C697,(Skills!G2*N697*B725)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IF(C697,(Skills!G2*N697*B725)*IF(Inputs!$B$38="pvp",1,(1+(Inputs!$B$21+Skills!Q2+(IF(ArtifactsInput!$M$33,CHOOSE(ArtifactsInput!$N$33+1,30,36,42,48,54,60),0))+(IF(AND(ArtifactsInput!$M$35,Inputs!$B$4&lt;&gt;"Chapter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Inputs!$B$3&gt;=35</f>
        <v/>
      </c>
      <c r="D698">
        <f>IF(Skills!C3=1,60+(Inputs!$B$25+1)+Inputs!$B$29,IF(Skills!C3=2,90+Inputs!$B$26+Inputs!$B$29,IF(Skills!C3=3,120+Inputs!$B$27+Inputs!$B$29,MAX(0,(Inputs!$B$3-100)*3)+Inputs!$B$28+Inputs!$B$29)))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715=TRUE)*(F715-Calc!F20)),(Inputs!$B$23+0+(IF(ArtifactsInput!$M$15,CHOOSE(ArtifactsInput!$N$15+1,25,30,35,40,45,50)/100*(Inputs!$B$11-Inputs!$B$11),0))))/100+(Inputs!$B$23+0+(IF(ArtifactsInput!$M$15,CHOOSE(ArtifactsInput!$N$15+1,25,30,35,40,45,50)/100*(Inputs!$B$11-Inputs!$B$11),0)))/100)/2</f>
        <v/>
      </c>
      <c r="M698">
        <f>L698*(1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IF(B731=0,0,O698/B731)</f>
        <v/>
      </c>
      <c r="Q698" t="n">
        <v>0</v>
      </c>
      <c r="R698" t="n">
        <v>0</v>
      </c>
      <c r="S698">
        <f>IFERROR(O698/N698,0)</f>
        <v/>
      </c>
      <c r="T698">
        <f>IF(C698,(Skills!G3*H698*N698*B725)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IF(C698,(Skills!G3*H698*N698*B725)*IF(Inputs!$B$38="pvp",1,(1+(Inputs!$B$21+Skills!Q3+(IF(ArtifactsInput!$M$33,CHOOSE(ArtifactsInput!$N$33+1,30,36,42,48,54,60),0))+(IF(AND(ArtifactsInput!$M$35,Inputs!$B$4&lt;&gt;"Chapter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Inputs!$B$3&gt;=60</f>
        <v/>
      </c>
      <c r="D699">
        <f>IF(Skills!C4=1,60+(Inputs!$B$25+1)+Inputs!$B$29,IF(Skills!C4=2,90+Inputs!$B$26+Inputs!$B$29,IF(Skills!C4=3,120+Inputs!$B$27+Inputs!$B$29,MAX(0,(Inputs!$B$3-100)*3)+Inputs!$B$28+Inputs!$B$29)))</f>
        <v/>
      </c>
      <c r="E699">
        <f>INDEX(FactorTable!$B$2:$Y$301, MATCH(ROUND(MIN(300,MAX(1,D699)),0), FactorTable!$A$2:$A$301,0), Skills!M4+1)</f>
        <v/>
      </c>
      <c r="F699">
        <f>IF(Skills!N4=TRUE,(Skills!L4/10)*(E699/1000),Skills!L4/10)+Skills!O4</f>
        <v/>
      </c>
      <c r="G699">
        <f>Skills!G4*IF(Skills!H4&gt;0,Skills!I4/Skills!H4,1)</f>
        <v/>
      </c>
      <c r="H699">
        <f>1-(1-Skills!J4/100)^Skills!K4</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4="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715=TRUE)*(F715-Calc!F20)),(Inputs!$B$23+0+(IF(ArtifactsInput!$M$15,CHOOSE(ArtifactsInput!$N$15+1,25,30,35,40,45,50)/100*(Inputs!$B$11-Inputs!$B$11),0))))/100+(Inputs!$B$23+0+(IF(ArtifactsInput!$M$15,CHOOSE(ArtifactsInput!$N$15+1,25,30,35,40,45,50)/100*(Inputs!$B$11-Inputs!$B$11),0)))/100)/2</f>
        <v/>
      </c>
      <c r="M699">
        <f>L699*(1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IF(B731=0,0,O699/B731)</f>
        <v/>
      </c>
      <c r="Q699" t="n">
        <v>0</v>
      </c>
      <c r="R699" t="n">
        <v>0</v>
      </c>
      <c r="S699">
        <f>IFERROR(O699/N699,0)</f>
        <v/>
      </c>
      <c r="T699">
        <f>IF(C699,(Skills!G4*H699*N699*B725)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290*U698/1000</f>
        <v/>
      </c>
      <c r="V699">
        <f>IF(C699,(Skills!G4*H699*N699*B725)*IF(Inputs!$B$38="pvp",1,(1+(Inputs!$B$21+Skills!Q4+(IF(ArtifactsInput!$M$33,CHOOSE(ArtifactsInput!$N$33+1,30,36,42,48,54,60),0))+(IF(AND(ArtifactsInput!$M$35,Inputs!$B$4&lt;&gt;"Chapter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Skills!A5</f>
        <v/>
      </c>
      <c r="B700">
        <f>Skills!B5</f>
        <v/>
      </c>
      <c r="C700">
        <f>Inputs!$B$3&gt;=60</f>
        <v/>
      </c>
      <c r="D700">
        <f>IF(Skills!C5=1,60+(Inputs!$B$25+1)+Inputs!$B$29,IF(Skills!C5=2,90+Inputs!$B$26+Inputs!$B$29,IF(Skills!C5=3,120+Inputs!$B$27+Inputs!$B$29,MAX(0,(Inputs!$B$3-100)*3)+Inputs!$B$28+Inputs!$B$29)))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Skills!G5*IF(Skills!H5&gt;0,Skills!I5/Skills!H5,1)</f>
        <v/>
      </c>
      <c r="H700">
        <f>1-(1-Skills!J5/100)^Skills!K5</f>
        <v/>
      </c>
      <c r="I700" t="inlineStr">
        <is>
          <t>1</t>
        </is>
      </c>
      <c r="J700" t="inlineStr"/>
      <c r="K700" t="inlineStr"/>
      <c r="L700" t="inlineStr"/>
      <c r="M700" t="inlineStr"/>
      <c r="N700" t="inlineStr"/>
      <c r="O700">
        <f>(1-Summary!$B$11)*T700+Summary!$B$11*V700</f>
        <v/>
      </c>
      <c r="P700">
        <f>IF(B731=0,0,O700/B731)</f>
        <v/>
      </c>
      <c r="Q700" t="n">
        <v>0</v>
      </c>
      <c r="R700" t="n">
        <v>0</v>
      </c>
      <c r="S700">
        <f>IFERROR(O700/N700,0)</f>
        <v/>
      </c>
      <c r="T700" t="n">
        <v>0</v>
      </c>
      <c r="V700" t="n">
        <v>0</v>
      </c>
    </row>
    <row r="701">
      <c r="A701">
        <f>Skills!A6</f>
        <v/>
      </c>
      <c r="B701">
        <f>Skills!B6</f>
        <v/>
      </c>
      <c r="C701">
        <f>Inputs!$B$3&gt;=63</f>
        <v/>
      </c>
      <c r="D701">
        <f>IF(Skills!C6=1,60+(Inputs!$B$25+1)+Inputs!$B$29,IF(Skills!C6=2,90+Inputs!$B$26+Inputs!$B$29,IF(Skills!C6=3,120+Inputs!$B$27+Inputs!$B$29,MAX(0,(Inputs!$B$3-100)*3)+Inputs!$B$28+Inputs!$B$29)))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715=TRUE)*(F715-Calc!F20)),(Inputs!$B$23+0+(IF(ArtifactsInput!$M$15,CHOOSE(ArtifactsInput!$N$15+1,25,30,35,40,45,50)/100*(Inputs!$B$11-Inputs!$B$11),0))))/100+(Inputs!$B$23+0+(IF(ArtifactsInput!$M$15,CHOOSE(ArtifactsInput!$N$15+1,25,30,35,40,45,50)/100*(Inputs!$B$11-Inputs!$B$11),0)))/100)/2</f>
        <v/>
      </c>
      <c r="M701">
        <f>L701*(1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IF(B731=0,0,O701/B731)</f>
        <v/>
      </c>
      <c r="Q701">
        <f>IFERROR(1/(IF(Inputs!$B$38="pvp",15,MAX(0.1,Skills!D6-IF(Skills!E6=TRUE,Inputs!$B$32,0)))*(1-IF(AND(ArtifactsInput!$M$27,Inputs!$B$4="Chapter Hunt"),CHOOSE(ArtifactsInput!$N$27+1,20,24,28,32,36,40),0)/100)),0)</f>
        <v/>
      </c>
      <c r="R701">
        <f>IF(AND(Inputs!$B$38&lt;&gt;"pvp",Inputs!$B$43&gt;0),IF(MAX(0,Inputs!$B$43-B728)&lt;=0,0,(INT(MAX(0,Inputs!$B$43-B728)/(IF(Inputs!$B$38="pvp",15,MAX(0.1,Skills!D6-IF(Skills!E6=TRUE,Inputs!$B$32,0)))*(1-IF(AND(ArtifactsInput!$M$27,Inputs!$B$4="Chapter Hunt"),CHOOSE(ArtifactsInput!$N$27+1,20,24,28,32,36,40),0)/100)))+1)),0)</f>
        <v/>
      </c>
      <c r="S701">
        <f>IFERROR(O701/N701,0)</f>
        <v/>
      </c>
      <c r="T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Inputs!$B$3&gt;=100</f>
        <v/>
      </c>
      <c r="D702">
        <f>IF(Skills!C7=1,60+(Inputs!$B$25+1)+Inputs!$B$29,IF(Skills!C7=2,90+Inputs!$B$26+Inputs!$B$29,IF(Skills!C7=3,120+Inputs!$B$27+Inputs!$B$29,MAX(0,(Inputs!$B$3-100)*3)+Inputs!$B$28+Inputs!$B$29)))</f>
        <v/>
      </c>
      <c r="E702">
        <f>INDEX(FactorTable!$B$2:$Y$301, MATCH(ROUND(MIN(300,MAX(1,D702)),0), FactorTable!$A$2:$A$301,0), Skills!M7+1)</f>
        <v/>
      </c>
      <c r="F702">
        <f>IF(Skills!N7=TRUE,(Skills!L7/10)*(E702/1000),Skills!L7/10)+Skills!O7</f>
        <v/>
      </c>
      <c r="G702">
        <f>Skills!G7*IF(Skills!H7&gt;0,Skills!I7/Skills!H7,1)</f>
        <v/>
      </c>
      <c r="H702">
        <f>1-(1-Skills!J7/100)^Skills!K7</f>
        <v/>
      </c>
      <c r="I702" t="inlineStr">
        <is>
          <t>1</t>
        </is>
      </c>
      <c r="J702">
        <f>((Inputs!$B$6*(1+Inputs!$B$7/100))+(((Inputs!$B$12*(1+Inputs!$B$13/100))-(Inputs!$B$12*(1+Inputs!$B$13/100)))+0.25*(Inputs!$B$14-Inputs!$B$14))*(1+Inputs!$B$7/100))*(F702/100)</f>
        <v/>
      </c>
      <c r="K702">
        <f>J702*(1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C715=TRUE)*(F715-Calc!F20)),(Inputs!$B$23+0+(IF(ArtifactsInput!$M$15,CHOOSE(ArtifactsInput!$N$15+1,25,30,35,40,45,50)/100*(Inputs!$B$11-Inputs!$B$11),0))))/100+(Inputs!$B$23+0+(IF(ArtifactsInput!$M$15,CHOOSE(ArtifactsInput!$N$15+1,25,30,35,40,45,50)/100*(Inputs!$B$11-Inputs!$B$11),0)))/100)/2</f>
        <v/>
      </c>
      <c r="M702">
        <f>L702*(1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(1-Summary!$B$11)*T702+Summary!$B$11*V702</f>
        <v/>
      </c>
      <c r="P702">
        <f>IF(B731=0,0,O702/B731)</f>
        <v/>
      </c>
      <c r="Q702">
        <f>IFERROR(1/(IF(Inputs!$B$38="pvp",15,MAX(0.1,Skills!D7-IF(Skills!E7=TRUE,Inputs!$B$32,0)))*(1-IF(AND(ArtifactsInput!$M$27,Inputs!$B$4="Chapter Hunt"),CHOOSE(ArtifactsInput!$N$27+1,20,24,28,32,36,40),0)/100)),0)</f>
        <v/>
      </c>
      <c r="R702">
        <f>IF(AND(Inputs!$B$38&lt;&gt;"pvp",Inputs!$B$43&gt;0),IF(MAX(0,Inputs!$B$43-B728)&lt;=0,0,(INT(MAX(0,Inputs!$B$43-B728)/(IF(Inputs!$B$38="pvp",15,MAX(0.1,Skills!D7-IF(Skills!E7=TRUE,Inputs!$B$32,0)))*(1-IF(AND(ArtifactsInput!$M$27,Inputs!$B$4="Chapter Hunt"),CHOOSE(ArtifactsInput!$N$27+1,20,24,28,32,36,40),0)/100)))+1)),0)</f>
        <v/>
      </c>
      <c r="S702">
        <f>IFERROR(O702/N702,0)</f>
        <v/>
      </c>
      <c r="T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$21+Skills!Q7+(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Skills!A8</f>
        <v/>
      </c>
      <c r="B703">
        <f>Skills!B8</f>
        <v/>
      </c>
      <c r="C703">
        <f>Inputs!$B$3&gt;=110</f>
        <v/>
      </c>
      <c r="D703">
        <f>IF(Skills!C8=1,60+(Inputs!$B$25+1)+Inputs!$B$29,IF(Skills!C8=2,90+Inputs!$B$26+Inputs!$B$29,IF(Skills!C8=3,120+Inputs!$B$27+Inputs!$B$29,MAX(0,(Inputs!$B$3-100)*3)+Inputs!$B$28+Inputs!$B$29)))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715=TRUE)*(F715-Calc!F20)),(Inputs!$B$23+0+(IF(ArtifactsInput!$M$15,CHOOSE(ArtifactsInput!$N$15+1,25,30,35,40,45,50)/100*(Inputs!$B$11-Inputs!$B$11),0))))/100+(Inputs!$B$23+0+(IF(ArtifactsInput!$M$15,CHOOSE(ArtifactsInput!$N$15+1,25,30,35,40,45,50)/100*(Inputs!$B$11-Inputs!$B$11),0)))/100)/2</f>
        <v/>
      </c>
      <c r="M703">
        <f>L703*(1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IF(B731=0,0,O703/B731)</f>
        <v/>
      </c>
      <c r="Q703">
        <f>IFERROR(1/(IF(Inputs!$B$38="pvp",15,MAX(0.1,Skills!D8-IF(Skills!E8=TRUE,Inputs!$B$32,0)))*(1-IF(AND(ArtifactsInput!$M$27,Inputs!$B$4="Chapter Hunt"),CHOOSE(ArtifactsInput!$N$27+1,20,24,28,32,36,40),0)/100)),0)</f>
        <v/>
      </c>
      <c r="R703">
        <f>IF(AND(Inputs!$B$38&lt;&gt;"pvp",Inputs!$B$43&gt;0),IF(MAX(0,Inputs!$B$43-B728)&lt;=0,0,(INT(MAX(0,Inputs!$B$43-B728)/(IF(Inputs!$B$38="pvp",15,MAX(0.1,Skills!D8-IF(Skills!E8=TRUE,Inputs!$B$32,0)))*(1-IF(AND(ArtifactsInput!$M$27,Inputs!$B$4="Chapter Hunt"),CHOOSE(ArtifactsInput!$N$27+1,20,24,28,32,36,40),0)/100)))+1)),0)</f>
        <v/>
      </c>
      <c r="S703">
        <f>IFERROR(O703/N703,0)</f>
        <v/>
      </c>
      <c r="T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Inputs!$B$3&gt;=110</f>
        <v/>
      </c>
      <c r="D704">
        <f>IF(Skills!C9=1,60+(Inputs!$B$25+1)+Inputs!$B$29,IF(Skills!C9=2,90+Inputs!$B$26+Inputs!$B$29,IF(Skills!C9=3,120+Inputs!$B$27+Inputs!$B$29,MAX(0,(Inputs!$B$3-100)*3)+Inputs!$B$28+Inputs!$B$29)))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715=TRUE)*(F715-Calc!F20)),(Inputs!$B$23+0+(IF(ArtifactsInput!$M$15,CHOOSE(ArtifactsInput!$N$15+1,25,30,35,40,45,50)/100*(Inputs!$B$11-Inputs!$B$11),0))))/100+(Inputs!$B$23+0+(IF(ArtifactsInput!$M$15,CHOOSE(ArtifactsInput!$N$15+1,25,30,35,40,45,50)/100*(Inputs!$B$11-Inputs!$B$11),0)))/100)/2</f>
        <v/>
      </c>
      <c r="M704">
        <f>L704*(1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IF(B731=0,0,O704/B731)</f>
        <v/>
      </c>
      <c r="Q704">
        <f>IFERROR(1/(IF(Inputs!$B$38="pvp",15,MAX(0.1,Skills!D9-IF(Skills!E9=TRUE,Inputs!$B$32,0)))*(1-IF(AND(ArtifactsInput!$M$27,Inputs!$B$4="Chapter Hunt"),CHOOSE(ArtifactsInput!$N$27+1,20,24,28,32,36,40),0)/100)),0)</f>
        <v/>
      </c>
      <c r="R704">
        <f>IF(AND(Inputs!$B$38&lt;&gt;"pvp",Inputs!$B$43&gt;0),IF(MAX(0,Inputs!$B$43-B728)&lt;=0,0,(INT(MAX(0,Inputs!$B$43-B728)/(IF(Inputs!$B$38="pvp",15,MAX(0.1,Skills!D9-IF(Skills!E9=TRUE,Inputs!$B$32,0)))*(1-IF(AND(ArtifactsInput!$M$27,Inputs!$B$4="Chapter Hunt"),CHOOSE(ArtifactsInput!$N$27+1,20,24,28,32,36,40),0)/100)))+1)),0)</f>
        <v/>
      </c>
      <c r="S704">
        <f>IFERROR(O704/N704,0)</f>
        <v/>
      </c>
      <c r="T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Inputs!$B$3&gt;=103</f>
        <v/>
      </c>
      <c r="D705">
        <f>IF(Skills!C10=1,60+(Inputs!$B$25+1)+Inputs!$B$29,IF(Skills!C10=2,90+Inputs!$B$26+Inputs!$B$29,IF(Skills!C10=3,120+Inputs!$B$27+Inputs!$B$29,MAX(0,(Inputs!$B$3-100)*3)+Inputs!$B$28+Inputs!$B$29)))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715=TRUE)*(F715-Calc!F20)),(Inputs!$B$23+0+(IF(ArtifactsInput!$M$15,CHOOSE(ArtifactsInput!$N$15+1,25,30,35,40,45,50)/100*(Inputs!$B$11-Inputs!$B$11),0))))/100+(Inputs!$B$23+0+(IF(ArtifactsInput!$M$15,CHOOSE(ArtifactsInput!$N$15+1,25,30,35,40,45,50)/100*(Inputs!$B$11-Inputs!$B$11),0)))/100)/2</f>
        <v/>
      </c>
      <c r="M705">
        <f>L705*(1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IF(B731=0,0,O705/B731)</f>
        <v/>
      </c>
      <c r="Q705">
        <f>IFERROR(1/(IF(Inputs!$B$38="pvp",15,MAX(0.1,Skills!D10-IF(Skills!E10=TRUE,Inputs!$B$32,0)))*(1-IF(AND(ArtifactsInput!$M$27,Inputs!$B$4="Chapter Hunt"),CHOOSE(ArtifactsInput!$N$27+1,20,24,28,32,36,40),0)/100)),0)</f>
        <v/>
      </c>
      <c r="R705">
        <f>IF(AND(Inputs!$B$38&lt;&gt;"pvp",Inputs!$B$43&gt;0),IF(MAX(0,Inputs!$B$43-B728)&lt;=0,0,(INT(MAX(0,Inputs!$B$43-B728)/(IF(Inputs!$B$38="pvp",15,MAX(0.1,Skills!D10-IF(Skills!E10=TRUE,Inputs!$B$32,0)))*(1-IF(AND(ArtifactsInput!$M$27,Inputs!$B$4="Chapter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Inputs!$B$3&gt;=113</f>
        <v/>
      </c>
      <c r="D706">
        <f>IF(Skills!C11=1,60+(Inputs!$B$25+1)+Inputs!$B$29,IF(Skills!C11=2,90+Inputs!$B$26+Inputs!$B$29,IF(Skills!C11=3,120+Inputs!$B$27+Inputs!$B$29,MAX(0,(Inputs!$B$3-100)*3)+Inputs!$B$28+Inputs!$B$29)))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715=TRUE)*(F715-Calc!F20)),(Inputs!$B$23+0+(IF(ArtifactsInput!$M$15,CHOOSE(ArtifactsInput!$N$15+1,25,30,35,40,45,50)/100*(Inputs!$B$11-Inputs!$B$11),0))))/100+(Inputs!$B$23+0+(IF(ArtifactsInput!$M$15,CHOOSE(ArtifactsInput!$N$15+1,25,30,35,40,45,50)/100*(Inputs!$B$11-Inputs!$B$11),0)))/100)/2</f>
        <v/>
      </c>
      <c r="M706">
        <f>L706*(1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IF(B731=0,0,O706/B731)</f>
        <v/>
      </c>
      <c r="Q706">
        <f>IFERROR(1/(IF(Inputs!$B$38="pvp",15,MAX(0.1,Skills!D11-IF(Skills!E11=TRUE,Inputs!$B$32,0)))*(1-IF(AND(ArtifactsInput!$M$27,Inputs!$B$4="Chapter Hunt"),CHOOSE(ArtifactsInput!$N$27+1,20,24,28,32,36,40),0)/100)),0)</f>
        <v/>
      </c>
      <c r="R706">
        <f>IF(AND(Inputs!$B$38&lt;&gt;"pvp",Inputs!$B$43&gt;0),IF(MAX(0,Inputs!$B$43-B728)&lt;=0,0,(INT(MAX(0,Inputs!$B$43-B728)/(IF(Inputs!$B$38="pvp",15,MAX(0.1,Skills!D11-IF(Skills!E11=TRUE,Inputs!$B$32,0)))*(1-IF(AND(ArtifactsInput!$M$27,Inputs!$B$4="Chapter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IF(Skills!C12=1,60+(Inputs!$B$25+1)+Inputs!$B$29,IF(Skills!C12=2,90+Inputs!$B$26+Inputs!$B$29,IF(Skills!C12=3,120+Inputs!$B$27+Inputs!$B$29,MAX(0,(Inputs!$B$3-100)*3)+Inputs!$B$28+Inputs!$B$29)))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Inputs!$B$3&gt;=66</f>
        <v/>
      </c>
      <c r="D708">
        <f>IF(Skills!C13=1,60+(Inputs!$B$25+1)+Inputs!$B$29,IF(Skills!C13=2,90+Inputs!$B$26+Inputs!$B$29,IF(Skills!C13=3,120+Inputs!$B$27+Inputs!$B$29,MAX(0,(Inputs!$B$3-100)*3)+Inputs!$B$28+Inputs!$B$29)))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Skills!G13*IF(Skills!H13&gt;0,Skills!I13/Skills!H13,1)</f>
        <v/>
      </c>
      <c r="H708">
        <f>1-(1-Skills!J13/100)^Skills!K13</f>
        <v/>
      </c>
      <c r="I708" t="inlineStr">
        <is>
          <t>1</t>
        </is>
      </c>
      <c r="J708" t="inlineStr"/>
      <c r="K708" t="inlineStr"/>
      <c r="L708" t="inlineStr"/>
      <c r="M708" t="inlineStr"/>
      <c r="N708" t="inlineStr"/>
      <c r="O708">
        <f>(1-Summary!$B$11)*T708+Summary!$B$11*V708</f>
        <v/>
      </c>
      <c r="P708">
        <f>IF(B731=0,0,O708/B731)</f>
        <v/>
      </c>
      <c r="Q708" t="n">
        <v>0</v>
      </c>
      <c r="R708" t="n">
        <v>0</v>
      </c>
      <c r="S708">
        <f>IFERROR(O708/N708,0)</f>
        <v/>
      </c>
      <c r="T708" t="n">
        <v>0</v>
      </c>
      <c r="V708" t="n">
        <v>0</v>
      </c>
    </row>
    <row r="709">
      <c r="A709">
        <f>Skills!A14</f>
        <v/>
      </c>
      <c r="B709">
        <f>Skills!B14</f>
        <v/>
      </c>
      <c r="C709">
        <f>Inputs!$B$3&gt;=107</f>
        <v/>
      </c>
      <c r="D709">
        <f>IF(Skills!C14=1,60+(Inputs!$B$25+1)+Inputs!$B$29,IF(Skills!C14=2,90+Inputs!$B$26+Inputs!$B$29,IF(Skills!C14=3,120+Inputs!$B$27+Inputs!$B$29,MAX(0,(Inputs!$B$3-100)*3)+Inputs!$B$28+Inputs!$B$29)))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f>Skills!G14*IF(Skills!H14&gt;0,Skills!I14/Skills!H14,1)</f>
        <v/>
      </c>
      <c r="H709">
        <f>1-(1-Skills!J14/100)^Skills!K14</f>
        <v/>
      </c>
      <c r="I709" t="inlineStr">
        <is>
          <t>1</t>
        </is>
      </c>
      <c r="J709" t="inlineStr"/>
      <c r="K709" t="inlineStr"/>
      <c r="L709" t="inlineStr"/>
      <c r="M709" t="inlineStr"/>
      <c r="N709" t="inlineStr"/>
      <c r="O709">
        <f>(1-Summary!$B$11)*T709+Summary!$B$11*V709</f>
        <v/>
      </c>
      <c r="P709">
        <f>IF(B731=0,0,O709/B731)</f>
        <v/>
      </c>
      <c r="Q709" t="n">
        <v>0</v>
      </c>
      <c r="R709" t="n">
        <v>0</v>
      </c>
      <c r="S709">
        <f>IFERROR(O709/N709,0)</f>
        <v/>
      </c>
      <c r="T709" t="n">
        <v>0</v>
      </c>
      <c r="V709" t="n">
        <v>0</v>
      </c>
    </row>
    <row r="710">
      <c r="A710">
        <f>Skills!A15</f>
        <v/>
      </c>
      <c r="B710">
        <f>Skills!B15</f>
        <v/>
      </c>
      <c r="C710">
        <f>Inputs!$B$3&gt;=115</f>
        <v/>
      </c>
      <c r="D710">
        <f>IF(Skills!C15=1,60+(Inputs!$B$25+1)+Inputs!$B$29,IF(Skills!C15=2,90+Inputs!$B$26+Inputs!$B$29,IF(Skills!C15=3,120+Inputs!$B$27+Inputs!$B$29,MAX(0,(Inputs!$B$3-100)*3)+Inputs!$B$28+Inputs!$B$29)))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Skills!G15*IF(Skills!H15&gt;0,Skills!I15/Skills!H15,1)</f>
        <v/>
      </c>
      <c r="H710">
        <f>1-(1-Skills!J15/100)^Skills!K15</f>
        <v/>
      </c>
      <c r="I710" t="inlineStr">
        <is>
          <t>1</t>
        </is>
      </c>
      <c r="J710" t="inlineStr"/>
      <c r="K710" t="inlineStr"/>
      <c r="L710" t="inlineStr"/>
      <c r="M710" t="inlineStr"/>
      <c r="N710" t="inlineStr"/>
      <c r="O710">
        <f>(1-Summary!$B$11)*T710+Summary!$B$11*V710</f>
        <v/>
      </c>
      <c r="P710">
        <f>IF(B731=0,0,O710/B731)</f>
        <v/>
      </c>
      <c r="Q710" t="n">
        <v>0</v>
      </c>
      <c r="R710" t="n">
        <v>0</v>
      </c>
      <c r="S710">
        <f>IFERROR(O710/N710,0)</f>
        <v/>
      </c>
      <c r="T710" t="n">
        <v>0</v>
      </c>
      <c r="V710" t="n">
        <v>0</v>
      </c>
    </row>
    <row r="711">
      <c r="A711">
        <f>Skills!A16</f>
        <v/>
      </c>
      <c r="B711">
        <f>Skills!B16</f>
        <v/>
      </c>
      <c r="C711">
        <f>Inputs!$B$3&gt;=15</f>
        <v/>
      </c>
      <c r="D711">
        <f>IF(Skills!C16=1,60+(Inputs!$B$25+1)+Inputs!$B$29,IF(Skills!C16=2,90+Inputs!$B$26+Inputs!$B$29,IF(Skills!C16=3,120+Inputs!$B$27+Inputs!$B$29,MAX(0,(Inputs!$B$3-100)*3)+Inputs!$B$28+Inputs!$B$29)))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Skills!G16*IF(Skills!H16&gt;0,Skills!I16/Skills!H16,1)</f>
        <v/>
      </c>
      <c r="H711">
        <f>1-(1-Skills!J16/100)^Skills!K16</f>
        <v/>
      </c>
      <c r="I711" t="inlineStr">
        <is>
          <t>1</t>
        </is>
      </c>
      <c r="J711" t="inlineStr"/>
      <c r="K711" t="inlineStr"/>
      <c r="L711" t="inlineStr"/>
      <c r="M711" t="inlineStr"/>
      <c r="N711" t="inlineStr"/>
      <c r="O711">
        <f>(1-Summary!$B$11)*T711+Summary!$B$11*V711</f>
        <v/>
      </c>
      <c r="P711">
        <f>IF(B731=0,0,O711/B731)</f>
        <v/>
      </c>
      <c r="Q711" t="n">
        <v>0</v>
      </c>
      <c r="R711" t="n">
        <v>0</v>
      </c>
      <c r="S711">
        <f>IFERROR(O711/N711,0)</f>
        <v/>
      </c>
      <c r="T711" t="n">
        <v>0</v>
      </c>
      <c r="V711" t="n">
        <v>0</v>
      </c>
    </row>
    <row r="712">
      <c r="A712">
        <f>Skills!A17</f>
        <v/>
      </c>
      <c r="B712">
        <f>Skills!B17</f>
        <v/>
      </c>
      <c r="C712">
        <f>Inputs!$B$3&gt;=10</f>
        <v/>
      </c>
      <c r="D712">
        <f>IF(Skills!C17=1,60+(Inputs!$B$25+1)+Inputs!$B$29,IF(Skills!C17=2,90+Inputs!$B$26+Inputs!$B$29,IF(Skills!C17=3,120+Inputs!$B$27+Inputs!$B$29,MAX(0,(Inputs!$B$3-100)*3)+Inputs!$B$28+Inputs!$B$29)))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Skills!G17*IF(Skills!H17&gt;0,Skills!I17/Skills!H17,1)</f>
        <v/>
      </c>
      <c r="H712">
        <f>1-(1-Skills!J17/100)^Skills!K17</f>
        <v/>
      </c>
      <c r="I712" t="inlineStr">
        <is>
          <t>1</t>
        </is>
      </c>
      <c r="J712" t="inlineStr"/>
      <c r="K712" t="inlineStr"/>
      <c r="L712" t="inlineStr"/>
      <c r="M712" t="inlineStr"/>
      <c r="N712" t="inlineStr"/>
      <c r="O712">
        <f>(1-Summary!$B$11)*T712+Summary!$B$11*V712</f>
        <v/>
      </c>
      <c r="P712">
        <f>IF(B731=0,0,O712/B731)</f>
        <v/>
      </c>
      <c r="Q712" t="n">
        <v>0</v>
      </c>
      <c r="R712" t="n">
        <v>0</v>
      </c>
      <c r="S712">
        <f>IFERROR(O712/N712,0)</f>
        <v/>
      </c>
      <c r="T712" t="n">
        <v>0</v>
      </c>
      <c r="V712" t="n">
        <v>0</v>
      </c>
    </row>
    <row r="713">
      <c r="A713">
        <f>Skills!A18</f>
        <v/>
      </c>
      <c r="B713">
        <f>Skills!B18</f>
        <v/>
      </c>
      <c r="C713">
        <f>Inputs!$B$3&gt;=33</f>
        <v/>
      </c>
      <c r="D713">
        <f>IF(Skills!C18=1,60+(Inputs!$B$25+1)+Inputs!$B$29,IF(Skills!C18=2,90+Inputs!$B$26+Inputs!$B$29,IF(Skills!C18=3,120+Inputs!$B$27+Inputs!$B$29,MAX(0,(Inputs!$B$3-100)*3)+Inputs!$B$28+Inputs!$B$29)))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Skills!G18*IF(Skills!H18&gt;0,Skills!I18/Skills!H18,1)</f>
        <v/>
      </c>
      <c r="H713">
        <f>1-(1-Skills!J18/100)^Skills!K18</f>
        <v/>
      </c>
      <c r="I713" t="inlineStr">
        <is>
          <t>1</t>
        </is>
      </c>
      <c r="J713" t="inlineStr"/>
      <c r="K713" t="inlineStr"/>
      <c r="L713" t="inlineStr"/>
      <c r="M713" t="inlineStr"/>
      <c r="N713" t="inlineStr"/>
      <c r="O713">
        <f>(1-Summary!$B$11)*T713+Summary!$B$11*V713</f>
        <v/>
      </c>
      <c r="P713">
        <f>IF(B731=0,0,O713/B731)</f>
        <v/>
      </c>
      <c r="Q713" t="n">
        <v>0</v>
      </c>
      <c r="R713" t="n">
        <v>0</v>
      </c>
      <c r="S713">
        <f>IFERROR(O713/N713,0)</f>
        <v/>
      </c>
      <c r="T713" t="n">
        <v>0</v>
      </c>
      <c r="V713" t="n">
        <v>0</v>
      </c>
    </row>
    <row r="714">
      <c r="A714">
        <f>Skills!A19</f>
        <v/>
      </c>
      <c r="B714">
        <f>Skills!B19</f>
        <v/>
      </c>
      <c r="C714">
        <f>Inputs!$B$3&gt;=40</f>
        <v/>
      </c>
      <c r="D714">
        <f>IF(Skills!C19=1,60+(Inputs!$B$25+1)+Inputs!$B$29,IF(Skills!C19=2,90+Inputs!$B$26+Inputs!$B$29,IF(Skills!C19=3,120+Inputs!$B$27+Inputs!$B$29,MAX(0,(Inputs!$B$3-100)*3)+Inputs!$B$28+Inputs!$B$29)))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Skills!G19*IF(Skills!H19&gt;0,Skills!I19/Skills!H19,1)</f>
        <v/>
      </c>
      <c r="H714">
        <f>1-(1-Skills!J19/100)^Skills!K19</f>
        <v/>
      </c>
      <c r="I714" t="inlineStr">
        <is>
          <t>1</t>
        </is>
      </c>
      <c r="J714" t="inlineStr"/>
      <c r="K714" t="inlineStr"/>
      <c r="L714" t="inlineStr"/>
      <c r="M714" t="inlineStr"/>
      <c r="N714" t="inlineStr"/>
      <c r="O714">
        <f>(1-Summary!$B$11)*T714+Summary!$B$11*V714</f>
        <v/>
      </c>
      <c r="P714">
        <f>IF(B731=0,0,O714/B731)</f>
        <v/>
      </c>
      <c r="Q714" t="n">
        <v>0</v>
      </c>
      <c r="R714" t="n">
        <v>0</v>
      </c>
      <c r="S714">
        <f>IFERROR(O714/N714,0)</f>
        <v/>
      </c>
      <c r="T714" t="n">
        <v>0</v>
      </c>
      <c r="V714" t="n">
        <v>0</v>
      </c>
    </row>
    <row r="715">
      <c r="A715">
        <f>Skills!A20</f>
        <v/>
      </c>
      <c r="B715">
        <f>Skills!B20</f>
        <v/>
      </c>
      <c r="C715">
        <f>Inputs!$B$3&gt;=43</f>
        <v/>
      </c>
      <c r="D715">
        <f>IF(Skills!C20=1,60+(Inputs!$B$25+1)+Inputs!$B$29,IF(Skills!C20=2,90+Inputs!$B$26+Inputs!$B$29,IF(Skills!C20=3,120+Inputs!$B$27+Inputs!$B$29,MAX(0,(Inputs!$B$3-100)*3)+Inputs!$B$28+Inputs!$B$29)))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Skills!G20*IF(Skills!H20&gt;0,Skills!I20/Skills!H20,1)</f>
        <v/>
      </c>
      <c r="H715">
        <f>1-(1-Skills!J20/100)^Skills!K20</f>
        <v/>
      </c>
      <c r="I715" t="inlineStr">
        <is>
          <t>1</t>
        </is>
      </c>
      <c r="J715" t="inlineStr"/>
      <c r="K715" t="inlineStr"/>
      <c r="L715" t="inlineStr"/>
      <c r="M715" t="inlineStr"/>
      <c r="N715" t="inlineStr"/>
      <c r="O715">
        <f>(1-Summary!$B$11)*T715+Summary!$B$11*V715</f>
        <v/>
      </c>
      <c r="P715">
        <f>IF(B731=0,0,O715/B731)</f>
        <v/>
      </c>
      <c r="Q715" t="n">
        <v>0</v>
      </c>
      <c r="R715" t="n">
        <v>0</v>
      </c>
      <c r="S715">
        <f>IFERROR(O715/N715,0)</f>
        <v/>
      </c>
      <c r="T715" t="n">
        <v>0</v>
      </c>
      <c r="V715" t="n">
        <v>0</v>
      </c>
    </row>
    <row r="716">
      <c r="A716">
        <f>Skills!A21</f>
        <v/>
      </c>
      <c r="B716">
        <f>Skills!B21</f>
        <v/>
      </c>
      <c r="C716">
        <f>Inputs!$B$3&gt;=38</f>
        <v/>
      </c>
      <c r="D716">
        <f>IF(Skills!C21=1,60+(Inputs!$B$25+1)+Inputs!$B$29,IF(Skills!C21=2,90+Inputs!$B$26+Inputs!$B$29,IF(Skills!C21=3,120+Inputs!$B$27+Inputs!$B$29,MAX(0,(Inputs!$B$3-100)*3)+Inputs!$B$28+Inputs!$B$29)))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Skills!G21*IF(Skills!H21&gt;0,Skills!I21/Skills!H21,1)</f>
        <v/>
      </c>
      <c r="H716">
        <f>1-(1-Skills!J21/100)^Skills!K21</f>
        <v/>
      </c>
      <c r="I716" t="inlineStr">
        <is>
          <t>1</t>
        </is>
      </c>
      <c r="J716" t="inlineStr"/>
      <c r="K716" t="inlineStr"/>
      <c r="L716" t="inlineStr"/>
      <c r="M716" t="inlineStr"/>
      <c r="N716" t="inlineStr"/>
      <c r="O716">
        <f>(1-Summary!$B$11)*T716+Summary!$B$11*V716</f>
        <v/>
      </c>
      <c r="P716">
        <f>IF(B731=0,0,O716/B731)</f>
        <v/>
      </c>
      <c r="Q716" t="n">
        <v>0</v>
      </c>
      <c r="R716" t="n">
        <v>0</v>
      </c>
      <c r="S716">
        <f>IFERROR(O716/N716,0)</f>
        <v/>
      </c>
      <c r="T716" t="n">
        <v>0</v>
      </c>
      <c r="V716" t="n">
        <v>0</v>
      </c>
    </row>
    <row r="717">
      <c r="A717">
        <f>Skills!A22</f>
        <v/>
      </c>
      <c r="B717">
        <f>Skills!B22</f>
        <v/>
      </c>
      <c r="C717">
        <f>Inputs!$B$3&gt;=75</f>
        <v/>
      </c>
      <c r="D717">
        <f>IF(Skills!C22=1,60+(Inputs!$B$25+1)+Inputs!$B$29,IF(Skills!C22=2,90+Inputs!$B$26+Inputs!$B$29,IF(Skills!C22=3,120+Inputs!$B$27+Inputs!$B$29,MAX(0,(Inputs!$B$3-100)*3)+Inputs!$B$28+Inputs!$B$29)))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Skills!G22*IF(Skills!H22&gt;0,Skills!I22/Skills!H22,1)</f>
        <v/>
      </c>
      <c r="H717">
        <f>1-(1-Skills!J22/100)^Skills!K22</f>
        <v/>
      </c>
      <c r="I717" t="inlineStr">
        <is>
          <t>1</t>
        </is>
      </c>
      <c r="J717" t="inlineStr"/>
      <c r="K717" t="inlineStr"/>
      <c r="L717" t="inlineStr"/>
      <c r="M717" t="inlineStr"/>
      <c r="N717" t="inlineStr"/>
      <c r="O717">
        <f>(1-Summary!$B$11)*T717+Summary!$B$11*V717</f>
        <v/>
      </c>
      <c r="P717">
        <f>IF(B731=0,0,O717/B731)</f>
        <v/>
      </c>
      <c r="Q717" t="n">
        <v>0</v>
      </c>
      <c r="R717" t="n">
        <v>0</v>
      </c>
      <c r="S717">
        <f>IFERROR(O717/N717,0)</f>
        <v/>
      </c>
      <c r="T717" t="n">
        <v>0</v>
      </c>
      <c r="V717" t="n">
        <v>0</v>
      </c>
    </row>
    <row r="718">
      <c r="A718">
        <f>Skills!A23</f>
        <v/>
      </c>
      <c r="B718">
        <f>Skills!B23</f>
        <v/>
      </c>
      <c r="C718">
        <f>TRUE</f>
        <v/>
      </c>
      <c r="D718">
        <f>IF(Skills!C23=1,60+(Inputs!$B$25+1)+Inputs!$B$29,IF(Skills!C23=2,90+Inputs!$B$26+Inputs!$B$29,IF(Skills!C23=3,120+Inputs!$B$27+Inputs!$B$29,MAX(0,(Inputs!$B$3-100)*3)+Inputs!$B$28+Inputs!$B$29)))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Skills!G23*IF(Skills!H23&gt;0,Skills!I23/Skills!H23,1)</f>
        <v/>
      </c>
      <c r="H718">
        <f>1-(1-Skills!J23/100)^Skills!K23</f>
        <v/>
      </c>
      <c r="I718" t="inlineStr">
        <is>
          <t>1</t>
        </is>
      </c>
      <c r="J718" t="inlineStr"/>
      <c r="K718" t="inlineStr"/>
      <c r="L718" t="inlineStr"/>
      <c r="M718" t="inlineStr"/>
      <c r="N718" t="inlineStr"/>
      <c r="O718">
        <f>(1-Summary!$B$11)*T718+Summary!$B$11*V718</f>
        <v/>
      </c>
      <c r="P718">
        <f>IF(B731=0,0,O718/B731)</f>
        <v/>
      </c>
      <c r="Q718">
        <f>IFERROR(1/(IF(Inputs!$B$38="pvp",15,MAX(0.1,Skills!D23-IF(Skills!E23=TRUE,Inputs!$B$32,0)))*(1-IF(AND(ArtifactsInput!$M$27,Inputs!$B$4="Chapter Hunt"),CHOOSE(ArtifactsInput!$N$27+1,20,24,28,32,36,40),0)/100)),0)</f>
        <v/>
      </c>
      <c r="R718">
        <f>IF(AND(Inputs!$B$38&lt;&gt;"pvp",Inputs!$B$43&gt;0),IF(Inputs!$B$43&lt;=0,0,(INT(Inputs!$B$43/(IF(Inputs!$B$38="pvp",15,MAX(0.1,Skills!D23-IF(Skills!E23=TRUE,Inputs!$B$32,0)))*(1-IF(AND(ArtifactsInput!$M$27,Inputs!$B$4="Chapter Hunt"),CHOOSE(ArtifactsInput!$N$27+1,20,24,28,32,36,40),0)/100)))+1)),0)</f>
        <v/>
      </c>
      <c r="S718">
        <f>IFERROR(O718/N718,0)</f>
        <v/>
      </c>
      <c r="T718" t="n">
        <v>0</v>
      </c>
      <c r="V718" t="n">
        <v>0</v>
      </c>
    </row>
    <row r="720">
      <c r="A720" t="inlineStr">
        <is>
          <t>Attack% Bucket Multiplier</t>
        </is>
      </c>
      <c r="B720">
        <f>(1+(((C708=TRUE)*F708*5/7)+((C714=TRUE)*(F714-Calc!F19))+(IF(ArtifactsInput!$M$21,CHOOSE(ArtifactsInput!$N$21+1,25,30,35,40,45,50)*(IF(OR(Inputs!$B$4="Chapter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21">
      <c r="A721" t="inlineStr">
        <is>
          <t>Global Crit Rate Bonus %</t>
        </is>
      </c>
      <c r="B721" t="n">
        <v>0</v>
      </c>
    </row>
    <row r="722">
      <c r="A722" t="inlineStr">
        <is>
          <t>Attack Speed Buff Bonus % (Nimble Feet, duty-cycle averaged)</t>
        </is>
      </c>
      <c r="B722">
        <f>((C718=TRUE)*F718*IF(AND(Inputs!$B$38&lt;&gt;"pvp",Inputs!$B$43&gt;0),(((R718-1)*(Skills!T23*(1+Inputs!$B$34/100))+MIN((Skills!T23*(1+Inputs!$B$34/100)),MAX(0,Inputs!$B$43-((R718-1)*Skills!D23))))/Inputs!$B$43),IF(Inputs!$B$38="pvp",MIN((Skills!T23*(1+Inputs!$B$34/100)),15)/15,(Skills!T23*(1+Inputs!$B$34/100))/Skills!D23)))</f>
        <v/>
      </c>
    </row>
    <row r="723">
      <c r="A723" t="inlineStr">
        <is>
          <t>Actions Per Second</t>
        </is>
      </c>
      <c r="B723">
        <f>1+MIN(150,150*(1-(1-(Inputs!$B$11+((C712=TRUE)*(F712-Calc!F17))+((C713=TRUE)*(F713-Calc!F18)))/150)*(1-B722/150)))/100</f>
        <v/>
      </c>
    </row>
    <row r="724">
      <c r="A724" t="inlineStr">
        <is>
          <t>Skill + Buff Cast Rate</t>
        </is>
      </c>
      <c r="B724">
        <f>IF(AND(Inputs!$B$38&lt;&gt;"pvp",Inputs!$B$43&gt;0),SUMPRODUCT((Skills!E2:E23=TRUE)*(C697:C718=TRUE)*R697:R718*Skills!F2:F23)/Inputs!$B$43,SUMPRODUCT((Skills!E2:E23=TRUE)*(C697:C718=TRUE)*Q697:Q718*Skills!F2:F23))</f>
        <v/>
      </c>
    </row>
    <row r="725">
      <c r="A725" t="inlineStr">
        <is>
          <t>Hook Bomber Casts Per Second</t>
        </is>
      </c>
      <c r="B725">
        <f>MAX(0,B723-B724)</f>
        <v/>
      </c>
    </row>
    <row r="726">
      <c r="A726" t="inlineStr">
        <is>
          <t>Global Critical Damage Bonus % (unused)</t>
        </is>
      </c>
      <c r="B726" t="n">
        <v>0</v>
      </c>
    </row>
    <row r="727">
      <c r="A727" t="inlineStr">
        <is>
          <t>Global Final Damage Bonus % (Serpent Scale + Crossbones + Time Leap + Speed Infusion)</t>
        </is>
      </c>
      <c r="B727">
        <f>((C700=TRUE)*F700*((10+IF(Inputs!$B$3&gt;=94,5,0))/((10+IF(Inputs!$B$3&gt;=94,5,0))+5/(B725*(1+IF(Inputs!$B$3&gt;=104,1,0))))))+((C709=TRUE)*F709)+((C710=TRUE)*F710)+((Inputs!$B$3&gt;=110)*20*(B723-1))</f>
        <v/>
      </c>
    </row>
    <row r="728">
      <c r="A728" t="inlineStr">
        <is>
          <t>Buff-Casting Startup Delay (s, fixed-duration only)</t>
        </is>
      </c>
      <c r="B728">
        <f>IF(AND(Inputs!$B$38&lt;&gt;"pvp",Inputs!$B$43&gt;0),SUMPRODUCT((Skills!T2:T23&gt;0)*(Skills!E2:E23=TRUE)*(C697:C718=TRUE))/B723,0)</f>
        <v/>
      </c>
    </row>
    <row r="729">
      <c r="A729" t="inlineStr">
        <is>
          <t>Boss-Only Total DPS (this block's swept value)</t>
        </is>
      </c>
      <c r="B729">
        <f>SUM(T697:T718)</f>
        <v/>
      </c>
    </row>
    <row r="730">
      <c r="A730" t="inlineStr">
        <is>
          <t>Normal-Only Total DPS (this block's swept value)</t>
        </is>
      </c>
      <c r="B730">
        <f>SUM(V697:V718)</f>
        <v/>
      </c>
    </row>
    <row r="731">
      <c r="A731" s="6" t="inlineStr">
        <is>
          <t>TOTAL DPS</t>
        </is>
      </c>
      <c r="B731" s="6">
        <f>SUM(O697:O718)</f>
        <v/>
      </c>
    </row>
    <row r="734">
      <c r="A734" s="6" t="inlineStr">
        <is>
          <t>Stat: Skill Level Bonus — 2nd Job</t>
        </is>
      </c>
    </row>
    <row r="735">
      <c r="A735" s="5" t="inlineStr">
        <is>
          <t>Key</t>
        </is>
      </c>
      <c r="B735" s="5" t="inlineStr">
        <is>
          <t>Name</t>
        </is>
      </c>
      <c r="C735" s="5" t="inlineStr">
        <is>
          <t>Unlocked</t>
        </is>
      </c>
      <c r="D735" s="5" t="inlineStr">
        <is>
          <t>InputLevel</t>
        </is>
      </c>
      <c r="E735" s="5" t="inlineStr">
        <is>
          <t>Factor</t>
        </is>
      </c>
      <c r="F735" s="5" t="inlineStr">
        <is>
          <t>CoefficientPercent</t>
        </is>
      </c>
      <c r="G735" s="5" t="inlineStr">
        <is>
          <t>EffectiveHits</t>
        </is>
      </c>
      <c r="H735" s="5" t="inlineStr">
        <is>
          <t>ProcProbability</t>
        </is>
      </c>
      <c r="I735" s="5" t="inlineStr">
        <is>
          <t>MapleHeroMultiplier</t>
        </is>
      </c>
      <c r="J735" s="5" t="inlineStr">
        <is>
          <t>BaseDamage</t>
        </is>
      </c>
      <c r="K735" s="5" t="inlineStr">
        <is>
          <t>BaseHitDamage</t>
        </is>
      </c>
      <c r="L735" s="5" t="inlineStr">
        <is>
          <t>NonCritAvg</t>
        </is>
      </c>
      <c r="M735" s="5" t="inlineStr">
        <is>
          <t>CritAvg</t>
        </is>
      </c>
      <c r="N735" s="5" t="inlineStr">
        <is>
          <t>ExpectedDamage(perHit)</t>
        </is>
      </c>
      <c r="O735" s="5" t="inlineStr">
        <is>
          <t>DPS</t>
        </is>
      </c>
      <c r="P735" s="5" t="inlineStr">
        <is>
          <t>% of Total</t>
        </is>
      </c>
      <c r="Q735" s="5" t="inlineStr">
        <is>
          <t>InvCooldown</t>
        </is>
      </c>
      <c r="R735" s="5" t="inlineStr">
        <is>
          <t>CastsInFight</t>
        </is>
      </c>
      <c r="S735" s="5" t="inlineStr">
        <is>
          <t>HitRate(perSec)</t>
        </is>
      </c>
      <c r="U735" t="inlineStr">
        <is>
          <t>helpers</t>
        </is>
      </c>
    </row>
    <row r="736">
      <c r="A736">
        <f>Skills!A2</f>
        <v/>
      </c>
      <c r="B736">
        <f>Skills!B2</f>
        <v/>
      </c>
      <c r="C736">
        <f>Inputs!$B$3&gt;=100</f>
        <v/>
      </c>
      <c r="D736" t="inlineStr"/>
      <c r="E736" t="inlineStr"/>
      <c r="F736">
        <f>U738+Skills!O2</f>
        <v/>
      </c>
      <c r="G736">
        <f>Skills!G2*IF(Skills!H2&gt;0,Skills!I2/Skills!H2,1)</f>
        <v/>
      </c>
      <c r="H736">
        <f>1-(1-Skills!J2/100)^Skills!K2</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754=TRUE)*(F754-Calc!F20)),(Inputs!$B$23+0+(IF(ArtifactsInput!$M$15,CHOOSE(ArtifactsInput!$N$15+1,25,30,35,40,45,50)/100*(Inputs!$B$11-Inputs!$B$11),0))))/100+(Inputs!$B$23+0+(IF(ArtifactsInput!$M$15,CHOOSE(ArtifactsInput!$N$15+1,25,30,35,40,45,50)/100*(Inputs!$B$11-Inputs!$B$11),0)))/100)/2</f>
        <v/>
      </c>
      <c r="M736">
        <f>L736*(1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IF(B770=0,0,O736/B770)</f>
        <v/>
      </c>
      <c r="Q736" t="n">
        <v>0</v>
      </c>
      <c r="R736" t="n">
        <v>0</v>
      </c>
      <c r="S736">
        <f>IFERROR(O736/N736,0)</f>
        <v/>
      </c>
      <c r="T736">
        <f>IF(C736,(Skills!G2*N736*B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MAX(0,(Inputs!$B$3-100)*3)+Inputs!$B$28+Inputs!$B$29</f>
        <v/>
      </c>
      <c r="V736">
        <f>IF(C736,(Skills!G2*N736*B764)*IF(Inputs!$B$38="pvp",1,(1+(Inputs!$B$21+Skills!Q2+(IF(ArtifactsInput!$M$33,CHOOSE(ArtifactsInput!$N$33+1,30,36,42,48,54,60),0))+(IF(AND(ArtifactsInput!$M$35,Inputs!$B$4&lt;&gt;"Chapter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Skills!A3</f>
        <v/>
      </c>
      <c r="B737">
        <f>Skills!B3</f>
        <v/>
      </c>
      <c r="C737">
        <f>Inputs!$B$3&gt;=35</f>
        <v/>
      </c>
      <c r="D737">
        <f>IF(Skills!C3=1,60+Inputs!$B$25+Inputs!$B$29,IF(Skills!C3=2,90+(Inputs!$B$26+1)+Inputs!$B$29,IF(Skills!C3=3,120+Inputs!$B$27+Inputs!$B$29,MAX(0,(Inputs!$B$3-100)*3)+Inputs!$B$28+Inputs!$B$29)))</f>
        <v/>
      </c>
      <c r="E737">
        <f>INDEX(FactorTable!$B$2:$Y$301, MATCH(ROUND(MIN(300,MAX(1,D737)),0), FactorTable!$A$2:$A$301,0), Skills!M3+1)</f>
        <v/>
      </c>
      <c r="F737">
        <f>IF(Skills!N3=TRUE,(Skills!L3/10)*(E737/1000),Skills!L3/10)+Skills!O3</f>
        <v/>
      </c>
      <c r="G737">
        <f>Skills!G3*IF(Skills!H3&gt;0,Skills!I3/Skills!H3,1)</f>
        <v/>
      </c>
      <c r="H737">
        <f>1-(1-Skills!J3/100)^Skills!K3</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20)),(Inputs!$B$23+0+(IF(ArtifactsInput!$M$15,CHOOSE(ArtifactsInput!$N$15+1,25,30,35,40,45,50)/100*(Inputs!$B$11-Inputs!$B$11),0))))/100+(Inputs!$B$23+0+(IF(ArtifactsInput!$M$15,CHOOSE(ArtifactsInput!$N$15+1,25,30,35,40,45,50)/100*(Inputs!$B$11-Inputs!$B$11),0)))/100)/2</f>
        <v/>
      </c>
      <c r="M737">
        <f>L737*(1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IF(B770=0,0,O737/B770)</f>
        <v/>
      </c>
      <c r="Q737" t="n">
        <v>0</v>
      </c>
      <c r="R737" t="n">
        <v>0</v>
      </c>
      <c r="S737">
        <f>IFERROR(O737/N737,0)</f>
        <v/>
      </c>
      <c r="T737">
        <f>IF(C737,(Skills!G3*H737*N737*B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INDEX(FactorTable!$B$2:$Y$301, MATCH(ROUND(MIN(300,MAX(1,U736)),0), FactorTable!$A$2:$A$301,0), 22)</f>
        <v/>
      </c>
      <c r="V737">
        <f>IF(C737,(Skills!G3*H737*N737*B764)*IF(Inputs!$B$38="pvp",1,(1+(Inputs!$B$21+Skills!Q3+(IF(ArtifactsInput!$M$33,CHOOSE(ArtifactsInput!$N$33+1,30,36,42,48,54,60),0))+(IF(AND(ArtifactsInput!$M$35,Inputs!$B$4&lt;&gt;"Chapter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Skills!A4</f>
        <v/>
      </c>
      <c r="B738">
        <f>Skills!B4</f>
        <v/>
      </c>
      <c r="C738">
        <f>Inputs!$B$3&gt;=60</f>
        <v/>
      </c>
      <c r="D738">
        <f>IF(Skills!C4=1,60+Inputs!$B$25+Inputs!$B$29,IF(Skills!C4=2,90+(Inputs!$B$26+1)+Inputs!$B$29,IF(Skills!C4=3,120+Inputs!$B$27+Inputs!$B$29,MAX(0,(Inputs!$B$3-100)*3)+Inputs!$B$28+Inputs!$B$29)))</f>
        <v/>
      </c>
      <c r="E738">
        <f>INDEX(FactorTable!$B$2:$Y$301, MATCH(ROUND(MIN(300,MAX(1,D738)),0), FactorTable!$A$2:$A$301,0), Skills!M4+1)</f>
        <v/>
      </c>
      <c r="F738">
        <f>IF(Skills!N4=TRUE,(Skills!L4/10)*(E738/1000),Skills!L4/10)+Skills!O4</f>
        <v/>
      </c>
      <c r="G738">
        <f>Skills!G4*IF(Skills!H4&gt;0,Skills!I4/Skills!H4,1)</f>
        <v/>
      </c>
      <c r="H738">
        <f>1-(1-Skills!J4/100)^Skills!K4</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4="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20)),(Inputs!$B$23+0+(IF(ArtifactsInput!$M$15,CHOOSE(ArtifactsInput!$N$15+1,25,30,35,40,45,50)/100*(Inputs!$B$11-Inputs!$B$11),0))))/100+(Inputs!$B$23+0+(IF(ArtifactsInput!$M$15,CHOOSE(ArtifactsInput!$N$15+1,25,30,35,40,45,50)/100*(Inputs!$B$11-Inputs!$B$11),0)))/100)/2</f>
        <v/>
      </c>
      <c r="M738">
        <f>L738*(1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IF(B770=0,0,O738/B770)</f>
        <v/>
      </c>
      <c r="Q738" t="n">
        <v>0</v>
      </c>
      <c r="R738" t="n">
        <v>0</v>
      </c>
      <c r="S738">
        <f>IFERROR(O738/N738,0)</f>
        <v/>
      </c>
      <c r="T738">
        <f>IF(C738,(Skills!G4*H738*N738*B764)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290*U737/1000</f>
        <v/>
      </c>
      <c r="V738">
        <f>IF(C738,(Skills!G4*H738*N738*B764)*IF(Inputs!$B$38="pvp",1,(1+(Inputs!$B$21+Skills!Q4+(IF(ArtifactsInput!$M$33,CHOOSE(ArtifactsInput!$N$33+1,30,36,42,48,54,60),0))+(IF(AND(ArtifactsInput!$M$35,Inputs!$B$4&lt;&gt;"Chapter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Skills!A5</f>
        <v/>
      </c>
      <c r="B739">
        <f>Skills!B5</f>
        <v/>
      </c>
      <c r="C739">
        <f>Inputs!$B$3&gt;=60</f>
        <v/>
      </c>
      <c r="D739">
        <f>IF(Skills!C5=1,60+Inputs!$B$25+Inputs!$B$29,IF(Skills!C5=2,90+(Inputs!$B$26+1)+Inputs!$B$29,IF(Skills!C5=3,120+Inputs!$B$27+Inputs!$B$29,MAX(0,(Inputs!$B$3-100)*3)+Inputs!$B$28+Inputs!$B$29)))</f>
        <v/>
      </c>
      <c r="E739">
        <f>INDEX(FactorTable!$B$2:$Y$301, MATCH(ROUND(MIN(300,MAX(1,D739)),0), FactorTable!$A$2:$A$301,0), Skills!M5+1)</f>
        <v/>
      </c>
      <c r="F739">
        <f>IF(Skills!N5=TRUE,(Skills!L5/10)*(E739/1000),Skills!L5/10)+Skills!O5</f>
        <v/>
      </c>
      <c r="G739">
        <f>Skills!G5*IF(Skills!H5&gt;0,Skills!I5/Skills!H5,1)</f>
        <v/>
      </c>
      <c r="H739">
        <f>1-(1-Skills!J5/100)^Skills!K5</f>
        <v/>
      </c>
      <c r="I739" t="inlineStr">
        <is>
          <t>1</t>
        </is>
      </c>
      <c r="J739" t="inlineStr"/>
      <c r="K739" t="inlineStr"/>
      <c r="L739" t="inlineStr"/>
      <c r="M739" t="inlineStr"/>
      <c r="N739" t="inlineStr"/>
      <c r="O739">
        <f>(1-Summary!$B$11)*T739+Summary!$B$11*V739</f>
        <v/>
      </c>
      <c r="P739">
        <f>IF(B770=0,0,O739/B770)</f>
        <v/>
      </c>
      <c r="Q739" t="n">
        <v>0</v>
      </c>
      <c r="R739" t="n">
        <v>0</v>
      </c>
      <c r="S739">
        <f>IFERROR(O739/N739,0)</f>
        <v/>
      </c>
      <c r="T739" t="n">
        <v>0</v>
      </c>
      <c r="V739" t="n">
        <v>0</v>
      </c>
    </row>
    <row r="740">
      <c r="A740">
        <f>Skills!A6</f>
        <v/>
      </c>
      <c r="B740">
        <f>Skills!B6</f>
        <v/>
      </c>
      <c r="C740">
        <f>Inputs!$B$3&gt;=63</f>
        <v/>
      </c>
      <c r="D740">
        <f>IF(Skills!C6=1,60+Inputs!$B$25+Inputs!$B$29,IF(Skills!C6=2,90+(Inputs!$B$26+1)+Inputs!$B$29,IF(Skills!C6=3,120+Inputs!$B$27+Inputs!$B$29,MAX(0,(Inputs!$B$3-100)*3)+Inputs!$B$28+Inputs!$B$29)))</f>
        <v/>
      </c>
      <c r="E740">
        <f>INDEX(FactorTable!$B$2:$Y$301, MATCH(ROUND(MIN(300,MAX(1,D740)),0), FactorTable!$A$2:$A$301,0), Skills!M6+1)</f>
        <v/>
      </c>
      <c r="F740">
        <f>IF(Skills!N6=TRUE,(Skills!L6/10)*(E740/1000),Skills!L6/10)+Skills!O6</f>
        <v/>
      </c>
      <c r="G740">
        <f>Skills!G6*IF(Skills!H6&gt;0,Skills!I6/Skills!H6,1)</f>
        <v/>
      </c>
      <c r="H740">
        <f>1-(1-Skills!J6/100)^Skills!K6</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754=TRUE)*(F754-Calc!F20)),(Inputs!$B$23+0+(IF(ArtifactsInput!$M$15,CHOOSE(ArtifactsInput!$N$15+1,25,30,35,40,45,50)/100*(Inputs!$B$11-Inputs!$B$11),0))))/100+(Inputs!$B$23+0+(IF(ArtifactsInput!$M$15,CHOOSE(ArtifactsInput!$N$15+1,25,30,35,40,45,50)/100*(Inputs!$B$11-Inputs!$B$11),0)))/100)/2</f>
        <v/>
      </c>
      <c r="M740">
        <f>L740*(1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IF(B770=0,0,O740/B770)</f>
        <v/>
      </c>
      <c r="Q740">
        <f>IFERROR(1/(IF(Inputs!$B$38="pvp",15,MAX(0.1,Skills!D6-IF(Skills!E6=TRUE,Inputs!$B$32,0)))*(1-IF(AND(ArtifactsInput!$M$27,Inputs!$B$4="Chapter Hunt"),CHOOSE(ArtifactsInput!$N$27+1,20,24,28,32,36,40),0)/100)),0)</f>
        <v/>
      </c>
      <c r="R740">
        <f>IF(AND(Inputs!$B$38&lt;&gt;"pvp",Inputs!$B$43&gt;0),IF(MAX(0,Inputs!$B$43-B767)&lt;=0,0,(INT(MAX(0,Inputs!$B$43-B767)/(IF(Inputs!$B$38="pvp",15,MAX(0.1,Skills!D6-IF(Skills!E6=TRUE,Inputs!$B$32,0)))*(1-IF(AND(ArtifactsInput!$M$27,Inputs!$B$4="Chapter Hunt"),CHOOSE(ArtifactsInput!$N$27+1,20,24,28,32,36,40),0)/100)))+1)),0)</f>
        <v/>
      </c>
      <c r="S740">
        <f>IFERROR(O740/N740,0)</f>
        <v/>
      </c>
      <c r="T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$21+Skills!Q6+(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Skills!A7</f>
        <v/>
      </c>
      <c r="B741">
        <f>Skills!B7</f>
        <v/>
      </c>
      <c r="C741">
        <f>Inputs!$B$3&gt;=100</f>
        <v/>
      </c>
      <c r="D741">
        <f>IF(Skills!C7=1,60+Inputs!$B$25+Inputs!$B$29,IF(Skills!C7=2,90+(Inputs!$B$26+1)+Inputs!$B$29,IF(Skills!C7=3,120+Inputs!$B$27+Inputs!$B$29,MAX(0,(Inputs!$B$3-100)*3)+Inputs!$B$28+Inputs!$B$29)))</f>
        <v/>
      </c>
      <c r="E741">
        <f>INDEX(FactorTable!$B$2:$Y$301, MATCH(ROUND(MIN(300,MAX(1,D741)),0), FactorTable!$A$2:$A$301,0), Skills!M7+1)</f>
        <v/>
      </c>
      <c r="F741">
        <f>IF(Skills!N7=TRUE,(Skills!L7/10)*(E741/1000),Skills!L7/10)+Skills!O7</f>
        <v/>
      </c>
      <c r="G741">
        <f>Skills!G7*IF(Skills!H7&gt;0,Skills!I7/Skills!H7,1)</f>
        <v/>
      </c>
      <c r="H741">
        <f>1-(1-Skills!J7/100)^Skills!K7</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20)),(Inputs!$B$23+0+(IF(ArtifactsInput!$M$15,CHOOSE(ArtifactsInput!$N$15+1,25,30,35,40,45,50)/100*(Inputs!$B$11-Inputs!$B$11),0))))/100+(Inputs!$B$23+0+(IF(ArtifactsInput!$M$15,CHOOSE(ArtifactsInput!$N$15+1,25,30,35,40,45,50)/100*(Inputs!$B$11-Inputs!$B$11),0)))/100)/2</f>
        <v/>
      </c>
      <c r="M741">
        <f>L741*(1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IF(B770=0,0,O741/B770)</f>
        <v/>
      </c>
      <c r="Q741">
        <f>IFERROR(1/(IF(Inputs!$B$38="pvp",15,MAX(0.1,Skills!D7-IF(Skills!E7=TRUE,Inputs!$B$32,0)))*(1-IF(AND(ArtifactsInput!$M$27,Inputs!$B$4="Chapter Hunt"),CHOOSE(ArtifactsInput!$N$27+1,20,24,28,32,36,40),0)/100)),0)</f>
        <v/>
      </c>
      <c r="R741">
        <f>IF(AND(Inputs!$B$38&lt;&gt;"pvp",Inputs!$B$43&gt;0),IF(MAX(0,Inputs!$B$43-B767)&lt;=0,0,(INT(MAX(0,Inputs!$B$43-B767)/(IF(Inputs!$B$38="pvp",15,MAX(0.1,Skills!D7-IF(Skills!E7=TRUE,Inputs!$B$32,0)))*(1-IF(AND(ArtifactsInput!$M$27,Inputs!$B$4="Chapter Hunt"),CHOOSE(ArtifactsInput!$N$27+1,20,24,28,32,36,40),0)/100)))+1)),0)</f>
        <v/>
      </c>
      <c r="S741">
        <f>IFERROR(O741/N741,0)</f>
        <v/>
      </c>
      <c r="T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$21+Skills!Q7+(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Skills!A8</f>
        <v/>
      </c>
      <c r="B742">
        <f>Skills!B8</f>
        <v/>
      </c>
      <c r="C742">
        <f>Inputs!$B$3&gt;=110</f>
        <v/>
      </c>
      <c r="D742">
        <f>IF(Skills!C8=1,60+Inputs!$B$25+Inputs!$B$29,IF(Skills!C8=2,90+(Inputs!$B$26+1)+Inputs!$B$29,IF(Skills!C8=3,120+Inputs!$B$27+Inputs!$B$29,MAX(0,(Inputs!$B$3-100)*3)+Inputs!$B$28+Inputs!$B$29)))</f>
        <v/>
      </c>
      <c r="E742">
        <f>INDEX(FactorTable!$B$2:$Y$301, MATCH(ROUND(MIN(300,MAX(1,D742)),0), FactorTable!$A$2:$A$301,0), Skills!M8+1)</f>
        <v/>
      </c>
      <c r="F742">
        <f>IF(Skills!N8=TRUE,(Skills!L8/10)*(E742/1000),Skills!L8/10)+Skills!O8</f>
        <v/>
      </c>
      <c r="G742">
        <f>Skills!G8*IF(Skills!H8&gt;0,Skills!I8/Skills!H8,1)</f>
        <v/>
      </c>
      <c r="H742">
        <f>1-(1-Skills!J8/100)^Skills!K8</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754=TRUE)*(F754-Calc!F20)),(Inputs!$B$23+0+(IF(ArtifactsInput!$M$15,CHOOSE(ArtifactsInput!$N$15+1,25,30,35,40,45,50)/100*(Inputs!$B$11-Inputs!$B$11),0))))/100+(Inputs!$B$23+0+(IF(ArtifactsInput!$M$15,CHOOSE(ArtifactsInput!$N$15+1,25,30,35,40,45,50)/100*(Inputs!$B$11-Inputs!$B$11),0)))/100)/2</f>
        <v/>
      </c>
      <c r="M742">
        <f>L742*(1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IF(B770=0,0,O742/B770)</f>
        <v/>
      </c>
      <c r="Q742">
        <f>IFERROR(1/(IF(Inputs!$B$38="pvp",15,MAX(0.1,Skills!D8-IF(Skills!E8=TRUE,Inputs!$B$32,0)))*(1-IF(AND(ArtifactsInput!$M$27,Inputs!$B$4="Chapter Hunt"),CHOOSE(ArtifactsInput!$N$27+1,20,24,28,32,36,40),0)/100)),0)</f>
        <v/>
      </c>
      <c r="R742">
        <f>IF(AND(Inputs!$B$38&lt;&gt;"pvp",Inputs!$B$43&gt;0),IF(MAX(0,Inputs!$B$43-B767)&lt;=0,0,(INT(MAX(0,Inputs!$B$43-B767)/(IF(Inputs!$B$38="pvp",15,MAX(0.1,Skills!D8-IF(Skills!E8=TRUE,Inputs!$B$32,0)))*(1-IF(AND(ArtifactsInput!$M$27,Inputs!$B$4="Chapter Hunt"),CHOOSE(ArtifactsInput!$N$27+1,20,24,28,32,36,40),0)/100)))+1)),0)</f>
        <v/>
      </c>
      <c r="S742">
        <f>IFERROR(O742/N742,0)</f>
        <v/>
      </c>
      <c r="T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$21+Skills!Q8+(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Skills!A9</f>
        <v/>
      </c>
      <c r="B743">
        <f>Skills!B9</f>
        <v/>
      </c>
      <c r="C743">
        <f>Inputs!$B$3&gt;=110</f>
        <v/>
      </c>
      <c r="D743">
        <f>IF(Skills!C9=1,60+Inputs!$B$25+Inputs!$B$29,IF(Skills!C9=2,90+(Inputs!$B$26+1)+Inputs!$B$29,IF(Skills!C9=3,120+Inputs!$B$27+Inputs!$B$29,MAX(0,(Inputs!$B$3-100)*3)+Inputs!$B$28+Inputs!$B$29)))</f>
        <v/>
      </c>
      <c r="E743">
        <f>INDEX(FactorTable!$B$2:$Y$301, MATCH(ROUND(MIN(300,MAX(1,D743)),0), FactorTable!$A$2:$A$301,0), Skills!M9+1)</f>
        <v/>
      </c>
      <c r="F743">
        <f>IF(Skills!N9=TRUE,(Skills!L9/10)*(E743/1000),Skills!L9/10)+Skills!O9</f>
        <v/>
      </c>
      <c r="G743">
        <f>Skills!G9*IF(Skills!H9&gt;0,Skills!I9/Skills!H9,1)</f>
        <v/>
      </c>
      <c r="H743">
        <f>1-(1-Skills!J9/100)^Skills!K9</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754=TRUE)*(F754-Calc!F20)),(Inputs!$B$23+0+(IF(ArtifactsInput!$M$15,CHOOSE(ArtifactsInput!$N$15+1,25,30,35,40,45,50)/100*(Inputs!$B$11-Inputs!$B$11),0))))/100+(Inputs!$B$23+0+(IF(ArtifactsInput!$M$15,CHOOSE(ArtifactsInput!$N$15+1,25,30,35,40,45,50)/100*(Inputs!$B$11-Inputs!$B$11),0)))/100)/2</f>
        <v/>
      </c>
      <c r="M743">
        <f>L743*(1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IF(B770=0,0,O743/B770)</f>
        <v/>
      </c>
      <c r="Q743">
        <f>IFERROR(1/(IF(Inputs!$B$38="pvp",15,MAX(0.1,Skills!D9-IF(Skills!E9=TRUE,Inputs!$B$32,0)))*(1-IF(AND(ArtifactsInput!$M$27,Inputs!$B$4="Chapter Hunt"),CHOOSE(ArtifactsInput!$N$27+1,20,24,28,32,36,40),0)/100)),0)</f>
        <v/>
      </c>
      <c r="R743">
        <f>IF(AND(Inputs!$B$38&lt;&gt;"pvp",Inputs!$B$43&gt;0),IF(MAX(0,Inputs!$B$43-B767)&lt;=0,0,(INT(MAX(0,Inputs!$B$43-B767)/(IF(Inputs!$B$38="pvp",15,MAX(0.1,Skills!D9-IF(Skills!E9=TRUE,Inputs!$B$32,0)))*(1-IF(AND(ArtifactsInput!$M$27,Inputs!$B$4="Chapter Hunt"),CHOOSE(ArtifactsInput!$N$27+1,20,24,28,32,36,40),0)/100)))+1)),0)</f>
        <v/>
      </c>
      <c r="S743">
        <f>IFERROR(O743/N743,0)</f>
        <v/>
      </c>
      <c r="T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$21+Skills!Q9+(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Skills!A10</f>
        <v/>
      </c>
      <c r="B744">
        <f>Skills!B10</f>
        <v/>
      </c>
      <c r="C744">
        <f>Inputs!$B$3&gt;=103</f>
        <v/>
      </c>
      <c r="D744">
        <f>IF(Skills!C10=1,60+Inputs!$B$25+Inputs!$B$29,IF(Skills!C10=2,90+(Inputs!$B$26+1)+Inputs!$B$29,IF(Skills!C10=3,120+Inputs!$B$27+Inputs!$B$29,MAX(0,(Inputs!$B$3-100)*3)+Inputs!$B$28+Inputs!$B$29)))</f>
        <v/>
      </c>
      <c r="E744">
        <f>INDEX(FactorTable!$B$2:$Y$301, MATCH(ROUND(MIN(300,MAX(1,D744)),0), FactorTable!$A$2:$A$301,0), Skills!M10+1)</f>
        <v/>
      </c>
      <c r="F744">
        <f>IF(Skills!N10=TRUE,(Skills!L10/10)*(E744/1000),Skills!L10/10)+Skills!O10</f>
        <v/>
      </c>
      <c r="G744">
        <f>Skills!G10*IF(Skills!H10&gt;0,Skills!I10/Skills!H10,1)</f>
        <v/>
      </c>
      <c r="H744">
        <f>1-(1-Skills!J10/100)^Skills!K10</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754=TRUE)*(F754-Calc!F20)),(Inputs!$B$23+0+(IF(ArtifactsInput!$M$15,CHOOSE(ArtifactsInput!$N$15+1,25,30,35,40,45,50)/100*(Inputs!$B$11-Inputs!$B$11),0))))/100+(Inputs!$B$23+0+(IF(ArtifactsInput!$M$15,CHOOSE(ArtifactsInput!$N$15+1,25,30,35,40,45,50)/100*(Inputs!$B$11-Inputs!$B$11),0)))/100)/2</f>
        <v/>
      </c>
      <c r="M744">
        <f>L744*(1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IF(B770=0,0,O744/B770)</f>
        <v/>
      </c>
      <c r="Q744">
        <f>IFERROR(1/(IF(Inputs!$B$38="pvp",15,MAX(0.1,Skills!D10-IF(Skills!E10=TRUE,Inputs!$B$32,0)))*(1-IF(AND(ArtifactsInput!$M$27,Inputs!$B$4="Chapter Hunt"),CHOOSE(ArtifactsInput!$N$27+1,20,24,28,32,36,40),0)/100)),0)</f>
        <v/>
      </c>
      <c r="R744">
        <f>IF(AND(Inputs!$B$38&lt;&gt;"pvp",Inputs!$B$43&gt;0),IF(MAX(0,Inputs!$B$43-B767)&lt;=0,0,(INT(MAX(0,Inputs!$B$43-B767)/(IF(Inputs!$B$38="pvp",15,MAX(0.1,Skills!D10-IF(Skills!E10=TRUE,Inputs!$B$32,0)))*(1-IF(AND(ArtifactsInput!$M$27,Inputs!$B$4="Chapter Hunt"),CHOOSE(ArtifactsInput!$N$27+1,20,24,28,32,36,40),0)/100)))+1)),0)</f>
        <v/>
      </c>
      <c r="S744">
        <f>IFERROR(O744/N744,0)</f>
        <v/>
      </c>
      <c r="T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$21+Skills!Q10+(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Skills!A11</f>
        <v/>
      </c>
      <c r="B745">
        <f>Skills!B11</f>
        <v/>
      </c>
      <c r="C745">
        <f>Inputs!$B$3&gt;=113</f>
        <v/>
      </c>
      <c r="D745">
        <f>IF(Skills!C11=1,60+Inputs!$B$25+Inputs!$B$29,IF(Skills!C11=2,90+(Inputs!$B$26+1)+Inputs!$B$29,IF(Skills!C11=3,120+Inputs!$B$27+Inputs!$B$29,MAX(0,(Inputs!$B$3-100)*3)+Inputs!$B$28+Inputs!$B$29)))</f>
        <v/>
      </c>
      <c r="E745">
        <f>INDEX(FactorTable!$B$2:$Y$301, MATCH(ROUND(MIN(300,MAX(1,D745)),0), FactorTable!$A$2:$A$301,0), Skills!M11+1)</f>
        <v/>
      </c>
      <c r="F745">
        <f>IF(Skills!N11=TRUE,(Skills!L11/10)*(E745/1000),Skills!L11/10)+Skills!O11</f>
        <v/>
      </c>
      <c r="G745">
        <f>Skills!G11*IF(Skills!H11&gt;0,Skills!I11/Skills!H11,1)</f>
        <v/>
      </c>
      <c r="H745">
        <f>1-(1-Skills!J11/100)^Skills!K11</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754=TRUE)*(F754-Calc!F20)),(Inputs!$B$23+0+(IF(ArtifactsInput!$M$15,CHOOSE(ArtifactsInput!$N$15+1,25,30,35,40,45,50)/100*(Inputs!$B$11-Inputs!$B$11),0))))/100+(Inputs!$B$23+0+(IF(ArtifactsInput!$M$15,CHOOSE(ArtifactsInput!$N$15+1,25,30,35,40,45,50)/100*(Inputs!$B$11-Inputs!$B$11),0)))/100)/2</f>
        <v/>
      </c>
      <c r="M745">
        <f>L745*(1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IF(B770=0,0,O745/B770)</f>
        <v/>
      </c>
      <c r="Q745">
        <f>IFERROR(1/(IF(Inputs!$B$38="pvp",15,MAX(0.1,Skills!D11-IF(Skills!E11=TRUE,Inputs!$B$32,0)))*(1-IF(AND(ArtifactsInput!$M$27,Inputs!$B$4="Chapter Hunt"),CHOOSE(ArtifactsInput!$N$27+1,20,24,28,32,36,40),0)/100)),0)</f>
        <v/>
      </c>
      <c r="R745">
        <f>IF(AND(Inputs!$B$38&lt;&gt;"pvp",Inputs!$B$43&gt;0),IF(MAX(0,Inputs!$B$43-B767)&lt;=0,0,(INT(MAX(0,Inputs!$B$43-B767)/(IF(Inputs!$B$38="pvp",15,MAX(0.1,Skills!D11-IF(Skills!E11=TRUE,Inputs!$B$32,0)))*(1-IF(AND(ArtifactsInput!$M$27,Inputs!$B$4="Chapter Hunt"),CHOOSE(ArtifactsInput!$N$27+1,20,24,28,32,36,40),0)/100)))+1)),0)</f>
        <v/>
      </c>
      <c r="S745">
        <f>IFERROR(O745/N745,0)</f>
        <v/>
      </c>
      <c r="T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$21+Skills!Q11+(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Skills!A12</f>
        <v/>
      </c>
      <c r="B746">
        <f>Skills!B12</f>
        <v/>
      </c>
      <c r="C746">
        <f>Inputs!$B$3&gt;=100</f>
        <v/>
      </c>
      <c r="D746">
        <f>IF(Skills!C12=1,60+Inputs!$B$25+Inputs!$B$29,IF(Skills!C12=2,90+(Inputs!$B$26+1)+Inputs!$B$29,IF(Skills!C12=3,120+Inputs!$B$27+Inputs!$B$29,MAX(0,(Inputs!$B$3-100)*3)+Inputs!$B$28+Inputs!$B$29)))</f>
        <v/>
      </c>
      <c r="E746">
        <f>INDEX(FactorTable!$B$2:$Y$301, MATCH(ROUND(MIN(300,MAX(1,D746)),0), FactorTable!$A$2:$A$301,0), Skills!M12+1)</f>
        <v/>
      </c>
      <c r="F746">
        <f>IF(Skills!N12=TRUE,(Skills!L12/10)*(E746/1000),Skills!L12/10)+Skills!O12</f>
        <v/>
      </c>
      <c r="G746" t="inlineStr"/>
      <c r="H746" t="inlineStr"/>
      <c r="I746" t="inlineStr">
        <is>
          <t>1</t>
        </is>
      </c>
      <c r="J746" t="inlineStr"/>
      <c r="K746" t="inlineStr"/>
      <c r="L746" t="inlineStr"/>
      <c r="M746" t="inlineStr"/>
      <c r="N746" t="inlineStr"/>
      <c r="O746" t="inlineStr"/>
      <c r="P746" t="inlineStr"/>
      <c r="Q746" t="inlineStr"/>
      <c r="R746" t="inlineStr"/>
      <c r="S746" t="inlineStr"/>
      <c r="T746" t="inlineStr"/>
      <c r="V746" t="inlineStr"/>
    </row>
    <row r="747">
      <c r="A747">
        <f>Skills!A13</f>
        <v/>
      </c>
      <c r="B747">
        <f>Skills!B13</f>
        <v/>
      </c>
      <c r="C747">
        <f>Inputs!$B$3&gt;=66</f>
        <v/>
      </c>
      <c r="D747">
        <f>IF(Skills!C13=1,60+Inputs!$B$25+Inputs!$B$29,IF(Skills!C13=2,90+(Inputs!$B$26+1)+Inputs!$B$29,IF(Skills!C13=3,120+Inputs!$B$27+Inputs!$B$29,MAX(0,(Inputs!$B$3-100)*3)+Inputs!$B$28+Inputs!$B$29)))</f>
        <v/>
      </c>
      <c r="E747">
        <f>INDEX(FactorTable!$B$2:$Y$301, MATCH(ROUND(MIN(300,MAX(1,D747)),0), FactorTable!$A$2:$A$301,0), Skills!M13+1)</f>
        <v/>
      </c>
      <c r="F747">
        <f>IF(Skills!N13=TRUE,(Skills!L13/10)*(E747/1000),Skills!L13/10)+Skills!O13</f>
        <v/>
      </c>
      <c r="G747">
        <f>Skills!G13*IF(Skills!H13&gt;0,Skills!I13/Skills!H13,1)</f>
        <v/>
      </c>
      <c r="H747">
        <f>1-(1-Skills!J13/100)^Skills!K13</f>
        <v/>
      </c>
      <c r="I747" t="inlineStr">
        <is>
          <t>1</t>
        </is>
      </c>
      <c r="J747" t="inlineStr"/>
      <c r="K747" t="inlineStr"/>
      <c r="L747" t="inlineStr"/>
      <c r="M747" t="inlineStr"/>
      <c r="N747" t="inlineStr"/>
      <c r="O747">
        <f>(1-Summary!$B$11)*T747+Summary!$B$11*V747</f>
        <v/>
      </c>
      <c r="P747">
        <f>IF(B770=0,0,O747/B770)</f>
        <v/>
      </c>
      <c r="Q747" t="n">
        <v>0</v>
      </c>
      <c r="R747" t="n">
        <v>0</v>
      </c>
      <c r="S747">
        <f>IFERROR(O747/N747,0)</f>
        <v/>
      </c>
      <c r="T747" t="n">
        <v>0</v>
      </c>
      <c r="V747" t="n">
        <v>0</v>
      </c>
    </row>
    <row r="748">
      <c r="A748">
        <f>Skills!A14</f>
        <v/>
      </c>
      <c r="B748">
        <f>Skills!B14</f>
        <v/>
      </c>
      <c r="C748">
        <f>Inputs!$B$3&gt;=107</f>
        <v/>
      </c>
      <c r="D748">
        <f>IF(Skills!C14=1,60+Inputs!$B$25+Inputs!$B$29,IF(Skills!C14=2,90+(Inputs!$B$26+1)+Inputs!$B$29,IF(Skills!C14=3,120+Inputs!$B$27+Inputs!$B$29,MAX(0,(Inputs!$B$3-100)*3)+Inputs!$B$28+Inputs!$B$29)))</f>
        <v/>
      </c>
      <c r="E748">
        <f>INDEX(FactorTable!$B$2:$Y$301, MATCH(ROUND(MIN(300,MAX(1,D748)),0), FactorTable!$A$2:$A$301,0), Skills!M14+1)</f>
        <v/>
      </c>
      <c r="F748">
        <f>IF(Skills!N14=TRUE,(Skills!L14/10)*(E748/1000),Skills!L14/10)+Skills!O14</f>
        <v/>
      </c>
      <c r="G748">
        <f>Skills!G14*IF(Skills!H14&gt;0,Skills!I14/Skills!H14,1)</f>
        <v/>
      </c>
      <c r="H748">
        <f>1-(1-Skills!J14/100)^Skills!K14</f>
        <v/>
      </c>
      <c r="I748" t="inlineStr">
        <is>
          <t>1</t>
        </is>
      </c>
      <c r="J748" t="inlineStr"/>
      <c r="K748" t="inlineStr"/>
      <c r="L748" t="inlineStr"/>
      <c r="M748" t="inlineStr"/>
      <c r="N748" t="inlineStr"/>
      <c r="O748">
        <f>(1-Summary!$B$11)*T748+Summary!$B$11*V748</f>
        <v/>
      </c>
      <c r="P748">
        <f>IF(B770=0,0,O748/B770)</f>
        <v/>
      </c>
      <c r="Q748" t="n">
        <v>0</v>
      </c>
      <c r="R748" t="n">
        <v>0</v>
      </c>
      <c r="S748">
        <f>IFERROR(O748/N748,0)</f>
        <v/>
      </c>
      <c r="T748" t="n">
        <v>0</v>
      </c>
      <c r="V748" t="n">
        <v>0</v>
      </c>
    </row>
    <row r="749">
      <c r="A749">
        <f>Skills!A15</f>
        <v/>
      </c>
      <c r="B749">
        <f>Skills!B15</f>
        <v/>
      </c>
      <c r="C749">
        <f>Inputs!$B$3&gt;=115</f>
        <v/>
      </c>
      <c r="D749">
        <f>IF(Skills!C15=1,60+Inputs!$B$25+Inputs!$B$29,IF(Skills!C15=2,90+(Inputs!$B$26+1)+Inputs!$B$29,IF(Skills!C15=3,120+Inputs!$B$27+Inputs!$B$29,MAX(0,(Inputs!$B$3-100)*3)+Inputs!$B$28+Inputs!$B$29)))</f>
        <v/>
      </c>
      <c r="E749">
        <f>INDEX(FactorTable!$B$2:$Y$301, MATCH(ROUND(MIN(300,MAX(1,D749)),0), FactorTable!$A$2:$A$301,0), Skills!M15+1)</f>
        <v/>
      </c>
      <c r="F749">
        <f>IF(Skills!N15=TRUE,(Skills!L15/10)*(E749/1000),Skills!L15/10)+Skills!O15</f>
        <v/>
      </c>
      <c r="G749">
        <f>Skills!G15*IF(Skills!H15&gt;0,Skills!I15/Skills!H15,1)</f>
        <v/>
      </c>
      <c r="H749">
        <f>1-(1-Skills!J15/100)^Skills!K15</f>
        <v/>
      </c>
      <c r="I749" t="inlineStr">
        <is>
          <t>1</t>
        </is>
      </c>
      <c r="J749" t="inlineStr"/>
      <c r="K749" t="inlineStr"/>
      <c r="L749" t="inlineStr"/>
      <c r="M749" t="inlineStr"/>
      <c r="N749" t="inlineStr"/>
      <c r="O749">
        <f>(1-Summary!$B$11)*T749+Summary!$B$11*V749</f>
        <v/>
      </c>
      <c r="P749">
        <f>IF(B770=0,0,O749/B770)</f>
        <v/>
      </c>
      <c r="Q749" t="n">
        <v>0</v>
      </c>
      <c r="R749" t="n">
        <v>0</v>
      </c>
      <c r="S749">
        <f>IFERROR(O749/N749,0)</f>
        <v/>
      </c>
      <c r="T749" t="n">
        <v>0</v>
      </c>
      <c r="V749" t="n">
        <v>0</v>
      </c>
    </row>
    <row r="750">
      <c r="A750">
        <f>Skills!A16</f>
        <v/>
      </c>
      <c r="B750">
        <f>Skills!B16</f>
        <v/>
      </c>
      <c r="C750">
        <f>Inputs!$B$3&gt;=15</f>
        <v/>
      </c>
      <c r="D750">
        <f>IF(Skills!C16=1,60+Inputs!$B$25+Inputs!$B$29,IF(Skills!C16=2,90+(Inputs!$B$26+1)+Inputs!$B$29,IF(Skills!C16=3,120+Inputs!$B$27+Inputs!$B$29,MAX(0,(Inputs!$B$3-100)*3)+Inputs!$B$28+Inputs!$B$29)))</f>
        <v/>
      </c>
      <c r="E750">
        <f>INDEX(FactorTable!$B$2:$Y$301, MATCH(ROUND(MIN(300,MAX(1,D750)),0), FactorTable!$A$2:$A$301,0), Skills!M16+1)</f>
        <v/>
      </c>
      <c r="F750">
        <f>IF(Skills!N16=TRUE,(Skills!L16/10)*(E750/1000),Skills!L16/10)+Skills!O16</f>
        <v/>
      </c>
      <c r="G750">
        <f>Skills!G16*IF(Skills!H16&gt;0,Skills!I16/Skills!H16,1)</f>
        <v/>
      </c>
      <c r="H750">
        <f>1-(1-Skills!J16/100)^Skills!K16</f>
        <v/>
      </c>
      <c r="I750" t="inlineStr">
        <is>
          <t>1</t>
        </is>
      </c>
      <c r="J750" t="inlineStr"/>
      <c r="K750" t="inlineStr"/>
      <c r="L750" t="inlineStr"/>
      <c r="M750" t="inlineStr"/>
      <c r="N750" t="inlineStr"/>
      <c r="O750">
        <f>(1-Summary!$B$11)*T750+Summary!$B$11*V750</f>
        <v/>
      </c>
      <c r="P750">
        <f>IF(B770=0,0,O750/B770)</f>
        <v/>
      </c>
      <c r="Q750" t="n">
        <v>0</v>
      </c>
      <c r="R750" t="n">
        <v>0</v>
      </c>
      <c r="S750">
        <f>IFERROR(O750/N750,0)</f>
        <v/>
      </c>
      <c r="T750" t="n">
        <v>0</v>
      </c>
      <c r="V750" t="n">
        <v>0</v>
      </c>
    </row>
    <row r="751">
      <c r="A751">
        <f>Skills!A17</f>
        <v/>
      </c>
      <c r="B751">
        <f>Skills!B17</f>
        <v/>
      </c>
      <c r="C751">
        <f>Inputs!$B$3&gt;=10</f>
        <v/>
      </c>
      <c r="D751">
        <f>IF(Skills!C17=1,60+Inputs!$B$25+Inputs!$B$29,IF(Skills!C17=2,90+(Inputs!$B$26+1)+Inputs!$B$29,IF(Skills!C17=3,120+Inputs!$B$27+Inputs!$B$29,MAX(0,(Inputs!$B$3-100)*3)+Inputs!$B$28+Inputs!$B$29)))</f>
        <v/>
      </c>
      <c r="E751">
        <f>INDEX(FactorTable!$B$2:$Y$301, MATCH(ROUND(MIN(300,MAX(1,D751)),0), FactorTable!$A$2:$A$301,0), Skills!M17+1)</f>
        <v/>
      </c>
      <c r="F751">
        <f>IF(Skills!N17=TRUE,(Skills!L17/10)*(E751/1000),Skills!L17/10)+Skills!O17</f>
        <v/>
      </c>
      <c r="G751">
        <f>Skills!G17*IF(Skills!H17&gt;0,Skills!I17/Skills!H17,1)</f>
        <v/>
      </c>
      <c r="H751">
        <f>1-(1-Skills!J17/100)^Skills!K17</f>
        <v/>
      </c>
      <c r="I751" t="inlineStr">
        <is>
          <t>1</t>
        </is>
      </c>
      <c r="J751" t="inlineStr"/>
      <c r="K751" t="inlineStr"/>
      <c r="L751" t="inlineStr"/>
      <c r="M751" t="inlineStr"/>
      <c r="N751" t="inlineStr"/>
      <c r="O751">
        <f>(1-Summary!$B$11)*T751+Summary!$B$11*V751</f>
        <v/>
      </c>
      <c r="P751">
        <f>IF(B770=0,0,O751/B770)</f>
        <v/>
      </c>
      <c r="Q751" t="n">
        <v>0</v>
      </c>
      <c r="R751" t="n">
        <v>0</v>
      </c>
      <c r="S751">
        <f>IFERROR(O751/N751,0)</f>
        <v/>
      </c>
      <c r="T751" t="n">
        <v>0</v>
      </c>
      <c r="V751" t="n">
        <v>0</v>
      </c>
    </row>
    <row r="752">
      <c r="A752">
        <f>Skills!A18</f>
        <v/>
      </c>
      <c r="B752">
        <f>Skills!B18</f>
        <v/>
      </c>
      <c r="C752">
        <f>Inputs!$B$3&gt;=33</f>
        <v/>
      </c>
      <c r="D752">
        <f>IF(Skills!C18=1,60+Inputs!$B$25+Inputs!$B$29,IF(Skills!C18=2,90+(Inputs!$B$26+1)+Inputs!$B$29,IF(Skills!C18=3,120+Inputs!$B$27+Inputs!$B$29,MAX(0,(Inputs!$B$3-100)*3)+Inputs!$B$28+Inputs!$B$29)))</f>
        <v/>
      </c>
      <c r="E752">
        <f>INDEX(FactorTable!$B$2:$Y$301, MATCH(ROUND(MIN(300,MAX(1,D752)),0), FactorTable!$A$2:$A$301,0), Skills!M18+1)</f>
        <v/>
      </c>
      <c r="F752">
        <f>IF(Skills!N18=TRUE,(Skills!L18/10)*(E752/1000),Skills!L18/10)+Skills!O18</f>
        <v/>
      </c>
      <c r="G752">
        <f>Skills!G18*IF(Skills!H18&gt;0,Skills!I18/Skills!H18,1)</f>
        <v/>
      </c>
      <c r="H752">
        <f>1-(1-Skills!J18/100)^Skills!K18</f>
        <v/>
      </c>
      <c r="I752" t="inlineStr">
        <is>
          <t>1</t>
        </is>
      </c>
      <c r="J752" t="inlineStr"/>
      <c r="K752" t="inlineStr"/>
      <c r="L752" t="inlineStr"/>
      <c r="M752" t="inlineStr"/>
      <c r="N752" t="inlineStr"/>
      <c r="O752">
        <f>(1-Summary!$B$11)*T752+Summary!$B$11*V752</f>
        <v/>
      </c>
      <c r="P752">
        <f>IF(B770=0,0,O752/B770)</f>
        <v/>
      </c>
      <c r="Q752" t="n">
        <v>0</v>
      </c>
      <c r="R752" t="n">
        <v>0</v>
      </c>
      <c r="S752">
        <f>IFERROR(O752/N752,0)</f>
        <v/>
      </c>
      <c r="T752" t="n">
        <v>0</v>
      </c>
      <c r="V752" t="n">
        <v>0</v>
      </c>
    </row>
    <row r="753">
      <c r="A753">
        <f>Skills!A19</f>
        <v/>
      </c>
      <c r="B753">
        <f>Skills!B19</f>
        <v/>
      </c>
      <c r="C753">
        <f>Inputs!$B$3&gt;=40</f>
        <v/>
      </c>
      <c r="D753">
        <f>IF(Skills!C19=1,60+Inputs!$B$25+Inputs!$B$29,IF(Skills!C19=2,90+(Inputs!$B$26+1)+Inputs!$B$29,IF(Skills!C19=3,120+Inputs!$B$27+Inputs!$B$29,MAX(0,(Inputs!$B$3-100)*3)+Inputs!$B$28+Inputs!$B$29)))</f>
        <v/>
      </c>
      <c r="E753">
        <f>INDEX(FactorTable!$B$2:$Y$301, MATCH(ROUND(MIN(300,MAX(1,D753)),0), FactorTable!$A$2:$A$301,0), Skills!M19+1)</f>
        <v/>
      </c>
      <c r="F753">
        <f>IF(Skills!N19=TRUE,(Skills!L19/10)*(E753/1000),Skills!L19/10)+Skills!O19</f>
        <v/>
      </c>
      <c r="G753">
        <f>Skills!G19*IF(Skills!H19&gt;0,Skills!I19/Skills!H19,1)</f>
        <v/>
      </c>
      <c r="H753">
        <f>1-(1-Skills!J19/100)^Skills!K19</f>
        <v/>
      </c>
      <c r="I753" t="inlineStr">
        <is>
          <t>1</t>
        </is>
      </c>
      <c r="J753" t="inlineStr"/>
      <c r="K753" t="inlineStr"/>
      <c r="L753" t="inlineStr"/>
      <c r="M753" t="inlineStr"/>
      <c r="N753" t="inlineStr"/>
      <c r="O753">
        <f>(1-Summary!$B$11)*T753+Summary!$B$11*V753</f>
        <v/>
      </c>
      <c r="P753">
        <f>IF(B770=0,0,O753/B770)</f>
        <v/>
      </c>
      <c r="Q753" t="n">
        <v>0</v>
      </c>
      <c r="R753" t="n">
        <v>0</v>
      </c>
      <c r="S753">
        <f>IFERROR(O753/N753,0)</f>
        <v/>
      </c>
      <c r="T753" t="n">
        <v>0</v>
      </c>
      <c r="V753" t="n">
        <v>0</v>
      </c>
    </row>
    <row r="754">
      <c r="A754">
        <f>Skills!A20</f>
        <v/>
      </c>
      <c r="B754">
        <f>Skills!B20</f>
        <v/>
      </c>
      <c r="C754">
        <f>Inputs!$B$3&gt;=43</f>
        <v/>
      </c>
      <c r="D754">
        <f>IF(Skills!C20=1,60+Inputs!$B$25+Inputs!$B$29,IF(Skills!C20=2,90+(Inputs!$B$26+1)+Inputs!$B$29,IF(Skills!C20=3,120+Inputs!$B$27+Inputs!$B$29,MAX(0,(Inputs!$B$3-100)*3)+Inputs!$B$28+Inputs!$B$29)))</f>
        <v/>
      </c>
      <c r="E754">
        <f>INDEX(FactorTable!$B$2:$Y$301, MATCH(ROUND(MIN(300,MAX(1,D754)),0), FactorTable!$A$2:$A$301,0), Skills!M20+1)</f>
        <v/>
      </c>
      <c r="F754">
        <f>IF(Skills!N20=TRUE,(Skills!L20/10)*(E754/1000),Skills!L20/10)+Skills!O20</f>
        <v/>
      </c>
      <c r="G754">
        <f>Skills!G20*IF(Skills!H20&gt;0,Skills!I20/Skills!H20,1)</f>
        <v/>
      </c>
      <c r="H754">
        <f>1-(1-Skills!J20/100)^Skills!K20</f>
        <v/>
      </c>
      <c r="I754" t="inlineStr">
        <is>
          <t>1</t>
        </is>
      </c>
      <c r="J754" t="inlineStr"/>
      <c r="K754" t="inlineStr"/>
      <c r="L754" t="inlineStr"/>
      <c r="M754" t="inlineStr"/>
      <c r="N754" t="inlineStr"/>
      <c r="O754">
        <f>(1-Summary!$B$11)*T754+Summary!$B$11*V754</f>
        <v/>
      </c>
      <c r="P754">
        <f>IF(B770=0,0,O754/B770)</f>
        <v/>
      </c>
      <c r="Q754" t="n">
        <v>0</v>
      </c>
      <c r="R754" t="n">
        <v>0</v>
      </c>
      <c r="S754">
        <f>IFERROR(O754/N754,0)</f>
        <v/>
      </c>
      <c r="T754" t="n">
        <v>0</v>
      </c>
      <c r="V754" t="n">
        <v>0</v>
      </c>
    </row>
    <row r="755">
      <c r="A755">
        <f>Skills!A21</f>
        <v/>
      </c>
      <c r="B755">
        <f>Skills!B21</f>
        <v/>
      </c>
      <c r="C755">
        <f>Inputs!$B$3&gt;=38</f>
        <v/>
      </c>
      <c r="D755">
        <f>IF(Skills!C21=1,60+Inputs!$B$25+Inputs!$B$29,IF(Skills!C21=2,90+(Inputs!$B$26+1)+Inputs!$B$29,IF(Skills!C21=3,120+Inputs!$B$27+Inputs!$B$29,MAX(0,(Inputs!$B$3-100)*3)+Inputs!$B$28+Inputs!$B$29)))</f>
        <v/>
      </c>
      <c r="E755">
        <f>INDEX(FactorTable!$B$2:$Y$301, MATCH(ROUND(MIN(300,MAX(1,D755)),0), FactorTable!$A$2:$A$301,0), Skills!M21+1)</f>
        <v/>
      </c>
      <c r="F755">
        <f>IF(Skills!N21=TRUE,(Skills!L21/10)*(E755/1000),Skills!L21/10)+Skills!O21</f>
        <v/>
      </c>
      <c r="G755">
        <f>Skills!G21*IF(Skills!H21&gt;0,Skills!I21/Skills!H21,1)</f>
        <v/>
      </c>
      <c r="H755">
        <f>1-(1-Skills!J21/100)^Skills!K21</f>
        <v/>
      </c>
      <c r="I755" t="inlineStr">
        <is>
          <t>1</t>
        </is>
      </c>
      <c r="J755" t="inlineStr"/>
      <c r="K755" t="inlineStr"/>
      <c r="L755" t="inlineStr"/>
      <c r="M755" t="inlineStr"/>
      <c r="N755" t="inlineStr"/>
      <c r="O755">
        <f>(1-Summary!$B$11)*T755+Summary!$B$11*V755</f>
        <v/>
      </c>
      <c r="P755">
        <f>IF(B770=0,0,O755/B770)</f>
        <v/>
      </c>
      <c r="Q755" t="n">
        <v>0</v>
      </c>
      <c r="R755" t="n">
        <v>0</v>
      </c>
      <c r="S755">
        <f>IFERROR(O755/N755,0)</f>
        <v/>
      </c>
      <c r="T755" t="n">
        <v>0</v>
      </c>
      <c r="V755" t="n">
        <v>0</v>
      </c>
    </row>
    <row r="756">
      <c r="A756">
        <f>Skills!A22</f>
        <v/>
      </c>
      <c r="B756">
        <f>Skills!B22</f>
        <v/>
      </c>
      <c r="C756">
        <f>Inputs!$B$3&gt;=75</f>
        <v/>
      </c>
      <c r="D756">
        <f>IF(Skills!C22=1,60+Inputs!$B$25+Inputs!$B$29,IF(Skills!C22=2,90+(Inputs!$B$26+1)+Inputs!$B$29,IF(Skills!C22=3,120+Inputs!$B$27+Inputs!$B$29,MAX(0,(Inputs!$B$3-100)*3)+Inputs!$B$28+Inputs!$B$29)))</f>
        <v/>
      </c>
      <c r="E756">
        <f>INDEX(FactorTable!$B$2:$Y$301, MATCH(ROUND(MIN(300,MAX(1,D756)),0), FactorTable!$A$2:$A$301,0), Skills!M22+1)</f>
        <v/>
      </c>
      <c r="F756">
        <f>IF(Skills!N22=TRUE,(Skills!L22/10)*(E756/1000),Skills!L22/10)+Skills!O22</f>
        <v/>
      </c>
      <c r="G756">
        <f>Skills!G22*IF(Skills!H22&gt;0,Skills!I22/Skills!H22,1)</f>
        <v/>
      </c>
      <c r="H756">
        <f>1-(1-Skills!J22/100)^Skills!K22</f>
        <v/>
      </c>
      <c r="I756" t="inlineStr">
        <is>
          <t>1</t>
        </is>
      </c>
      <c r="J756" t="inlineStr"/>
      <c r="K756" t="inlineStr"/>
      <c r="L756" t="inlineStr"/>
      <c r="M756" t="inlineStr"/>
      <c r="N756" t="inlineStr"/>
      <c r="O756">
        <f>(1-Summary!$B$11)*T756+Summary!$B$11*V756</f>
        <v/>
      </c>
      <c r="P756">
        <f>IF(B770=0,0,O756/B770)</f>
        <v/>
      </c>
      <c r="Q756" t="n">
        <v>0</v>
      </c>
      <c r="R756" t="n">
        <v>0</v>
      </c>
      <c r="S756">
        <f>IFERROR(O756/N756,0)</f>
        <v/>
      </c>
      <c r="T756" t="n">
        <v>0</v>
      </c>
      <c r="V756" t="n">
        <v>0</v>
      </c>
    </row>
    <row r="757">
      <c r="A757">
        <f>Skills!A23</f>
        <v/>
      </c>
      <c r="B757">
        <f>Skills!B23</f>
        <v/>
      </c>
      <c r="C757">
        <f>TRUE</f>
        <v/>
      </c>
      <c r="D757">
        <f>IF(Skills!C23=1,60+Inputs!$B$25+Inputs!$B$29,IF(Skills!C23=2,90+(Inputs!$B$26+1)+Inputs!$B$29,IF(Skills!C23=3,120+Inputs!$B$27+Inputs!$B$29,MAX(0,(Inputs!$B$3-100)*3)+Inputs!$B$28+Inputs!$B$29)))</f>
        <v/>
      </c>
      <c r="E757">
        <f>INDEX(FactorTable!$B$2:$Y$301, MATCH(ROUND(MIN(300,MAX(1,D757)),0), FactorTable!$A$2:$A$301,0), Skills!M23+1)</f>
        <v/>
      </c>
      <c r="F757">
        <f>IF(Skills!N23=TRUE,(Skills!L23/10)*(E757/1000),Skills!L23/10)+Skills!O23</f>
        <v/>
      </c>
      <c r="G757">
        <f>Skills!G23*IF(Skills!H23&gt;0,Skills!I23/Skills!H23,1)</f>
        <v/>
      </c>
      <c r="H757">
        <f>1-(1-Skills!J23/100)^Skills!K23</f>
        <v/>
      </c>
      <c r="I757" t="inlineStr">
        <is>
          <t>1</t>
        </is>
      </c>
      <c r="J757" t="inlineStr"/>
      <c r="K757" t="inlineStr"/>
      <c r="L757" t="inlineStr"/>
      <c r="M757" t="inlineStr"/>
      <c r="N757" t="inlineStr"/>
      <c r="O757">
        <f>(1-Summary!$B$11)*T757+Summary!$B$11*V757</f>
        <v/>
      </c>
      <c r="P757">
        <f>IF(B770=0,0,O757/B770)</f>
        <v/>
      </c>
      <c r="Q757">
        <f>IFERROR(1/(IF(Inputs!$B$38="pvp",15,MAX(0.1,Skills!D23-IF(Skills!E23=TRUE,Inputs!$B$32,0)))*(1-IF(AND(ArtifactsInput!$M$27,Inputs!$B$4="Chapter Hunt"),CHOOSE(ArtifactsInput!$N$27+1,20,24,28,32,36,40),0)/100)),0)</f>
        <v/>
      </c>
      <c r="R757">
        <f>IF(AND(Inputs!$B$38&lt;&gt;"pvp",Inputs!$B$43&gt;0),IF(Inputs!$B$43&lt;=0,0,(INT(Inputs!$B$43/(IF(Inputs!$B$38="pvp",15,MAX(0.1,Skills!D23-IF(Skills!E23=TRUE,Inputs!$B$32,0)))*(1-IF(AND(ArtifactsInput!$M$27,Inputs!$B$4="Chapter Hunt"),CHOOSE(ArtifactsInput!$N$27+1,20,24,28,32,36,40),0)/100)))+1)),0)</f>
        <v/>
      </c>
      <c r="S757">
        <f>IFERROR(O757/N757,0)</f>
        <v/>
      </c>
      <c r="T757" t="n">
        <v>0</v>
      </c>
      <c r="V757" t="n">
        <v>0</v>
      </c>
    </row>
    <row r="759">
      <c r="A759" t="inlineStr">
        <is>
          <t>Attack% Bucket Multiplier</t>
        </is>
      </c>
      <c r="B759">
        <f>(1+(((C747=TRUE)*F747*5/7)+((C753=TRUE)*(F753-Calc!F19))+(IF(ArtifactsInput!$M$21,CHOOSE(ArtifactsInput!$N$21+1,25,30,35,40,45,50)*(IF(OR(Inputs!$B$4="Chapter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0">
      <c r="A760" t="inlineStr">
        <is>
          <t>Global Crit Rate Bonus %</t>
        </is>
      </c>
      <c r="B760" t="n">
        <v>0</v>
      </c>
    </row>
    <row r="761">
      <c r="A761" t="inlineStr">
        <is>
          <t>Attack Speed Buff Bonus % (Nimble Feet, duty-cycle averaged)</t>
        </is>
      </c>
      <c r="B761">
        <f>((C757=TRUE)*F757*IF(AND(Inputs!$B$38&lt;&gt;"pvp",Inputs!$B$43&gt;0),(((R757-1)*(Skills!T23*(1+Inputs!$B$34/100))+MIN((Skills!T23*(1+Inputs!$B$34/100)),MAX(0,Inputs!$B$43-((R757-1)*Skills!D23))))/Inputs!$B$43),IF(Inputs!$B$38="pvp",MIN((Skills!T23*(1+Inputs!$B$34/100)),15)/15,(Skills!T23*(1+Inputs!$B$34/100))/Skills!D23)))</f>
        <v/>
      </c>
    </row>
    <row r="762">
      <c r="A762" t="inlineStr">
        <is>
          <t>Actions Per Second</t>
        </is>
      </c>
      <c r="B762">
        <f>1+MIN(150,150*(1-(1-(Inputs!$B$11+((C751=TRUE)*(F751-Calc!F17))+((C752=TRUE)*(F752-Calc!F18)))/150)*(1-B761/150)))/100</f>
        <v/>
      </c>
    </row>
    <row r="763">
      <c r="A763" t="inlineStr">
        <is>
          <t>Skill + Buff Cast Rate</t>
        </is>
      </c>
      <c r="B763">
        <f>IF(AND(Inputs!$B$38&lt;&gt;"pvp",Inputs!$B$43&gt;0),SUMPRODUCT((Skills!E2:E23=TRUE)*(C736:C757=TRUE)*R736:R757*Skills!F2:F23)/Inputs!$B$43,SUMPRODUCT((Skills!E2:E23=TRUE)*(C736:C757=TRUE)*Q736:Q757*Skills!F2:F23))</f>
        <v/>
      </c>
    </row>
    <row r="764">
      <c r="A764" t="inlineStr">
        <is>
          <t>Hook Bomber Casts Per Second</t>
        </is>
      </c>
      <c r="B764">
        <f>MAX(0,B762-B763)</f>
        <v/>
      </c>
    </row>
    <row r="765">
      <c r="A765" t="inlineStr">
        <is>
          <t>Global Critical Damage Bonus % (unused)</t>
        </is>
      </c>
      <c r="B765" t="n">
        <v>0</v>
      </c>
    </row>
    <row r="766">
      <c r="A766" t="inlineStr">
        <is>
          <t>Global Final Damage Bonus % (Serpent Scale + Crossbones + Time Leap + Speed Infusion)</t>
        </is>
      </c>
      <c r="B766">
        <f>((C739=TRUE)*F739*((10+IF(Inputs!$B$3&gt;=94,5,0))/((10+IF(Inputs!$B$3&gt;=94,5,0))+5/(B764*(1+IF(Inputs!$B$3&gt;=104,1,0))))))+((C748=TRUE)*F748)+((C749=TRUE)*F749)+((Inputs!$B$3&gt;=110)*20*(B762-1))</f>
        <v/>
      </c>
    </row>
    <row r="767">
      <c r="A767" t="inlineStr">
        <is>
          <t>Buff-Casting Startup Delay (s, fixed-duration only)</t>
        </is>
      </c>
      <c r="B767">
        <f>IF(AND(Inputs!$B$38&lt;&gt;"pvp",Inputs!$B$43&gt;0),SUMPRODUCT((Skills!T2:T23&gt;0)*(Skills!E2:E23=TRUE)*(C736:C757=TRUE))/B762,0)</f>
        <v/>
      </c>
    </row>
    <row r="768">
      <c r="A768" t="inlineStr">
        <is>
          <t>Boss-Only Total DPS (this block's swept value)</t>
        </is>
      </c>
      <c r="B768">
        <f>SUM(T736:T757)</f>
        <v/>
      </c>
    </row>
    <row r="769">
      <c r="A769" t="inlineStr">
        <is>
          <t>Normal-Only Total DPS (this block's swept value)</t>
        </is>
      </c>
      <c r="B769">
        <f>SUM(V736:V757)</f>
        <v/>
      </c>
    </row>
    <row r="770">
      <c r="A770" s="6" t="inlineStr">
        <is>
          <t>TOTAL DPS</t>
        </is>
      </c>
      <c r="B770" s="6">
        <f>SUM(O736:O757)</f>
        <v/>
      </c>
    </row>
    <row r="773">
      <c r="A773" s="6" t="inlineStr">
        <is>
          <t>Stat: Skill Level Bonus — 3rd Job</t>
        </is>
      </c>
    </row>
    <row r="774">
      <c r="A774" s="5" t="inlineStr">
        <is>
          <t>Key</t>
        </is>
      </c>
      <c r="B774" s="5" t="inlineStr">
        <is>
          <t>Name</t>
        </is>
      </c>
      <c r="C774" s="5" t="inlineStr">
        <is>
          <t>Unlocked</t>
        </is>
      </c>
      <c r="D774" s="5" t="inlineStr">
        <is>
          <t>InputLevel</t>
        </is>
      </c>
      <c r="E774" s="5" t="inlineStr">
        <is>
          <t>Factor</t>
        </is>
      </c>
      <c r="F774" s="5" t="inlineStr">
        <is>
          <t>CoefficientPercent</t>
        </is>
      </c>
      <c r="G774" s="5" t="inlineStr">
        <is>
          <t>EffectiveHits</t>
        </is>
      </c>
      <c r="H774" s="5" t="inlineStr">
        <is>
          <t>ProcProbability</t>
        </is>
      </c>
      <c r="I774" s="5" t="inlineStr">
        <is>
          <t>MapleHeroMultiplier</t>
        </is>
      </c>
      <c r="J774" s="5" t="inlineStr">
        <is>
          <t>BaseDamage</t>
        </is>
      </c>
      <c r="K774" s="5" t="inlineStr">
        <is>
          <t>BaseHitDamage</t>
        </is>
      </c>
      <c r="L774" s="5" t="inlineStr">
        <is>
          <t>NonCritAvg</t>
        </is>
      </c>
      <c r="M774" s="5" t="inlineStr">
        <is>
          <t>CritAvg</t>
        </is>
      </c>
      <c r="N774" s="5" t="inlineStr">
        <is>
          <t>ExpectedDamage(perHit)</t>
        </is>
      </c>
      <c r="O774" s="5" t="inlineStr">
        <is>
          <t>DPS</t>
        </is>
      </c>
      <c r="P774" s="5" t="inlineStr">
        <is>
          <t>% of Total</t>
        </is>
      </c>
      <c r="Q774" s="5" t="inlineStr">
        <is>
          <t>InvCooldown</t>
        </is>
      </c>
      <c r="R774" s="5" t="inlineStr">
        <is>
          <t>CastsInFight</t>
        </is>
      </c>
      <c r="S774" s="5" t="inlineStr">
        <is>
          <t>HitRate(perSec)</t>
        </is>
      </c>
      <c r="U774" t="inlineStr">
        <is>
          <t>helpers</t>
        </is>
      </c>
    </row>
    <row r="775">
      <c r="A775">
        <f>Skills!A2</f>
        <v/>
      </c>
      <c r="B775">
        <f>Skills!B2</f>
        <v/>
      </c>
      <c r="C775">
        <f>Inputs!$B$3&gt;=100</f>
        <v/>
      </c>
      <c r="D775" t="inlineStr"/>
      <c r="E775" t="inlineStr"/>
      <c r="F775">
        <f>U777+Skills!O2</f>
        <v/>
      </c>
      <c r="G775">
        <f>Skills!G2*IF(Skills!H2&gt;0,Skills!I2/Skills!H2,1)</f>
        <v/>
      </c>
      <c r="H775">
        <f>1-(1-Skills!J2/100)^Skills!K2</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793=TRUE)*(F793-Calc!F20)),(Inputs!$B$23+0+(IF(ArtifactsInput!$M$15,CHOOSE(ArtifactsInput!$N$15+1,25,30,35,40,45,50)/100*(Inputs!$B$11-Inputs!$B$11),0))))/100+(Inputs!$B$23+0+(IF(ArtifactsInput!$M$15,CHOOSE(ArtifactsInput!$N$15+1,25,30,35,40,45,50)/100*(Inputs!$B$11-Inputs!$B$11),0)))/100)/2</f>
        <v/>
      </c>
      <c r="M775">
        <f>L775*(1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IF(B809=0,0,O775/B809)</f>
        <v/>
      </c>
      <c r="Q775" t="n">
        <v>0</v>
      </c>
      <c r="R775" t="n">
        <v>0</v>
      </c>
      <c r="S775">
        <f>IFERROR(O775/N775,0)</f>
        <v/>
      </c>
      <c r="T775">
        <f>IF(C775,(Skills!G2*N775*B803)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MAX(0,(Inputs!$B$3-100)*3)+Inputs!$B$28+Inputs!$B$29</f>
        <v/>
      </c>
      <c r="V775">
        <f>IF(C775,(Skills!G2*N775*B803)*IF(Inputs!$B$38="pvp",1,(1+(Inputs!$B$21+Skills!Q2+(IF(ArtifactsInput!$M$33,CHOOSE(ArtifactsInput!$N$33+1,30,36,42,48,54,60),0))+(IF(AND(ArtifactsInput!$M$35,Inputs!$B$4&lt;&gt;"Chapter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Skills!A3</f>
        <v/>
      </c>
      <c r="B776">
        <f>Skills!B3</f>
        <v/>
      </c>
      <c r="C776">
        <f>Inputs!$B$3&gt;=35</f>
        <v/>
      </c>
      <c r="D776">
        <f>IF(Skills!C3=1,60+Inputs!$B$25+Inputs!$B$29,IF(Skills!C3=2,90+Inputs!$B$26+Inputs!$B$29,IF(Skills!C3=3,120+(Inputs!$B$27+1)+Inputs!$B$29,MAX(0,(Inputs!$B$3-100)*3)+Inputs!$B$28+Inputs!$B$29)))</f>
        <v/>
      </c>
      <c r="E776">
        <f>INDEX(FactorTable!$B$2:$Y$301, MATCH(ROUND(MIN(300,MAX(1,D776)),0), FactorTable!$A$2:$A$301,0), Skills!M3+1)</f>
        <v/>
      </c>
      <c r="F776">
        <f>IF(Skills!N3=TRUE,(Skills!L3/10)*(E776/1000),Skills!L3/10)+Skills!O3</f>
        <v/>
      </c>
      <c r="G776">
        <f>Skills!G3*IF(Skills!H3&gt;0,Skills!I3/Skills!H3,1)</f>
        <v/>
      </c>
      <c r="H776">
        <f>1-(1-Skills!J3/100)^Skills!K3</f>
        <v/>
      </c>
      <c r="I776" t="inlineStr">
        <is>
          <t>1</t>
        </is>
      </c>
      <c r="J776">
        <f>((Inputs!$B$6*(1+Inputs!$B$7/100))+(((Inputs!$B$12*(1+Inputs!$B$13/100))-(Inputs!$B$12*(1+Inputs!$B$13/100)))+0.25*(Inputs!$B$14-Inputs!$B$14))*(1+Inputs!$B$7/100))*(F776/100)</f>
        <v/>
      </c>
      <c r="K776">
        <f>J776*(1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C793=TRUE)*(F793-Calc!F20)),(Inputs!$B$23+0+(IF(ArtifactsInput!$M$15,CHOOSE(ArtifactsInput!$N$15+1,25,30,35,40,45,50)/100*(Inputs!$B$11-Inputs!$B$11),0))))/100+(Inputs!$B$23+0+(IF(ArtifactsInput!$M$15,CHOOSE(ArtifactsInput!$N$15+1,25,30,35,40,45,50)/100*(Inputs!$B$11-Inputs!$B$11),0)))/100)/2</f>
        <v/>
      </c>
      <c r="M776">
        <f>L776*(1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(1-Summary!$B$11)*T776+Summary!$B$11*V776</f>
        <v/>
      </c>
      <c r="P776">
        <f>IF(B809=0,0,O776/B809)</f>
        <v/>
      </c>
      <c r="Q776" t="n">
        <v>0</v>
      </c>
      <c r="R776" t="n">
        <v>0</v>
      </c>
      <c r="S776">
        <f>IFERROR(O776/N776,0)</f>
        <v/>
      </c>
      <c r="T776">
        <f>IF(C776,(Skills!G3*H776*N776*B803)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INDEX(FactorTable!$B$2:$Y$301, MATCH(ROUND(MIN(300,MAX(1,U775)),0), FactorTable!$A$2:$A$301,0), 22)</f>
        <v/>
      </c>
      <c r="V776">
        <f>IF(C776,(Skills!G3*H776*N776*B803)*IF(Inputs!$B$38="pvp",1,(1+(Inputs!$B$21+Skills!Q3+(IF(ArtifactsInput!$M$33,CHOOSE(ArtifactsInput!$N$33+1,30,36,42,48,54,60),0))+(IF(AND(ArtifactsInput!$M$35,Inputs!$B$4&lt;&gt;"Chapter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Skills!A4</f>
        <v/>
      </c>
      <c r="B777">
        <f>Skills!B4</f>
        <v/>
      </c>
      <c r="C777">
        <f>Inputs!$B$3&gt;=60</f>
        <v/>
      </c>
      <c r="D777">
        <f>IF(Skills!C4=1,60+Inputs!$B$25+Inputs!$B$29,IF(Skills!C4=2,90+Inputs!$B$26+Inputs!$B$29,IF(Skills!C4=3,120+(Inputs!$B$27+1)+Inputs!$B$29,MAX(0,(Inputs!$B$3-100)*3)+Inputs!$B$28+Inputs!$B$29)))</f>
        <v/>
      </c>
      <c r="E777">
        <f>INDEX(FactorTable!$B$2:$Y$301, MATCH(ROUND(MIN(300,MAX(1,D777)),0), FactorTable!$A$2:$A$301,0), Skills!M4+1)</f>
        <v/>
      </c>
      <c r="F777">
        <f>IF(Skills!N4=TRUE,(Skills!L4/10)*(E777/1000),Skills!L4/10)+Skills!O4</f>
        <v/>
      </c>
      <c r="G777">
        <f>Skills!G4*IF(Skills!H4&gt;0,Skills!I4/Skills!H4,1)</f>
        <v/>
      </c>
      <c r="H777">
        <f>1-(1-Skills!J4/100)^Skills!K4</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785=TRUE,F785,0)/100)*(1+(IF(Skills!A4="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793=TRUE)*(F793-Calc!F20)),(Inputs!$B$23+0+(IF(ArtifactsInput!$M$15,CHOOSE(ArtifactsInput!$N$15+1,25,30,35,40,45,50)/100*(Inputs!$B$11-Inputs!$B$11),0))))/100+(Inputs!$B$23+0+(IF(ArtifactsInput!$M$15,CHOOSE(ArtifactsInput!$N$15+1,25,30,35,40,45,50)/100*(Inputs!$B$11-Inputs!$B$11),0)))/100)/2</f>
        <v/>
      </c>
      <c r="M777">
        <f>L777*(1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IF(B809=0,0,O777/B809)</f>
        <v/>
      </c>
      <c r="Q777" t="n">
        <v>0</v>
      </c>
      <c r="R777" t="n">
        <v>0</v>
      </c>
      <c r="S777">
        <f>IFERROR(O777/N777,0)</f>
        <v/>
      </c>
      <c r="T777">
        <f>IF(C777,(Skills!G4*H777*N777*B803)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290*U776/1000</f>
        <v/>
      </c>
      <c r="V777">
        <f>IF(C777,(Skills!G4*H777*N777*B803)*IF(Inputs!$B$38="pvp",1,(1+(Inputs!$B$21+Skills!Q4+(IF(ArtifactsInput!$M$33,CHOOSE(ArtifactsInput!$N$33+1,30,36,42,48,54,60),0))+(IF(AND(ArtifactsInput!$M$35,Inputs!$B$4&lt;&gt;"Chapter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Skills!A5</f>
        <v/>
      </c>
      <c r="B778">
        <f>Skills!B5</f>
        <v/>
      </c>
      <c r="C778">
        <f>Inputs!$B$3&gt;=60</f>
        <v/>
      </c>
      <c r="D778">
        <f>IF(Skills!C5=1,60+Inputs!$B$25+Inputs!$B$29,IF(Skills!C5=2,90+Inputs!$B$26+Inputs!$B$29,IF(Skills!C5=3,120+(Inputs!$B$27+1)+Inputs!$B$29,MAX(0,(Inputs!$B$3-100)*3)+Inputs!$B$28+Inputs!$B$29)))</f>
        <v/>
      </c>
      <c r="E778">
        <f>INDEX(FactorTable!$B$2:$Y$301, MATCH(ROUND(MIN(300,MAX(1,D778)),0), FactorTable!$A$2:$A$301,0), Skills!M5+1)</f>
        <v/>
      </c>
      <c r="F778">
        <f>IF(Skills!N5=TRUE,(Skills!L5/10)*(E778/1000),Skills!L5/10)+Skills!O5</f>
        <v/>
      </c>
      <c r="G778">
        <f>Skills!G5*IF(Skills!H5&gt;0,Skills!I5/Skills!H5,1)</f>
        <v/>
      </c>
      <c r="H778">
        <f>1-(1-Skills!J5/100)^Skills!K5</f>
        <v/>
      </c>
      <c r="I778" t="inlineStr">
        <is>
          <t>1</t>
        </is>
      </c>
      <c r="J778" t="inlineStr"/>
      <c r="K778" t="inlineStr"/>
      <c r="L778" t="inlineStr"/>
      <c r="M778" t="inlineStr"/>
      <c r="N778" t="inlineStr"/>
      <c r="O778">
        <f>(1-Summary!$B$11)*T778+Summary!$B$11*V778</f>
        <v/>
      </c>
      <c r="P778">
        <f>IF(B809=0,0,O778/B809)</f>
        <v/>
      </c>
      <c r="Q778" t="n">
        <v>0</v>
      </c>
      <c r="R778" t="n">
        <v>0</v>
      </c>
      <c r="S778">
        <f>IFERROR(O778/N778,0)</f>
        <v/>
      </c>
      <c r="T778" t="n">
        <v>0</v>
      </c>
      <c r="V778" t="n">
        <v>0</v>
      </c>
    </row>
    <row r="779">
      <c r="A779">
        <f>Skills!A6</f>
        <v/>
      </c>
      <c r="B779">
        <f>Skills!B6</f>
        <v/>
      </c>
      <c r="C779">
        <f>Inputs!$B$3&gt;=63</f>
        <v/>
      </c>
      <c r="D779">
        <f>IF(Skills!C6=1,60+Inputs!$B$25+Inputs!$B$29,IF(Skills!C6=2,90+Inputs!$B$26+Inputs!$B$29,IF(Skills!C6=3,120+(Inputs!$B$27+1)+Inputs!$B$29,MAX(0,(Inputs!$B$3-100)*3)+Inputs!$B$28+Inputs!$B$29)))</f>
        <v/>
      </c>
      <c r="E779">
        <f>INDEX(FactorTable!$B$2:$Y$301, MATCH(ROUND(MIN(300,MAX(1,D779)),0), FactorTable!$A$2:$A$301,0), Skills!M6+1)</f>
        <v/>
      </c>
      <c r="F779">
        <f>IF(Skills!N6=TRUE,(Skills!L6/10)*(E779/1000),Skills!L6/10)+Skills!O6</f>
        <v/>
      </c>
      <c r="G779">
        <f>Skills!G6*IF(Skills!H6&gt;0,Skills!I6/Skills!H6,1)</f>
        <v/>
      </c>
      <c r="H779">
        <f>1-(1-Skills!J6/100)^Skills!K6</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793=TRUE)*(F793-Calc!F20)),(Inputs!$B$23+0+(IF(ArtifactsInput!$M$15,CHOOSE(ArtifactsInput!$N$15+1,25,30,35,40,45,50)/100*(Inputs!$B$11-Inputs!$B$11),0))))/100+(Inputs!$B$23+0+(IF(ArtifactsInput!$M$15,CHOOSE(ArtifactsInput!$N$15+1,25,30,35,40,45,50)/100*(Inputs!$B$11-Inputs!$B$11),0)))/100)/2</f>
        <v/>
      </c>
      <c r="M779">
        <f>L779*(1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IF(B809=0,0,O779/B809)</f>
        <v/>
      </c>
      <c r="Q779">
        <f>IFERROR(1/(IF(Inputs!$B$38="pvp",15,MAX(0.1,Skills!D6-IF(Skills!E6=TRUE,Inputs!$B$32,0)))*(1-IF(AND(ArtifactsInput!$M$27,Inputs!$B$4="Chapter Hunt"),CHOOSE(ArtifactsInput!$N$27+1,20,24,28,32,36,40),0)/100)),0)</f>
        <v/>
      </c>
      <c r="R779">
        <f>IF(AND(Inputs!$B$38&lt;&gt;"pvp",Inputs!$B$43&gt;0),IF(MAX(0,Inputs!$B$43-B806)&lt;=0,0,(INT(MAX(0,Inputs!$B$43-B806)/(IF(Inputs!$B$38="pvp",15,MAX(0.1,Skills!D6-IF(Skills!E6=TRUE,Inputs!$B$32,0)))*(1-IF(AND(ArtifactsInput!$M$27,Inputs!$B$4="Chapter Hunt"),CHOOSE(ArtifactsInput!$N$27+1,20,24,28,32,36,40),0)/100)))+1)),0)</f>
        <v/>
      </c>
      <c r="S779">
        <f>IFERROR(O779/N779,0)</f>
        <v/>
      </c>
      <c r="T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$21+Skills!Q6+(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Skills!A7</f>
        <v/>
      </c>
      <c r="B780">
        <f>Skills!B7</f>
        <v/>
      </c>
      <c r="C780">
        <f>Inputs!$B$3&gt;=100</f>
        <v/>
      </c>
      <c r="D780">
        <f>IF(Skills!C7=1,60+Inputs!$B$25+Inputs!$B$29,IF(Skills!C7=2,90+Inputs!$B$26+Inputs!$B$29,IF(Skills!C7=3,120+(Inputs!$B$27+1)+Inputs!$B$29,MAX(0,(Inputs!$B$3-100)*3)+Inputs!$B$28+Inputs!$B$29)))</f>
        <v/>
      </c>
      <c r="E780">
        <f>INDEX(FactorTable!$B$2:$Y$301, MATCH(ROUND(MIN(300,MAX(1,D780)),0), FactorTable!$A$2:$A$301,0), Skills!M7+1)</f>
        <v/>
      </c>
      <c r="F780">
        <f>IF(Skills!N7=TRUE,(Skills!L7/10)*(E780/1000),Skills!L7/10)+Skills!O7</f>
        <v/>
      </c>
      <c r="G780">
        <f>Skills!G7*IF(Skills!H7&gt;0,Skills!I7/Skills!H7,1)</f>
        <v/>
      </c>
      <c r="H780">
        <f>1-(1-Skills!J7/100)^Skills!K7</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793=TRUE)*(F793-Calc!F20)),(Inputs!$B$23+0+(IF(ArtifactsInput!$M$15,CHOOSE(ArtifactsInput!$N$15+1,25,30,35,40,45,50)/100*(Inputs!$B$11-Inputs!$B$11),0))))/100+(Inputs!$B$23+0+(IF(ArtifactsInput!$M$15,CHOOSE(ArtifactsInput!$N$15+1,25,30,35,40,45,50)/100*(Inputs!$B$11-Inputs!$B$11),0)))/100)/2</f>
        <v/>
      </c>
      <c r="M780">
        <f>L780*(1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IF(B809=0,0,O780/B809)</f>
        <v/>
      </c>
      <c r="Q780">
        <f>IFERROR(1/(IF(Inputs!$B$38="pvp",15,MAX(0.1,Skills!D7-IF(Skills!E7=TRUE,Inputs!$B$32,0)))*(1-IF(AND(ArtifactsInput!$M$27,Inputs!$B$4="Chapter Hunt"),CHOOSE(ArtifactsInput!$N$27+1,20,24,28,32,36,40),0)/100)),0)</f>
        <v/>
      </c>
      <c r="R780">
        <f>IF(AND(Inputs!$B$38&lt;&gt;"pvp",Inputs!$B$43&gt;0),IF(MAX(0,Inputs!$B$43-B806)&lt;=0,0,(INT(MAX(0,Inputs!$B$43-B806)/(IF(Inputs!$B$38="pvp",15,MAX(0.1,Skills!D7-IF(Skills!E7=TRUE,Inputs!$B$32,0)))*(1-IF(AND(ArtifactsInput!$M$27,Inputs!$B$4="Chapter Hunt"),CHOOSE(ArtifactsInput!$N$27+1,20,24,28,32,36,40),0)/100)))+1)),0)</f>
        <v/>
      </c>
      <c r="S780">
        <f>IFERROR(O780/N780,0)</f>
        <v/>
      </c>
      <c r="T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$21+Skills!Q7+(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Skills!A8</f>
        <v/>
      </c>
      <c r="B781">
        <f>Skills!B8</f>
        <v/>
      </c>
      <c r="C781">
        <f>Inputs!$B$3&gt;=110</f>
        <v/>
      </c>
      <c r="D781">
        <f>IF(Skills!C8=1,60+Inputs!$B$25+Inputs!$B$29,IF(Skills!C8=2,90+Inputs!$B$26+Inputs!$B$29,IF(Skills!C8=3,120+(Inputs!$B$27+1)+Inputs!$B$29,MAX(0,(Inputs!$B$3-100)*3)+Inputs!$B$28+Inputs!$B$29)))</f>
        <v/>
      </c>
      <c r="E781">
        <f>INDEX(FactorTable!$B$2:$Y$301, MATCH(ROUND(MIN(300,MAX(1,D781)),0), FactorTable!$A$2:$A$301,0), Skills!M8+1)</f>
        <v/>
      </c>
      <c r="F781">
        <f>IF(Skills!N8=TRUE,(Skills!L8/10)*(E781/1000),Skills!L8/10)+Skills!O8</f>
        <v/>
      </c>
      <c r="G781">
        <f>Skills!G8*IF(Skills!H8&gt;0,Skills!I8/Skills!H8,1)</f>
        <v/>
      </c>
      <c r="H781">
        <f>1-(1-Skills!J8/100)^Skills!K8</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793=TRUE)*(F793-Calc!F20)),(Inputs!$B$23+0+(IF(ArtifactsInput!$M$15,CHOOSE(ArtifactsInput!$N$15+1,25,30,35,40,45,50)/100*(Inputs!$B$11-Inputs!$B$11),0))))/100+(Inputs!$B$23+0+(IF(ArtifactsInput!$M$15,CHOOSE(ArtifactsInput!$N$15+1,25,30,35,40,45,50)/100*(Inputs!$B$11-Inputs!$B$11),0)))/100)/2</f>
        <v/>
      </c>
      <c r="M781">
        <f>L781*(1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IF(B809=0,0,O781/B809)</f>
        <v/>
      </c>
      <c r="Q781">
        <f>IFERROR(1/(IF(Inputs!$B$38="pvp",15,MAX(0.1,Skills!D8-IF(Skills!E8=TRUE,Inputs!$B$32,0)))*(1-IF(AND(ArtifactsInput!$M$27,Inputs!$B$4="Chapter Hunt"),CHOOSE(ArtifactsInput!$N$27+1,20,24,28,32,36,40),0)/100)),0)</f>
        <v/>
      </c>
      <c r="R781">
        <f>IF(AND(Inputs!$B$38&lt;&gt;"pvp",Inputs!$B$43&gt;0),IF(MAX(0,Inputs!$B$43-B806)&lt;=0,0,(INT(MAX(0,Inputs!$B$43-B806)/(IF(Inputs!$B$38="pvp",15,MAX(0.1,Skills!D8-IF(Skills!E8=TRUE,Inputs!$B$32,0)))*(1-IF(AND(ArtifactsInput!$M$27,Inputs!$B$4="Chapter Hunt"),CHOOSE(ArtifactsInput!$N$27+1,20,24,28,32,36,40),0)/100)))+1)),0)</f>
        <v/>
      </c>
      <c r="S781">
        <f>IFERROR(O781/N781,0)</f>
        <v/>
      </c>
      <c r="T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$21+Skills!Q8+(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Skills!A9</f>
        <v/>
      </c>
      <c r="B782">
        <f>Skills!B9</f>
        <v/>
      </c>
      <c r="C782">
        <f>Inputs!$B$3&gt;=110</f>
        <v/>
      </c>
      <c r="D782">
        <f>IF(Skills!C9=1,60+Inputs!$B$25+Inputs!$B$29,IF(Skills!C9=2,90+Inputs!$B$26+Inputs!$B$29,IF(Skills!C9=3,120+(Inputs!$B$27+1)+Inputs!$B$29,MAX(0,(Inputs!$B$3-100)*3)+Inputs!$B$28+Inputs!$B$29)))</f>
        <v/>
      </c>
      <c r="E782">
        <f>INDEX(FactorTable!$B$2:$Y$301, MATCH(ROUND(MIN(300,MAX(1,D782)),0), FactorTable!$A$2:$A$301,0), Skills!M9+1)</f>
        <v/>
      </c>
      <c r="F782">
        <f>IF(Skills!N9=TRUE,(Skills!L9/10)*(E782/1000),Skills!L9/10)+Skills!O9</f>
        <v/>
      </c>
      <c r="G782">
        <f>Skills!G9*IF(Skills!H9&gt;0,Skills!I9/Skills!H9,1)</f>
        <v/>
      </c>
      <c r="H782">
        <f>1-(1-Skills!J9/100)^Skills!K9</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793=TRUE)*(F793-Calc!F20)),(Inputs!$B$23+0+(IF(ArtifactsInput!$M$15,CHOOSE(ArtifactsInput!$N$15+1,25,30,35,40,45,50)/100*(Inputs!$B$11-Inputs!$B$11),0))))/100+(Inputs!$B$23+0+(IF(ArtifactsInput!$M$15,CHOOSE(ArtifactsInput!$N$15+1,25,30,35,40,45,50)/100*(Inputs!$B$11-Inputs!$B$11),0)))/100)/2</f>
        <v/>
      </c>
      <c r="M782">
        <f>L782*(1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IF(B809=0,0,O782/B809)</f>
        <v/>
      </c>
      <c r="Q782">
        <f>IFERROR(1/(IF(Inputs!$B$38="pvp",15,MAX(0.1,Skills!D9-IF(Skills!E9=TRUE,Inputs!$B$32,0)))*(1-IF(AND(ArtifactsInput!$M$27,Inputs!$B$4="Chapter Hunt"),CHOOSE(ArtifactsInput!$N$27+1,20,24,28,32,36,40),0)/100)),0)</f>
        <v/>
      </c>
      <c r="R782">
        <f>IF(AND(Inputs!$B$38&lt;&gt;"pvp",Inputs!$B$43&gt;0),IF(MAX(0,Inputs!$B$43-B806)&lt;=0,0,(INT(MAX(0,Inputs!$B$43-B806)/(IF(Inputs!$B$38="pvp",15,MAX(0.1,Skills!D9-IF(Skills!E9=TRUE,Inputs!$B$32,0)))*(1-IF(AND(ArtifactsInput!$M$27,Inputs!$B$4="Chapter Hunt"),CHOOSE(ArtifactsInput!$N$27+1,20,24,28,32,36,40),0)/100)))+1)),0)</f>
        <v/>
      </c>
      <c r="S782">
        <f>IFERROR(O782/N782,0)</f>
        <v/>
      </c>
      <c r="T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$21+Skills!Q9+(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Skills!A10</f>
        <v/>
      </c>
      <c r="B783">
        <f>Skills!B10</f>
        <v/>
      </c>
      <c r="C783">
        <f>Inputs!$B$3&gt;=103</f>
        <v/>
      </c>
      <c r="D783">
        <f>IF(Skills!C10=1,60+Inputs!$B$25+Inputs!$B$29,IF(Skills!C10=2,90+Inputs!$B$26+Inputs!$B$29,IF(Skills!C10=3,120+(Inputs!$B$27+1)+Inputs!$B$29,MAX(0,(Inputs!$B$3-100)*3)+Inputs!$B$28+Inputs!$B$29)))</f>
        <v/>
      </c>
      <c r="E783">
        <f>INDEX(FactorTable!$B$2:$Y$301, MATCH(ROUND(MIN(300,MAX(1,D783)),0), FactorTable!$A$2:$A$301,0), Skills!M10+1)</f>
        <v/>
      </c>
      <c r="F783">
        <f>IF(Skills!N10=TRUE,(Skills!L10/10)*(E783/1000),Skills!L10/10)+Skills!O10</f>
        <v/>
      </c>
      <c r="G783">
        <f>Skills!G10*IF(Skills!H10&gt;0,Skills!I10/Skills!H10,1)</f>
        <v/>
      </c>
      <c r="H783">
        <f>1-(1-Skills!J10/100)^Skills!K10</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793=TRUE)*(F793-Calc!F20)),(Inputs!$B$23+0+(IF(ArtifactsInput!$M$15,CHOOSE(ArtifactsInput!$N$15+1,25,30,35,40,45,50)/100*(Inputs!$B$11-Inputs!$B$11),0))))/100+(Inputs!$B$23+0+(IF(ArtifactsInput!$M$15,CHOOSE(ArtifactsInput!$N$15+1,25,30,35,40,45,50)/100*(Inputs!$B$11-Inputs!$B$11),0)))/100)/2</f>
        <v/>
      </c>
      <c r="M783">
        <f>L783*(1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IF(B809=0,0,O783/B809)</f>
        <v/>
      </c>
      <c r="Q783">
        <f>IFERROR(1/(IF(Inputs!$B$38="pvp",15,MAX(0.1,Skills!D10-IF(Skills!E10=TRUE,Inputs!$B$32,0)))*(1-IF(AND(ArtifactsInput!$M$27,Inputs!$B$4="Chapter Hunt"),CHOOSE(ArtifactsInput!$N$27+1,20,24,28,32,36,40),0)/100)),0)</f>
        <v/>
      </c>
      <c r="R783">
        <f>IF(AND(Inputs!$B$38&lt;&gt;"pvp",Inputs!$B$43&gt;0),IF(MAX(0,Inputs!$B$43-B806)&lt;=0,0,(INT(MAX(0,Inputs!$B$43-B806)/(IF(Inputs!$B$38="pvp",15,MAX(0.1,Skills!D10-IF(Skills!E10=TRUE,Inputs!$B$32,0)))*(1-IF(AND(ArtifactsInput!$M$27,Inputs!$B$4="Chapter Hunt"),CHOOSE(ArtifactsInput!$N$27+1,20,24,28,32,36,40),0)/100)))+1)),0)</f>
        <v/>
      </c>
      <c r="S783">
        <f>IFERROR(O783/N783,0)</f>
        <v/>
      </c>
      <c r="T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$21+Skills!Q10+(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Skills!A11</f>
        <v/>
      </c>
      <c r="B784">
        <f>Skills!B11</f>
        <v/>
      </c>
      <c r="C784">
        <f>Inputs!$B$3&gt;=113</f>
        <v/>
      </c>
      <c r="D784">
        <f>IF(Skills!C11=1,60+Inputs!$B$25+Inputs!$B$29,IF(Skills!C11=2,90+Inputs!$B$26+Inputs!$B$29,IF(Skills!C11=3,120+(Inputs!$B$27+1)+Inputs!$B$29,MAX(0,(Inputs!$B$3-100)*3)+Inputs!$B$28+Inputs!$B$29)))</f>
        <v/>
      </c>
      <c r="E784">
        <f>INDEX(FactorTable!$B$2:$Y$301, MATCH(ROUND(MIN(300,MAX(1,D784)),0), FactorTable!$A$2:$A$301,0), Skills!M11+1)</f>
        <v/>
      </c>
      <c r="F784">
        <f>IF(Skills!N11=TRUE,(Skills!L11/10)*(E784/1000),Skills!L11/10)+Skills!O11</f>
        <v/>
      </c>
      <c r="G784">
        <f>Skills!G11*IF(Skills!H11&gt;0,Skills!I11/Skills!H11,1)</f>
        <v/>
      </c>
      <c r="H784">
        <f>1-(1-Skills!J11/100)^Skills!K11</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793=TRUE)*(F793-Calc!F20)),(Inputs!$B$23+0+(IF(ArtifactsInput!$M$15,CHOOSE(ArtifactsInput!$N$15+1,25,30,35,40,45,50)/100*(Inputs!$B$11-Inputs!$B$11),0))))/100+(Inputs!$B$23+0+(IF(ArtifactsInput!$M$15,CHOOSE(ArtifactsInput!$N$15+1,25,30,35,40,45,50)/100*(Inputs!$B$11-Inputs!$B$11),0)))/100)/2</f>
        <v/>
      </c>
      <c r="M784">
        <f>L784*(1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IF(B809=0,0,O784/B809)</f>
        <v/>
      </c>
      <c r="Q784">
        <f>IFERROR(1/(IF(Inputs!$B$38="pvp",15,MAX(0.1,Skills!D11-IF(Skills!E11=TRUE,Inputs!$B$32,0)))*(1-IF(AND(ArtifactsInput!$M$27,Inputs!$B$4="Chapter Hunt"),CHOOSE(ArtifactsInput!$N$27+1,20,24,28,32,36,40),0)/100)),0)</f>
        <v/>
      </c>
      <c r="R784">
        <f>IF(AND(Inputs!$B$38&lt;&gt;"pvp",Inputs!$B$43&gt;0),IF(MAX(0,Inputs!$B$43-B806)&lt;=0,0,(INT(MAX(0,Inputs!$B$43-B806)/(IF(Inputs!$B$38="pvp",15,MAX(0.1,Skills!D11-IF(Skills!E11=TRUE,Inputs!$B$32,0)))*(1-IF(AND(ArtifactsInput!$M$27,Inputs!$B$4="Chapter Hunt"),CHOOSE(ArtifactsInput!$N$27+1,20,24,28,32,36,40),0)/100)))+1)),0)</f>
        <v/>
      </c>
      <c r="S784">
        <f>IFERROR(O784/N784,0)</f>
        <v/>
      </c>
      <c r="T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$21+Skills!Q11+(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Skills!A12</f>
        <v/>
      </c>
      <c r="B785">
        <f>Skills!B12</f>
        <v/>
      </c>
      <c r="C785">
        <f>Inputs!$B$3&gt;=100</f>
        <v/>
      </c>
      <c r="D785">
        <f>IF(Skills!C12=1,60+Inputs!$B$25+Inputs!$B$29,IF(Skills!C12=2,90+Inputs!$B$26+Inputs!$B$29,IF(Skills!C12=3,120+(Inputs!$B$27+1)+Inputs!$B$29,MAX(0,(Inputs!$B$3-100)*3)+Inputs!$B$28+Inputs!$B$29)))</f>
        <v/>
      </c>
      <c r="E785">
        <f>INDEX(FactorTable!$B$2:$Y$301, MATCH(ROUND(MIN(300,MAX(1,D785)),0), FactorTable!$A$2:$A$301,0), Skills!M12+1)</f>
        <v/>
      </c>
      <c r="F785">
        <f>IF(Skills!N12=TRUE,(Skills!L12/10)*(E785/1000),Skills!L12/10)+Skills!O12</f>
        <v/>
      </c>
      <c r="G785" t="inlineStr"/>
      <c r="H785" t="inlineStr"/>
      <c r="I785" t="inlineStr">
        <is>
          <t>1</t>
        </is>
      </c>
      <c r="J785" t="inlineStr"/>
      <c r="K785" t="inlineStr"/>
      <c r="L785" t="inlineStr"/>
      <c r="M785" t="inlineStr"/>
      <c r="N785" t="inlineStr"/>
      <c r="O785" t="inlineStr"/>
      <c r="P785" t="inlineStr"/>
      <c r="Q785" t="inlineStr"/>
      <c r="R785" t="inlineStr"/>
      <c r="S785" t="inlineStr"/>
      <c r="T785" t="inlineStr"/>
      <c r="V785" t="inlineStr"/>
    </row>
    <row r="786">
      <c r="A786">
        <f>Skills!A13</f>
        <v/>
      </c>
      <c r="B786">
        <f>Skills!B13</f>
        <v/>
      </c>
      <c r="C786">
        <f>Inputs!$B$3&gt;=66</f>
        <v/>
      </c>
      <c r="D786">
        <f>IF(Skills!C13=1,60+Inputs!$B$25+Inputs!$B$29,IF(Skills!C13=2,90+Inputs!$B$26+Inputs!$B$29,IF(Skills!C13=3,120+(Inputs!$B$27+1)+Inputs!$B$29,MAX(0,(Inputs!$B$3-100)*3)+Inputs!$B$28+Inputs!$B$29)))</f>
        <v/>
      </c>
      <c r="E786">
        <f>INDEX(FactorTable!$B$2:$Y$301, MATCH(ROUND(MIN(300,MAX(1,D786)),0), FactorTable!$A$2:$A$301,0), Skills!M13+1)</f>
        <v/>
      </c>
      <c r="F786">
        <f>IF(Skills!N13=TRUE,(Skills!L13/10)*(E786/1000),Skills!L13/10)+Skills!O13</f>
        <v/>
      </c>
      <c r="G786">
        <f>Skills!G13*IF(Skills!H13&gt;0,Skills!I13/Skills!H13,1)</f>
        <v/>
      </c>
      <c r="H786">
        <f>1-(1-Skills!J13/100)^Skills!K13</f>
        <v/>
      </c>
      <c r="I786" t="inlineStr">
        <is>
          <t>1</t>
        </is>
      </c>
      <c r="J786" t="inlineStr"/>
      <c r="K786" t="inlineStr"/>
      <c r="L786" t="inlineStr"/>
      <c r="M786" t="inlineStr"/>
      <c r="N786" t="inlineStr"/>
      <c r="O786">
        <f>(1-Summary!$B$11)*T786+Summary!$B$11*V786</f>
        <v/>
      </c>
      <c r="P786">
        <f>IF(B809=0,0,O786/B809)</f>
        <v/>
      </c>
      <c r="Q786" t="n">
        <v>0</v>
      </c>
      <c r="R786" t="n">
        <v>0</v>
      </c>
      <c r="S786">
        <f>IFERROR(O786/N786,0)</f>
        <v/>
      </c>
      <c r="T786" t="n">
        <v>0</v>
      </c>
      <c r="V786" t="n">
        <v>0</v>
      </c>
    </row>
    <row r="787">
      <c r="A787">
        <f>Skills!A14</f>
        <v/>
      </c>
      <c r="B787">
        <f>Skills!B14</f>
        <v/>
      </c>
      <c r="C787">
        <f>Inputs!$B$3&gt;=107</f>
        <v/>
      </c>
      <c r="D787">
        <f>IF(Skills!C14=1,60+Inputs!$B$25+Inputs!$B$29,IF(Skills!C14=2,90+Inputs!$B$26+Inputs!$B$29,IF(Skills!C14=3,120+(Inputs!$B$27+1)+Inputs!$B$29,MAX(0,(Inputs!$B$3-100)*3)+Inputs!$B$28+Inputs!$B$29)))</f>
        <v/>
      </c>
      <c r="E787">
        <f>INDEX(FactorTable!$B$2:$Y$301, MATCH(ROUND(MIN(300,MAX(1,D787)),0), FactorTable!$A$2:$A$301,0), Skills!M14+1)</f>
        <v/>
      </c>
      <c r="F787">
        <f>IF(Skills!N14=TRUE,(Skills!L14/10)*(E787/1000),Skills!L14/10)+Skills!O14</f>
        <v/>
      </c>
      <c r="G787">
        <f>Skills!G14*IF(Skills!H14&gt;0,Skills!I14/Skills!H14,1)</f>
        <v/>
      </c>
      <c r="H787">
        <f>1-(1-Skills!J14/100)^Skills!K14</f>
        <v/>
      </c>
      <c r="I787" t="inlineStr">
        <is>
          <t>1</t>
        </is>
      </c>
      <c r="J787" t="inlineStr"/>
      <c r="K787" t="inlineStr"/>
      <c r="L787" t="inlineStr"/>
      <c r="M787" t="inlineStr"/>
      <c r="N787" t="inlineStr"/>
      <c r="O787">
        <f>(1-Summary!$B$11)*T787+Summary!$B$11*V787</f>
        <v/>
      </c>
      <c r="P787">
        <f>IF(B809=0,0,O787/B809)</f>
        <v/>
      </c>
      <c r="Q787" t="n">
        <v>0</v>
      </c>
      <c r="R787" t="n">
        <v>0</v>
      </c>
      <c r="S787">
        <f>IFERROR(O787/N787,0)</f>
        <v/>
      </c>
      <c r="T787" t="n">
        <v>0</v>
      </c>
      <c r="V787" t="n">
        <v>0</v>
      </c>
    </row>
    <row r="788">
      <c r="A788">
        <f>Skills!A15</f>
        <v/>
      </c>
      <c r="B788">
        <f>Skills!B15</f>
        <v/>
      </c>
      <c r="C788">
        <f>Inputs!$B$3&gt;=115</f>
        <v/>
      </c>
      <c r="D788">
        <f>IF(Skills!C15=1,60+Inputs!$B$25+Inputs!$B$29,IF(Skills!C15=2,90+Inputs!$B$26+Inputs!$B$29,IF(Skills!C15=3,120+(Inputs!$B$27+1)+Inputs!$B$29,MAX(0,(Inputs!$B$3-100)*3)+Inputs!$B$28+Inputs!$B$29)))</f>
        <v/>
      </c>
      <c r="E788">
        <f>INDEX(FactorTable!$B$2:$Y$301, MATCH(ROUND(MIN(300,MAX(1,D788)),0), FactorTable!$A$2:$A$301,0), Skills!M15+1)</f>
        <v/>
      </c>
      <c r="F788">
        <f>IF(Skills!N15=TRUE,(Skills!L15/10)*(E788/1000),Skills!L15/10)+Skills!O15</f>
        <v/>
      </c>
      <c r="G788">
        <f>Skills!G15*IF(Skills!H15&gt;0,Skills!I15/Skills!H15,1)</f>
        <v/>
      </c>
      <c r="H788">
        <f>1-(1-Skills!J15/100)^Skills!K15</f>
        <v/>
      </c>
      <c r="I788" t="inlineStr">
        <is>
          <t>1</t>
        </is>
      </c>
      <c r="J788" t="inlineStr"/>
      <c r="K788" t="inlineStr"/>
      <c r="L788" t="inlineStr"/>
      <c r="M788" t="inlineStr"/>
      <c r="N788" t="inlineStr"/>
      <c r="O788">
        <f>(1-Summary!$B$11)*T788+Summary!$B$11*V788</f>
        <v/>
      </c>
      <c r="P788">
        <f>IF(B809=0,0,O788/B809)</f>
        <v/>
      </c>
      <c r="Q788" t="n">
        <v>0</v>
      </c>
      <c r="R788" t="n">
        <v>0</v>
      </c>
      <c r="S788">
        <f>IFERROR(O788/N788,0)</f>
        <v/>
      </c>
      <c r="T788" t="n">
        <v>0</v>
      </c>
      <c r="V788" t="n">
        <v>0</v>
      </c>
    </row>
    <row r="789">
      <c r="A789">
        <f>Skills!A16</f>
        <v/>
      </c>
      <c r="B789">
        <f>Skills!B16</f>
        <v/>
      </c>
      <c r="C789">
        <f>Inputs!$B$3&gt;=15</f>
        <v/>
      </c>
      <c r="D789">
        <f>IF(Skills!C16=1,60+Inputs!$B$25+Inputs!$B$29,IF(Skills!C16=2,90+Inputs!$B$26+Inputs!$B$29,IF(Skills!C16=3,120+(Inputs!$B$27+1)+Inputs!$B$29,MAX(0,(Inputs!$B$3-100)*3)+Inputs!$B$28+Inputs!$B$29)))</f>
        <v/>
      </c>
      <c r="E789">
        <f>INDEX(FactorTable!$B$2:$Y$301, MATCH(ROUND(MIN(300,MAX(1,D789)),0), FactorTable!$A$2:$A$301,0), Skills!M16+1)</f>
        <v/>
      </c>
      <c r="F789">
        <f>IF(Skills!N16=TRUE,(Skills!L16/10)*(E789/1000),Skills!L16/10)+Skills!O16</f>
        <v/>
      </c>
      <c r="G789">
        <f>Skills!G16*IF(Skills!H16&gt;0,Skills!I16/Skills!H16,1)</f>
        <v/>
      </c>
      <c r="H789">
        <f>1-(1-Skills!J16/100)^Skills!K16</f>
        <v/>
      </c>
      <c r="I789" t="inlineStr">
        <is>
          <t>1</t>
        </is>
      </c>
      <c r="J789" t="inlineStr"/>
      <c r="K789" t="inlineStr"/>
      <c r="L789" t="inlineStr"/>
      <c r="M789" t="inlineStr"/>
      <c r="N789" t="inlineStr"/>
      <c r="O789">
        <f>(1-Summary!$B$11)*T789+Summary!$B$11*V789</f>
        <v/>
      </c>
      <c r="P789">
        <f>IF(B809=0,0,O789/B809)</f>
        <v/>
      </c>
      <c r="Q789" t="n">
        <v>0</v>
      </c>
      <c r="R789" t="n">
        <v>0</v>
      </c>
      <c r="S789">
        <f>IFERROR(O789/N789,0)</f>
        <v/>
      </c>
      <c r="T789" t="n">
        <v>0</v>
      </c>
      <c r="V789" t="n">
        <v>0</v>
      </c>
    </row>
    <row r="790">
      <c r="A790">
        <f>Skills!A17</f>
        <v/>
      </c>
      <c r="B790">
        <f>Skills!B17</f>
        <v/>
      </c>
      <c r="C790">
        <f>Inputs!$B$3&gt;=10</f>
        <v/>
      </c>
      <c r="D790">
        <f>IF(Skills!C17=1,60+Inputs!$B$25+Inputs!$B$29,IF(Skills!C17=2,90+Inputs!$B$26+Inputs!$B$29,IF(Skills!C17=3,120+(Inputs!$B$27+1)+Inputs!$B$29,MAX(0,(Inputs!$B$3-100)*3)+Inputs!$B$28+Inputs!$B$29)))</f>
        <v/>
      </c>
      <c r="E790">
        <f>INDEX(FactorTable!$B$2:$Y$301, MATCH(ROUND(MIN(300,MAX(1,D790)),0), FactorTable!$A$2:$A$301,0), Skills!M17+1)</f>
        <v/>
      </c>
      <c r="F790">
        <f>IF(Skills!N17=TRUE,(Skills!L17/10)*(E790/1000),Skills!L17/10)+Skills!O17</f>
        <v/>
      </c>
      <c r="G790">
        <f>Skills!G17*IF(Skills!H17&gt;0,Skills!I17/Skills!H17,1)</f>
        <v/>
      </c>
      <c r="H790">
        <f>1-(1-Skills!J17/100)^Skills!K17</f>
        <v/>
      </c>
      <c r="I790" t="inlineStr">
        <is>
          <t>1</t>
        </is>
      </c>
      <c r="J790" t="inlineStr"/>
      <c r="K790" t="inlineStr"/>
      <c r="L790" t="inlineStr"/>
      <c r="M790" t="inlineStr"/>
      <c r="N790" t="inlineStr"/>
      <c r="O790">
        <f>(1-Summary!$B$11)*T790+Summary!$B$11*V790</f>
        <v/>
      </c>
      <c r="P790">
        <f>IF(B809=0,0,O790/B809)</f>
        <v/>
      </c>
      <c r="Q790" t="n">
        <v>0</v>
      </c>
      <c r="R790" t="n">
        <v>0</v>
      </c>
      <c r="S790">
        <f>IFERROR(O790/N790,0)</f>
        <v/>
      </c>
      <c r="T790" t="n">
        <v>0</v>
      </c>
      <c r="V790" t="n">
        <v>0</v>
      </c>
    </row>
    <row r="791">
      <c r="A791">
        <f>Skills!A18</f>
        <v/>
      </c>
      <c r="B791">
        <f>Skills!B18</f>
        <v/>
      </c>
      <c r="C791">
        <f>Inputs!$B$3&gt;=33</f>
        <v/>
      </c>
      <c r="D791">
        <f>IF(Skills!C18=1,60+Inputs!$B$25+Inputs!$B$29,IF(Skills!C18=2,90+Inputs!$B$26+Inputs!$B$29,IF(Skills!C18=3,120+(Inputs!$B$27+1)+Inputs!$B$29,MAX(0,(Inputs!$B$3-100)*3)+Inputs!$B$28+Inputs!$B$29)))</f>
        <v/>
      </c>
      <c r="E791">
        <f>INDEX(FactorTable!$B$2:$Y$301, MATCH(ROUND(MIN(300,MAX(1,D791)),0), FactorTable!$A$2:$A$301,0), Skills!M18+1)</f>
        <v/>
      </c>
      <c r="F791">
        <f>IF(Skills!N18=TRUE,(Skills!L18/10)*(E791/1000),Skills!L18/10)+Skills!O18</f>
        <v/>
      </c>
      <c r="G791">
        <f>Skills!G18*IF(Skills!H18&gt;0,Skills!I18/Skills!H18,1)</f>
        <v/>
      </c>
      <c r="H791">
        <f>1-(1-Skills!J18/100)^Skills!K18</f>
        <v/>
      </c>
      <c r="I791" t="inlineStr">
        <is>
          <t>1</t>
        </is>
      </c>
      <c r="J791" t="inlineStr"/>
      <c r="K791" t="inlineStr"/>
      <c r="L791" t="inlineStr"/>
      <c r="M791" t="inlineStr"/>
      <c r="N791" t="inlineStr"/>
      <c r="O791">
        <f>(1-Summary!$B$11)*T791+Summary!$B$11*V791</f>
        <v/>
      </c>
      <c r="P791">
        <f>IF(B809=0,0,O791/B809)</f>
        <v/>
      </c>
      <c r="Q791" t="n">
        <v>0</v>
      </c>
      <c r="R791" t="n">
        <v>0</v>
      </c>
      <c r="S791">
        <f>IFERROR(O791/N791,0)</f>
        <v/>
      </c>
      <c r="T791" t="n">
        <v>0</v>
      </c>
      <c r="V791" t="n">
        <v>0</v>
      </c>
    </row>
    <row r="792">
      <c r="A792">
        <f>Skills!A19</f>
        <v/>
      </c>
      <c r="B792">
        <f>Skills!B19</f>
        <v/>
      </c>
      <c r="C792">
        <f>Inputs!$B$3&gt;=40</f>
        <v/>
      </c>
      <c r="D792">
        <f>IF(Skills!C19=1,60+Inputs!$B$25+Inputs!$B$29,IF(Skills!C19=2,90+Inputs!$B$26+Inputs!$B$29,IF(Skills!C19=3,120+(Inputs!$B$27+1)+Inputs!$B$29,MAX(0,(Inputs!$B$3-100)*3)+Inputs!$B$28+Inputs!$B$29)))</f>
        <v/>
      </c>
      <c r="E792">
        <f>INDEX(FactorTable!$B$2:$Y$301, MATCH(ROUND(MIN(300,MAX(1,D792)),0), FactorTable!$A$2:$A$301,0), Skills!M19+1)</f>
        <v/>
      </c>
      <c r="F792">
        <f>IF(Skills!N19=TRUE,(Skills!L19/10)*(E792/1000),Skills!L19/10)+Skills!O19</f>
        <v/>
      </c>
      <c r="G792">
        <f>Skills!G19*IF(Skills!H19&gt;0,Skills!I19/Skills!H19,1)</f>
        <v/>
      </c>
      <c r="H792">
        <f>1-(1-Skills!J19/100)^Skills!K19</f>
        <v/>
      </c>
      <c r="I792" t="inlineStr">
        <is>
          <t>1</t>
        </is>
      </c>
      <c r="J792" t="inlineStr"/>
      <c r="K792" t="inlineStr"/>
      <c r="L792" t="inlineStr"/>
      <c r="M792" t="inlineStr"/>
      <c r="N792" t="inlineStr"/>
      <c r="O792">
        <f>(1-Summary!$B$11)*T792+Summary!$B$11*V792</f>
        <v/>
      </c>
      <c r="P792">
        <f>IF(B809=0,0,O792/B809)</f>
        <v/>
      </c>
      <c r="Q792" t="n">
        <v>0</v>
      </c>
      <c r="R792" t="n">
        <v>0</v>
      </c>
      <c r="S792">
        <f>IFERROR(O792/N792,0)</f>
        <v/>
      </c>
      <c r="T792" t="n">
        <v>0</v>
      </c>
      <c r="V792" t="n">
        <v>0</v>
      </c>
    </row>
    <row r="793">
      <c r="A793">
        <f>Skills!A20</f>
        <v/>
      </c>
      <c r="B793">
        <f>Skills!B20</f>
        <v/>
      </c>
      <c r="C793">
        <f>Inputs!$B$3&gt;=43</f>
        <v/>
      </c>
      <c r="D793">
        <f>IF(Skills!C20=1,60+Inputs!$B$25+Inputs!$B$29,IF(Skills!C20=2,90+Inputs!$B$26+Inputs!$B$29,IF(Skills!C20=3,120+(Inputs!$B$27+1)+Inputs!$B$29,MAX(0,(Inputs!$B$3-100)*3)+Inputs!$B$28+Inputs!$B$29)))</f>
        <v/>
      </c>
      <c r="E793">
        <f>INDEX(FactorTable!$B$2:$Y$301, MATCH(ROUND(MIN(300,MAX(1,D793)),0), FactorTable!$A$2:$A$301,0), Skills!M20+1)</f>
        <v/>
      </c>
      <c r="F793">
        <f>IF(Skills!N20=TRUE,(Skills!L20/10)*(E793/1000),Skills!L20/10)+Skills!O20</f>
        <v/>
      </c>
      <c r="G793">
        <f>Skills!G20*IF(Skills!H20&gt;0,Skills!I20/Skills!H20,1)</f>
        <v/>
      </c>
      <c r="H793">
        <f>1-(1-Skills!J20/100)^Skills!K20</f>
        <v/>
      </c>
      <c r="I793" t="inlineStr">
        <is>
          <t>1</t>
        </is>
      </c>
      <c r="J793" t="inlineStr"/>
      <c r="K793" t="inlineStr"/>
      <c r="L793" t="inlineStr"/>
      <c r="M793" t="inlineStr"/>
      <c r="N793" t="inlineStr"/>
      <c r="O793">
        <f>(1-Summary!$B$11)*T793+Summary!$B$11*V793</f>
        <v/>
      </c>
      <c r="P793">
        <f>IF(B809=0,0,O793/B809)</f>
        <v/>
      </c>
      <c r="Q793" t="n">
        <v>0</v>
      </c>
      <c r="R793" t="n">
        <v>0</v>
      </c>
      <c r="S793">
        <f>IFERROR(O793/N793,0)</f>
        <v/>
      </c>
      <c r="T793" t="n">
        <v>0</v>
      </c>
      <c r="V793" t="n">
        <v>0</v>
      </c>
    </row>
    <row r="794">
      <c r="A794">
        <f>Skills!A21</f>
        <v/>
      </c>
      <c r="B794">
        <f>Skills!B21</f>
        <v/>
      </c>
      <c r="C794">
        <f>Inputs!$B$3&gt;=38</f>
        <v/>
      </c>
      <c r="D794">
        <f>IF(Skills!C21=1,60+Inputs!$B$25+Inputs!$B$29,IF(Skills!C21=2,90+Inputs!$B$26+Inputs!$B$29,IF(Skills!C21=3,120+(Inputs!$B$27+1)+Inputs!$B$29,MAX(0,(Inputs!$B$3-100)*3)+Inputs!$B$28+Inputs!$B$29)))</f>
        <v/>
      </c>
      <c r="E794">
        <f>INDEX(FactorTable!$B$2:$Y$301, MATCH(ROUND(MIN(300,MAX(1,D794)),0), FactorTable!$A$2:$A$301,0), Skills!M21+1)</f>
        <v/>
      </c>
      <c r="F794">
        <f>IF(Skills!N21=TRUE,(Skills!L21/10)*(E794/1000),Skills!L21/10)+Skills!O21</f>
        <v/>
      </c>
      <c r="G794">
        <f>Skills!G21*IF(Skills!H21&gt;0,Skills!I21/Skills!H21,1)</f>
        <v/>
      </c>
      <c r="H794">
        <f>1-(1-Skills!J21/100)^Skills!K21</f>
        <v/>
      </c>
      <c r="I794" t="inlineStr">
        <is>
          <t>1</t>
        </is>
      </c>
      <c r="J794" t="inlineStr"/>
      <c r="K794" t="inlineStr"/>
      <c r="L794" t="inlineStr"/>
      <c r="M794" t="inlineStr"/>
      <c r="N794" t="inlineStr"/>
      <c r="O794">
        <f>(1-Summary!$B$11)*T794+Summary!$B$11*V794</f>
        <v/>
      </c>
      <c r="P794">
        <f>IF(B809=0,0,O794/B809)</f>
        <v/>
      </c>
      <c r="Q794" t="n">
        <v>0</v>
      </c>
      <c r="R794" t="n">
        <v>0</v>
      </c>
      <c r="S794">
        <f>IFERROR(O794/N794,0)</f>
        <v/>
      </c>
      <c r="T794" t="n">
        <v>0</v>
      </c>
      <c r="V794" t="n">
        <v>0</v>
      </c>
    </row>
    <row r="795">
      <c r="A795">
        <f>Skills!A22</f>
        <v/>
      </c>
      <c r="B795">
        <f>Skills!B22</f>
        <v/>
      </c>
      <c r="C795">
        <f>Inputs!$B$3&gt;=75</f>
        <v/>
      </c>
      <c r="D795">
        <f>IF(Skills!C22=1,60+Inputs!$B$25+Inputs!$B$29,IF(Skills!C22=2,90+Inputs!$B$26+Inputs!$B$29,IF(Skills!C22=3,120+(Inputs!$B$27+1)+Inputs!$B$29,MAX(0,(Inputs!$B$3-100)*3)+Inputs!$B$28+Inputs!$B$29)))</f>
        <v/>
      </c>
      <c r="E795">
        <f>INDEX(FactorTable!$B$2:$Y$301, MATCH(ROUND(MIN(300,MAX(1,D795)),0), FactorTable!$A$2:$A$301,0), Skills!M22+1)</f>
        <v/>
      </c>
      <c r="F795">
        <f>IF(Skills!N22=TRUE,(Skills!L22/10)*(E795/1000),Skills!L22/10)+Skills!O22</f>
        <v/>
      </c>
      <c r="G795">
        <f>Skills!G22*IF(Skills!H22&gt;0,Skills!I22/Skills!H22,1)</f>
        <v/>
      </c>
      <c r="H795">
        <f>1-(1-Skills!J22/100)^Skills!K22</f>
        <v/>
      </c>
      <c r="I795" t="inlineStr">
        <is>
          <t>1</t>
        </is>
      </c>
      <c r="J795" t="inlineStr"/>
      <c r="K795" t="inlineStr"/>
      <c r="L795" t="inlineStr"/>
      <c r="M795" t="inlineStr"/>
      <c r="N795" t="inlineStr"/>
      <c r="O795">
        <f>(1-Summary!$B$11)*T795+Summary!$B$11*V795</f>
        <v/>
      </c>
      <c r="P795">
        <f>IF(B809=0,0,O795/B809)</f>
        <v/>
      </c>
      <c r="Q795" t="n">
        <v>0</v>
      </c>
      <c r="R795" t="n">
        <v>0</v>
      </c>
      <c r="S795">
        <f>IFERROR(O795/N795,0)</f>
        <v/>
      </c>
      <c r="T795" t="n">
        <v>0</v>
      </c>
      <c r="V795" t="n">
        <v>0</v>
      </c>
    </row>
    <row r="796">
      <c r="A796">
        <f>Skills!A23</f>
        <v/>
      </c>
      <c r="B796">
        <f>Skills!B23</f>
        <v/>
      </c>
      <c r="C796">
        <f>TRUE</f>
        <v/>
      </c>
      <c r="D796">
        <f>IF(Skills!C23=1,60+Inputs!$B$25+Inputs!$B$29,IF(Skills!C23=2,90+Inputs!$B$26+Inputs!$B$29,IF(Skills!C23=3,120+(Inputs!$B$27+1)+Inputs!$B$29,MAX(0,(Inputs!$B$3-100)*3)+Inputs!$B$28+Inputs!$B$29)))</f>
        <v/>
      </c>
      <c r="E796">
        <f>INDEX(FactorTable!$B$2:$Y$301, MATCH(ROUND(MIN(300,MAX(1,D796)),0), FactorTable!$A$2:$A$301,0), Skills!M23+1)</f>
        <v/>
      </c>
      <c r="F796">
        <f>IF(Skills!N23=TRUE,(Skills!L23/10)*(E796/1000),Skills!L23/10)+Skills!O23</f>
        <v/>
      </c>
      <c r="G796">
        <f>Skills!G23*IF(Skills!H23&gt;0,Skills!I23/Skills!H23,1)</f>
        <v/>
      </c>
      <c r="H796">
        <f>1-(1-Skills!J23/100)^Skills!K23</f>
        <v/>
      </c>
      <c r="I796" t="inlineStr">
        <is>
          <t>1</t>
        </is>
      </c>
      <c r="J796" t="inlineStr"/>
      <c r="K796" t="inlineStr"/>
      <c r="L796" t="inlineStr"/>
      <c r="M796" t="inlineStr"/>
      <c r="N796" t="inlineStr"/>
      <c r="O796">
        <f>(1-Summary!$B$11)*T796+Summary!$B$11*V796</f>
        <v/>
      </c>
      <c r="P796">
        <f>IF(B809=0,0,O796/B809)</f>
        <v/>
      </c>
      <c r="Q796">
        <f>IFERROR(1/(IF(Inputs!$B$38="pvp",15,MAX(0.1,Skills!D23-IF(Skills!E23=TRUE,Inputs!$B$32,0)))*(1-IF(AND(ArtifactsInput!$M$27,Inputs!$B$4="Chapter Hunt"),CHOOSE(ArtifactsInput!$N$27+1,20,24,28,32,36,40),0)/100)),0)</f>
        <v/>
      </c>
      <c r="R796">
        <f>IF(AND(Inputs!$B$38&lt;&gt;"pvp",Inputs!$B$43&gt;0),IF(Inputs!$B$43&lt;=0,0,(INT(Inputs!$B$43/(IF(Inputs!$B$38="pvp",15,MAX(0.1,Skills!D23-IF(Skills!E23=TRUE,Inputs!$B$32,0)))*(1-IF(AND(ArtifactsInput!$M$27,Inputs!$B$4="Chapter Hunt"),CHOOSE(ArtifactsInput!$N$27+1,20,24,28,32,36,40),0)/100)))+1)),0)</f>
        <v/>
      </c>
      <c r="S796">
        <f>IFERROR(O796/N796,0)</f>
        <v/>
      </c>
      <c r="T796" t="n">
        <v>0</v>
      </c>
      <c r="V796" t="n">
        <v>0</v>
      </c>
    </row>
    <row r="798">
      <c r="A798" t="inlineStr">
        <is>
          <t>Attack% Bucket Multiplier</t>
        </is>
      </c>
      <c r="B798">
        <f>(1+(((C786=TRUE)*F786*5/7)+((C792=TRUE)*(F792-Calc!F19))+(IF(ArtifactsInput!$M$21,CHOOSE(ArtifactsInput!$N$21+1,25,30,35,40,45,50)*(IF(OR(Inputs!$B$4="Chapter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9">
      <c r="A799" t="inlineStr">
        <is>
          <t>Global Crit Rate Bonus %</t>
        </is>
      </c>
      <c r="B799" t="n">
        <v>0</v>
      </c>
    </row>
    <row r="800">
      <c r="A800" t="inlineStr">
        <is>
          <t>Attack Speed Buff Bonus % (Nimble Feet, duty-cycle averaged)</t>
        </is>
      </c>
      <c r="B800">
        <f>((C796=TRUE)*F796*IF(AND(Inputs!$B$38&lt;&gt;"pvp",Inputs!$B$43&gt;0),(((R796-1)*(Skills!T23*(1+Inputs!$B$34/100))+MIN((Skills!T23*(1+Inputs!$B$34/100)),MAX(0,Inputs!$B$43-((R796-1)*Skills!D23))))/Inputs!$B$43),IF(Inputs!$B$38="pvp",MIN((Skills!T23*(1+Inputs!$B$34/100)),15)/15,(Skills!T23*(1+Inputs!$B$34/100))/Skills!D23)))</f>
        <v/>
      </c>
    </row>
    <row r="801">
      <c r="A801" t="inlineStr">
        <is>
          <t>Actions Per Second</t>
        </is>
      </c>
      <c r="B801">
        <f>1+MIN(150,150*(1-(1-(Inputs!$B$11+((C790=TRUE)*(F790-Calc!F17))+((C791=TRUE)*(F791-Calc!F18)))/150)*(1-B800/150)))/100</f>
        <v/>
      </c>
    </row>
    <row r="802">
      <c r="A802" t="inlineStr">
        <is>
          <t>Skill + Buff Cast Rate</t>
        </is>
      </c>
      <c r="B802">
        <f>IF(AND(Inputs!$B$38&lt;&gt;"pvp",Inputs!$B$43&gt;0),SUMPRODUCT((Skills!E2:E23=TRUE)*(C775:C796=TRUE)*R775:R796*Skills!F2:F23)/Inputs!$B$43,SUMPRODUCT((Skills!E2:E23=TRUE)*(C775:C796=TRUE)*Q775:Q796*Skills!F2:F23))</f>
        <v/>
      </c>
    </row>
    <row r="803">
      <c r="A803" t="inlineStr">
        <is>
          <t>Hook Bomber Casts Per Second</t>
        </is>
      </c>
      <c r="B803">
        <f>MAX(0,B801-B802)</f>
        <v/>
      </c>
    </row>
    <row r="804">
      <c r="A804" t="inlineStr">
        <is>
          <t>Global Critical Damage Bonus % (unused)</t>
        </is>
      </c>
      <c r="B804" t="n">
        <v>0</v>
      </c>
    </row>
    <row r="805">
      <c r="A805" t="inlineStr">
        <is>
          <t>Global Final Damage Bonus % (Serpent Scale + Crossbones + Time Leap + Speed Infusion)</t>
        </is>
      </c>
      <c r="B805">
        <f>((C778=TRUE)*F778*((10+IF(Inputs!$B$3&gt;=94,5,0))/((10+IF(Inputs!$B$3&gt;=94,5,0))+5/(B803*(1+IF(Inputs!$B$3&gt;=104,1,0))))))+((C787=TRUE)*F787)+((C788=TRUE)*F788)+((Inputs!$B$3&gt;=110)*20*(B801-1))</f>
        <v/>
      </c>
    </row>
    <row r="806">
      <c r="A806" t="inlineStr">
        <is>
          <t>Buff-Casting Startup Delay (s, fixed-duration only)</t>
        </is>
      </c>
      <c r="B806">
        <f>IF(AND(Inputs!$B$38&lt;&gt;"pvp",Inputs!$B$43&gt;0),SUMPRODUCT((Skills!T2:T23&gt;0)*(Skills!E2:E23=TRUE)*(C775:C796=TRUE))/B801,0)</f>
        <v/>
      </c>
    </row>
    <row r="807">
      <c r="A807" t="inlineStr">
        <is>
          <t>Boss-Only Total DPS (this block's swept value)</t>
        </is>
      </c>
      <c r="B807">
        <f>SUM(T775:T796)</f>
        <v/>
      </c>
    </row>
    <row r="808">
      <c r="A808" t="inlineStr">
        <is>
          <t>Normal-Only Total DPS (this block's swept value)</t>
        </is>
      </c>
      <c r="B808">
        <f>SUM(V775:V796)</f>
        <v/>
      </c>
    </row>
    <row r="809">
      <c r="A809" s="6" t="inlineStr">
        <is>
          <t>TOTAL DPS</t>
        </is>
      </c>
      <c r="B809" s="6">
        <f>SUM(O775:O796)</f>
        <v/>
      </c>
    </row>
    <row r="812">
      <c r="A812" s="6" t="inlineStr">
        <is>
          <t>Stat: Skill Level Bonus — 4th Job</t>
        </is>
      </c>
    </row>
    <row r="813">
      <c r="A813" s="5" t="inlineStr">
        <is>
          <t>Key</t>
        </is>
      </c>
      <c r="B813" s="5" t="inlineStr">
        <is>
          <t>Name</t>
        </is>
      </c>
      <c r="C813" s="5" t="inlineStr">
        <is>
          <t>Unlocked</t>
        </is>
      </c>
      <c r="D813" s="5" t="inlineStr">
        <is>
          <t>InputLevel</t>
        </is>
      </c>
      <c r="E813" s="5" t="inlineStr">
        <is>
          <t>Factor</t>
        </is>
      </c>
      <c r="F813" s="5" t="inlineStr">
        <is>
          <t>CoefficientPercent</t>
        </is>
      </c>
      <c r="G813" s="5" t="inlineStr">
        <is>
          <t>EffectiveHits</t>
        </is>
      </c>
      <c r="H813" s="5" t="inlineStr">
        <is>
          <t>ProcProbability</t>
        </is>
      </c>
      <c r="I813" s="5" t="inlineStr">
        <is>
          <t>MapleHeroMultiplier</t>
        </is>
      </c>
      <c r="J813" s="5" t="inlineStr">
        <is>
          <t>BaseDamage</t>
        </is>
      </c>
      <c r="K813" s="5" t="inlineStr">
        <is>
          <t>BaseHitDamage</t>
        </is>
      </c>
      <c r="L813" s="5" t="inlineStr">
        <is>
          <t>NonCritAvg</t>
        </is>
      </c>
      <c r="M813" s="5" t="inlineStr">
        <is>
          <t>CritAvg</t>
        </is>
      </c>
      <c r="N813" s="5" t="inlineStr">
        <is>
          <t>ExpectedDamage(perHit)</t>
        </is>
      </c>
      <c r="O813" s="5" t="inlineStr">
        <is>
          <t>DPS</t>
        </is>
      </c>
      <c r="P813" s="5" t="inlineStr">
        <is>
          <t>% of Total</t>
        </is>
      </c>
      <c r="Q813" s="5" t="inlineStr">
        <is>
          <t>InvCooldown</t>
        </is>
      </c>
      <c r="R813" s="5" t="inlineStr">
        <is>
          <t>CastsInFight</t>
        </is>
      </c>
      <c r="S813" s="5"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832=TRUE)*(F832-Calc!F20)),(Inputs!$B$23+0+(IF(ArtifactsInput!$M$15,CHOOSE(ArtifactsInput!$N$15+1,25,30,35,40,45,50)/100*(Inputs!$B$11-Inputs!$B$11),0))))/100+(Inputs!$B$23+0+(IF(ArtifactsInput!$M$15,CHOOSE(ArtifactsInput!$N$15+1,25,30,35,40,45,50)/100*(Inputs!$B$11-Inputs!$B$11),0)))/100)/2</f>
        <v/>
      </c>
      <c r="M814">
        <f>L814*(1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t="n">
        <v>0</v>
      </c>
      <c r="R814" t="n">
        <v>0</v>
      </c>
      <c r="S814">
        <f>IFERROR(O814/N814,0)</f>
        <v/>
      </c>
      <c r="T814">
        <f>IF(C814,(Skills!G2*N814*B842)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MAX(0,(Inputs!$B$3-100)*3)+(Inputs!$B$28+1)+Inputs!$B$29</f>
        <v/>
      </c>
      <c r="V814">
        <f>IF(C814,(Skills!G2*N814*B842)*IF(Inputs!$B$38="pvp",1,(1+(Inputs!$B$21+Skills!Q2+(IF(ArtifactsInput!$M$33,CHOOSE(ArtifactsInput!$N$33+1,30,36,42,48,54,60),0))+(IF(AND(ArtifactsInput!$M$35,Inputs!$B$4&lt;&gt;"Chapter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832=TRUE)*(F832-Calc!F20)),(Inputs!$B$23+0+(IF(ArtifactsInput!$M$15,CHOOSE(ArtifactsInput!$N$15+1,25,30,35,40,45,50)/100*(Inputs!$B$11-Inputs!$B$11),0))))/100+(Inputs!$B$23+0+(IF(ArtifactsInput!$M$15,CHOOSE(ArtifactsInput!$N$15+1,25,30,35,40,45,50)/100*(Inputs!$B$11-Inputs!$B$11),0)))/100)/2</f>
        <v/>
      </c>
      <c r="M815">
        <f>L815*(1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t="n">
        <v>0</v>
      </c>
      <c r="R815" t="n">
        <v>0</v>
      </c>
      <c r="S815">
        <f>IFERROR(O815/N815,0)</f>
        <v/>
      </c>
      <c r="T815">
        <f>IF(C815,(Skills!G3*H815*N815*B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INDEX(FactorTable!$B$2:$Y$301, MATCH(ROUND(MIN(300,MAX(1,U814)),0), FactorTable!$A$2:$A$301,0), 22)</f>
        <v/>
      </c>
      <c r="V815">
        <f>IF(C815,(Skills!G3*H815*N815*B842)*IF(Inputs!$B$38="pvp",1,(1+(Inputs!$B$21+Skills!Q3+(IF(ArtifactsInput!$M$33,CHOOSE(ArtifactsInput!$N$33+1,30,36,42,48,54,60),0))+(IF(AND(ArtifactsInput!$M$35,Inputs!$B$4&lt;&gt;"Chapter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Skills!A4</f>
        <v/>
      </c>
      <c r="B816">
        <f>Skills!B4</f>
        <v/>
      </c>
      <c r="C816">
        <f>Inputs!$B$3&gt;=60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824=TRUE,F824,0)/100)*(1+(IF(Skills!A4="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832=TRUE)*(F832-Calc!F20)),(Inputs!$B$23+0+(IF(ArtifactsInput!$M$15,CHOOSE(ArtifactsInput!$N$15+1,25,30,35,40,45,50)/100*(Inputs!$B$11-Inputs!$B$11),0))))/100+(Inputs!$B$23+0+(IF(ArtifactsInput!$M$15,CHOOSE(ArtifactsInput!$N$15+1,25,30,35,40,45,50)/100*(Inputs!$B$11-Inputs!$B$11),0)))/100)/2</f>
        <v/>
      </c>
      <c r="M816">
        <f>L816*(1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t="n">
        <v>0</v>
      </c>
      <c r="R816" t="n">
        <v>0</v>
      </c>
      <c r="S816">
        <f>IFERROR(O816/N816,0)</f>
        <v/>
      </c>
      <c r="T816">
        <f>IF(C816,(Skills!G4*H816*N816*B842)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290*U815/1000</f>
        <v/>
      </c>
      <c r="V816">
        <f>IF(C816,(Skills!G4*H816*N816*B842)*IF(Inputs!$B$38="pvp",1,(1+(Inputs!$B$21+Skills!Q4+(IF(ArtifactsInput!$M$33,CHOOSE(ArtifactsInput!$N$33+1,30,36,42,48,54,60),0))+(IF(AND(ArtifactsInput!$M$35,Inputs!$B$4&lt;&gt;"Chapter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Skills!A5</f>
        <v/>
      </c>
      <c r="B817">
        <f>Skills!B5</f>
        <v/>
      </c>
      <c r="C817">
        <f>Inputs!$B$3&gt;=60</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t="inlineStr"/>
      <c r="K817" t="inlineStr"/>
      <c r="L817" t="inlineStr"/>
      <c r="M817" t="inlineStr"/>
      <c r="N817" t="inlineStr"/>
      <c r="O817">
        <f>(1-Summary!$B$11)*T817+Summary!$B$11*V817</f>
        <v/>
      </c>
      <c r="P817">
        <f>IF(B848=0,0,O817/B848)</f>
        <v/>
      </c>
      <c r="Q817" t="n">
        <v>0</v>
      </c>
      <c r="R817" t="n">
        <v>0</v>
      </c>
      <c r="S817">
        <f>IFERROR(O817/N817,0)</f>
        <v/>
      </c>
      <c r="T817" t="n">
        <v>0</v>
      </c>
      <c r="V817" t="n">
        <v>0</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832=TRUE)*(F832-Calc!F20)),(Inputs!$B$23+0+(IF(ArtifactsInput!$M$15,CHOOSE(ArtifactsInput!$N$15+1,25,30,35,40,45,50)/100*(Inputs!$B$11-Inputs!$B$11),0))))/100+(Inputs!$B$23+0+(IF(ArtifactsInput!$M$15,CHOOSE(ArtifactsInput!$N$15+1,25,30,35,40,45,50)/100*(Inputs!$B$11-Inputs!$B$11),0)))/100)/2</f>
        <v/>
      </c>
      <c r="M818">
        <f>L818*(1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IFERROR(1/(IF(Inputs!$B$38="pvp",15,MAX(0.1,Skills!D6-IF(Skills!E6=TRUE,Inputs!$B$32,0)))*(1-IF(AND(ArtifactsInput!$M$27,Inputs!$B$4="Chapter Hunt"),CHOOSE(ArtifactsInput!$N$27+1,20,24,28,32,36,40),0)/100)),0)</f>
        <v/>
      </c>
      <c r="R818">
        <f>IF(AND(Inputs!$B$38&lt;&gt;"pvp",Inputs!$B$43&gt;0),IF(MAX(0,Inputs!$B$43-B845)&lt;=0,0,(INT(MAX(0,Inputs!$B$43-B845)/(IF(Inputs!$B$38="pvp",15,MAX(0.1,Skills!D6-IF(Skills!E6=TRUE,Inputs!$B$32,0)))*(1-IF(AND(ArtifactsInput!$M$27,Inputs!$B$4="Chapter Hunt"),CHOOSE(ArtifactsInput!$N$27+1,20,24,28,32,36,40),0)/100)))+1)),0)</f>
        <v/>
      </c>
      <c r="S818">
        <f>IFERROR(O818/N818,0)</f>
        <v/>
      </c>
      <c r="T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Skills!A7</f>
        <v/>
      </c>
      <c r="B819">
        <f>Skills!B7</f>
        <v/>
      </c>
      <c r="C819">
        <f>Inputs!$B$3&gt;=100</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832=TRUE)*(F832-Calc!F20)),(Inputs!$B$23+0+(IF(ArtifactsInput!$M$15,CHOOSE(ArtifactsInput!$N$15+1,25,30,35,40,45,50)/100*(Inputs!$B$11-Inputs!$B$11),0))))/100+(Inputs!$B$23+0+(IF(ArtifactsInput!$M$15,CHOOSE(ArtifactsInput!$N$15+1,25,30,35,40,45,50)/100*(Inputs!$B$11-Inputs!$B$11),0)))/100)/2</f>
        <v/>
      </c>
      <c r="M819">
        <f>L819*(1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IFERROR(1/(IF(Inputs!$B$38="pvp",15,MAX(0.1,Skills!D7-IF(Skills!E7=TRUE,Inputs!$B$32,0)))*(1-IF(AND(ArtifactsInput!$M$27,Inputs!$B$4="Chapter Hunt"),CHOOSE(ArtifactsInput!$N$27+1,20,24,28,32,36,40),0)/100)),0)</f>
        <v/>
      </c>
      <c r="R819">
        <f>IF(AND(Inputs!$B$38&lt;&gt;"pvp",Inputs!$B$43&gt;0),IF(MAX(0,Inputs!$B$43-B845)&lt;=0,0,(INT(MAX(0,Inputs!$B$43-B845)/(IF(Inputs!$B$38="pvp",15,MAX(0.1,Skills!D7-IF(Skills!E7=TRUE,Inputs!$B$32,0)))*(1-IF(AND(ArtifactsInput!$M$27,Inputs!$B$4="Chapter Hunt"),CHOOSE(ArtifactsInput!$N$27+1,20,24,28,32,36,40),0)/100)))+1)),0)</f>
        <v/>
      </c>
      <c r="S819">
        <f>IFERROR(O819/N819,0)</f>
        <v/>
      </c>
      <c r="T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Skills!A8</f>
        <v/>
      </c>
      <c r="B820">
        <f>Skills!B8</f>
        <v/>
      </c>
      <c r="C820">
        <f>Inputs!$B$3&gt;=110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832=TRUE)*(F832-Calc!F20)),(Inputs!$B$23+0+(IF(ArtifactsInput!$M$15,CHOOSE(ArtifactsInput!$N$15+1,25,30,35,40,45,50)/100*(Inputs!$B$11-Inputs!$B$11),0))))/100+(Inputs!$B$23+0+(IF(ArtifactsInput!$M$15,CHOOSE(ArtifactsInput!$N$15+1,25,30,35,40,45,50)/100*(Inputs!$B$11-Inputs!$B$11),0)))/100)/2</f>
        <v/>
      </c>
      <c r="M820">
        <f>L820*(1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IFERROR(1/(IF(Inputs!$B$38="pvp",15,MAX(0.1,Skills!D8-IF(Skills!E8=TRUE,Inputs!$B$32,0)))*(1-IF(AND(ArtifactsInput!$M$27,Inputs!$B$4="Chapter Hunt"),CHOOSE(ArtifactsInput!$N$27+1,20,24,28,32,36,40),0)/100)),0)</f>
        <v/>
      </c>
      <c r="R820">
        <f>IF(AND(Inputs!$B$38&lt;&gt;"pvp",Inputs!$B$43&gt;0),IF(MAX(0,Inputs!$B$43-B845)&lt;=0,0,(INT(MAX(0,Inputs!$B$43-B845)/(IF(Inputs!$B$38="pvp",15,MAX(0.1,Skills!D8-IF(Skills!E8=TRUE,Inputs!$B$32,0)))*(1-IF(AND(ArtifactsInput!$M$27,Inputs!$B$4="Chapter Hunt"),CHOOSE(ArtifactsInput!$N$27+1,20,24,28,32,36,40),0)/100)))+1)),0)</f>
        <v/>
      </c>
      <c r="S820">
        <f>IFERROR(O820/N820,0)</f>
        <v/>
      </c>
      <c r="T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Skills!A9</f>
        <v/>
      </c>
      <c r="B821">
        <f>Skills!B9</f>
        <v/>
      </c>
      <c r="C821">
        <f>Inputs!$B$3&gt;=110</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832=TRUE)*(F832-Calc!F20)),(Inputs!$B$23+0+(IF(ArtifactsInput!$M$15,CHOOSE(ArtifactsInput!$N$15+1,25,30,35,40,45,50)/100*(Inputs!$B$11-Inputs!$B$11),0))))/100+(Inputs!$B$23+0+(IF(ArtifactsInput!$M$15,CHOOSE(ArtifactsInput!$N$15+1,25,30,35,40,45,50)/100*(Inputs!$B$11-Inputs!$B$11),0)))/100)/2</f>
        <v/>
      </c>
      <c r="M821">
        <f>L821*(1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f>IFERROR(1/(IF(Inputs!$B$38="pvp",15,MAX(0.1,Skills!D9-IF(Skills!E9=TRUE,Inputs!$B$32,0)))*(1-IF(AND(ArtifactsInput!$M$27,Inputs!$B$4="Chapter Hunt"),CHOOSE(ArtifactsInput!$N$27+1,20,24,28,32,36,40),0)/100)),0)</f>
        <v/>
      </c>
      <c r="R821">
        <f>IF(AND(Inputs!$B$38&lt;&gt;"pvp",Inputs!$B$43&gt;0),IF(MAX(0,Inputs!$B$43-B845)&lt;=0,0,(INT(MAX(0,Inputs!$B$43-B845)/(IF(Inputs!$B$38="pvp",15,MAX(0.1,Skills!D9-IF(Skills!E9=TRUE,Inputs!$B$32,0)))*(1-IF(AND(ArtifactsInput!$M$27,Inputs!$B$4="Chapter Hunt"),CHOOSE(ArtifactsInput!$N$27+1,20,24,28,32,36,40),0)/100)))+1)),0)</f>
        <v/>
      </c>
      <c r="S821">
        <f>IFERROR(O821/N821,0)</f>
        <v/>
      </c>
      <c r="T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Skills!A10</f>
        <v/>
      </c>
      <c r="B822">
        <f>Skills!B10</f>
        <v/>
      </c>
      <c r="C822">
        <f>Inputs!$B$3&gt;=103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832=TRUE)*(F832-Calc!F20)),(Inputs!$B$23+0+(IF(ArtifactsInput!$M$15,CHOOSE(ArtifactsInput!$N$15+1,25,30,35,40,45,50)/100*(Inputs!$B$11-Inputs!$B$11),0))))/100+(Inputs!$B$23+0+(IF(ArtifactsInput!$M$15,CHOOSE(ArtifactsInput!$N$15+1,25,30,35,40,45,50)/100*(Inputs!$B$11-Inputs!$B$11),0)))/100)/2</f>
        <v/>
      </c>
      <c r="M822">
        <f>L822*(1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IF(B848=0,0,O822/B848)</f>
        <v/>
      </c>
      <c r="Q822">
        <f>IFERROR(1/(IF(Inputs!$B$38="pvp",15,MAX(0.1,Skills!D10-IF(Skills!E10=TRUE,Inputs!$B$32,0)))*(1-IF(AND(ArtifactsInput!$M$27,Inputs!$B$4="Chapter Hunt"),CHOOSE(ArtifactsInput!$N$27+1,20,24,28,32,36,40),0)/100)),0)</f>
        <v/>
      </c>
      <c r="R822">
        <f>IF(AND(Inputs!$B$38&lt;&gt;"pvp",Inputs!$B$43&gt;0),IF(MAX(0,Inputs!$B$43-B845)&lt;=0,0,(INT(MAX(0,Inputs!$B$43-B845)/(IF(Inputs!$B$38="pvp",15,MAX(0.1,Skills!D10-IF(Skills!E10=TRUE,Inputs!$B$32,0)))*(1-IF(AND(ArtifactsInput!$M$27,Inputs!$B$4="Chapter Hunt"),CHOOSE(ArtifactsInput!$N$27+1,20,24,28,32,36,40),0)/100)))+1)),0)</f>
        <v/>
      </c>
      <c r="S822">
        <f>IFERROR(O822/N822,0)</f>
        <v/>
      </c>
      <c r="T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Skills!A11</f>
        <v/>
      </c>
      <c r="B823">
        <f>Skills!B11</f>
        <v/>
      </c>
      <c r="C823">
        <f>Inputs!$B$3&gt;=113</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832=TRUE)*(F832-Calc!F20)),(Inputs!$B$23+0+(IF(ArtifactsInput!$M$15,CHOOSE(ArtifactsInput!$N$15+1,25,30,35,40,45,50)/100*(Inputs!$B$11-Inputs!$B$11),0))))/100+(Inputs!$B$23+0+(IF(ArtifactsInput!$M$15,CHOOSE(ArtifactsInput!$N$15+1,25,30,35,40,45,50)/100*(Inputs!$B$11-Inputs!$B$11),0)))/100)/2</f>
        <v/>
      </c>
      <c r="M823">
        <f>L823*(1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IF(B848=0,0,O823/B848)</f>
        <v/>
      </c>
      <c r="Q823">
        <f>IFERROR(1/(IF(Inputs!$B$38="pvp",15,MAX(0.1,Skills!D11-IF(Skills!E11=TRUE,Inputs!$B$32,0)))*(1-IF(AND(ArtifactsInput!$M$27,Inputs!$B$4="Chapter Hunt"),CHOOSE(ArtifactsInput!$N$27+1,20,24,28,32,36,40),0)/100)),0)</f>
        <v/>
      </c>
      <c r="R823">
        <f>IF(AND(Inputs!$B$38&lt;&gt;"pvp",Inputs!$B$43&gt;0),IF(MAX(0,Inputs!$B$43-B845)&lt;=0,0,(INT(MAX(0,Inputs!$B$43-B845)/(IF(Inputs!$B$38="pvp",15,MAX(0.1,Skills!D11-IF(Skills!E11=TRUE,Inputs!$B$32,0)))*(1-IF(AND(ArtifactsInput!$M$27,Inputs!$B$4="Chapter Hunt"),CHOOSE(ArtifactsInput!$N$27+1,20,24,28,32,36,40),0)/100)))+1)),0)</f>
        <v/>
      </c>
      <c r="S823">
        <f>IFERROR(O823/N823,0)</f>
        <v/>
      </c>
      <c r="T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Skills!A12</f>
        <v/>
      </c>
      <c r="B824">
        <f>Skills!B12</f>
        <v/>
      </c>
      <c r="C824">
        <f>Inputs!$B$3&gt;=100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t="inlineStr"/>
      <c r="H824" t="inlineStr"/>
      <c r="I824" t="inlineStr">
        <is>
          <t>1</t>
        </is>
      </c>
      <c r="J824" t="inlineStr"/>
      <c r="K824" t="inlineStr"/>
      <c r="L824" t="inlineStr"/>
      <c r="M824" t="inlineStr"/>
      <c r="N824" t="inlineStr"/>
      <c r="O824" t="inlineStr"/>
      <c r="P824" t="inlineStr"/>
      <c r="Q824" t="inlineStr"/>
      <c r="R824" t="inlineStr"/>
      <c r="S824" t="inlineStr"/>
      <c r="T824" t="inlineStr"/>
      <c r="V824" t="inlineStr"/>
    </row>
    <row r="825">
      <c r="A825">
        <f>Skills!A13</f>
        <v/>
      </c>
      <c r="B825">
        <f>Skills!B13</f>
        <v/>
      </c>
      <c r="C825">
        <f>Inputs!$B$3&gt;=66</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t="inlineStr"/>
      <c r="K825" t="inlineStr"/>
      <c r="L825" t="inlineStr"/>
      <c r="M825" t="inlineStr"/>
      <c r="N825" t="inlineStr"/>
      <c r="O825">
        <f>(1-Summary!$B$11)*T825+Summary!$B$11*V825</f>
        <v/>
      </c>
      <c r="P825">
        <f>IF(B848=0,0,O825/B848)</f>
        <v/>
      </c>
      <c r="Q825" t="n">
        <v>0</v>
      </c>
      <c r="R825" t="n">
        <v>0</v>
      </c>
      <c r="S825">
        <f>IFERROR(O825/N825,0)</f>
        <v/>
      </c>
      <c r="T825" t="n">
        <v>0</v>
      </c>
      <c r="V825" t="n">
        <v>0</v>
      </c>
    </row>
    <row r="826">
      <c r="A826">
        <f>Skills!A14</f>
        <v/>
      </c>
      <c r="B826">
        <f>Skills!B14</f>
        <v/>
      </c>
      <c r="C826">
        <f>Inputs!$B$3&gt;=107</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t="inlineStr"/>
      <c r="K826" t="inlineStr"/>
      <c r="L826" t="inlineStr"/>
      <c r="M826" t="inlineStr"/>
      <c r="N826" t="inlineStr"/>
      <c r="O826">
        <f>(1-Summary!$B$11)*T826+Summary!$B$11*V826</f>
        <v/>
      </c>
      <c r="P826">
        <f>IF(B848=0,0,O826/B848)</f>
        <v/>
      </c>
      <c r="Q826" t="n">
        <v>0</v>
      </c>
      <c r="R826" t="n">
        <v>0</v>
      </c>
      <c r="S826">
        <f>IFERROR(O826/N826,0)</f>
        <v/>
      </c>
      <c r="T826" t="n">
        <v>0</v>
      </c>
      <c r="V826" t="n">
        <v>0</v>
      </c>
    </row>
    <row r="827">
      <c r="A827">
        <f>Skills!A15</f>
        <v/>
      </c>
      <c r="B827">
        <f>Skills!B15</f>
        <v/>
      </c>
      <c r="C827">
        <f>Inputs!$B$3&gt;=115</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f>Skills!G15*IF(Skills!H15&gt;0,Skills!I15/Skills!H15,1)</f>
        <v/>
      </c>
      <c r="H827">
        <f>1-(1-Skills!J15/100)^Skills!K15</f>
        <v/>
      </c>
      <c r="I827" t="inlineStr">
        <is>
          <t>1</t>
        </is>
      </c>
      <c r="J827" t="inlineStr"/>
      <c r="K827" t="inlineStr"/>
      <c r="L827" t="inlineStr"/>
      <c r="M827" t="inlineStr"/>
      <c r="N827" t="inlineStr"/>
      <c r="O827">
        <f>(1-Summary!$B$11)*T827+Summary!$B$11*V827</f>
        <v/>
      </c>
      <c r="P827">
        <f>IF(B848=0,0,O827/B848)</f>
        <v/>
      </c>
      <c r="Q827" t="n">
        <v>0</v>
      </c>
      <c r="R827" t="n">
        <v>0</v>
      </c>
      <c r="S827">
        <f>IFERROR(O827/N827,0)</f>
        <v/>
      </c>
      <c r="T827" t="n">
        <v>0</v>
      </c>
      <c r="V827" t="n">
        <v>0</v>
      </c>
    </row>
    <row r="828">
      <c r="A828">
        <f>Skills!A16</f>
        <v/>
      </c>
      <c r="B828">
        <f>Skills!B16</f>
        <v/>
      </c>
      <c r="C828">
        <f>Inputs!$B$3&gt;=15</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f>Skills!G16*IF(Skills!H16&gt;0,Skills!I16/Skills!H16,1)</f>
        <v/>
      </c>
      <c r="H828">
        <f>1-(1-Skills!J16/100)^Skills!K16</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Skills!A17</f>
        <v/>
      </c>
      <c r="B829">
        <f>Skills!B17</f>
        <v/>
      </c>
      <c r="C829">
        <f>Inputs!$B$3&gt;=10</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Skills!A18</f>
        <v/>
      </c>
      <c r="B830">
        <f>Skills!B18</f>
        <v/>
      </c>
      <c r="C830">
        <f>Inputs!$B$3&gt;=33</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Skills!A19</f>
        <v/>
      </c>
      <c r="B831">
        <f>Skills!B19</f>
        <v/>
      </c>
      <c r="C831">
        <f>Inputs!$B$3&gt;=40</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Skills!A20</f>
        <v/>
      </c>
      <c r="B832">
        <f>Skills!B20</f>
        <v/>
      </c>
      <c r="C832">
        <f>Inputs!$B$3&gt;=43</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Skills!A21</f>
        <v/>
      </c>
      <c r="B833">
        <f>Skills!B21</f>
        <v/>
      </c>
      <c r="C833">
        <f>Inputs!$B$3&gt;=38</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Skills!A22</f>
        <v/>
      </c>
      <c r="B834">
        <f>Skills!B22</f>
        <v/>
      </c>
      <c r="C834">
        <f>Inputs!$B$3&gt;=75</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Skills!A23</f>
        <v/>
      </c>
      <c r="B835">
        <f>Skills!B23</f>
        <v/>
      </c>
      <c r="C835">
        <f>TRUE</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f>(1-Summary!$B$11)*T835+Summary!$B$11*V835</f>
        <v/>
      </c>
      <c r="P835">
        <f>IF(B848=0,0,O835/B848)</f>
        <v/>
      </c>
      <c r="Q835">
        <f>IFERROR(1/(IF(Inputs!$B$38="pvp",15,MAX(0.1,Skills!D23-IF(Skills!E23=TRUE,Inputs!$B$32,0)))*(1-IF(AND(ArtifactsInput!$M$27,Inputs!$B$4="Chapter Hunt"),CHOOSE(ArtifactsInput!$N$27+1,20,24,28,32,36,40),0)/100)),0)</f>
        <v/>
      </c>
      <c r="R835">
        <f>IF(AND(Inputs!$B$38&lt;&gt;"pvp",Inputs!$B$43&gt;0),IF(Inputs!$B$43&lt;=0,0,(INT(Inputs!$B$43/(IF(Inputs!$B$38="pvp",15,MAX(0.1,Skills!D23-IF(Skills!E23=TRUE,Inputs!$B$32,0)))*(1-IF(AND(ArtifactsInput!$M$27,Inputs!$B$4="Chapter Hunt"),CHOOSE(ArtifactsInput!$N$27+1,20,24,28,32,36,40),0)/100)))+1)),0)</f>
        <v/>
      </c>
      <c r="S835">
        <f>IFERROR(O835/N835,0)</f>
        <v/>
      </c>
      <c r="T835" t="n">
        <v>0</v>
      </c>
      <c r="V835" t="n">
        <v>0</v>
      </c>
    </row>
    <row r="837">
      <c r="A837" t="inlineStr">
        <is>
          <t>Attack% Bucket Multiplier</t>
        </is>
      </c>
      <c r="B837">
        <f>(1+(((C825=TRUE)*F825*5/7)+((C831=TRUE)*(F831-Calc!F19))+(IF(ArtifactsInput!$M$21,CHOOSE(ArtifactsInput!$N$21+1,25,30,35,40,45,50)*(IF(OR(Inputs!$B$4="Chapter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Skills!T23*(1+Inputs!$B$34/100))+MIN((Skills!T23*(1+Inputs!$B$34/100)),MAX(0,Inputs!$B$43-((R835-1)*Skills!D23))))/Inputs!$B$43),IF(Inputs!$B$38="pvp",MIN((Skills!T23*(1+Inputs!$B$34/100)),15)/15,(Skills!T23*(1+Inputs!$B$34/100))/Skills!D23)))</f>
        <v/>
      </c>
    </row>
    <row r="840">
      <c r="A840" t="inlineStr">
        <is>
          <t>Actions Per Second</t>
        </is>
      </c>
      <c r="B840">
        <f>1+MIN(150,150*(1-(1-(Inputs!$B$11+((C829=TRUE)*(F829-Calc!F17))+((C830=TRUE)*(F830-Calc!F18)))/150)*(1-B839/150)))/100</f>
        <v/>
      </c>
    </row>
    <row r="841">
      <c r="A841" t="inlineStr">
        <is>
          <t>Skill + Buff Cast Rate</t>
        </is>
      </c>
      <c r="B841">
        <f>IF(AND(Inputs!$B$38&lt;&gt;"pvp",Inputs!$B$43&gt;0),SUMPRODUCT((Skills!E2:E23=TRUE)*(C814:C835=TRUE)*R814:R835*Skills!F2:F23)/Inputs!$B$43,SUMPRODUCT((Skills!E2:E23=TRUE)*(C814:C835=TRUE)*Q814:Q835*Skills!F2:F23))</f>
        <v/>
      </c>
    </row>
    <row r="842">
      <c r="A842" t="inlineStr">
        <is>
          <t>Hook Bomber Casts Per Second</t>
        </is>
      </c>
      <c r="B842">
        <f>MAX(0,B840-B841)</f>
        <v/>
      </c>
    </row>
    <row r="843">
      <c r="A843" t="inlineStr">
        <is>
          <t>Global Critical Damage Bonus % (unused)</t>
        </is>
      </c>
      <c r="B843" t="n">
        <v>0</v>
      </c>
    </row>
    <row r="844">
      <c r="A844" t="inlineStr">
        <is>
          <t>Global Final Damage Bonus % (Serpent Scale + Crossbones + Time Leap + Speed Infusion)</t>
        </is>
      </c>
      <c r="B844">
        <f>((C817=TRUE)*F817*((10+IF(Inputs!$B$3&gt;=94,5,0))/((10+IF(Inputs!$B$3&gt;=94,5,0))+5/(B842*(1+IF(Inputs!$B$3&gt;=104,1,0))))))+((C826=TRUE)*F826)+((C827=TRUE)*F827)+((Inputs!$B$3&gt;=110)*20*(B840-1))</f>
        <v/>
      </c>
    </row>
    <row r="845">
      <c r="A845" t="inlineStr">
        <is>
          <t>Buff-Casting Startup Delay (s, fixed-duration only)</t>
        </is>
      </c>
      <c r="B845">
        <f>IF(AND(Inputs!$B$38&lt;&gt;"pvp",Inputs!$B$43&gt;0),SUMPRODUCT((Skills!T2:T23&gt;0)*(Skills!E2:E23=TRUE)*(C814:C835=TRUE))/B840,0)</f>
        <v/>
      </c>
    </row>
    <row r="846">
      <c r="A846" t="inlineStr">
        <is>
          <t>Boss-Only Total DPS (this block's swept value)</t>
        </is>
      </c>
      <c r="B846">
        <f>SUM(T814:T835)</f>
        <v/>
      </c>
    </row>
    <row r="847">
      <c r="A847" t="inlineStr">
        <is>
          <t>Normal-Only Total DPS (this block's swept value)</t>
        </is>
      </c>
      <c r="B847">
        <f>SUM(V814:V835)</f>
        <v/>
      </c>
    </row>
    <row r="848">
      <c r="A848" s="6" t="inlineStr">
        <is>
          <t>TOTAL DPS</t>
        </is>
      </c>
      <c r="B848" s="6">
        <f>SUM(O814:O835)</f>
        <v/>
      </c>
    </row>
    <row r="851">
      <c r="A851" s="6" t="inlineStr">
        <is>
          <t>Stat: Skill Level Bonus — All Skills</t>
        </is>
      </c>
    </row>
    <row r="852">
      <c r="A852" s="5" t="inlineStr">
        <is>
          <t>Key</t>
        </is>
      </c>
      <c r="B852" s="5" t="inlineStr">
        <is>
          <t>Name</t>
        </is>
      </c>
      <c r="C852" s="5" t="inlineStr">
        <is>
          <t>Unlocked</t>
        </is>
      </c>
      <c r="D852" s="5" t="inlineStr">
        <is>
          <t>InputLevel</t>
        </is>
      </c>
      <c r="E852" s="5" t="inlineStr">
        <is>
          <t>Factor</t>
        </is>
      </c>
      <c r="F852" s="5" t="inlineStr">
        <is>
          <t>CoefficientPercent</t>
        </is>
      </c>
      <c r="G852" s="5" t="inlineStr">
        <is>
          <t>EffectiveHits</t>
        </is>
      </c>
      <c r="H852" s="5" t="inlineStr">
        <is>
          <t>ProcProbability</t>
        </is>
      </c>
      <c r="I852" s="5" t="inlineStr">
        <is>
          <t>MapleHeroMultiplier</t>
        </is>
      </c>
      <c r="J852" s="5" t="inlineStr">
        <is>
          <t>BaseDamage</t>
        </is>
      </c>
      <c r="K852" s="5" t="inlineStr">
        <is>
          <t>BaseHitDamage</t>
        </is>
      </c>
      <c r="L852" s="5" t="inlineStr">
        <is>
          <t>NonCritAvg</t>
        </is>
      </c>
      <c r="M852" s="5" t="inlineStr">
        <is>
          <t>CritAvg</t>
        </is>
      </c>
      <c r="N852" s="5" t="inlineStr">
        <is>
          <t>ExpectedDamage(perHit)</t>
        </is>
      </c>
      <c r="O852" s="5" t="inlineStr">
        <is>
          <t>DPS</t>
        </is>
      </c>
      <c r="P852" s="5" t="inlineStr">
        <is>
          <t>% of Total</t>
        </is>
      </c>
      <c r="Q852" s="5" t="inlineStr">
        <is>
          <t>InvCooldown</t>
        </is>
      </c>
      <c r="R852" s="5" t="inlineStr">
        <is>
          <t>CastsInFight</t>
        </is>
      </c>
      <c r="S852" s="5" t="inlineStr">
        <is>
          <t>HitRate(perSec)</t>
        </is>
      </c>
      <c r="U852" t="inlineStr">
        <is>
          <t>helpers</t>
        </is>
      </c>
    </row>
    <row r="853">
      <c r="A853">
        <f>Skills!A2</f>
        <v/>
      </c>
      <c r="B853">
        <f>Skills!B2</f>
        <v/>
      </c>
      <c r="C853">
        <f>Inputs!$B$3&gt;=100</f>
        <v/>
      </c>
      <c r="D853" t="inlineStr"/>
      <c r="E853" t="inlineStr"/>
      <c r="F853">
        <f>U855+Skills!O2</f>
        <v/>
      </c>
      <c r="G853">
        <f>Skills!G2*IF(Skills!H2&gt;0,Skills!I2/Skills!H2,1)</f>
        <v/>
      </c>
      <c r="H853">
        <f>1-(1-Skills!J2/100)^Skills!K2</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871=TRUE)*(F871-Calc!F20)),(Inputs!$B$23+0+(IF(ArtifactsInput!$M$15,CHOOSE(ArtifactsInput!$N$15+1,25,30,35,40,45,50)/100*(Inputs!$B$11-Inputs!$B$11),0))))/100+(Inputs!$B$23+0+(IF(ArtifactsInput!$M$15,CHOOSE(ArtifactsInput!$N$15+1,25,30,35,40,45,50)/100*(Inputs!$B$11-Inputs!$B$11),0)))/100)/2</f>
        <v/>
      </c>
      <c r="M853">
        <f>L853*(1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IF(B887=0,0,O853/B887)</f>
        <v/>
      </c>
      <c r="Q853" t="n">
        <v>0</v>
      </c>
      <c r="R853" t="n">
        <v>0</v>
      </c>
      <c r="S853">
        <f>IFERROR(O853/N853,0)</f>
        <v/>
      </c>
      <c r="T853">
        <f>IF(C853,(Skills!G2*N853*B881)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3">
        <f>MAX(0,(Inputs!$B$3-100)*3)+Inputs!$B$28+(Inputs!$B$29+1)</f>
        <v/>
      </c>
      <c r="V853">
        <f>IF(C853,(Skills!G2*N853*B881)*IF(Inputs!$B$38="pvp",1,(1+(Inputs!$B$21+Skills!Q2+(IF(ArtifactsInput!$M$33,CHOOSE(ArtifactsInput!$N$33+1,30,36,42,48,54,60),0))+(IF(AND(ArtifactsInput!$M$35,Inputs!$B$4&lt;&gt;"Chapter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Skills!A3</f>
        <v/>
      </c>
      <c r="B854">
        <f>Skills!B3</f>
        <v/>
      </c>
      <c r="C854">
        <f>Inputs!$B$3&gt;=35</f>
        <v/>
      </c>
      <c r="D854">
        <f>IF(Skills!C3=1,60+Inputs!$B$25+(Inputs!$B$29+1),IF(Skills!C3=2,90+Inputs!$B$26+(Inputs!$B$29+1),IF(Skills!C3=3,120+Inputs!$B$27+(Inputs!$B$29+1),MAX(0,(Inputs!$B$3-100)*3)+Inputs!$B$28+(Inputs!$B$29+1))))</f>
        <v/>
      </c>
      <c r="E854">
        <f>INDEX(FactorTable!$B$2:$Y$301, MATCH(ROUND(MIN(300,MAX(1,D854)),0), FactorTable!$A$2:$A$301,0), Skills!M3+1)</f>
        <v/>
      </c>
      <c r="F854">
        <f>IF(Skills!N3=TRUE,(Skills!L3/10)*(E854/1000),Skills!L3/10)+Skills!O3</f>
        <v/>
      </c>
      <c r="G854">
        <f>Skills!G3*IF(Skills!H3&gt;0,Skills!I3/Skills!H3,1)</f>
        <v/>
      </c>
      <c r="H854">
        <f>1-(1-Skills!J3/100)^Skills!K3</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871=TRUE)*(F871-Calc!F20)),(Inputs!$B$23+0+(IF(ArtifactsInput!$M$15,CHOOSE(ArtifactsInput!$N$15+1,25,30,35,40,45,50)/100*(Inputs!$B$11-Inputs!$B$11),0))))/100+(Inputs!$B$23+0+(IF(ArtifactsInput!$M$15,CHOOSE(ArtifactsInput!$N$15+1,25,30,35,40,45,50)/100*(Inputs!$B$11-Inputs!$B$11),0)))/100)/2</f>
        <v/>
      </c>
      <c r="M854">
        <f>L854*(1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IF(B887=0,0,O854/B887)</f>
        <v/>
      </c>
      <c r="Q854" t="n">
        <v>0</v>
      </c>
      <c r="R854" t="n">
        <v>0</v>
      </c>
      <c r="S854">
        <f>IFERROR(O854/N854,0)</f>
        <v/>
      </c>
      <c r="T854">
        <f>IF(C854,(Skills!G3*H854*N854*B881)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INDEX(FactorTable!$B$2:$Y$301, MATCH(ROUND(MIN(300,MAX(1,U853)),0), FactorTable!$A$2:$A$301,0), 22)</f>
        <v/>
      </c>
      <c r="V854">
        <f>IF(C854,(Skills!G3*H854*N854*B881)*IF(Inputs!$B$38="pvp",1,(1+(Inputs!$B$21+Skills!Q3+(IF(ArtifactsInput!$M$33,CHOOSE(ArtifactsInput!$N$33+1,30,36,42,48,54,60),0))+(IF(AND(ArtifactsInput!$M$35,Inputs!$B$4&lt;&gt;"Chapter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Skills!A4</f>
        <v/>
      </c>
      <c r="B855">
        <f>Skills!B4</f>
        <v/>
      </c>
      <c r="C855">
        <f>Inputs!$B$3&gt;=60</f>
        <v/>
      </c>
      <c r="D855">
        <f>IF(Skills!C4=1,60+Inputs!$B$25+(Inputs!$B$29+1),IF(Skills!C4=2,90+Inputs!$B$26+(Inputs!$B$29+1),IF(Skills!C4=3,120+Inputs!$B$27+(Inputs!$B$29+1),MAX(0,(Inputs!$B$3-100)*3)+Inputs!$B$28+(Inputs!$B$29+1))))</f>
        <v/>
      </c>
      <c r="E855">
        <f>INDEX(FactorTable!$B$2:$Y$301, MATCH(ROUND(MIN(300,MAX(1,D855)),0), FactorTable!$A$2:$A$301,0), Skills!M4+1)</f>
        <v/>
      </c>
      <c r="F855">
        <f>IF(Skills!N4=TRUE,(Skills!L4/10)*(E855/1000),Skills!L4/10)+Skills!O4</f>
        <v/>
      </c>
      <c r="G855">
        <f>Skills!G4*IF(Skills!H4&gt;0,Skills!I4/Skills!H4,1)</f>
        <v/>
      </c>
      <c r="H855">
        <f>1-(1-Skills!J4/100)^Skills!K4</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4="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871=TRUE)*(F871-Calc!F20)),(Inputs!$B$23+0+(IF(ArtifactsInput!$M$15,CHOOSE(ArtifactsInput!$N$15+1,25,30,35,40,45,50)/100*(Inputs!$B$11-Inputs!$B$11),0))))/100+(Inputs!$B$23+0+(IF(ArtifactsInput!$M$15,CHOOSE(ArtifactsInput!$N$15+1,25,30,35,40,45,50)/100*(Inputs!$B$11-Inputs!$B$11),0)))/100)/2</f>
        <v/>
      </c>
      <c r="M855">
        <f>L855*(1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IF(B887=0,0,O855/B887)</f>
        <v/>
      </c>
      <c r="Q855" t="n">
        <v>0</v>
      </c>
      <c r="R855" t="n">
        <v>0</v>
      </c>
      <c r="S855">
        <f>IFERROR(O855/N855,0)</f>
        <v/>
      </c>
      <c r="T855">
        <f>IF(C855,(Skills!G4*H855*N855*B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290*U854/1000</f>
        <v/>
      </c>
      <c r="V855">
        <f>IF(C855,(Skills!G4*H855*N855*B881)*IF(Inputs!$B$38="pvp",1,(1+(Inputs!$B$21+Skills!Q4+(IF(ArtifactsInput!$M$33,CHOOSE(ArtifactsInput!$N$33+1,30,36,42,48,54,60),0))+(IF(AND(ArtifactsInput!$M$35,Inputs!$B$4&lt;&gt;"Chapter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Skills!A5</f>
        <v/>
      </c>
      <c r="B856">
        <f>Skills!B5</f>
        <v/>
      </c>
      <c r="C856">
        <f>Inputs!$B$3&gt;=60</f>
        <v/>
      </c>
      <c r="D856">
        <f>IF(Skills!C5=1,60+Inputs!$B$25+(Inputs!$B$29+1),IF(Skills!C5=2,90+Inputs!$B$26+(Inputs!$B$29+1),IF(Skills!C5=3,120+Inputs!$B$27+(Inputs!$B$29+1),MAX(0,(Inputs!$B$3-100)*3)+Inputs!$B$28+(Inputs!$B$29+1))))</f>
        <v/>
      </c>
      <c r="E856">
        <f>INDEX(FactorTable!$B$2:$Y$301, MATCH(ROUND(MIN(300,MAX(1,D856)),0), FactorTable!$A$2:$A$301,0), Skills!M5+1)</f>
        <v/>
      </c>
      <c r="F856">
        <f>IF(Skills!N5=TRUE,(Skills!L5/10)*(E856/1000),Skills!L5/10)+Skills!O5</f>
        <v/>
      </c>
      <c r="G856">
        <f>Skills!G5*IF(Skills!H5&gt;0,Skills!I5/Skills!H5,1)</f>
        <v/>
      </c>
      <c r="H856">
        <f>1-(1-Skills!J5/100)^Skills!K5</f>
        <v/>
      </c>
      <c r="I856" t="inlineStr">
        <is>
          <t>1</t>
        </is>
      </c>
      <c r="J856" t="inlineStr"/>
      <c r="K856" t="inlineStr"/>
      <c r="L856" t="inlineStr"/>
      <c r="M856" t="inlineStr"/>
      <c r="N856" t="inlineStr"/>
      <c r="O856">
        <f>(1-Summary!$B$11)*T856+Summary!$B$11*V856</f>
        <v/>
      </c>
      <c r="P856">
        <f>IF(B887=0,0,O856/B887)</f>
        <v/>
      </c>
      <c r="Q856" t="n">
        <v>0</v>
      </c>
      <c r="R856" t="n">
        <v>0</v>
      </c>
      <c r="S856">
        <f>IFERROR(O856/N856,0)</f>
        <v/>
      </c>
      <c r="T856" t="n">
        <v>0</v>
      </c>
      <c r="V856" t="n">
        <v>0</v>
      </c>
    </row>
    <row r="857">
      <c r="A857">
        <f>Skills!A6</f>
        <v/>
      </c>
      <c r="B857">
        <f>Skills!B6</f>
        <v/>
      </c>
      <c r="C857">
        <f>Inputs!$B$3&gt;=63</f>
        <v/>
      </c>
      <c r="D857">
        <f>IF(Skills!C6=1,60+Inputs!$B$25+(Inputs!$B$29+1),IF(Skills!C6=2,90+Inputs!$B$26+(Inputs!$B$29+1),IF(Skills!C6=3,120+Inputs!$B$27+(Inputs!$B$29+1),MAX(0,(Inputs!$B$3-100)*3)+Inputs!$B$28+(Inputs!$B$29+1))))</f>
        <v/>
      </c>
      <c r="E857">
        <f>INDEX(FactorTable!$B$2:$Y$301, MATCH(ROUND(MIN(300,MAX(1,D857)),0), FactorTable!$A$2:$A$301,0), Skills!M6+1)</f>
        <v/>
      </c>
      <c r="F857">
        <f>IF(Skills!N6=TRUE,(Skills!L6/10)*(E857/1000),Skills!L6/10)+Skills!O6</f>
        <v/>
      </c>
      <c r="G857">
        <f>Skills!G6*IF(Skills!H6&gt;0,Skills!I6/Skills!H6,1)</f>
        <v/>
      </c>
      <c r="H857">
        <f>1-(1-Skills!J6/100)^Skills!K6</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871=TRUE)*(F871-Calc!F20)),(Inputs!$B$23+0+(IF(ArtifactsInput!$M$15,CHOOSE(ArtifactsInput!$N$15+1,25,30,35,40,45,50)/100*(Inputs!$B$11-Inputs!$B$11),0))))/100+(Inputs!$B$23+0+(IF(ArtifactsInput!$M$15,CHOOSE(ArtifactsInput!$N$15+1,25,30,35,40,45,50)/100*(Inputs!$B$11-Inputs!$B$11),0)))/100)/2</f>
        <v/>
      </c>
      <c r="M857">
        <f>L857*(1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IF(B887=0,0,O857/B887)</f>
        <v/>
      </c>
      <c r="Q857">
        <f>IFERROR(1/(IF(Inputs!$B$38="pvp",15,MAX(0.1,Skills!D6-IF(Skills!E6=TRUE,Inputs!$B$32,0)))*(1-IF(AND(ArtifactsInput!$M$27,Inputs!$B$4="Chapter Hunt"),CHOOSE(ArtifactsInput!$N$27+1,20,24,28,32,36,40),0)/100)),0)</f>
        <v/>
      </c>
      <c r="R857">
        <f>IF(AND(Inputs!$B$38&lt;&gt;"pvp",Inputs!$B$43&gt;0),IF(MAX(0,Inputs!$B$43-B884)&lt;=0,0,(INT(MAX(0,Inputs!$B$43-B884)/(IF(Inputs!$B$38="pvp",15,MAX(0.1,Skills!D6-IF(Skills!E6=TRUE,Inputs!$B$32,0)))*(1-IF(AND(ArtifactsInput!$M$27,Inputs!$B$4="Chapter Hunt"),CHOOSE(ArtifactsInput!$N$27+1,20,24,28,32,36,40),0)/100)))+1)),0)</f>
        <v/>
      </c>
      <c r="S857">
        <f>IFERROR(O857/N857,0)</f>
        <v/>
      </c>
      <c r="T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$21+Skills!Q6+(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Skills!A7</f>
        <v/>
      </c>
      <c r="B858">
        <f>Skills!B7</f>
        <v/>
      </c>
      <c r="C858">
        <f>Inputs!$B$3&gt;=100</f>
        <v/>
      </c>
      <c r="D858">
        <f>IF(Skills!C7=1,60+Inputs!$B$25+(Inputs!$B$29+1),IF(Skills!C7=2,90+Inputs!$B$26+(Inputs!$B$29+1),IF(Skills!C7=3,120+Inputs!$B$27+(Inputs!$B$29+1),MAX(0,(Inputs!$B$3-100)*3)+Inputs!$B$28+(Inputs!$B$29+1))))</f>
        <v/>
      </c>
      <c r="E858">
        <f>INDEX(FactorTable!$B$2:$Y$301, MATCH(ROUND(MIN(300,MAX(1,D858)),0), FactorTable!$A$2:$A$301,0), Skills!M7+1)</f>
        <v/>
      </c>
      <c r="F858">
        <f>IF(Skills!N7=TRUE,(Skills!L7/10)*(E858/1000),Skills!L7/10)+Skills!O7</f>
        <v/>
      </c>
      <c r="G858">
        <f>Skills!G7*IF(Skills!H7&gt;0,Skills!I7/Skills!H7,1)</f>
        <v/>
      </c>
      <c r="H858">
        <f>1-(1-Skills!J7/100)^Skills!K7</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871=TRUE)*(F871-Calc!F20)),(Inputs!$B$23+0+(IF(ArtifactsInput!$M$15,CHOOSE(ArtifactsInput!$N$15+1,25,30,35,40,45,50)/100*(Inputs!$B$11-Inputs!$B$11),0))))/100+(Inputs!$B$23+0+(IF(ArtifactsInput!$M$15,CHOOSE(ArtifactsInput!$N$15+1,25,30,35,40,45,50)/100*(Inputs!$B$11-Inputs!$B$11),0)))/100)/2</f>
        <v/>
      </c>
      <c r="M858">
        <f>L858*(1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IF(B887=0,0,O858/B887)</f>
        <v/>
      </c>
      <c r="Q858">
        <f>IFERROR(1/(IF(Inputs!$B$38="pvp",15,MAX(0.1,Skills!D7-IF(Skills!E7=TRUE,Inputs!$B$32,0)))*(1-IF(AND(ArtifactsInput!$M$27,Inputs!$B$4="Chapter Hunt"),CHOOSE(ArtifactsInput!$N$27+1,20,24,28,32,36,40),0)/100)),0)</f>
        <v/>
      </c>
      <c r="R858">
        <f>IF(AND(Inputs!$B$38&lt;&gt;"pvp",Inputs!$B$43&gt;0),IF(MAX(0,Inputs!$B$43-B884)&lt;=0,0,(INT(MAX(0,Inputs!$B$43-B884)/(IF(Inputs!$B$38="pvp",15,MAX(0.1,Skills!D7-IF(Skills!E7=TRUE,Inputs!$B$32,0)))*(1-IF(AND(ArtifactsInput!$M$27,Inputs!$B$4="Chapter Hunt"),CHOOSE(ArtifactsInput!$N$27+1,20,24,28,32,36,40),0)/100)))+1)),0)</f>
        <v/>
      </c>
      <c r="S858">
        <f>IFERROR(O858/N858,0)</f>
        <v/>
      </c>
      <c r="T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$21+Skills!Q7+(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Skills!A8</f>
        <v/>
      </c>
      <c r="B859">
        <f>Skills!B8</f>
        <v/>
      </c>
      <c r="C859">
        <f>Inputs!$B$3&gt;=110</f>
        <v/>
      </c>
      <c r="D859">
        <f>IF(Skills!C8=1,60+Inputs!$B$25+(Inputs!$B$29+1),IF(Skills!C8=2,90+Inputs!$B$26+(Inputs!$B$29+1),IF(Skills!C8=3,120+Inputs!$B$27+(Inputs!$B$29+1),MAX(0,(Inputs!$B$3-100)*3)+Inputs!$B$28+(Inputs!$B$29+1))))</f>
        <v/>
      </c>
      <c r="E859">
        <f>INDEX(FactorTable!$B$2:$Y$301, MATCH(ROUND(MIN(300,MAX(1,D859)),0), FactorTable!$A$2:$A$301,0), Skills!M8+1)</f>
        <v/>
      </c>
      <c r="F859">
        <f>IF(Skills!N8=TRUE,(Skills!L8/10)*(E859/1000),Skills!L8/10)+Skills!O8</f>
        <v/>
      </c>
      <c r="G859">
        <f>Skills!G8*IF(Skills!H8&gt;0,Skills!I8/Skills!H8,1)</f>
        <v/>
      </c>
      <c r="H859">
        <f>1-(1-Skills!J8/100)^Skills!K8</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871=TRUE)*(F871-Calc!F20)),(Inputs!$B$23+0+(IF(ArtifactsInput!$M$15,CHOOSE(ArtifactsInput!$N$15+1,25,30,35,40,45,50)/100*(Inputs!$B$11-Inputs!$B$11),0))))/100+(Inputs!$B$23+0+(IF(ArtifactsInput!$M$15,CHOOSE(ArtifactsInput!$N$15+1,25,30,35,40,45,50)/100*(Inputs!$B$11-Inputs!$B$11),0)))/100)/2</f>
        <v/>
      </c>
      <c r="M859">
        <f>L859*(1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IF(B887=0,0,O859/B887)</f>
        <v/>
      </c>
      <c r="Q859">
        <f>IFERROR(1/(IF(Inputs!$B$38="pvp",15,MAX(0.1,Skills!D8-IF(Skills!E8=TRUE,Inputs!$B$32,0)))*(1-IF(AND(ArtifactsInput!$M$27,Inputs!$B$4="Chapter Hunt"),CHOOSE(ArtifactsInput!$N$27+1,20,24,28,32,36,40),0)/100)),0)</f>
        <v/>
      </c>
      <c r="R859">
        <f>IF(AND(Inputs!$B$38&lt;&gt;"pvp",Inputs!$B$43&gt;0),IF(MAX(0,Inputs!$B$43-B884)&lt;=0,0,(INT(MAX(0,Inputs!$B$43-B884)/(IF(Inputs!$B$38="pvp",15,MAX(0.1,Skills!D8-IF(Skills!E8=TRUE,Inputs!$B$32,0)))*(1-IF(AND(ArtifactsInput!$M$27,Inputs!$B$4="Chapter Hunt"),CHOOSE(ArtifactsInput!$N$27+1,20,24,28,32,36,40),0)/100)))+1)),0)</f>
        <v/>
      </c>
      <c r="S859">
        <f>IFERROR(O859/N859,0)</f>
        <v/>
      </c>
      <c r="T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$21+Skills!Q8+(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Skills!A9</f>
        <v/>
      </c>
      <c r="B860">
        <f>Skills!B9</f>
        <v/>
      </c>
      <c r="C860">
        <f>Inputs!$B$3&gt;=110</f>
        <v/>
      </c>
      <c r="D860">
        <f>IF(Skills!C9=1,60+Inputs!$B$25+(Inputs!$B$29+1),IF(Skills!C9=2,90+Inputs!$B$26+(Inputs!$B$29+1),IF(Skills!C9=3,120+Inputs!$B$27+(Inputs!$B$29+1),MAX(0,(Inputs!$B$3-100)*3)+Inputs!$B$28+(Inputs!$B$29+1))))</f>
        <v/>
      </c>
      <c r="E860">
        <f>INDEX(FactorTable!$B$2:$Y$301, MATCH(ROUND(MIN(300,MAX(1,D860)),0), FactorTable!$A$2:$A$301,0), Skills!M9+1)</f>
        <v/>
      </c>
      <c r="F860">
        <f>IF(Skills!N9=TRUE,(Skills!L9/10)*(E860/1000),Skills!L9/10)+Skills!O9</f>
        <v/>
      </c>
      <c r="G860">
        <f>Skills!G9*IF(Skills!H9&gt;0,Skills!I9/Skills!H9,1)</f>
        <v/>
      </c>
      <c r="H860">
        <f>1-(1-Skills!J9/100)^Skills!K9</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871=TRUE)*(F871-Calc!F20)),(Inputs!$B$23+0+(IF(ArtifactsInput!$M$15,CHOOSE(ArtifactsInput!$N$15+1,25,30,35,40,45,50)/100*(Inputs!$B$11-Inputs!$B$11),0))))/100+(Inputs!$B$23+0+(IF(ArtifactsInput!$M$15,CHOOSE(ArtifactsInput!$N$15+1,25,30,35,40,45,50)/100*(Inputs!$B$11-Inputs!$B$11),0)))/100)/2</f>
        <v/>
      </c>
      <c r="M860">
        <f>L860*(1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IF(B887=0,0,O860/B887)</f>
        <v/>
      </c>
      <c r="Q860">
        <f>IFERROR(1/(IF(Inputs!$B$38="pvp",15,MAX(0.1,Skills!D9-IF(Skills!E9=TRUE,Inputs!$B$32,0)))*(1-IF(AND(ArtifactsInput!$M$27,Inputs!$B$4="Chapter Hunt"),CHOOSE(ArtifactsInput!$N$27+1,20,24,28,32,36,40),0)/100)),0)</f>
        <v/>
      </c>
      <c r="R860">
        <f>IF(AND(Inputs!$B$38&lt;&gt;"pvp",Inputs!$B$43&gt;0),IF(MAX(0,Inputs!$B$43-B884)&lt;=0,0,(INT(MAX(0,Inputs!$B$43-B884)/(IF(Inputs!$B$38="pvp",15,MAX(0.1,Skills!D9-IF(Skills!E9=TRUE,Inputs!$B$32,0)))*(1-IF(AND(ArtifactsInput!$M$27,Inputs!$B$4="Chapter Hunt"),CHOOSE(ArtifactsInput!$N$27+1,20,24,28,32,36,40),0)/100)))+1)),0)</f>
        <v/>
      </c>
      <c r="S860">
        <f>IFERROR(O860/N860,0)</f>
        <v/>
      </c>
      <c r="T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$21+Skills!Q9+(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Skills!A10</f>
        <v/>
      </c>
      <c r="B861">
        <f>Skills!B10</f>
        <v/>
      </c>
      <c r="C861">
        <f>Inputs!$B$3&gt;=103</f>
        <v/>
      </c>
      <c r="D861">
        <f>IF(Skills!C10=1,60+Inputs!$B$25+(Inputs!$B$29+1),IF(Skills!C10=2,90+Inputs!$B$26+(Inputs!$B$29+1),IF(Skills!C10=3,120+Inputs!$B$27+(Inputs!$B$29+1),MAX(0,(Inputs!$B$3-100)*3)+Inputs!$B$28+(Inputs!$B$29+1))))</f>
        <v/>
      </c>
      <c r="E861">
        <f>INDEX(FactorTable!$B$2:$Y$301, MATCH(ROUND(MIN(300,MAX(1,D861)),0), FactorTable!$A$2:$A$301,0), Skills!M10+1)</f>
        <v/>
      </c>
      <c r="F861">
        <f>IF(Skills!N10=TRUE,(Skills!L10/10)*(E861/1000),Skills!L10/10)+Skills!O10</f>
        <v/>
      </c>
      <c r="G861">
        <f>Skills!G10*IF(Skills!H10&gt;0,Skills!I10/Skills!H10,1)</f>
        <v/>
      </c>
      <c r="H861">
        <f>1-(1-Skills!J10/100)^Skills!K10</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871=TRUE)*(F871-Calc!F20)),(Inputs!$B$23+0+(IF(ArtifactsInput!$M$15,CHOOSE(ArtifactsInput!$N$15+1,25,30,35,40,45,50)/100*(Inputs!$B$11-Inputs!$B$11),0))))/100+(Inputs!$B$23+0+(IF(ArtifactsInput!$M$15,CHOOSE(ArtifactsInput!$N$15+1,25,30,35,40,45,50)/100*(Inputs!$B$11-Inputs!$B$11),0)))/100)/2</f>
        <v/>
      </c>
      <c r="M861">
        <f>L861*(1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IF(B887=0,0,O861/B887)</f>
        <v/>
      </c>
      <c r="Q861">
        <f>IFERROR(1/(IF(Inputs!$B$38="pvp",15,MAX(0.1,Skills!D10-IF(Skills!E10=TRUE,Inputs!$B$32,0)))*(1-IF(AND(ArtifactsInput!$M$27,Inputs!$B$4="Chapter Hunt"),CHOOSE(ArtifactsInput!$N$27+1,20,24,28,32,36,40),0)/100)),0)</f>
        <v/>
      </c>
      <c r="R861">
        <f>IF(AND(Inputs!$B$38&lt;&gt;"pvp",Inputs!$B$43&gt;0),IF(MAX(0,Inputs!$B$43-B884)&lt;=0,0,(INT(MAX(0,Inputs!$B$43-B884)/(IF(Inputs!$B$38="pvp",15,MAX(0.1,Skills!D10-IF(Skills!E10=TRUE,Inputs!$B$32,0)))*(1-IF(AND(ArtifactsInput!$M$27,Inputs!$B$4="Chapter Hunt"),CHOOSE(ArtifactsInput!$N$27+1,20,24,28,32,36,40),0)/100)))+1)),0)</f>
        <v/>
      </c>
      <c r="S861">
        <f>IFERROR(O861/N861,0)</f>
        <v/>
      </c>
      <c r="T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$21+Skills!Q10+(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Skills!A11</f>
        <v/>
      </c>
      <c r="B862">
        <f>Skills!B11</f>
        <v/>
      </c>
      <c r="C862">
        <f>Inputs!$B$3&gt;=113</f>
        <v/>
      </c>
      <c r="D862">
        <f>IF(Skills!C11=1,60+Inputs!$B$25+(Inputs!$B$29+1),IF(Skills!C11=2,90+Inputs!$B$26+(Inputs!$B$29+1),IF(Skills!C11=3,120+Inputs!$B$27+(Inputs!$B$29+1),MAX(0,(Inputs!$B$3-100)*3)+Inputs!$B$28+(Inputs!$B$29+1))))</f>
        <v/>
      </c>
      <c r="E862">
        <f>INDEX(FactorTable!$B$2:$Y$301, MATCH(ROUND(MIN(300,MAX(1,D862)),0), FactorTable!$A$2:$A$301,0), Skills!M11+1)</f>
        <v/>
      </c>
      <c r="F862">
        <f>IF(Skills!N11=TRUE,(Skills!L11/10)*(E862/1000),Skills!L11/10)+Skills!O11</f>
        <v/>
      </c>
      <c r="G862">
        <f>Skills!G11*IF(Skills!H11&gt;0,Skills!I11/Skills!H11,1)</f>
        <v/>
      </c>
      <c r="H862">
        <f>1-(1-Skills!J11/100)^Skills!K11</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871=TRUE)*(F871-Calc!F20)),(Inputs!$B$23+0+(IF(ArtifactsInput!$M$15,CHOOSE(ArtifactsInput!$N$15+1,25,30,35,40,45,50)/100*(Inputs!$B$11-Inputs!$B$11),0))))/100+(Inputs!$B$23+0+(IF(ArtifactsInput!$M$15,CHOOSE(ArtifactsInput!$N$15+1,25,30,35,40,45,50)/100*(Inputs!$B$11-Inputs!$B$11),0)))/100)/2</f>
        <v/>
      </c>
      <c r="M862">
        <f>L862*(1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IF(B887=0,0,O862/B887)</f>
        <v/>
      </c>
      <c r="Q862">
        <f>IFERROR(1/(IF(Inputs!$B$38="pvp",15,MAX(0.1,Skills!D11-IF(Skills!E11=TRUE,Inputs!$B$32,0)))*(1-IF(AND(ArtifactsInput!$M$27,Inputs!$B$4="Chapter Hunt"),CHOOSE(ArtifactsInput!$N$27+1,20,24,28,32,36,40),0)/100)),0)</f>
        <v/>
      </c>
      <c r="R862">
        <f>IF(AND(Inputs!$B$38&lt;&gt;"pvp",Inputs!$B$43&gt;0),IF(MAX(0,Inputs!$B$43-B884)&lt;=0,0,(INT(MAX(0,Inputs!$B$43-B884)/(IF(Inputs!$B$38="pvp",15,MAX(0.1,Skills!D11-IF(Skills!E11=TRUE,Inputs!$B$32,0)))*(1-IF(AND(ArtifactsInput!$M$27,Inputs!$B$4="Chapter Hunt"),CHOOSE(ArtifactsInput!$N$27+1,20,24,28,32,36,40),0)/100)))+1)),0)</f>
        <v/>
      </c>
      <c r="S862">
        <f>IFERROR(O862/N862,0)</f>
        <v/>
      </c>
      <c r="T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$21+Skills!Q11+(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Skills!A12</f>
        <v/>
      </c>
      <c r="B863">
        <f>Skills!B12</f>
        <v/>
      </c>
      <c r="C863">
        <f>Inputs!$B$3&gt;=100</f>
        <v/>
      </c>
      <c r="D863">
        <f>IF(Skills!C12=1,60+Inputs!$B$25+(Inputs!$B$29+1),IF(Skills!C12=2,90+Inputs!$B$26+(Inputs!$B$29+1),IF(Skills!C12=3,120+Inputs!$B$27+(Inputs!$B$29+1),MAX(0,(Inputs!$B$3-100)*3)+Inputs!$B$28+(Inputs!$B$29+1))))</f>
        <v/>
      </c>
      <c r="E863">
        <f>INDEX(FactorTable!$B$2:$Y$301, MATCH(ROUND(MIN(300,MAX(1,D863)),0), FactorTable!$A$2:$A$301,0), Skills!M12+1)</f>
        <v/>
      </c>
      <c r="F863">
        <f>IF(Skills!N12=TRUE,(Skills!L12/10)*(E863/1000),Skills!L12/10)+Skills!O12</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Skills!A13</f>
        <v/>
      </c>
      <c r="B864">
        <f>Skills!B13</f>
        <v/>
      </c>
      <c r="C864">
        <f>Inputs!$B$3&gt;=66</f>
        <v/>
      </c>
      <c r="D864">
        <f>IF(Skills!C13=1,60+Inputs!$B$25+(Inputs!$B$29+1),IF(Skills!C13=2,90+Inputs!$B$26+(Inputs!$B$29+1),IF(Skills!C13=3,120+Inputs!$B$27+(Inputs!$B$29+1),MAX(0,(Inputs!$B$3-100)*3)+Inputs!$B$28+(Inputs!$B$29+1))))</f>
        <v/>
      </c>
      <c r="E864">
        <f>INDEX(FactorTable!$B$2:$Y$301, MATCH(ROUND(MIN(300,MAX(1,D864)),0), FactorTable!$A$2:$A$301,0), Skills!M13+1)</f>
        <v/>
      </c>
      <c r="F864">
        <f>IF(Skills!N13=TRUE,(Skills!L13/10)*(E864/1000),Skills!L13/10)+Skills!O13</f>
        <v/>
      </c>
      <c r="G864">
        <f>Skills!G13*IF(Skills!H13&gt;0,Skills!I13/Skills!H13,1)</f>
        <v/>
      </c>
      <c r="H864">
        <f>1-(1-Skills!J13/100)^Skills!K13</f>
        <v/>
      </c>
      <c r="I864" t="inlineStr">
        <is>
          <t>1</t>
        </is>
      </c>
      <c r="J864" t="inlineStr"/>
      <c r="K864" t="inlineStr"/>
      <c r="L864" t="inlineStr"/>
      <c r="M864" t="inlineStr"/>
      <c r="N864" t="inlineStr"/>
      <c r="O864">
        <f>(1-Summary!$B$11)*T864+Summary!$B$11*V864</f>
        <v/>
      </c>
      <c r="P864">
        <f>IF(B887=0,0,O864/B887)</f>
        <v/>
      </c>
      <c r="Q864" t="n">
        <v>0</v>
      </c>
      <c r="R864" t="n">
        <v>0</v>
      </c>
      <c r="S864">
        <f>IFERROR(O864/N864,0)</f>
        <v/>
      </c>
      <c r="T864" t="n">
        <v>0</v>
      </c>
      <c r="V864" t="n">
        <v>0</v>
      </c>
    </row>
    <row r="865">
      <c r="A865">
        <f>Skills!A14</f>
        <v/>
      </c>
      <c r="B865">
        <f>Skills!B14</f>
        <v/>
      </c>
      <c r="C865">
        <f>Inputs!$B$3&gt;=107</f>
        <v/>
      </c>
      <c r="D865">
        <f>IF(Skills!C14=1,60+Inputs!$B$25+(Inputs!$B$29+1),IF(Skills!C14=2,90+Inputs!$B$26+(Inputs!$B$29+1),IF(Skills!C14=3,120+Inputs!$B$27+(Inputs!$B$29+1),MAX(0,(Inputs!$B$3-100)*3)+Inputs!$B$28+(Inputs!$B$29+1))))</f>
        <v/>
      </c>
      <c r="E865">
        <f>INDEX(FactorTable!$B$2:$Y$301, MATCH(ROUND(MIN(300,MAX(1,D865)),0), FactorTable!$A$2:$A$301,0), Skills!M14+1)</f>
        <v/>
      </c>
      <c r="F865">
        <f>IF(Skills!N14=TRUE,(Skills!L14/10)*(E865/1000),Skills!L14/10)+Skills!O14</f>
        <v/>
      </c>
      <c r="G865">
        <f>Skills!G14*IF(Skills!H14&gt;0,Skills!I14/Skills!H14,1)</f>
        <v/>
      </c>
      <c r="H865">
        <f>1-(1-Skills!J14/100)^Skills!K14</f>
        <v/>
      </c>
      <c r="I865" t="inlineStr">
        <is>
          <t>1</t>
        </is>
      </c>
      <c r="J865" t="inlineStr"/>
      <c r="K865" t="inlineStr"/>
      <c r="L865" t="inlineStr"/>
      <c r="M865" t="inlineStr"/>
      <c r="N865" t="inlineStr"/>
      <c r="O865">
        <f>(1-Summary!$B$11)*T865+Summary!$B$11*V865</f>
        <v/>
      </c>
      <c r="P865">
        <f>IF(B887=0,0,O865/B887)</f>
        <v/>
      </c>
      <c r="Q865" t="n">
        <v>0</v>
      </c>
      <c r="R865" t="n">
        <v>0</v>
      </c>
      <c r="S865">
        <f>IFERROR(O865/N865,0)</f>
        <v/>
      </c>
      <c r="T865" t="n">
        <v>0</v>
      </c>
      <c r="V865" t="n">
        <v>0</v>
      </c>
    </row>
    <row r="866">
      <c r="A866">
        <f>Skills!A15</f>
        <v/>
      </c>
      <c r="B866">
        <f>Skills!B15</f>
        <v/>
      </c>
      <c r="C866">
        <f>Inputs!$B$3&gt;=115</f>
        <v/>
      </c>
      <c r="D866">
        <f>IF(Skills!C15=1,60+Inputs!$B$25+(Inputs!$B$29+1),IF(Skills!C15=2,90+Inputs!$B$26+(Inputs!$B$29+1),IF(Skills!C15=3,120+Inputs!$B$27+(Inputs!$B$29+1),MAX(0,(Inputs!$B$3-100)*3)+Inputs!$B$28+(Inputs!$B$29+1))))</f>
        <v/>
      </c>
      <c r="E866">
        <f>INDEX(FactorTable!$B$2:$Y$301, MATCH(ROUND(MIN(300,MAX(1,D866)),0), FactorTable!$A$2:$A$301,0), Skills!M15+1)</f>
        <v/>
      </c>
      <c r="F866">
        <f>IF(Skills!N15=TRUE,(Skills!L15/10)*(E866/1000),Skills!L15/10)+Skills!O15</f>
        <v/>
      </c>
      <c r="G866">
        <f>Skills!G15*IF(Skills!H15&gt;0,Skills!I15/Skills!H15,1)</f>
        <v/>
      </c>
      <c r="H866">
        <f>1-(1-Skills!J15/100)^Skills!K15</f>
        <v/>
      </c>
      <c r="I866" t="inlineStr">
        <is>
          <t>1</t>
        </is>
      </c>
      <c r="J866" t="inlineStr"/>
      <c r="K866" t="inlineStr"/>
      <c r="L866" t="inlineStr"/>
      <c r="M866" t="inlineStr"/>
      <c r="N866" t="inlineStr"/>
      <c r="O866">
        <f>(1-Summary!$B$11)*T866+Summary!$B$11*V866</f>
        <v/>
      </c>
      <c r="P866">
        <f>IF(B887=0,0,O866/B887)</f>
        <v/>
      </c>
      <c r="Q866" t="n">
        <v>0</v>
      </c>
      <c r="R866" t="n">
        <v>0</v>
      </c>
      <c r="S866">
        <f>IFERROR(O866/N866,0)</f>
        <v/>
      </c>
      <c r="T866" t="n">
        <v>0</v>
      </c>
      <c r="V866" t="n">
        <v>0</v>
      </c>
    </row>
    <row r="867">
      <c r="A867">
        <f>Skills!A16</f>
        <v/>
      </c>
      <c r="B867">
        <f>Skills!B16</f>
        <v/>
      </c>
      <c r="C867">
        <f>Inputs!$B$3&gt;=15</f>
        <v/>
      </c>
      <c r="D867">
        <f>IF(Skills!C16=1,60+Inputs!$B$25+(Inputs!$B$29+1),IF(Skills!C16=2,90+Inputs!$B$26+(Inputs!$B$29+1),IF(Skills!C16=3,120+Inputs!$B$27+(Inputs!$B$29+1),MAX(0,(Inputs!$B$3-100)*3)+Inputs!$B$28+(Inputs!$B$29+1))))</f>
        <v/>
      </c>
      <c r="E867">
        <f>INDEX(FactorTable!$B$2:$Y$301, MATCH(ROUND(MIN(300,MAX(1,D867)),0), FactorTable!$A$2:$A$301,0), Skills!M16+1)</f>
        <v/>
      </c>
      <c r="F867">
        <f>IF(Skills!N16=TRUE,(Skills!L16/10)*(E867/1000),Skills!L16/10)+Skills!O16</f>
        <v/>
      </c>
      <c r="G867">
        <f>Skills!G16*IF(Skills!H16&gt;0,Skills!I16/Skills!H16,1)</f>
        <v/>
      </c>
      <c r="H867">
        <f>1-(1-Skills!J16/100)^Skills!K16</f>
        <v/>
      </c>
      <c r="I867" t="inlineStr">
        <is>
          <t>1</t>
        </is>
      </c>
      <c r="J867" t="inlineStr"/>
      <c r="K867" t="inlineStr"/>
      <c r="L867" t="inlineStr"/>
      <c r="M867" t="inlineStr"/>
      <c r="N867" t="inlineStr"/>
      <c r="O867">
        <f>(1-Summary!$B$11)*T867+Summary!$B$11*V867</f>
        <v/>
      </c>
      <c r="P867">
        <f>IF(B887=0,0,O867/B887)</f>
        <v/>
      </c>
      <c r="Q867" t="n">
        <v>0</v>
      </c>
      <c r="R867" t="n">
        <v>0</v>
      </c>
      <c r="S867">
        <f>IFERROR(O867/N867,0)</f>
        <v/>
      </c>
      <c r="T867" t="n">
        <v>0</v>
      </c>
      <c r="V867" t="n">
        <v>0</v>
      </c>
    </row>
    <row r="868">
      <c r="A868">
        <f>Skills!A17</f>
        <v/>
      </c>
      <c r="B868">
        <f>Skills!B17</f>
        <v/>
      </c>
      <c r="C868">
        <f>Inputs!$B$3&gt;=10</f>
        <v/>
      </c>
      <c r="D868">
        <f>IF(Skills!C17=1,60+Inputs!$B$25+(Inputs!$B$29+1),IF(Skills!C17=2,90+Inputs!$B$26+(Inputs!$B$29+1),IF(Skills!C17=3,120+Inputs!$B$27+(Inputs!$B$29+1),MAX(0,(Inputs!$B$3-100)*3)+Inputs!$B$28+(Inputs!$B$29+1))))</f>
        <v/>
      </c>
      <c r="E868">
        <f>INDEX(FactorTable!$B$2:$Y$301, MATCH(ROUND(MIN(300,MAX(1,D868)),0), FactorTable!$A$2:$A$301,0), Skills!M17+1)</f>
        <v/>
      </c>
      <c r="F868">
        <f>IF(Skills!N17=TRUE,(Skills!L17/10)*(E868/1000),Skills!L17/10)+Skills!O17</f>
        <v/>
      </c>
      <c r="G868">
        <f>Skills!G17*IF(Skills!H17&gt;0,Skills!I17/Skills!H17,1)</f>
        <v/>
      </c>
      <c r="H868">
        <f>1-(1-Skills!J17/100)^Skills!K17</f>
        <v/>
      </c>
      <c r="I868" t="inlineStr">
        <is>
          <t>1</t>
        </is>
      </c>
      <c r="J868" t="inlineStr"/>
      <c r="K868" t="inlineStr"/>
      <c r="L868" t="inlineStr"/>
      <c r="M868" t="inlineStr"/>
      <c r="N868" t="inlineStr"/>
      <c r="O868">
        <f>(1-Summary!$B$11)*T868+Summary!$B$11*V868</f>
        <v/>
      </c>
      <c r="P868">
        <f>IF(B887=0,0,O868/B887)</f>
        <v/>
      </c>
      <c r="Q868" t="n">
        <v>0</v>
      </c>
      <c r="R868" t="n">
        <v>0</v>
      </c>
      <c r="S868">
        <f>IFERROR(O868/N868,0)</f>
        <v/>
      </c>
      <c r="T868" t="n">
        <v>0</v>
      </c>
      <c r="V868" t="n">
        <v>0</v>
      </c>
    </row>
    <row r="869">
      <c r="A869">
        <f>Skills!A18</f>
        <v/>
      </c>
      <c r="B869">
        <f>Skills!B18</f>
        <v/>
      </c>
      <c r="C869">
        <f>Inputs!$B$3&gt;=33</f>
        <v/>
      </c>
      <c r="D869">
        <f>IF(Skills!C18=1,60+Inputs!$B$25+(Inputs!$B$29+1),IF(Skills!C18=2,90+Inputs!$B$26+(Inputs!$B$29+1),IF(Skills!C18=3,120+Inputs!$B$27+(Inputs!$B$29+1),MAX(0,(Inputs!$B$3-100)*3)+Inputs!$B$28+(Inputs!$B$29+1))))</f>
        <v/>
      </c>
      <c r="E869">
        <f>INDEX(FactorTable!$B$2:$Y$301, MATCH(ROUND(MIN(300,MAX(1,D869)),0), FactorTable!$A$2:$A$301,0), Skills!M18+1)</f>
        <v/>
      </c>
      <c r="F869">
        <f>IF(Skills!N18=TRUE,(Skills!L18/10)*(E869/1000),Skills!L18/10)+Skills!O18</f>
        <v/>
      </c>
      <c r="G869">
        <f>Skills!G18*IF(Skills!H18&gt;0,Skills!I18/Skills!H18,1)</f>
        <v/>
      </c>
      <c r="H869">
        <f>1-(1-Skills!J18/100)^Skills!K18</f>
        <v/>
      </c>
      <c r="I869" t="inlineStr">
        <is>
          <t>1</t>
        </is>
      </c>
      <c r="J869" t="inlineStr"/>
      <c r="K869" t="inlineStr"/>
      <c r="L869" t="inlineStr"/>
      <c r="M869" t="inlineStr"/>
      <c r="N869" t="inlineStr"/>
      <c r="O869">
        <f>(1-Summary!$B$11)*T869+Summary!$B$11*V869</f>
        <v/>
      </c>
      <c r="P869">
        <f>IF(B887=0,0,O869/B887)</f>
        <v/>
      </c>
      <c r="Q869" t="n">
        <v>0</v>
      </c>
      <c r="R869" t="n">
        <v>0</v>
      </c>
      <c r="S869">
        <f>IFERROR(O869/N869,0)</f>
        <v/>
      </c>
      <c r="T869" t="n">
        <v>0</v>
      </c>
      <c r="V869" t="n">
        <v>0</v>
      </c>
    </row>
    <row r="870">
      <c r="A870">
        <f>Skills!A19</f>
        <v/>
      </c>
      <c r="B870">
        <f>Skills!B19</f>
        <v/>
      </c>
      <c r="C870">
        <f>Inputs!$B$3&gt;=40</f>
        <v/>
      </c>
      <c r="D870">
        <f>IF(Skills!C19=1,60+Inputs!$B$25+(Inputs!$B$29+1),IF(Skills!C19=2,90+Inputs!$B$26+(Inputs!$B$29+1),IF(Skills!C19=3,120+Inputs!$B$27+(Inputs!$B$29+1),MAX(0,(Inputs!$B$3-100)*3)+Inputs!$B$28+(Inputs!$B$29+1))))</f>
        <v/>
      </c>
      <c r="E870">
        <f>INDEX(FactorTable!$B$2:$Y$301, MATCH(ROUND(MIN(300,MAX(1,D870)),0), FactorTable!$A$2:$A$301,0), Skills!M19+1)</f>
        <v/>
      </c>
      <c r="F870">
        <f>IF(Skills!N19=TRUE,(Skills!L19/10)*(E870/1000),Skills!L19/10)+Skills!O19</f>
        <v/>
      </c>
      <c r="G870">
        <f>Skills!G19*IF(Skills!H19&gt;0,Skills!I19/Skills!H19,1)</f>
        <v/>
      </c>
      <c r="H870">
        <f>1-(1-Skills!J19/100)^Skills!K19</f>
        <v/>
      </c>
      <c r="I870" t="inlineStr">
        <is>
          <t>1</t>
        </is>
      </c>
      <c r="J870" t="inlineStr"/>
      <c r="K870" t="inlineStr"/>
      <c r="L870" t="inlineStr"/>
      <c r="M870" t="inlineStr"/>
      <c r="N870" t="inlineStr"/>
      <c r="O870">
        <f>(1-Summary!$B$11)*T870+Summary!$B$11*V870</f>
        <v/>
      </c>
      <c r="P870">
        <f>IF(B887=0,0,O870/B887)</f>
        <v/>
      </c>
      <c r="Q870" t="n">
        <v>0</v>
      </c>
      <c r="R870" t="n">
        <v>0</v>
      </c>
      <c r="S870">
        <f>IFERROR(O870/N870,0)</f>
        <v/>
      </c>
      <c r="T870" t="n">
        <v>0</v>
      </c>
      <c r="V870" t="n">
        <v>0</v>
      </c>
    </row>
    <row r="871">
      <c r="A871">
        <f>Skills!A20</f>
        <v/>
      </c>
      <c r="B871">
        <f>Skills!B20</f>
        <v/>
      </c>
      <c r="C871">
        <f>Inputs!$B$3&gt;=43</f>
        <v/>
      </c>
      <c r="D871">
        <f>IF(Skills!C20=1,60+Inputs!$B$25+(Inputs!$B$29+1),IF(Skills!C20=2,90+Inputs!$B$26+(Inputs!$B$29+1),IF(Skills!C20=3,120+Inputs!$B$27+(Inputs!$B$29+1),MAX(0,(Inputs!$B$3-100)*3)+Inputs!$B$28+(Inputs!$B$29+1))))</f>
        <v/>
      </c>
      <c r="E871">
        <f>INDEX(FactorTable!$B$2:$Y$301, MATCH(ROUND(MIN(300,MAX(1,D871)),0), FactorTable!$A$2:$A$301,0), Skills!M20+1)</f>
        <v/>
      </c>
      <c r="F871">
        <f>IF(Skills!N20=TRUE,(Skills!L20/10)*(E871/1000),Skills!L20/10)+Skills!O20</f>
        <v/>
      </c>
      <c r="G871">
        <f>Skills!G20*IF(Skills!H20&gt;0,Skills!I20/Skills!H20,1)</f>
        <v/>
      </c>
      <c r="H871">
        <f>1-(1-Skills!J20/100)^Skills!K20</f>
        <v/>
      </c>
      <c r="I871" t="inlineStr">
        <is>
          <t>1</t>
        </is>
      </c>
      <c r="J871" t="inlineStr"/>
      <c r="K871" t="inlineStr"/>
      <c r="L871" t="inlineStr"/>
      <c r="M871" t="inlineStr"/>
      <c r="N871" t="inlineStr"/>
      <c r="O871">
        <f>(1-Summary!$B$11)*T871+Summary!$B$11*V871</f>
        <v/>
      </c>
      <c r="P871">
        <f>IF(B887=0,0,O871/B887)</f>
        <v/>
      </c>
      <c r="Q871" t="n">
        <v>0</v>
      </c>
      <c r="R871" t="n">
        <v>0</v>
      </c>
      <c r="S871">
        <f>IFERROR(O871/N871,0)</f>
        <v/>
      </c>
      <c r="T871" t="n">
        <v>0</v>
      </c>
      <c r="V871" t="n">
        <v>0</v>
      </c>
    </row>
    <row r="872">
      <c r="A872">
        <f>Skills!A21</f>
        <v/>
      </c>
      <c r="B872">
        <f>Skills!B21</f>
        <v/>
      </c>
      <c r="C872">
        <f>Inputs!$B$3&gt;=38</f>
        <v/>
      </c>
      <c r="D872">
        <f>IF(Skills!C21=1,60+Inputs!$B$25+(Inputs!$B$29+1),IF(Skills!C21=2,90+Inputs!$B$26+(Inputs!$B$29+1),IF(Skills!C21=3,120+Inputs!$B$27+(Inputs!$B$29+1),MAX(0,(Inputs!$B$3-100)*3)+Inputs!$B$28+(Inputs!$B$29+1))))</f>
        <v/>
      </c>
      <c r="E872">
        <f>INDEX(FactorTable!$B$2:$Y$301, MATCH(ROUND(MIN(300,MAX(1,D872)),0), FactorTable!$A$2:$A$301,0), Skills!M21+1)</f>
        <v/>
      </c>
      <c r="F872">
        <f>IF(Skills!N21=TRUE,(Skills!L21/10)*(E872/1000),Skills!L21/10)+Skills!O21</f>
        <v/>
      </c>
      <c r="G872">
        <f>Skills!G21*IF(Skills!H21&gt;0,Skills!I21/Skills!H21,1)</f>
        <v/>
      </c>
      <c r="H872">
        <f>1-(1-Skills!J21/100)^Skills!K21</f>
        <v/>
      </c>
      <c r="I872" t="inlineStr">
        <is>
          <t>1</t>
        </is>
      </c>
      <c r="J872" t="inlineStr"/>
      <c r="K872" t="inlineStr"/>
      <c r="L872" t="inlineStr"/>
      <c r="M872" t="inlineStr"/>
      <c r="N872" t="inlineStr"/>
      <c r="O872">
        <f>(1-Summary!$B$11)*T872+Summary!$B$11*V872</f>
        <v/>
      </c>
      <c r="P872">
        <f>IF(B887=0,0,O872/B887)</f>
        <v/>
      </c>
      <c r="Q872" t="n">
        <v>0</v>
      </c>
      <c r="R872" t="n">
        <v>0</v>
      </c>
      <c r="S872">
        <f>IFERROR(O872/N872,0)</f>
        <v/>
      </c>
      <c r="T872" t="n">
        <v>0</v>
      </c>
      <c r="V872" t="n">
        <v>0</v>
      </c>
    </row>
    <row r="873">
      <c r="A873">
        <f>Skills!A22</f>
        <v/>
      </c>
      <c r="B873">
        <f>Skills!B22</f>
        <v/>
      </c>
      <c r="C873">
        <f>Inputs!$B$3&gt;=75</f>
        <v/>
      </c>
      <c r="D873">
        <f>IF(Skills!C22=1,60+Inputs!$B$25+(Inputs!$B$29+1),IF(Skills!C22=2,90+Inputs!$B$26+(Inputs!$B$29+1),IF(Skills!C22=3,120+Inputs!$B$27+(Inputs!$B$29+1),MAX(0,(Inputs!$B$3-100)*3)+Inputs!$B$28+(Inputs!$B$29+1))))</f>
        <v/>
      </c>
      <c r="E873">
        <f>INDEX(FactorTable!$B$2:$Y$301, MATCH(ROUND(MIN(300,MAX(1,D873)),0), FactorTable!$A$2:$A$301,0), Skills!M22+1)</f>
        <v/>
      </c>
      <c r="F873">
        <f>IF(Skills!N22=TRUE,(Skills!L22/10)*(E873/1000),Skills!L22/10)+Skills!O22</f>
        <v/>
      </c>
      <c r="G873">
        <f>Skills!G22*IF(Skills!H22&gt;0,Skills!I22/Skills!H22,1)</f>
        <v/>
      </c>
      <c r="H873">
        <f>1-(1-Skills!J22/100)^Skills!K22</f>
        <v/>
      </c>
      <c r="I873" t="inlineStr">
        <is>
          <t>1</t>
        </is>
      </c>
      <c r="J873" t="inlineStr"/>
      <c r="K873" t="inlineStr"/>
      <c r="L873" t="inlineStr"/>
      <c r="M873" t="inlineStr"/>
      <c r="N873" t="inlineStr"/>
      <c r="O873">
        <f>(1-Summary!$B$11)*T873+Summary!$B$11*V873</f>
        <v/>
      </c>
      <c r="P873">
        <f>IF(B887=0,0,O873/B887)</f>
        <v/>
      </c>
      <c r="Q873" t="n">
        <v>0</v>
      </c>
      <c r="R873" t="n">
        <v>0</v>
      </c>
      <c r="S873">
        <f>IFERROR(O873/N873,0)</f>
        <v/>
      </c>
      <c r="T873" t="n">
        <v>0</v>
      </c>
      <c r="V873" t="n">
        <v>0</v>
      </c>
    </row>
    <row r="874">
      <c r="A874">
        <f>Skills!A23</f>
        <v/>
      </c>
      <c r="B874">
        <f>Skills!B23</f>
        <v/>
      </c>
      <c r="C874">
        <f>TRUE</f>
        <v/>
      </c>
      <c r="D874">
        <f>IF(Skills!C23=1,60+Inputs!$B$25+(Inputs!$B$29+1),IF(Skills!C23=2,90+Inputs!$B$26+(Inputs!$B$29+1),IF(Skills!C23=3,120+Inputs!$B$27+(Inputs!$B$29+1),MAX(0,(Inputs!$B$3-100)*3)+Inputs!$B$28+(Inputs!$B$29+1))))</f>
        <v/>
      </c>
      <c r="E874">
        <f>INDEX(FactorTable!$B$2:$Y$301, MATCH(ROUND(MIN(300,MAX(1,D874)),0), FactorTable!$A$2:$A$301,0), Skills!M23+1)</f>
        <v/>
      </c>
      <c r="F874">
        <f>IF(Skills!N23=TRUE,(Skills!L23/10)*(E874/1000),Skills!L23/10)+Skills!O23</f>
        <v/>
      </c>
      <c r="G874">
        <f>Skills!G23*IF(Skills!H23&gt;0,Skills!I23/Skills!H23,1)</f>
        <v/>
      </c>
      <c r="H874">
        <f>1-(1-Skills!J23/100)^Skills!K23</f>
        <v/>
      </c>
      <c r="I874" t="inlineStr">
        <is>
          <t>1</t>
        </is>
      </c>
      <c r="J874" t="inlineStr"/>
      <c r="K874" t="inlineStr"/>
      <c r="L874" t="inlineStr"/>
      <c r="M874" t="inlineStr"/>
      <c r="N874" t="inlineStr"/>
      <c r="O874">
        <f>(1-Summary!$B$11)*T874+Summary!$B$11*V874</f>
        <v/>
      </c>
      <c r="P874">
        <f>IF(B887=0,0,O874/B887)</f>
        <v/>
      </c>
      <c r="Q874">
        <f>IFERROR(1/(IF(Inputs!$B$38="pvp",15,MAX(0.1,Skills!D23-IF(Skills!E23=TRUE,Inputs!$B$32,0)))*(1-IF(AND(ArtifactsInput!$M$27,Inputs!$B$4="Chapter Hunt"),CHOOSE(ArtifactsInput!$N$27+1,20,24,28,32,36,40),0)/100)),0)</f>
        <v/>
      </c>
      <c r="R874">
        <f>IF(AND(Inputs!$B$38&lt;&gt;"pvp",Inputs!$B$43&gt;0),IF(Inputs!$B$43&lt;=0,0,(INT(Inputs!$B$43/(IF(Inputs!$B$38="pvp",15,MAX(0.1,Skills!D23-IF(Skills!E23=TRUE,Inputs!$B$32,0)))*(1-IF(AND(ArtifactsInput!$M$27,Inputs!$B$4="Chapter Hunt"),CHOOSE(ArtifactsInput!$N$27+1,20,24,28,32,36,40),0)/100)))+1)),0)</f>
        <v/>
      </c>
      <c r="S874">
        <f>IFERROR(O874/N874,0)</f>
        <v/>
      </c>
      <c r="T874" t="n">
        <v>0</v>
      </c>
      <c r="V874" t="n">
        <v>0</v>
      </c>
    </row>
    <row r="876">
      <c r="A876" t="inlineStr">
        <is>
          <t>Attack% Bucket Multiplier</t>
        </is>
      </c>
      <c r="B876">
        <f>(1+(((C864=TRUE)*F864*5/7)+((C870=TRUE)*(F870-Calc!F19))+(IF(ArtifactsInput!$M$21,CHOOSE(ArtifactsInput!$N$21+1,25,30,35,40,45,50)*(IF(OR(Inputs!$B$4="Chapter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7">
      <c r="A877" t="inlineStr">
        <is>
          <t>Global Crit Rate Bonus %</t>
        </is>
      </c>
      <c r="B877" t="n">
        <v>0</v>
      </c>
    </row>
    <row r="878">
      <c r="A878" t="inlineStr">
        <is>
          <t>Attack Speed Buff Bonus % (Nimble Feet, duty-cycle averaged)</t>
        </is>
      </c>
      <c r="B878">
        <f>((C874=TRUE)*F874*IF(AND(Inputs!$B$38&lt;&gt;"pvp",Inputs!$B$43&gt;0),(((R874-1)*(Skills!T23*(1+Inputs!$B$34/100))+MIN((Skills!T23*(1+Inputs!$B$34/100)),MAX(0,Inputs!$B$43-((R874-1)*Skills!D23))))/Inputs!$B$43),IF(Inputs!$B$38="pvp",MIN((Skills!T23*(1+Inputs!$B$34/100)),15)/15,(Skills!T23*(1+Inputs!$B$34/100))/Skills!D23)))</f>
        <v/>
      </c>
    </row>
    <row r="879">
      <c r="A879" t="inlineStr">
        <is>
          <t>Actions Per Second</t>
        </is>
      </c>
      <c r="B879">
        <f>1+MIN(150,150*(1-(1-(Inputs!$B$11+((C868=TRUE)*(F868-Calc!F17))+((C869=TRUE)*(F869-Calc!F18)))/150)*(1-B878/150)))/100</f>
        <v/>
      </c>
    </row>
    <row r="880">
      <c r="A880" t="inlineStr">
        <is>
          <t>Skill + Buff Cast Rate</t>
        </is>
      </c>
      <c r="B880">
        <f>IF(AND(Inputs!$B$38&lt;&gt;"pvp",Inputs!$B$43&gt;0),SUMPRODUCT((Skills!E2:E23=TRUE)*(C853:C874=TRUE)*R853:R874*Skills!F2:F23)/Inputs!$B$43,SUMPRODUCT((Skills!E2:E23=TRUE)*(C853:C874=TRUE)*Q853:Q874*Skills!F2:F23))</f>
        <v/>
      </c>
    </row>
    <row r="881">
      <c r="A881" t="inlineStr">
        <is>
          <t>Hook Bomber Casts Per Second</t>
        </is>
      </c>
      <c r="B881">
        <f>MAX(0,B879-B880)</f>
        <v/>
      </c>
    </row>
    <row r="882">
      <c r="A882" t="inlineStr">
        <is>
          <t>Global Critical Damage Bonus % (unused)</t>
        </is>
      </c>
      <c r="B882" t="n">
        <v>0</v>
      </c>
    </row>
    <row r="883">
      <c r="A883" t="inlineStr">
        <is>
          <t>Global Final Damage Bonus % (Serpent Scale + Crossbones + Time Leap + Speed Infusion)</t>
        </is>
      </c>
      <c r="B883">
        <f>((C856=TRUE)*F856*((10+IF(Inputs!$B$3&gt;=94,5,0))/((10+IF(Inputs!$B$3&gt;=94,5,0))+5/(B881*(1+IF(Inputs!$B$3&gt;=104,1,0))))))+((C865=TRUE)*F865)+((C866=TRUE)*F866)+((Inputs!$B$3&gt;=110)*20*(B879-1))</f>
        <v/>
      </c>
    </row>
    <row r="884">
      <c r="A884" t="inlineStr">
        <is>
          <t>Buff-Casting Startup Delay (s, fixed-duration only)</t>
        </is>
      </c>
      <c r="B884">
        <f>IF(AND(Inputs!$B$38&lt;&gt;"pvp",Inputs!$B$43&gt;0),SUMPRODUCT((Skills!T2:T23&gt;0)*(Skills!E2:E23=TRUE)*(C853:C874=TRUE))/B879,0)</f>
        <v/>
      </c>
    </row>
    <row r="885">
      <c r="A885" t="inlineStr">
        <is>
          <t>Boss-Only Total DPS (this block's swept value)</t>
        </is>
      </c>
      <c r="B885">
        <f>SUM(T853:T874)</f>
        <v/>
      </c>
    </row>
    <row r="886">
      <c r="A886" t="inlineStr">
        <is>
          <t>Normal-Only Total DPS (this block's swept value)</t>
        </is>
      </c>
      <c r="B886">
        <f>SUM(V853:V874)</f>
        <v/>
      </c>
    </row>
    <row r="887">
      <c r="A887" s="6" t="inlineStr">
        <is>
          <t>TOTAL DPS</t>
        </is>
      </c>
      <c r="B887" s="6">
        <f>SUM(O853:O874)</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Q891" s="5" t="inlineStr">
        <is>
          <t>InvCooldown</t>
        </is>
      </c>
      <c r="R891" s="5" t="inlineStr">
        <is>
          <t>CastsInFight</t>
        </is>
      </c>
      <c r="S891" s="5" t="inlineStr">
        <is>
          <t>HitRate(perSec)</t>
        </is>
      </c>
      <c r="U891" t="inlineStr">
        <is>
          <t>helpers</t>
        </is>
      </c>
    </row>
    <row r="892">
      <c r="A892">
        <f>Skills!A2</f>
        <v/>
      </c>
      <c r="B892">
        <f>Skills!B2</f>
        <v/>
      </c>
      <c r="C892">
        <f>Inputs!$B$3&gt;=100</f>
        <v/>
      </c>
      <c r="D892" t="inlineStr"/>
      <c r="E892" t="inlineStr"/>
      <c r="F892">
        <f>U894+Skills!O2</f>
        <v/>
      </c>
      <c r="G892">
        <f>Skills!G2*IF(Skills!H2&gt;0,Skills!I2/Skills!H2,1)</f>
        <v/>
      </c>
      <c r="H892">
        <f>1-(1-Skills!J2/100)^Skills!K2</f>
        <v/>
      </c>
      <c r="I892" t="inlineStr">
        <is>
          <t>1</t>
        </is>
      </c>
      <c r="J892">
        <f>(((Inputs!$B$6+1)*(1+Inputs!$B$7/100))+(((Inputs!$B$12*(1+Inputs!$B$13/100))-(Inputs!$B$12*(1+Inputs!$B$13/100)))+0.25*(Inputs!$B$14-Inputs!$B$14))*(1+Inputs!$B$7/100))*(F892/100)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20)),(Inputs!$B$23+0+(IF(ArtifactsInput!$M$15,CHOOSE(ArtifactsInput!$N$15+1,25,30,35,40,45,50)/100*(Inputs!$B$11-Inputs!$B$11),0))))/100+(Inputs!$B$23+0+(IF(ArtifactsInput!$M$15,CHOOSE(ArtifactsInput!$N$15+1,25,30,35,40,45,50)/100*(Inputs!$B$11-Inputs!$B$11),0)))/100)/2</f>
        <v/>
      </c>
      <c r="M892">
        <f>L892*(1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IF(B926=0,0,O892/B926)</f>
        <v/>
      </c>
      <c r="Q892" t="n">
        <v>0</v>
      </c>
      <c r="R892" t="n">
        <v>0</v>
      </c>
      <c r="S892">
        <f>IFERROR(O892/N892,0)</f>
        <v/>
      </c>
      <c r="T892">
        <f>IF(C892,(Skills!G2*N892*B920)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MAX(0,(Inputs!$B$3-100)*3)+Inputs!$B$28+Inputs!$B$29</f>
        <v/>
      </c>
      <c r="V892">
        <f>IF(C892,(Skills!G2*N892*B920)*IF(Inputs!$B$38="pvp",1,(1+(Inputs!$B$21+Skills!Q2+(IF(ArtifactsInput!$M$33,CHOOSE(ArtifactsInput!$N$33+1,30,36,42,48,54,60),0))+(IF(AND(ArtifactsInput!$M$35,Inputs!$B$4&lt;&gt;"Chapter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Skills!A3</f>
        <v/>
      </c>
      <c r="B893">
        <f>Skills!B3</f>
        <v/>
      </c>
      <c r="C893">
        <f>Inputs!$B$3&gt;=35</f>
        <v/>
      </c>
      <c r="D893">
        <f>IF(Skills!C3=1,60+Inputs!$B$25+Inputs!$B$29,IF(Skills!C3=2,90+Inputs!$B$26+Inputs!$B$29,IF(Skills!C3=3,120+Inputs!$B$27+Inputs!$B$29,MAX(0,(Inputs!$B$3-100)*3)+Inputs!$B$28+Inputs!$B$29)))</f>
        <v/>
      </c>
      <c r="E893">
        <f>INDEX(FactorTable!$B$2:$Y$301, MATCH(ROUND(MIN(300,MAX(1,D893)),0), FactorTable!$A$2:$A$301,0), Skills!M3+1)</f>
        <v/>
      </c>
      <c r="F893">
        <f>IF(Skills!N3=TRUE,(Skills!L3/10)*(E893/1000),Skills!L3/10)+Skills!O3</f>
        <v/>
      </c>
      <c r="G893">
        <f>Skills!G3*IF(Skills!H3&gt;0,Skills!I3/Skills!H3,1)</f>
        <v/>
      </c>
      <c r="H893">
        <f>1-(1-Skills!J3/100)^Skills!K3</f>
        <v/>
      </c>
      <c r="I893" t="inlineStr">
        <is>
          <t>1</t>
        </is>
      </c>
      <c r="J893">
        <f>(((Inputs!$B$6+1)*(1+Inputs!$B$7/100))+(((Inputs!$B$12*(1+Inputs!$B$13/100))-(Inputs!$B$12*(1+Inputs!$B$13/100)))+0.25*(Inputs!$B$14-Inputs!$B$14))*(1+Inputs!$B$7/100))*(F893/100)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20)),(Inputs!$B$23+0+(IF(ArtifactsInput!$M$15,CHOOSE(ArtifactsInput!$N$15+1,25,30,35,40,45,50)/100*(Inputs!$B$11-Inputs!$B$11),0))))/100+(Inputs!$B$23+0+(IF(ArtifactsInput!$M$15,CHOOSE(ArtifactsInput!$N$15+1,25,30,35,40,45,50)/100*(Inputs!$B$11-Inputs!$B$11),0)))/100)/2</f>
        <v/>
      </c>
      <c r="M893">
        <f>L893*(1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IF(B926=0,0,O893/B926)</f>
        <v/>
      </c>
      <c r="Q893" t="n">
        <v>0</v>
      </c>
      <c r="R893" t="n">
        <v>0</v>
      </c>
      <c r="S893">
        <f>IFERROR(O893/N893,0)</f>
        <v/>
      </c>
      <c r="T893">
        <f>IF(C893,(Skills!G3*H893*N893*B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3">
        <f>INDEX(FactorTable!$B$2:$Y$301, MATCH(ROUND(MIN(300,MAX(1,U892)),0), FactorTable!$A$2:$A$301,0), 22)</f>
        <v/>
      </c>
      <c r="V893">
        <f>IF(C893,(Skills!G3*H893*N893*B920)*IF(Inputs!$B$38="pvp",1,(1+(Inputs!$B$21+Skills!Q3+(IF(ArtifactsInput!$M$33,CHOOSE(ArtifactsInput!$N$33+1,30,36,42,48,54,60),0))+(IF(AND(ArtifactsInput!$M$35,Inputs!$B$4&lt;&gt;"Chapter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Skills!A4</f>
        <v/>
      </c>
      <c r="B894">
        <f>Skills!B4</f>
        <v/>
      </c>
      <c r="C894">
        <f>Inputs!$B$3&gt;=60</f>
        <v/>
      </c>
      <c r="D894">
        <f>IF(Skills!C4=1,60+Inputs!$B$25+Inputs!$B$29,IF(Skills!C4=2,90+Inputs!$B$26+Inputs!$B$29,IF(Skills!C4=3,120+Inputs!$B$27+Inputs!$B$29,MAX(0,(Inputs!$B$3-100)*3)+Inputs!$B$28+Inputs!$B$29)))</f>
        <v/>
      </c>
      <c r="E894">
        <f>INDEX(FactorTable!$B$2:$Y$301, MATCH(ROUND(MIN(300,MAX(1,D894)),0), FactorTable!$A$2:$A$301,0), Skills!M4+1)</f>
        <v/>
      </c>
      <c r="F894">
        <f>IF(Skills!N4=TRUE,(Skills!L4/10)*(E894/1000),Skills!L4/10)+Skills!O4</f>
        <v/>
      </c>
      <c r="G894">
        <f>Skills!G4*IF(Skills!H4&gt;0,Skills!I4/Skills!H4,1)</f>
        <v/>
      </c>
      <c r="H894">
        <f>1-(1-Skills!J4/100)^Skills!K4</f>
        <v/>
      </c>
      <c r="I894" t="inlineStr">
        <is>
          <t>1</t>
        </is>
      </c>
      <c r="J894">
        <f>(((Inputs!$B$6+1)*(1+Inputs!$B$7/100))+(((Inputs!$B$12*(1+Inputs!$B$13/100))-(Inputs!$B$12*(1+Inputs!$B$13/100)))+0.25*(Inputs!$B$14-Inputs!$B$14))*(1+Inputs!$B$7/100))*(F894/100)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902=TRUE,F902,0)/100)*(1+(IF(Skills!A4="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20)),(Inputs!$B$23+0+(IF(ArtifactsInput!$M$15,CHOOSE(ArtifactsInput!$N$15+1,25,30,35,40,45,50)/100*(Inputs!$B$11-Inputs!$B$11),0))))/100+(Inputs!$B$23+0+(IF(ArtifactsInput!$M$15,CHOOSE(ArtifactsInput!$N$15+1,25,30,35,40,45,50)/100*(Inputs!$B$11-Inputs!$B$11),0)))/100)/2</f>
        <v/>
      </c>
      <c r="M894">
        <f>L894*(1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IF(B926=0,0,O894/B926)</f>
        <v/>
      </c>
      <c r="Q894" t="n">
        <v>0</v>
      </c>
      <c r="R894" t="n">
        <v>0</v>
      </c>
      <c r="S894">
        <f>IFERROR(O894/N894,0)</f>
        <v/>
      </c>
      <c r="T894">
        <f>IF(C894,(Skills!G4*H894*N894*B920)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290*U893/1000</f>
        <v/>
      </c>
      <c r="V894">
        <f>IF(C894,(Skills!G4*H894*N894*B920)*IF(Inputs!$B$38="pvp",1,(1+(Inputs!$B$21+Skills!Q4+(IF(ArtifactsInput!$M$33,CHOOSE(ArtifactsInput!$N$33+1,30,36,42,48,54,60),0))+(IF(AND(ArtifactsInput!$M$35,Inputs!$B$4&lt;&gt;"Chapter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Skills!A5</f>
        <v/>
      </c>
      <c r="B895">
        <f>Skills!B5</f>
        <v/>
      </c>
      <c r="C895">
        <f>Inputs!$B$3&gt;=60</f>
        <v/>
      </c>
      <c r="D895">
        <f>IF(Skills!C5=1,60+Inputs!$B$25+Inputs!$B$29,IF(Skills!C5=2,90+Inputs!$B$26+Inputs!$B$29,IF(Skills!C5=3,120+Inputs!$B$27+Inputs!$B$29,MAX(0,(Inputs!$B$3-100)*3)+Inputs!$B$28+Inputs!$B$29)))</f>
        <v/>
      </c>
      <c r="E895">
        <f>INDEX(FactorTable!$B$2:$Y$301, MATCH(ROUND(MIN(300,MAX(1,D895)),0), FactorTable!$A$2:$A$301,0), Skills!M5+1)</f>
        <v/>
      </c>
      <c r="F895">
        <f>IF(Skills!N5=TRUE,(Skills!L5/10)*(E895/1000),Skills!L5/10)+Skills!O5</f>
        <v/>
      </c>
      <c r="G895">
        <f>Skills!G5*IF(Skills!H5&gt;0,Skills!I5/Skills!H5,1)</f>
        <v/>
      </c>
      <c r="H895">
        <f>1-(1-Skills!J5/100)^Skills!K5</f>
        <v/>
      </c>
      <c r="I895" t="inlineStr">
        <is>
          <t>1</t>
        </is>
      </c>
      <c r="J895" t="inlineStr"/>
      <c r="K895" t="inlineStr"/>
      <c r="L895" t="inlineStr"/>
      <c r="M895" t="inlineStr"/>
      <c r="N895" t="inlineStr"/>
      <c r="O895">
        <f>(1-Summary!$B$11)*T895+Summary!$B$11*V895</f>
        <v/>
      </c>
      <c r="P895">
        <f>IF(B926=0,0,O895/B926)</f>
        <v/>
      </c>
      <c r="Q895" t="n">
        <v>0</v>
      </c>
      <c r="R895" t="n">
        <v>0</v>
      </c>
      <c r="S895">
        <f>IFERROR(O895/N895,0)</f>
        <v/>
      </c>
      <c r="T895" t="n">
        <v>0</v>
      </c>
      <c r="V895" t="n">
        <v>0</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Skills!M6+1)</f>
        <v/>
      </c>
      <c r="F896">
        <f>IF(Skills!N6=TRUE,(Skills!L6/10)*(E896/1000),Skills!L6/10)+Skills!O6</f>
        <v/>
      </c>
      <c r="G896">
        <f>Skills!G6*IF(Skills!H6&gt;0,Skills!I6/Skills!H6,1)</f>
        <v/>
      </c>
      <c r="H896">
        <f>1-(1-Skills!J6/100)^Skills!K6</f>
        <v/>
      </c>
      <c r="I896" t="inlineStr">
        <is>
          <t>1</t>
        </is>
      </c>
      <c r="J896">
        <f>(((Inputs!$B$6+1)*(1+Inputs!$B$7/100))+(((Inputs!$B$12*(1+Inputs!$B$13/100))-(Inputs!$B$12*(1+Inputs!$B$13/100)))+0.25*(Inputs!$B$14-Inputs!$B$14))*(1+Inputs!$B$7/100))*(F896/100)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20)),(Inputs!$B$23+0+(IF(ArtifactsInput!$M$15,CHOOSE(ArtifactsInput!$N$15+1,25,30,35,40,45,50)/100*(Inputs!$B$11-Inputs!$B$11),0))))/100+(Inputs!$B$23+0+(IF(ArtifactsInput!$M$15,CHOOSE(ArtifactsInput!$N$15+1,25,30,35,40,45,50)/100*(Inputs!$B$11-Inputs!$B$11),0)))/100)/2</f>
        <v/>
      </c>
      <c r="M896">
        <f>L896*(1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IF(B926=0,0,O896/B926)</f>
        <v/>
      </c>
      <c r="Q896">
        <f>IFERROR(1/(IF(Inputs!$B$38="pvp",15,MAX(0.1,Skills!D6-IF(Skills!E6=TRUE,Inputs!$B$32,0)))*(1-IF(AND(ArtifactsInput!$M$27,Inputs!$B$4="Chapter Hunt"),CHOOSE(ArtifactsInput!$N$27+1,20,24,28,32,36,40),0)/100)),0)</f>
        <v/>
      </c>
      <c r="R896">
        <f>IF(AND(Inputs!$B$38&lt;&gt;"pvp",Inputs!$B$43&gt;0),IF(MAX(0,Inputs!$B$43-B923)&lt;=0,0,(INT(MAX(0,Inputs!$B$43-B923)/(IF(Inputs!$B$38="pvp",15,MAX(0.1,Skills!D6-IF(Skills!E6=TRUE,Inputs!$B$32,0)))*(1-IF(AND(ArtifactsInput!$M$27,Inputs!$B$4="Chapter Hunt"),CHOOSE(ArtifactsInput!$N$27+1,20,24,28,32,36,40),0)/100)))+1)),0)</f>
        <v/>
      </c>
      <c r="S896">
        <f>IFERROR(O896/N896,0)</f>
        <v/>
      </c>
      <c r="T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$21+Skills!Q6+(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Inputs!$B$3&gt;=100</f>
        <v/>
      </c>
      <c r="D897">
        <f>IF(Skills!C7=1,60+Inputs!$B$25+Inputs!$B$29,IF(Skills!C7=2,90+Inputs!$B$26+Inputs!$B$29,IF(Skills!C7=3,120+Inputs!$B$27+Inputs!$B$29,MAX(0,(Inputs!$B$3-100)*3)+Inputs!$B$28+Inputs!$B$29)))</f>
        <v/>
      </c>
      <c r="E897">
        <f>INDEX(FactorTable!$B$2:$Y$301, MATCH(ROUND(MIN(300,MAX(1,D897)),0), FactorTable!$A$2:$A$301,0), Skills!M7+1)</f>
        <v/>
      </c>
      <c r="F897">
        <f>IF(Skills!N7=TRUE,(Skills!L7/10)*(E897/1000),Skills!L7/10)+Skills!O7</f>
        <v/>
      </c>
      <c r="G897">
        <f>Skills!G7*IF(Skills!H7&gt;0,Skills!I7/Skills!H7,1)</f>
        <v/>
      </c>
      <c r="H897">
        <f>1-(1-Skills!J7/100)^Skills!K7</f>
        <v/>
      </c>
      <c r="I897" t="inlineStr">
        <is>
          <t>1</t>
        </is>
      </c>
      <c r="J897">
        <f>(((Inputs!$B$6+1)*(1+Inputs!$B$7/100))+(((Inputs!$B$12*(1+Inputs!$B$13/100))-(Inputs!$B$12*(1+Inputs!$B$13/100)))+0.25*(Inputs!$B$14-Inputs!$B$14))*(1+Inputs!$B$7/100))*(F897/100)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20)),(Inputs!$B$23+0+(IF(ArtifactsInput!$M$15,CHOOSE(ArtifactsInput!$N$15+1,25,30,35,40,45,50)/100*(Inputs!$B$11-Inputs!$B$11),0))))/100+(Inputs!$B$23+0+(IF(ArtifactsInput!$M$15,CHOOSE(ArtifactsInput!$N$15+1,25,30,35,40,45,50)/100*(Inputs!$B$11-Inputs!$B$11),0)))/100)/2</f>
        <v/>
      </c>
      <c r="M897">
        <f>L897*(1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IF(B926=0,0,O897/B926)</f>
        <v/>
      </c>
      <c r="Q897">
        <f>IFERROR(1/(IF(Inputs!$B$38="pvp",15,MAX(0.1,Skills!D7-IF(Skills!E7=TRUE,Inputs!$B$32,0)))*(1-IF(AND(ArtifactsInput!$M$27,Inputs!$B$4="Chapter Hunt"),CHOOSE(ArtifactsInput!$N$27+1,20,24,28,32,36,40),0)/100)),0)</f>
        <v/>
      </c>
      <c r="R897">
        <f>IF(AND(Inputs!$B$38&lt;&gt;"pvp",Inputs!$B$43&gt;0),IF(MAX(0,Inputs!$B$43-B923)&lt;=0,0,(INT(MAX(0,Inputs!$B$43-B923)/(IF(Inputs!$B$38="pvp",15,MAX(0.1,Skills!D7-IF(Skills!E7=TRUE,Inputs!$B$32,0)))*(1-IF(AND(ArtifactsInput!$M$27,Inputs!$B$4="Chapter Hunt"),CHOOSE(ArtifactsInput!$N$27+1,20,24,28,32,36,40),0)/100)))+1)),0)</f>
        <v/>
      </c>
      <c r="S897">
        <f>IFERROR(O897/N897,0)</f>
        <v/>
      </c>
      <c r="T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$21+Skills!Q7+(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Inputs!$B$3&gt;=110</f>
        <v/>
      </c>
      <c r="D898">
        <f>IF(Skills!C8=1,60+Inputs!$B$25+Inputs!$B$29,IF(Skills!C8=2,90+Inputs!$B$26+Inputs!$B$29,IF(Skills!C8=3,120+Inputs!$B$27+Inputs!$B$29,MAX(0,(Inputs!$B$3-100)*3)+Inputs!$B$28+Inputs!$B$29)))</f>
        <v/>
      </c>
      <c r="E898">
        <f>INDEX(FactorTable!$B$2:$Y$301, MATCH(ROUND(MIN(300,MAX(1,D898)),0), FactorTable!$A$2:$A$301,0), Skills!M8+1)</f>
        <v/>
      </c>
      <c r="F898">
        <f>IF(Skills!N8=TRUE,(Skills!L8/10)*(E898/1000),Skills!L8/10)+Skills!O8</f>
        <v/>
      </c>
      <c r="G898">
        <f>Skills!G8*IF(Skills!H8&gt;0,Skills!I8/Skills!H8,1)</f>
        <v/>
      </c>
      <c r="H898">
        <f>1-(1-Skills!J8/100)^Skills!K8</f>
        <v/>
      </c>
      <c r="I898" t="inlineStr">
        <is>
          <t>1</t>
        </is>
      </c>
      <c r="J898">
        <f>(((Inputs!$B$6+1)*(1+Inputs!$B$7/100))+(((Inputs!$B$12*(1+Inputs!$B$13/100))-(Inputs!$B$12*(1+Inputs!$B$13/100)))+0.25*(Inputs!$B$14-Inputs!$B$14))*(1+Inputs!$B$7/100))*(F898/100)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20)),(Inputs!$B$23+0+(IF(ArtifactsInput!$M$15,CHOOSE(ArtifactsInput!$N$15+1,25,30,35,40,45,50)/100*(Inputs!$B$11-Inputs!$B$11),0))))/100+(Inputs!$B$23+0+(IF(ArtifactsInput!$M$15,CHOOSE(ArtifactsInput!$N$15+1,25,30,35,40,45,50)/100*(Inputs!$B$11-Inputs!$B$11),0)))/100)/2</f>
        <v/>
      </c>
      <c r="M898">
        <f>L898*(1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IF(B926=0,0,O898/B926)</f>
        <v/>
      </c>
      <c r="Q898">
        <f>IFERROR(1/(IF(Inputs!$B$38="pvp",15,MAX(0.1,Skills!D8-IF(Skills!E8=TRUE,Inputs!$B$32,0)))*(1-IF(AND(ArtifactsInput!$M$27,Inputs!$B$4="Chapter Hunt"),CHOOSE(ArtifactsInput!$N$27+1,20,24,28,32,36,40),0)/100)),0)</f>
        <v/>
      </c>
      <c r="R898">
        <f>IF(AND(Inputs!$B$38&lt;&gt;"pvp",Inputs!$B$43&gt;0),IF(MAX(0,Inputs!$B$43-B923)&lt;=0,0,(INT(MAX(0,Inputs!$B$43-B923)/(IF(Inputs!$B$38="pvp",15,MAX(0.1,Skills!D8-IF(Skills!E8=TRUE,Inputs!$B$32,0)))*(1-IF(AND(ArtifactsInput!$M$27,Inputs!$B$4="Chapter Hunt"),CHOOSE(ArtifactsInput!$N$27+1,20,24,28,32,36,40),0)/100)))+1)),0)</f>
        <v/>
      </c>
      <c r="S898">
        <f>IFERROR(O898/N898,0)</f>
        <v/>
      </c>
      <c r="T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$21+Skills!Q8+(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Inputs!$B$3&gt;=110</f>
        <v/>
      </c>
      <c r="D899">
        <f>IF(Skills!C9=1,60+Inputs!$B$25+Inputs!$B$29,IF(Skills!C9=2,90+Inputs!$B$26+Inputs!$B$29,IF(Skills!C9=3,120+Inputs!$B$27+Inputs!$B$29,MAX(0,(Inputs!$B$3-100)*3)+Inputs!$B$28+Inputs!$B$29)))</f>
        <v/>
      </c>
      <c r="E899">
        <f>INDEX(FactorTable!$B$2:$Y$301, MATCH(ROUND(MIN(300,MAX(1,D899)),0), FactorTable!$A$2:$A$301,0), Skills!M9+1)</f>
        <v/>
      </c>
      <c r="F899">
        <f>IF(Skills!N9=TRUE,(Skills!L9/10)*(E899/1000),Skills!L9/10)+Skills!O9</f>
        <v/>
      </c>
      <c r="G899">
        <f>Skills!G9*IF(Skills!H9&gt;0,Skills!I9/Skills!H9,1)</f>
        <v/>
      </c>
      <c r="H899">
        <f>1-(1-Skills!J9/100)^Skills!K9</f>
        <v/>
      </c>
      <c r="I899" t="inlineStr">
        <is>
          <t>1</t>
        </is>
      </c>
      <c r="J899">
        <f>(((Inputs!$B$6+1)*(1+Inputs!$B$7/100))+(((Inputs!$B$12*(1+Inputs!$B$13/100))-(Inputs!$B$12*(1+Inputs!$B$13/100)))+0.25*(Inputs!$B$14-Inputs!$B$14))*(1+Inputs!$B$7/100))*(F899/100)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20)),(Inputs!$B$23+0+(IF(ArtifactsInput!$M$15,CHOOSE(ArtifactsInput!$N$15+1,25,30,35,40,45,50)/100*(Inputs!$B$11-Inputs!$B$11),0))))/100+(Inputs!$B$23+0+(IF(ArtifactsInput!$M$15,CHOOSE(ArtifactsInput!$N$15+1,25,30,35,40,45,50)/100*(Inputs!$B$11-Inputs!$B$11),0)))/100)/2</f>
        <v/>
      </c>
      <c r="M899">
        <f>L899*(1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IF(B926=0,0,O899/B926)</f>
        <v/>
      </c>
      <c r="Q899">
        <f>IFERROR(1/(IF(Inputs!$B$38="pvp",15,MAX(0.1,Skills!D9-IF(Skills!E9=TRUE,Inputs!$B$32,0)))*(1-IF(AND(ArtifactsInput!$M$27,Inputs!$B$4="Chapter Hunt"),CHOOSE(ArtifactsInput!$N$27+1,20,24,28,32,36,40),0)/100)),0)</f>
        <v/>
      </c>
      <c r="R899">
        <f>IF(AND(Inputs!$B$38&lt;&gt;"pvp",Inputs!$B$43&gt;0),IF(MAX(0,Inputs!$B$43-B923)&lt;=0,0,(INT(MAX(0,Inputs!$B$43-B923)/(IF(Inputs!$B$38="pvp",15,MAX(0.1,Skills!D9-IF(Skills!E9=TRUE,Inputs!$B$32,0)))*(1-IF(AND(ArtifactsInput!$M$27,Inputs!$B$4="Chapter Hunt"),CHOOSE(ArtifactsInput!$N$27+1,20,24,28,32,36,40),0)/100)))+1)),0)</f>
        <v/>
      </c>
      <c r="S899">
        <f>IFERROR(O899/N899,0)</f>
        <v/>
      </c>
      <c r="T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$21+Skills!Q9+(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Inputs!$B$3&gt;=103</f>
        <v/>
      </c>
      <c r="D900">
        <f>IF(Skills!C10=1,60+Inputs!$B$25+Inputs!$B$29,IF(Skills!C10=2,90+Inputs!$B$26+Inputs!$B$29,IF(Skills!C10=3,120+Inputs!$B$27+Inputs!$B$29,MAX(0,(Inputs!$B$3-100)*3)+Inputs!$B$28+Inputs!$B$29)))</f>
        <v/>
      </c>
      <c r="E900">
        <f>INDEX(FactorTable!$B$2:$Y$301, MATCH(ROUND(MIN(300,MAX(1,D900)),0), FactorTable!$A$2:$A$301,0), Skills!M10+1)</f>
        <v/>
      </c>
      <c r="F900">
        <f>IF(Skills!N10=TRUE,(Skills!L10/10)*(E900/1000),Skills!L10/10)+Skills!O10</f>
        <v/>
      </c>
      <c r="G900">
        <f>Skills!G10*IF(Skills!H10&gt;0,Skills!I10/Skills!H10,1)</f>
        <v/>
      </c>
      <c r="H900">
        <f>1-(1-Skills!J10/100)^Skills!K10</f>
        <v/>
      </c>
      <c r="I900" t="inlineStr">
        <is>
          <t>1</t>
        </is>
      </c>
      <c r="J900">
        <f>(((Inputs!$B$6+1)*(1+Inputs!$B$7/100))+(((Inputs!$B$12*(1+Inputs!$B$13/100))-(Inputs!$B$12*(1+Inputs!$B$13/100)))+0.25*(Inputs!$B$14-Inputs!$B$14))*(1+Inputs!$B$7/100))*(F900/100)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20)),(Inputs!$B$23+0+(IF(ArtifactsInput!$M$15,CHOOSE(ArtifactsInput!$N$15+1,25,30,35,40,45,50)/100*(Inputs!$B$11-Inputs!$B$11),0))))/100+(Inputs!$B$23+0+(IF(ArtifactsInput!$M$15,CHOOSE(ArtifactsInput!$N$15+1,25,30,35,40,45,50)/100*(Inputs!$B$11-Inputs!$B$11),0)))/100)/2</f>
        <v/>
      </c>
      <c r="M900">
        <f>L900*(1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IF(B926=0,0,O900/B926)</f>
        <v/>
      </c>
      <c r="Q900">
        <f>IFERROR(1/(IF(Inputs!$B$38="pvp",15,MAX(0.1,Skills!D10-IF(Skills!E10=TRUE,Inputs!$B$32,0)))*(1-IF(AND(ArtifactsInput!$M$27,Inputs!$B$4="Chapter Hunt"),CHOOSE(ArtifactsInput!$N$27+1,20,24,28,32,36,40),0)/100)),0)</f>
        <v/>
      </c>
      <c r="R900">
        <f>IF(AND(Inputs!$B$38&lt;&gt;"pvp",Inputs!$B$43&gt;0),IF(MAX(0,Inputs!$B$43-B923)&lt;=0,0,(INT(MAX(0,Inputs!$B$43-B923)/(IF(Inputs!$B$38="pvp",15,MAX(0.1,Skills!D10-IF(Skills!E10=TRUE,Inputs!$B$32,0)))*(1-IF(AND(ArtifactsInput!$M$27,Inputs!$B$4="Chapter Hunt"),CHOOSE(ArtifactsInput!$N$27+1,20,24,28,32,36,40),0)/100)))+1)),0)</f>
        <v/>
      </c>
      <c r="S900">
        <f>IFERROR(O900/N900,0)</f>
        <v/>
      </c>
      <c r="T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$21+Skills!Q10+(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Inputs!$B$3&gt;=113</f>
        <v/>
      </c>
      <c r="D901">
        <f>IF(Skills!C11=1,60+Inputs!$B$25+Inputs!$B$29,IF(Skills!C11=2,90+Inputs!$B$26+Inputs!$B$29,IF(Skills!C11=3,120+Inputs!$B$27+Inputs!$B$29,MAX(0,(Inputs!$B$3-100)*3)+Inputs!$B$28+Inputs!$B$29)))</f>
        <v/>
      </c>
      <c r="E901">
        <f>INDEX(FactorTable!$B$2:$Y$301, MATCH(ROUND(MIN(300,MAX(1,D901)),0), FactorTable!$A$2:$A$301,0), Skills!M11+1)</f>
        <v/>
      </c>
      <c r="F901">
        <f>IF(Skills!N11=TRUE,(Skills!L11/10)*(E901/1000),Skills!L11/10)+Skills!O11</f>
        <v/>
      </c>
      <c r="G901">
        <f>Skills!G11*IF(Skills!H11&gt;0,Skills!I11/Skills!H11,1)</f>
        <v/>
      </c>
      <c r="H901">
        <f>1-(1-Skills!J11/100)^Skills!K11</f>
        <v/>
      </c>
      <c r="I901" t="inlineStr">
        <is>
          <t>1</t>
        </is>
      </c>
      <c r="J901">
        <f>(((Inputs!$B$6+1)*(1+Inputs!$B$7/100))+(((Inputs!$B$12*(1+Inputs!$B$13/100))-(Inputs!$B$12*(1+Inputs!$B$13/100)))+0.25*(Inputs!$B$14-Inputs!$B$14))*(1+Inputs!$B$7/100))*(F901/100)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20)),(Inputs!$B$23+0+(IF(ArtifactsInput!$M$15,CHOOSE(ArtifactsInput!$N$15+1,25,30,35,40,45,50)/100*(Inputs!$B$11-Inputs!$B$11),0))))/100+(Inputs!$B$23+0+(IF(ArtifactsInput!$M$15,CHOOSE(ArtifactsInput!$N$15+1,25,30,35,40,45,50)/100*(Inputs!$B$11-Inputs!$B$11),0)))/100)/2</f>
        <v/>
      </c>
      <c r="M901">
        <f>L901*(1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IF(B926=0,0,O901/B926)</f>
        <v/>
      </c>
      <c r="Q901">
        <f>IFERROR(1/(IF(Inputs!$B$38="pvp",15,MAX(0.1,Skills!D11-IF(Skills!E11=TRUE,Inputs!$B$32,0)))*(1-IF(AND(ArtifactsInput!$M$27,Inputs!$B$4="Chapter Hunt"),CHOOSE(ArtifactsInput!$N$27+1,20,24,28,32,36,40),0)/100)),0)</f>
        <v/>
      </c>
      <c r="R901">
        <f>IF(AND(Inputs!$B$38&lt;&gt;"pvp",Inputs!$B$43&gt;0),IF(MAX(0,Inputs!$B$43-B923)&lt;=0,0,(INT(MAX(0,Inputs!$B$43-B923)/(IF(Inputs!$B$38="pvp",15,MAX(0.1,Skills!D11-IF(Skills!E11=TRUE,Inputs!$B$32,0)))*(1-IF(AND(ArtifactsInput!$M$27,Inputs!$B$4="Chapter Hunt"),CHOOSE(ArtifactsInput!$N$27+1,20,24,28,32,36,40),0)/100)))+1)),0)</f>
        <v/>
      </c>
      <c r="S901">
        <f>IFERROR(O901/N901,0)</f>
        <v/>
      </c>
      <c r="T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$21+Skills!Q11+(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Inputs!$B$3&gt;=100</f>
        <v/>
      </c>
      <c r="D902">
        <f>IF(Skills!C12=1,60+Inputs!$B$25+Inputs!$B$29,IF(Skills!C12=2,90+Inputs!$B$26+Inputs!$B$29,IF(Skills!C12=3,120+Inputs!$B$27+Inputs!$B$29,MAX(0,(Inputs!$B$3-100)*3)+Inputs!$B$28+Inputs!$B$29)))</f>
        <v/>
      </c>
      <c r="E902">
        <f>INDEX(FactorTable!$B$2:$Y$301, MATCH(ROUND(MIN(300,MAX(1,D902)),0), FactorTable!$A$2:$A$301,0), Skills!M12+1)</f>
        <v/>
      </c>
      <c r="F902">
        <f>IF(Skills!N12=TRUE,(Skills!L12/10)*(E902/1000),Skills!L12/10)+Skills!O12</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V902" t="inlineStr"/>
    </row>
    <row r="903">
      <c r="A903">
        <f>Skills!A13</f>
        <v/>
      </c>
      <c r="B903">
        <f>Skills!B13</f>
        <v/>
      </c>
      <c r="C903">
        <f>Inputs!$B$3&gt;=66</f>
        <v/>
      </c>
      <c r="D903">
        <f>IF(Skills!C13=1,60+Inputs!$B$25+Inputs!$B$29,IF(Skills!C13=2,90+Inputs!$B$26+Inputs!$B$29,IF(Skills!C13=3,120+Inputs!$B$27+Inputs!$B$29,MAX(0,(Inputs!$B$3-100)*3)+Inputs!$B$28+Inputs!$B$29)))</f>
        <v/>
      </c>
      <c r="E903">
        <f>INDEX(FactorTable!$B$2:$Y$301, MATCH(ROUND(MIN(300,MAX(1,D903)),0), FactorTable!$A$2:$A$301,0), Skills!M13+1)</f>
        <v/>
      </c>
      <c r="F903">
        <f>IF(Skills!N13=TRUE,(Skills!L13/10)*(E903/1000),Skills!L13/10)+Skills!O13</f>
        <v/>
      </c>
      <c r="G903">
        <f>Skills!G13*IF(Skills!H13&gt;0,Skills!I13/Skills!H13,1)</f>
        <v/>
      </c>
      <c r="H903">
        <f>1-(1-Skills!J13/100)^Skills!K13</f>
        <v/>
      </c>
      <c r="I903" t="inlineStr">
        <is>
          <t>1</t>
        </is>
      </c>
      <c r="J903" t="inlineStr"/>
      <c r="K903" t="inlineStr"/>
      <c r="L903" t="inlineStr"/>
      <c r="M903" t="inlineStr"/>
      <c r="N903" t="inlineStr"/>
      <c r="O903">
        <f>(1-Summary!$B$11)*T903+Summary!$B$11*V903</f>
        <v/>
      </c>
      <c r="P903">
        <f>IF(B926=0,0,O903/B926)</f>
        <v/>
      </c>
      <c r="Q903" t="n">
        <v>0</v>
      </c>
      <c r="R903" t="n">
        <v>0</v>
      </c>
      <c r="S903">
        <f>IFERROR(O903/N903,0)</f>
        <v/>
      </c>
      <c r="T903" t="n">
        <v>0</v>
      </c>
      <c r="V903" t="n">
        <v>0</v>
      </c>
    </row>
    <row r="904">
      <c r="A904">
        <f>Skills!A14</f>
        <v/>
      </c>
      <c r="B904">
        <f>Skills!B14</f>
        <v/>
      </c>
      <c r="C904">
        <f>Inputs!$B$3&gt;=107</f>
        <v/>
      </c>
      <c r="D904">
        <f>IF(Skills!C14=1,60+Inputs!$B$25+Inputs!$B$29,IF(Skills!C14=2,90+Inputs!$B$26+Inputs!$B$29,IF(Skills!C14=3,120+Inputs!$B$27+Inputs!$B$29,MAX(0,(Inputs!$B$3-100)*3)+Inputs!$B$28+Inputs!$B$29)))</f>
        <v/>
      </c>
      <c r="E904">
        <f>INDEX(FactorTable!$B$2:$Y$301, MATCH(ROUND(MIN(300,MAX(1,D904)),0), FactorTable!$A$2:$A$301,0), Skills!M14+1)</f>
        <v/>
      </c>
      <c r="F904">
        <f>IF(Skills!N14=TRUE,(Skills!L14/10)*(E904/1000),Skills!L14/10)+Skills!O14</f>
        <v/>
      </c>
      <c r="G904">
        <f>Skills!G14*IF(Skills!H14&gt;0,Skills!I14/Skills!H14,1)</f>
        <v/>
      </c>
      <c r="H904">
        <f>1-(1-Skills!J14/100)^Skills!K14</f>
        <v/>
      </c>
      <c r="I904" t="inlineStr">
        <is>
          <t>1</t>
        </is>
      </c>
      <c r="J904" t="inlineStr"/>
      <c r="K904" t="inlineStr"/>
      <c r="L904" t="inlineStr"/>
      <c r="M904" t="inlineStr"/>
      <c r="N904" t="inlineStr"/>
      <c r="O904">
        <f>(1-Summary!$B$11)*T904+Summary!$B$11*V904</f>
        <v/>
      </c>
      <c r="P904">
        <f>IF(B926=0,0,O904/B926)</f>
        <v/>
      </c>
      <c r="Q904" t="n">
        <v>0</v>
      </c>
      <c r="R904" t="n">
        <v>0</v>
      </c>
      <c r="S904">
        <f>IFERROR(O904/N904,0)</f>
        <v/>
      </c>
      <c r="T904" t="n">
        <v>0</v>
      </c>
      <c r="V904" t="n">
        <v>0</v>
      </c>
    </row>
    <row r="905">
      <c r="A905">
        <f>Skills!A15</f>
        <v/>
      </c>
      <c r="B905">
        <f>Skills!B15</f>
        <v/>
      </c>
      <c r="C905">
        <f>Inputs!$B$3&gt;=115</f>
        <v/>
      </c>
      <c r="D905">
        <f>IF(Skills!C15=1,60+Inputs!$B$25+Inputs!$B$29,IF(Skills!C15=2,90+Inputs!$B$26+Inputs!$B$29,IF(Skills!C15=3,120+Inputs!$B$27+Inputs!$B$29,MAX(0,(Inputs!$B$3-100)*3)+Inputs!$B$28+Inputs!$B$29)))</f>
        <v/>
      </c>
      <c r="E905">
        <f>INDEX(FactorTable!$B$2:$Y$301, MATCH(ROUND(MIN(300,MAX(1,D905)),0), FactorTable!$A$2:$A$301,0), Skills!M15+1)</f>
        <v/>
      </c>
      <c r="F905">
        <f>IF(Skills!N15=TRUE,(Skills!L15/10)*(E905/1000),Skills!L15/10)+Skills!O15</f>
        <v/>
      </c>
      <c r="G905">
        <f>Skills!G15*IF(Skills!H15&gt;0,Skills!I15/Skills!H15,1)</f>
        <v/>
      </c>
      <c r="H905">
        <f>1-(1-Skills!J15/100)^Skills!K15</f>
        <v/>
      </c>
      <c r="I905" t="inlineStr">
        <is>
          <t>1</t>
        </is>
      </c>
      <c r="J905" t="inlineStr"/>
      <c r="K905" t="inlineStr"/>
      <c r="L905" t="inlineStr"/>
      <c r="M905" t="inlineStr"/>
      <c r="N905" t="inlineStr"/>
      <c r="O905">
        <f>(1-Summary!$B$11)*T905+Summary!$B$11*V905</f>
        <v/>
      </c>
      <c r="P905">
        <f>IF(B926=0,0,O905/B926)</f>
        <v/>
      </c>
      <c r="Q905" t="n">
        <v>0</v>
      </c>
      <c r="R905" t="n">
        <v>0</v>
      </c>
      <c r="S905">
        <f>IFERROR(O905/N905,0)</f>
        <v/>
      </c>
      <c r="T905" t="n">
        <v>0</v>
      </c>
      <c r="V905" t="n">
        <v>0</v>
      </c>
    </row>
    <row r="906">
      <c r="A906">
        <f>Skills!A16</f>
        <v/>
      </c>
      <c r="B906">
        <f>Skills!B16</f>
        <v/>
      </c>
      <c r="C906">
        <f>Inputs!$B$3&gt;=15</f>
        <v/>
      </c>
      <c r="D906">
        <f>IF(Skills!C16=1,60+Inputs!$B$25+Inputs!$B$29,IF(Skills!C16=2,90+Inputs!$B$26+Inputs!$B$29,IF(Skills!C16=3,120+Inputs!$B$27+Inputs!$B$29,MAX(0,(Inputs!$B$3-100)*3)+Inputs!$B$28+Inputs!$B$29)))</f>
        <v/>
      </c>
      <c r="E906">
        <f>INDEX(FactorTable!$B$2:$Y$301, MATCH(ROUND(MIN(300,MAX(1,D906)),0), FactorTable!$A$2:$A$301,0), Skills!M16+1)</f>
        <v/>
      </c>
      <c r="F906">
        <f>IF(Skills!N16=TRUE,(Skills!L16/10)*(E906/1000),Skills!L16/10)+Skills!O16</f>
        <v/>
      </c>
      <c r="G906">
        <f>Skills!G16*IF(Skills!H16&gt;0,Skills!I16/Skills!H16,1)</f>
        <v/>
      </c>
      <c r="H906">
        <f>1-(1-Skills!J16/100)^Skills!K16</f>
        <v/>
      </c>
      <c r="I906" t="inlineStr">
        <is>
          <t>1</t>
        </is>
      </c>
      <c r="J906" t="inlineStr"/>
      <c r="K906" t="inlineStr"/>
      <c r="L906" t="inlineStr"/>
      <c r="M906" t="inlineStr"/>
      <c r="N906" t="inlineStr"/>
      <c r="O906">
        <f>(1-Summary!$B$11)*T906+Summary!$B$11*V906</f>
        <v/>
      </c>
      <c r="P906">
        <f>IF(B926=0,0,O906/B926)</f>
        <v/>
      </c>
      <c r="Q906" t="n">
        <v>0</v>
      </c>
      <c r="R906" t="n">
        <v>0</v>
      </c>
      <c r="S906">
        <f>IFERROR(O906/N906,0)</f>
        <v/>
      </c>
      <c r="T906" t="n">
        <v>0</v>
      </c>
      <c r="V906" t="n">
        <v>0</v>
      </c>
    </row>
    <row r="907">
      <c r="A907">
        <f>Skills!A17</f>
        <v/>
      </c>
      <c r="B907">
        <f>Skills!B17</f>
        <v/>
      </c>
      <c r="C907">
        <f>Inputs!$B$3&gt;=10</f>
        <v/>
      </c>
      <c r="D907">
        <f>IF(Skills!C17=1,60+Inputs!$B$25+Inputs!$B$29,IF(Skills!C17=2,90+Inputs!$B$26+Inputs!$B$29,IF(Skills!C17=3,120+Inputs!$B$27+Inputs!$B$29,MAX(0,(Inputs!$B$3-100)*3)+Inputs!$B$28+Inputs!$B$29)))</f>
        <v/>
      </c>
      <c r="E907">
        <f>INDEX(FactorTable!$B$2:$Y$301, MATCH(ROUND(MIN(300,MAX(1,D907)),0), FactorTable!$A$2:$A$301,0), Skills!M17+1)</f>
        <v/>
      </c>
      <c r="F907">
        <f>IF(Skills!N17=TRUE,(Skills!L17/10)*(E907/1000),Skills!L17/10)+Skills!O17</f>
        <v/>
      </c>
      <c r="G907">
        <f>Skills!G17*IF(Skills!H17&gt;0,Skills!I17/Skills!H17,1)</f>
        <v/>
      </c>
      <c r="H907">
        <f>1-(1-Skills!J17/100)^Skills!K17</f>
        <v/>
      </c>
      <c r="I907" t="inlineStr">
        <is>
          <t>1</t>
        </is>
      </c>
      <c r="J907" t="inlineStr"/>
      <c r="K907" t="inlineStr"/>
      <c r="L907" t="inlineStr"/>
      <c r="M907" t="inlineStr"/>
      <c r="N907" t="inlineStr"/>
      <c r="O907">
        <f>(1-Summary!$B$11)*T907+Summary!$B$11*V907</f>
        <v/>
      </c>
      <c r="P907">
        <f>IF(B926=0,0,O907/B926)</f>
        <v/>
      </c>
      <c r="Q907" t="n">
        <v>0</v>
      </c>
      <c r="R907" t="n">
        <v>0</v>
      </c>
      <c r="S907">
        <f>IFERROR(O907/N907,0)</f>
        <v/>
      </c>
      <c r="T907" t="n">
        <v>0</v>
      </c>
      <c r="V907" t="n">
        <v>0</v>
      </c>
    </row>
    <row r="908">
      <c r="A908">
        <f>Skills!A18</f>
        <v/>
      </c>
      <c r="B908">
        <f>Skills!B18</f>
        <v/>
      </c>
      <c r="C908">
        <f>Inputs!$B$3&gt;=33</f>
        <v/>
      </c>
      <c r="D908">
        <f>IF(Skills!C18=1,60+Inputs!$B$25+Inputs!$B$29,IF(Skills!C18=2,90+Inputs!$B$26+Inputs!$B$29,IF(Skills!C18=3,120+Inputs!$B$27+Inputs!$B$29,MAX(0,(Inputs!$B$3-100)*3)+Inputs!$B$28+Inputs!$B$29)))</f>
        <v/>
      </c>
      <c r="E908">
        <f>INDEX(FactorTable!$B$2:$Y$301, MATCH(ROUND(MIN(300,MAX(1,D908)),0), FactorTable!$A$2:$A$301,0), Skills!M18+1)</f>
        <v/>
      </c>
      <c r="F908">
        <f>IF(Skills!N18=TRUE,(Skills!L18/10)*(E908/1000),Skills!L18/10)+Skills!O18</f>
        <v/>
      </c>
      <c r="G908">
        <f>Skills!G18*IF(Skills!H18&gt;0,Skills!I18/Skills!H18,1)</f>
        <v/>
      </c>
      <c r="H908">
        <f>1-(1-Skills!J18/100)^Skills!K18</f>
        <v/>
      </c>
      <c r="I908" t="inlineStr">
        <is>
          <t>1</t>
        </is>
      </c>
      <c r="J908" t="inlineStr"/>
      <c r="K908" t="inlineStr"/>
      <c r="L908" t="inlineStr"/>
      <c r="M908" t="inlineStr"/>
      <c r="N908" t="inlineStr"/>
      <c r="O908">
        <f>(1-Summary!$B$11)*T908+Summary!$B$11*V908</f>
        <v/>
      </c>
      <c r="P908">
        <f>IF(B926=0,0,O908/B926)</f>
        <v/>
      </c>
      <c r="Q908" t="n">
        <v>0</v>
      </c>
      <c r="R908" t="n">
        <v>0</v>
      </c>
      <c r="S908">
        <f>IFERROR(O908/N908,0)</f>
        <v/>
      </c>
      <c r="T908" t="n">
        <v>0</v>
      </c>
      <c r="V908" t="n">
        <v>0</v>
      </c>
    </row>
    <row r="909">
      <c r="A909">
        <f>Skills!A19</f>
        <v/>
      </c>
      <c r="B909">
        <f>Skills!B19</f>
        <v/>
      </c>
      <c r="C909">
        <f>Inputs!$B$3&gt;=40</f>
        <v/>
      </c>
      <c r="D909">
        <f>IF(Skills!C19=1,60+Inputs!$B$25+Inputs!$B$29,IF(Skills!C19=2,90+Inputs!$B$26+Inputs!$B$29,IF(Skills!C19=3,120+Inputs!$B$27+Inputs!$B$29,MAX(0,(Inputs!$B$3-100)*3)+Inputs!$B$28+Inputs!$B$29)))</f>
        <v/>
      </c>
      <c r="E909">
        <f>INDEX(FactorTable!$B$2:$Y$301, MATCH(ROUND(MIN(300,MAX(1,D909)),0), FactorTable!$A$2:$A$301,0), Skills!M19+1)</f>
        <v/>
      </c>
      <c r="F909">
        <f>IF(Skills!N19=TRUE,(Skills!L19/10)*(E909/1000),Skills!L19/10)+Skills!O19</f>
        <v/>
      </c>
      <c r="G909">
        <f>Skills!G19*IF(Skills!H19&gt;0,Skills!I19/Skills!H19,1)</f>
        <v/>
      </c>
      <c r="H909">
        <f>1-(1-Skills!J19/100)^Skills!K19</f>
        <v/>
      </c>
      <c r="I909" t="inlineStr">
        <is>
          <t>1</t>
        </is>
      </c>
      <c r="J909" t="inlineStr"/>
      <c r="K909" t="inlineStr"/>
      <c r="L909" t="inlineStr"/>
      <c r="M909" t="inlineStr"/>
      <c r="N909" t="inlineStr"/>
      <c r="O909">
        <f>(1-Summary!$B$11)*T909+Summary!$B$11*V909</f>
        <v/>
      </c>
      <c r="P909">
        <f>IF(B926=0,0,O909/B926)</f>
        <v/>
      </c>
      <c r="Q909" t="n">
        <v>0</v>
      </c>
      <c r="R909" t="n">
        <v>0</v>
      </c>
      <c r="S909">
        <f>IFERROR(O909/N909,0)</f>
        <v/>
      </c>
      <c r="T909" t="n">
        <v>0</v>
      </c>
      <c r="V909" t="n">
        <v>0</v>
      </c>
    </row>
    <row r="910">
      <c r="A910">
        <f>Skills!A20</f>
        <v/>
      </c>
      <c r="B910">
        <f>Skills!B20</f>
        <v/>
      </c>
      <c r="C910">
        <f>Inputs!$B$3&gt;=43</f>
        <v/>
      </c>
      <c r="D910">
        <f>IF(Skills!C20=1,60+Inputs!$B$25+Inputs!$B$29,IF(Skills!C20=2,90+Inputs!$B$26+Inputs!$B$29,IF(Skills!C20=3,120+Inputs!$B$27+Inputs!$B$29,MAX(0,(Inputs!$B$3-100)*3)+Inputs!$B$28+Inputs!$B$29)))</f>
        <v/>
      </c>
      <c r="E910">
        <f>INDEX(FactorTable!$B$2:$Y$301, MATCH(ROUND(MIN(300,MAX(1,D910)),0), FactorTable!$A$2:$A$301,0), Skills!M20+1)</f>
        <v/>
      </c>
      <c r="F910">
        <f>IF(Skills!N20=TRUE,(Skills!L20/10)*(E910/1000),Skills!L20/10)+Skills!O20</f>
        <v/>
      </c>
      <c r="G910">
        <f>Skills!G20*IF(Skills!H20&gt;0,Skills!I20/Skills!H20,1)</f>
        <v/>
      </c>
      <c r="H910">
        <f>1-(1-Skills!J20/100)^Skills!K20</f>
        <v/>
      </c>
      <c r="I910" t="inlineStr">
        <is>
          <t>1</t>
        </is>
      </c>
      <c r="J910" t="inlineStr"/>
      <c r="K910" t="inlineStr"/>
      <c r="L910" t="inlineStr"/>
      <c r="M910" t="inlineStr"/>
      <c r="N910" t="inlineStr"/>
      <c r="O910">
        <f>(1-Summary!$B$11)*T910+Summary!$B$11*V910</f>
        <v/>
      </c>
      <c r="P910">
        <f>IF(B926=0,0,O910/B926)</f>
        <v/>
      </c>
      <c r="Q910" t="n">
        <v>0</v>
      </c>
      <c r="R910" t="n">
        <v>0</v>
      </c>
      <c r="S910">
        <f>IFERROR(O910/N910,0)</f>
        <v/>
      </c>
      <c r="T910" t="n">
        <v>0</v>
      </c>
      <c r="V910" t="n">
        <v>0</v>
      </c>
    </row>
    <row r="911">
      <c r="A911">
        <f>Skills!A21</f>
        <v/>
      </c>
      <c r="B911">
        <f>Skills!B21</f>
        <v/>
      </c>
      <c r="C911">
        <f>Inputs!$B$3&gt;=38</f>
        <v/>
      </c>
      <c r="D911">
        <f>IF(Skills!C21=1,60+Inputs!$B$25+Inputs!$B$29,IF(Skills!C21=2,90+Inputs!$B$26+Inputs!$B$29,IF(Skills!C21=3,120+Inputs!$B$27+Inputs!$B$29,MAX(0,(Inputs!$B$3-100)*3)+Inputs!$B$28+Inputs!$B$29)))</f>
        <v/>
      </c>
      <c r="E911">
        <f>INDEX(FactorTable!$B$2:$Y$301, MATCH(ROUND(MIN(300,MAX(1,D911)),0), FactorTable!$A$2:$A$301,0), Skills!M21+1)</f>
        <v/>
      </c>
      <c r="F911">
        <f>IF(Skills!N21=TRUE,(Skills!L21/10)*(E911/1000),Skills!L21/10)+Skills!O21</f>
        <v/>
      </c>
      <c r="G911">
        <f>Skills!G21*IF(Skills!H21&gt;0,Skills!I21/Skills!H21,1)</f>
        <v/>
      </c>
      <c r="H911">
        <f>1-(1-Skills!J21/100)^Skills!K21</f>
        <v/>
      </c>
      <c r="I911" t="inlineStr">
        <is>
          <t>1</t>
        </is>
      </c>
      <c r="J911" t="inlineStr"/>
      <c r="K911" t="inlineStr"/>
      <c r="L911" t="inlineStr"/>
      <c r="M911" t="inlineStr"/>
      <c r="N911" t="inlineStr"/>
      <c r="O911">
        <f>(1-Summary!$B$11)*T911+Summary!$B$11*V911</f>
        <v/>
      </c>
      <c r="P911">
        <f>IF(B926=0,0,O911/B926)</f>
        <v/>
      </c>
      <c r="Q911" t="n">
        <v>0</v>
      </c>
      <c r="R911" t="n">
        <v>0</v>
      </c>
      <c r="S911">
        <f>IFERROR(O911/N911,0)</f>
        <v/>
      </c>
      <c r="T911" t="n">
        <v>0</v>
      </c>
      <c r="V911" t="n">
        <v>0</v>
      </c>
    </row>
    <row r="912">
      <c r="A912">
        <f>Skills!A22</f>
        <v/>
      </c>
      <c r="B912">
        <f>Skills!B22</f>
        <v/>
      </c>
      <c r="C912">
        <f>Inputs!$B$3&gt;=75</f>
        <v/>
      </c>
      <c r="D912">
        <f>IF(Skills!C22=1,60+Inputs!$B$25+Inputs!$B$29,IF(Skills!C22=2,90+Inputs!$B$26+Inputs!$B$29,IF(Skills!C22=3,120+Inputs!$B$27+Inputs!$B$29,MAX(0,(Inputs!$B$3-100)*3)+Inputs!$B$28+Inputs!$B$29)))</f>
        <v/>
      </c>
      <c r="E912">
        <f>INDEX(FactorTable!$B$2:$Y$301, MATCH(ROUND(MIN(300,MAX(1,D912)),0), FactorTable!$A$2:$A$301,0), Skills!M22+1)</f>
        <v/>
      </c>
      <c r="F912">
        <f>IF(Skills!N22=TRUE,(Skills!L22/10)*(E912/1000),Skills!L22/10)+Skills!O22</f>
        <v/>
      </c>
      <c r="G912">
        <f>Skills!G22*IF(Skills!H22&gt;0,Skills!I22/Skills!H22,1)</f>
        <v/>
      </c>
      <c r="H912">
        <f>1-(1-Skills!J22/100)^Skills!K22</f>
        <v/>
      </c>
      <c r="I912" t="inlineStr">
        <is>
          <t>1</t>
        </is>
      </c>
      <c r="J912" t="inlineStr"/>
      <c r="K912" t="inlineStr"/>
      <c r="L912" t="inlineStr"/>
      <c r="M912" t="inlineStr"/>
      <c r="N912" t="inlineStr"/>
      <c r="O912">
        <f>(1-Summary!$B$11)*T912+Summary!$B$11*V912</f>
        <v/>
      </c>
      <c r="P912">
        <f>IF(B926=0,0,O912/B926)</f>
        <v/>
      </c>
      <c r="Q912" t="n">
        <v>0</v>
      </c>
      <c r="R912" t="n">
        <v>0</v>
      </c>
      <c r="S912">
        <f>IFERROR(O912/N912,0)</f>
        <v/>
      </c>
      <c r="T912" t="n">
        <v>0</v>
      </c>
      <c r="V912" t="n">
        <v>0</v>
      </c>
    </row>
    <row r="913">
      <c r="A913">
        <f>Skills!A23</f>
        <v/>
      </c>
      <c r="B913">
        <f>Skills!B23</f>
        <v/>
      </c>
      <c r="C913">
        <f>TRUE</f>
        <v/>
      </c>
      <c r="D913">
        <f>IF(Skills!C23=1,60+Inputs!$B$25+Inputs!$B$29,IF(Skills!C23=2,90+Inputs!$B$26+Inputs!$B$29,IF(Skills!C23=3,120+Inputs!$B$27+Inputs!$B$29,MAX(0,(Inputs!$B$3-100)*3)+Inputs!$B$28+Inputs!$B$29)))</f>
        <v/>
      </c>
      <c r="E913">
        <f>INDEX(FactorTable!$B$2:$Y$301, MATCH(ROUND(MIN(300,MAX(1,D913)),0), FactorTable!$A$2:$A$301,0), Skills!M23+1)</f>
        <v/>
      </c>
      <c r="F913">
        <f>IF(Skills!N23=TRUE,(Skills!L23/10)*(E913/1000),Skills!L23/10)+Skills!O23</f>
        <v/>
      </c>
      <c r="G913">
        <f>Skills!G23*IF(Skills!H23&gt;0,Skills!I23/Skills!H23,1)</f>
        <v/>
      </c>
      <c r="H913">
        <f>1-(1-Skills!J23/100)^Skills!K23</f>
        <v/>
      </c>
      <c r="I913" t="inlineStr">
        <is>
          <t>1</t>
        </is>
      </c>
      <c r="J913" t="inlineStr"/>
      <c r="K913" t="inlineStr"/>
      <c r="L913" t="inlineStr"/>
      <c r="M913" t="inlineStr"/>
      <c r="N913" t="inlineStr"/>
      <c r="O913">
        <f>(1-Summary!$B$11)*T913+Summary!$B$11*V913</f>
        <v/>
      </c>
      <c r="P913">
        <f>IF(B926=0,0,O913/B926)</f>
        <v/>
      </c>
      <c r="Q913">
        <f>IFERROR(1/(IF(Inputs!$B$38="pvp",15,MAX(0.1,Skills!D23-IF(Skills!E23=TRUE,Inputs!$B$32,0)))*(1-IF(AND(ArtifactsInput!$M$27,Inputs!$B$4="Chapter Hunt"),CHOOSE(ArtifactsInput!$N$27+1,20,24,28,32,36,40),0)/100)),0)</f>
        <v/>
      </c>
      <c r="R913">
        <f>IF(AND(Inputs!$B$38&lt;&gt;"pvp",Inputs!$B$43&gt;0),IF(Inputs!$B$43&lt;=0,0,(INT(Inputs!$B$43/(IF(Inputs!$B$38="pvp",15,MAX(0.1,Skills!D23-IF(Skills!E23=TRUE,Inputs!$B$32,0)))*(1-IF(AND(ArtifactsInput!$M$27,Inputs!$B$4="Chapter Hunt"),CHOOSE(ArtifactsInput!$N$27+1,20,24,28,32,36,40),0)/100)))+1)),0)</f>
        <v/>
      </c>
      <c r="S913">
        <f>IFERROR(O913/N913,0)</f>
        <v/>
      </c>
      <c r="T913" t="n">
        <v>0</v>
      </c>
      <c r="V913" t="n">
        <v>0</v>
      </c>
    </row>
    <row r="915">
      <c r="A915" t="inlineStr">
        <is>
          <t>Attack% Bucket Multiplier</t>
        </is>
      </c>
      <c r="B915">
        <f>(1+(((C903=TRUE)*F903*5/7)+((C909=TRUE)*(F909-Calc!F19))+(IF(ArtifactsInput!$M$21,CHOOSE(ArtifactsInput!$N$21+1,25,30,35,40,45,50)*(IF(OR(Inputs!$B$4="Chapter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6">
      <c r="A916" t="inlineStr">
        <is>
          <t>Global Crit Rate Bonus %</t>
        </is>
      </c>
      <c r="B916" t="n">
        <v>0</v>
      </c>
    </row>
    <row r="917">
      <c r="A917" t="inlineStr">
        <is>
          <t>Attack Speed Buff Bonus % (Nimble Feet, duty-cycle averaged)</t>
        </is>
      </c>
      <c r="B917">
        <f>((C913=TRUE)*F913*IF(AND(Inputs!$B$38&lt;&gt;"pvp",Inputs!$B$43&gt;0),(((R913-1)*(Skills!T23*(1+Inputs!$B$34/100))+MIN((Skills!T23*(1+Inputs!$B$34/100)),MAX(0,Inputs!$B$43-((R913-1)*Skills!D23))))/Inputs!$B$43),IF(Inputs!$B$38="pvp",MIN((Skills!T23*(1+Inputs!$B$34/100)),15)/15,(Skills!T23*(1+Inputs!$B$34/100))/Skills!D23)))</f>
        <v/>
      </c>
    </row>
    <row r="918">
      <c r="A918" t="inlineStr">
        <is>
          <t>Actions Per Second</t>
        </is>
      </c>
      <c r="B918">
        <f>1+MIN(150,150*(1-(1-(Inputs!$B$11+((C907=TRUE)*(F907-Calc!F17))+((C908=TRUE)*(F908-Calc!F18)))/150)*(1-B917/150)))/100</f>
        <v/>
      </c>
    </row>
    <row r="919">
      <c r="A919" t="inlineStr">
        <is>
          <t>Skill + Buff Cast Rate</t>
        </is>
      </c>
      <c r="B919">
        <f>IF(AND(Inputs!$B$38&lt;&gt;"pvp",Inputs!$B$43&gt;0),SUMPRODUCT((Skills!E2:E23=TRUE)*(C892:C913=TRUE)*R892:R913*Skills!F2:F23)/Inputs!$B$43,SUMPRODUCT((Skills!E2:E23=TRUE)*(C892:C913=TRUE)*Q892:Q913*Skills!F2:F23))</f>
        <v/>
      </c>
    </row>
    <row r="920">
      <c r="A920" t="inlineStr">
        <is>
          <t>Hook Bomber Casts Per Second</t>
        </is>
      </c>
      <c r="B920">
        <f>MAX(0,B918-B919)</f>
        <v/>
      </c>
    </row>
    <row r="921">
      <c r="A921" t="inlineStr">
        <is>
          <t>Global Critical Damage Bonus % (unused)</t>
        </is>
      </c>
      <c r="B921" t="n">
        <v>0</v>
      </c>
    </row>
    <row r="922">
      <c r="A922" t="inlineStr">
        <is>
          <t>Global Final Damage Bonus % (Serpent Scale + Crossbones + Time Leap + Speed Infusion)</t>
        </is>
      </c>
      <c r="B922">
        <f>((C895=TRUE)*F895*((10+IF(Inputs!$B$3&gt;=94,5,0))/((10+IF(Inputs!$B$3&gt;=94,5,0))+5/(B920*(1+IF(Inputs!$B$3&gt;=104,1,0))))))+((C904=TRUE)*F904)+((C905=TRUE)*F905)+((Inputs!$B$3&gt;=110)*20*(B918-1))</f>
        <v/>
      </c>
    </row>
    <row r="923">
      <c r="A923" t="inlineStr">
        <is>
          <t>Buff-Casting Startup Delay (s, fixed-duration only)</t>
        </is>
      </c>
      <c r="B923">
        <f>IF(AND(Inputs!$B$38&lt;&gt;"pvp",Inputs!$B$43&gt;0),SUMPRODUCT((Skills!T2:T23&gt;0)*(Skills!E2:E23=TRUE)*(C892:C913=TRUE))/B918,0)</f>
        <v/>
      </c>
    </row>
    <row r="924">
      <c r="A924" t="inlineStr">
        <is>
          <t>Boss-Only Total DPS (this block's swept value)</t>
        </is>
      </c>
      <c r="B924">
        <f>SUM(T892:T913)</f>
        <v/>
      </c>
    </row>
    <row r="925">
      <c r="A925" t="inlineStr">
        <is>
          <t>Normal-Only Total DPS (this block's swept value)</t>
        </is>
      </c>
      <c r="B925">
        <f>SUM(V892:V913)</f>
        <v/>
      </c>
    </row>
    <row r="926">
      <c r="A926" s="6" t="inlineStr">
        <is>
          <t>TOTAL DPS</t>
        </is>
      </c>
      <c r="B926" s="6">
        <f>SUM(O892:O913)</f>
        <v/>
      </c>
    </row>
    <row r="929">
      <c r="A929" s="6" t="inlineStr">
        <is>
          <t>Stat: ATTACK %</t>
        </is>
      </c>
    </row>
    <row r="930">
      <c r="A930" s="5" t="inlineStr">
        <is>
          <t>Key</t>
        </is>
      </c>
      <c r="B930" s="5" t="inlineStr">
        <is>
          <t>Name</t>
        </is>
      </c>
      <c r="C930" s="5" t="inlineStr">
        <is>
          <t>Unlocked</t>
        </is>
      </c>
      <c r="D930" s="5" t="inlineStr">
        <is>
          <t>InputLevel</t>
        </is>
      </c>
      <c r="E930" s="5" t="inlineStr">
        <is>
          <t>Factor</t>
        </is>
      </c>
      <c r="F930" s="5" t="inlineStr">
        <is>
          <t>CoefficientPercent</t>
        </is>
      </c>
      <c r="G930" s="5" t="inlineStr">
        <is>
          <t>EffectiveHits</t>
        </is>
      </c>
      <c r="H930" s="5" t="inlineStr">
        <is>
          <t>ProcProbability</t>
        </is>
      </c>
      <c r="I930" s="5" t="inlineStr">
        <is>
          <t>MapleHeroMultiplier</t>
        </is>
      </c>
      <c r="J930" s="5" t="inlineStr">
        <is>
          <t>BaseDamage</t>
        </is>
      </c>
      <c r="K930" s="5" t="inlineStr">
        <is>
          <t>BaseHitDamage</t>
        </is>
      </c>
      <c r="L930" s="5" t="inlineStr">
        <is>
          <t>NonCritAvg</t>
        </is>
      </c>
      <c r="M930" s="5" t="inlineStr">
        <is>
          <t>CritAvg</t>
        </is>
      </c>
      <c r="N930" s="5" t="inlineStr">
        <is>
          <t>ExpectedDamage(perHit)</t>
        </is>
      </c>
      <c r="O930" s="5" t="inlineStr">
        <is>
          <t>DPS</t>
        </is>
      </c>
      <c r="P930" s="5" t="inlineStr">
        <is>
          <t>% of Total</t>
        </is>
      </c>
      <c r="Q930" s="5" t="inlineStr">
        <is>
          <t>InvCooldown</t>
        </is>
      </c>
      <c r="R930" s="5" t="inlineStr">
        <is>
          <t>CastsInFight</t>
        </is>
      </c>
      <c r="S930" s="5" t="inlineStr">
        <is>
          <t>HitRate(perSec)</t>
        </is>
      </c>
      <c r="U930" t="inlineStr">
        <is>
          <t>helpers</t>
        </is>
      </c>
    </row>
    <row r="931">
      <c r="A931">
        <f>Skills!A2</f>
        <v/>
      </c>
      <c r="B931">
        <f>Skills!B2</f>
        <v/>
      </c>
      <c r="C931">
        <f>Inputs!$B$3&gt;=100</f>
        <v/>
      </c>
      <c r="D931" t="inlineStr"/>
      <c r="E931" t="inlineStr"/>
      <c r="F931">
        <f>U933+Skills!O2</f>
        <v/>
      </c>
      <c r="G931">
        <f>Skills!G2*IF(Skills!H2&gt;0,Skills!I2/Skills!H2,1)</f>
        <v/>
      </c>
      <c r="H931">
        <f>1-(1-Skills!J2/100)^Skills!K2</f>
        <v/>
      </c>
      <c r="I931" t="inlineStr">
        <is>
          <t>1</t>
        </is>
      </c>
      <c r="J931">
        <f>((Inputs!$B$6*(1+(Inputs!$B$7+1)/100))+(((Inputs!$B$12*(1+Inputs!$B$13/100))-(Inputs!$B$12*(1+Inputs!$B$13/100)))+0.25*(Inputs!$B$14-Inputs!$B$14))*(1+(Inputs!$B$7+1)/100))*(F931/100)</f>
        <v/>
      </c>
      <c r="K931">
        <f>J931*(1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20)),(Inputs!$B$23+0+(IF(ArtifactsInput!$M$15,CHOOSE(ArtifactsInput!$N$15+1,25,30,35,40,45,50)/100*(Inputs!$B$11-Inputs!$B$11),0))))/100+(Inputs!$B$23+0+(IF(ArtifactsInput!$M$15,CHOOSE(ArtifactsInput!$N$15+1,25,30,35,40,45,50)/100*(Inputs!$B$11-Inputs!$B$11),0)))/100)/2</f>
        <v/>
      </c>
      <c r="M931">
        <f>L931*(1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IF(B965=0,0,O931/B965)</f>
        <v/>
      </c>
      <c r="Q931" t="n">
        <v>0</v>
      </c>
      <c r="R931" t="n">
        <v>0</v>
      </c>
      <c r="S931">
        <f>IFERROR(O931/N931,0)</f>
        <v/>
      </c>
      <c r="T931">
        <f>IF(C931,(Skills!G2*N931*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1">
        <f>MAX(0,(Inputs!$B$3-100)*3)+Inputs!$B$28+Inputs!$B$29</f>
        <v/>
      </c>
      <c r="V931">
        <f>IF(C931,(Skills!G2*N931*B959)*IF(Inputs!$B$38="pvp",1,(1+(Inputs!$B$21+Skills!Q2+(IF(ArtifactsInput!$M$33,CHOOSE(ArtifactsInput!$N$33+1,30,36,42,48,54,60),0))+(IF(AND(ArtifactsInput!$M$35,Inputs!$B$4&lt;&gt;"Chapter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Skills!A3</f>
        <v/>
      </c>
      <c r="B932">
        <f>Skills!B3</f>
        <v/>
      </c>
      <c r="C932">
        <f>Inputs!$B$3&gt;=35</f>
        <v/>
      </c>
      <c r="D932">
        <f>IF(Skills!C3=1,60+Inputs!$B$25+Inputs!$B$29,IF(Skills!C3=2,90+Inputs!$B$26+Inputs!$B$29,IF(Skills!C3=3,120+Inputs!$B$27+Inputs!$B$29,MAX(0,(Inputs!$B$3-100)*3)+Inputs!$B$28+Inputs!$B$29)))</f>
        <v/>
      </c>
      <c r="E932">
        <f>INDEX(FactorTable!$B$2:$Y$301, MATCH(ROUND(MIN(300,MAX(1,D932)),0), FactorTable!$A$2:$A$301,0), Skills!M3+1)</f>
        <v/>
      </c>
      <c r="F932">
        <f>IF(Skills!N3=TRUE,(Skills!L3/10)*(E932/1000),Skills!L3/10)+Skills!O3</f>
        <v/>
      </c>
      <c r="G932">
        <f>Skills!G3*IF(Skills!H3&gt;0,Skills!I3/Skills!H3,1)</f>
        <v/>
      </c>
      <c r="H932">
        <f>1-(1-Skills!J3/100)^Skills!K3</f>
        <v/>
      </c>
      <c r="I932" t="inlineStr">
        <is>
          <t>1</t>
        </is>
      </c>
      <c r="J932">
        <f>((Inputs!$B$6*(1+(Inputs!$B$7+1)/100))+(((Inputs!$B$12*(1+Inputs!$B$13/100))-(Inputs!$B$12*(1+Inputs!$B$13/100)))+0.25*(Inputs!$B$14-Inputs!$B$14))*(1+(Inputs!$B$7+1)/100))*(F932/100)</f>
        <v/>
      </c>
      <c r="K932">
        <f>J932*(1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t="n">
        <v>0</v>
      </c>
      <c r="R932" t="n">
        <v>0</v>
      </c>
      <c r="S932">
        <f>IFERROR(O932/N932,0)</f>
        <v/>
      </c>
      <c r="T932">
        <f>IF(C932,(Skills!G3*H932*N932*B959)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2">
        <f>INDEX(FactorTable!$B$2:$Y$301, MATCH(ROUND(MIN(300,MAX(1,U931)),0), FactorTable!$A$2:$A$301,0), 22)</f>
        <v/>
      </c>
      <c r="V932">
        <f>IF(C932,(Skills!G3*H932*N932*B959)*IF(Inputs!$B$38="pvp",1,(1+(Inputs!$B$21+Skills!Q3+(IF(ArtifactsInput!$M$33,CHOOSE(ArtifactsInput!$N$33+1,30,36,42,48,54,60),0))+(IF(AND(ArtifactsInput!$M$35,Inputs!$B$4&lt;&gt;"Chapter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Skills!A4</f>
        <v/>
      </c>
      <c r="B933">
        <f>Skills!B4</f>
        <v/>
      </c>
      <c r="C933">
        <f>Inputs!$B$3&gt;=60</f>
        <v/>
      </c>
      <c r="D933">
        <f>IF(Skills!C4=1,60+Inputs!$B$25+Inputs!$B$29,IF(Skills!C4=2,90+Inputs!$B$26+Inputs!$B$29,IF(Skills!C4=3,120+Inputs!$B$27+Inputs!$B$29,MAX(0,(Inputs!$B$3-100)*3)+Inputs!$B$28+Inputs!$B$29)))</f>
        <v/>
      </c>
      <c r="E933">
        <f>INDEX(FactorTable!$B$2:$Y$301, MATCH(ROUND(MIN(300,MAX(1,D933)),0), FactorTable!$A$2:$A$301,0), Skills!M4+1)</f>
        <v/>
      </c>
      <c r="F933">
        <f>IF(Skills!N4=TRUE,(Skills!L4/10)*(E933/1000),Skills!L4/10)+Skills!O4</f>
        <v/>
      </c>
      <c r="G933">
        <f>Skills!G4*IF(Skills!H4&gt;0,Skills!I4/Skills!H4,1)</f>
        <v/>
      </c>
      <c r="H933">
        <f>1-(1-Skills!J4/100)^Skills!K4</f>
        <v/>
      </c>
      <c r="I933" t="inlineStr">
        <is>
          <t>1</t>
        </is>
      </c>
      <c r="J933">
        <f>((Inputs!$B$6*(1+(Inputs!$B$7+1)/100))+(((Inputs!$B$12*(1+Inputs!$B$13/100))-(Inputs!$B$12*(1+Inputs!$B$13/100)))+0.25*(Inputs!$B$14-Inputs!$B$14))*(1+(Inputs!$B$7+1)/100))*(F933/100)</f>
        <v/>
      </c>
      <c r="K933">
        <f>J933*(1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941=TRUE,F941,0)/100)*(1+(IF(Skills!A4="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t="n">
        <v>0</v>
      </c>
      <c r="R933" t="n">
        <v>0</v>
      </c>
      <c r="S933">
        <f>IFERROR(O933/N933,0)</f>
        <v/>
      </c>
      <c r="T933">
        <f>IF(C933,(Skills!G4*H933*N933*B959)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290*U932/1000</f>
        <v/>
      </c>
      <c r="V933">
        <f>IF(C933,(Skills!G4*H933*N933*B959)*IF(Inputs!$B$38="pvp",1,(1+(Inputs!$B$21+Skills!Q4+(IF(ArtifactsInput!$M$33,CHOOSE(ArtifactsInput!$N$33+1,30,36,42,48,54,60),0))+(IF(AND(ArtifactsInput!$M$35,Inputs!$B$4&lt;&gt;"Chapter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Skills!A5</f>
        <v/>
      </c>
      <c r="B934">
        <f>Skills!B5</f>
        <v/>
      </c>
      <c r="C934">
        <f>Inputs!$B$3&gt;=60</f>
        <v/>
      </c>
      <c r="D934">
        <f>IF(Skills!C5=1,60+Inputs!$B$25+Inputs!$B$29,IF(Skills!C5=2,90+Inputs!$B$26+Inputs!$B$29,IF(Skills!C5=3,120+Inputs!$B$27+Inputs!$B$29,MAX(0,(Inputs!$B$3-100)*3)+Inputs!$B$28+Inputs!$B$29)))</f>
        <v/>
      </c>
      <c r="E934">
        <f>INDEX(FactorTable!$B$2:$Y$301, MATCH(ROUND(MIN(300,MAX(1,D934)),0), FactorTable!$A$2:$A$301,0), Skills!M5+1)</f>
        <v/>
      </c>
      <c r="F934">
        <f>IF(Skills!N5=TRUE,(Skills!L5/10)*(E934/1000),Skills!L5/10)+Skills!O5</f>
        <v/>
      </c>
      <c r="G934">
        <f>Skills!G5*IF(Skills!H5&gt;0,Skills!I5/Skills!H5,1)</f>
        <v/>
      </c>
      <c r="H934">
        <f>1-(1-Skills!J5/100)^Skills!K5</f>
        <v/>
      </c>
      <c r="I934" t="inlineStr">
        <is>
          <t>1</t>
        </is>
      </c>
      <c r="J934" t="inlineStr"/>
      <c r="K934" t="inlineStr"/>
      <c r="L934" t="inlineStr"/>
      <c r="M934" t="inlineStr"/>
      <c r="N934" t="inlineStr"/>
      <c r="O934">
        <f>(1-Summary!$B$11)*T934+Summary!$B$11*V934</f>
        <v/>
      </c>
      <c r="P934">
        <f>IF(B965=0,0,O934/B965)</f>
        <v/>
      </c>
      <c r="Q934" t="n">
        <v>0</v>
      </c>
      <c r="R934" t="n">
        <v>0</v>
      </c>
      <c r="S934">
        <f>IFERROR(O934/N934,0)</f>
        <v/>
      </c>
      <c r="T934" t="n">
        <v>0</v>
      </c>
      <c r="V934" t="n">
        <v>0</v>
      </c>
    </row>
    <row r="935">
      <c r="A935">
        <f>Skills!A6</f>
        <v/>
      </c>
      <c r="B935">
        <f>Skills!B6</f>
        <v/>
      </c>
      <c r="C935">
        <f>Inputs!$B$3&gt;=63</f>
        <v/>
      </c>
      <c r="D935">
        <f>IF(Skills!C6=1,60+Inputs!$B$25+Inputs!$B$29,IF(Skills!C6=2,90+Inputs!$B$26+Inputs!$B$29,IF(Skills!C6=3,120+Inputs!$B$27+Inputs!$B$29,MAX(0,(Inputs!$B$3-100)*3)+Inputs!$B$28+Inputs!$B$29)))</f>
        <v/>
      </c>
      <c r="E935">
        <f>INDEX(FactorTable!$B$2:$Y$301, MATCH(ROUND(MIN(300,MAX(1,D935)),0), FactorTable!$A$2:$A$301,0), Skills!M6+1)</f>
        <v/>
      </c>
      <c r="F935">
        <f>IF(Skills!N6=TRUE,(Skills!L6/10)*(E935/1000),Skills!L6/10)+Skills!O6</f>
        <v/>
      </c>
      <c r="G935">
        <f>Skills!G6*IF(Skills!H6&gt;0,Skills!I6/Skills!H6,1)</f>
        <v/>
      </c>
      <c r="H935">
        <f>1-(1-Skills!J6/100)^Skills!K6</f>
        <v/>
      </c>
      <c r="I935" t="inlineStr">
        <is>
          <t>1</t>
        </is>
      </c>
      <c r="J935">
        <f>((Inputs!$B$6*(1+(Inputs!$B$7+1)/100))+(((Inputs!$B$12*(1+Inputs!$B$13/100))-(Inputs!$B$12*(1+Inputs!$B$13/100)))+0.25*(Inputs!$B$14-Inputs!$B$14))*(1+(Inputs!$B$7+1)/100))*(F935/100)</f>
        <v/>
      </c>
      <c r="K935">
        <f>J935*(1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IFERROR(1/(IF(Inputs!$B$38="pvp",15,MAX(0.1,Skills!D6-IF(Skills!E6=TRUE,Inputs!$B$32,0)))*(1-IF(AND(ArtifactsInput!$M$27,Inputs!$B$4="Chapter Hunt"),CHOOSE(ArtifactsInput!$N$27+1,20,24,28,32,36,40),0)/100)),0)</f>
        <v/>
      </c>
      <c r="R935">
        <f>IF(AND(Inputs!$B$38&lt;&gt;"pvp",Inputs!$B$43&gt;0),IF(MAX(0,Inputs!$B$43-B962)&lt;=0,0,(INT(MAX(0,Inputs!$B$43-B962)/(IF(Inputs!$B$38="pvp",15,MAX(0.1,Skills!D6-IF(Skills!E6=TRUE,Inputs!$B$32,0)))*(1-IF(AND(ArtifactsInput!$M$27,Inputs!$B$4="Chapter Hunt"),CHOOSE(ArtifactsInput!$N$27+1,20,24,28,32,36,40),0)/100)))+1)),0)</f>
        <v/>
      </c>
      <c r="S935">
        <f>IFERROR(O935/N935,0)</f>
        <v/>
      </c>
      <c r="T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Skills!A7</f>
        <v/>
      </c>
      <c r="B936">
        <f>Skills!B7</f>
        <v/>
      </c>
      <c r="C936">
        <f>Inputs!$B$3&gt;=100</f>
        <v/>
      </c>
      <c r="D936">
        <f>IF(Skills!C7=1,60+Inputs!$B$25+Inputs!$B$29,IF(Skills!C7=2,90+Inputs!$B$26+Inputs!$B$29,IF(Skills!C7=3,120+Inputs!$B$27+Inputs!$B$29,MAX(0,(Inputs!$B$3-100)*3)+Inputs!$B$28+Inputs!$B$29)))</f>
        <v/>
      </c>
      <c r="E936">
        <f>INDEX(FactorTable!$B$2:$Y$301, MATCH(ROUND(MIN(300,MAX(1,D936)),0), FactorTable!$A$2:$A$301,0), Skills!M7+1)</f>
        <v/>
      </c>
      <c r="F936">
        <f>IF(Skills!N7=TRUE,(Skills!L7/10)*(E936/1000),Skills!L7/10)+Skills!O7</f>
        <v/>
      </c>
      <c r="G936">
        <f>Skills!G7*IF(Skills!H7&gt;0,Skills!I7/Skills!H7,1)</f>
        <v/>
      </c>
      <c r="H936">
        <f>1-(1-Skills!J7/100)^Skills!K7</f>
        <v/>
      </c>
      <c r="I936" t="inlineStr">
        <is>
          <t>1</t>
        </is>
      </c>
      <c r="J936">
        <f>((Inputs!$B$6*(1+(Inputs!$B$7+1)/100))+(((Inputs!$B$12*(1+Inputs!$B$13/100))-(Inputs!$B$12*(1+Inputs!$B$13/100)))+0.25*(Inputs!$B$14-Inputs!$B$14))*(1+(Inputs!$B$7+1)/100))*(F936/100)</f>
        <v/>
      </c>
      <c r="K936">
        <f>J936*(1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IFERROR(1/(IF(Inputs!$B$38="pvp",15,MAX(0.1,Skills!D7-IF(Skills!E7=TRUE,Inputs!$B$32,0)))*(1-IF(AND(ArtifactsInput!$M$27,Inputs!$B$4="Chapter Hunt"),CHOOSE(ArtifactsInput!$N$27+1,20,24,28,32,36,40),0)/100)),0)</f>
        <v/>
      </c>
      <c r="R936">
        <f>IF(AND(Inputs!$B$38&lt;&gt;"pvp",Inputs!$B$43&gt;0),IF(MAX(0,Inputs!$B$43-B962)&lt;=0,0,(INT(MAX(0,Inputs!$B$43-B962)/(IF(Inputs!$B$38="pvp",15,MAX(0.1,Skills!D7-IF(Skills!E7=TRUE,Inputs!$B$32,0)))*(1-IF(AND(ArtifactsInput!$M$27,Inputs!$B$4="Chapter Hunt"),CHOOSE(ArtifactsInput!$N$27+1,20,24,28,32,36,40),0)/100)))+1)),0)</f>
        <v/>
      </c>
      <c r="S936">
        <f>IFERROR(O936/N936,0)</f>
        <v/>
      </c>
      <c r="T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Skills!A8</f>
        <v/>
      </c>
      <c r="B937">
        <f>Skills!B8</f>
        <v/>
      </c>
      <c r="C937">
        <f>Inputs!$B$3&gt;=110</f>
        <v/>
      </c>
      <c r="D937">
        <f>IF(Skills!C8=1,60+Inputs!$B$25+Inputs!$B$29,IF(Skills!C8=2,90+Inputs!$B$26+Inputs!$B$29,IF(Skills!C8=3,120+Inputs!$B$27+Inputs!$B$29,MAX(0,(Inputs!$B$3-100)*3)+Inputs!$B$28+Inputs!$B$29)))</f>
        <v/>
      </c>
      <c r="E937">
        <f>INDEX(FactorTable!$B$2:$Y$301, MATCH(ROUND(MIN(300,MAX(1,D937)),0), FactorTable!$A$2:$A$301,0), Skills!M8+1)</f>
        <v/>
      </c>
      <c r="F937">
        <f>IF(Skills!N8=TRUE,(Skills!L8/10)*(E937/1000),Skills!L8/10)+Skills!O8</f>
        <v/>
      </c>
      <c r="G937">
        <f>Skills!G8*IF(Skills!H8&gt;0,Skills!I8/Skills!H8,1)</f>
        <v/>
      </c>
      <c r="H937">
        <f>1-(1-Skills!J8/100)^Skills!K8</f>
        <v/>
      </c>
      <c r="I937" t="inlineStr">
        <is>
          <t>1</t>
        </is>
      </c>
      <c r="J937">
        <f>((Inputs!$B$6*(1+(Inputs!$B$7+1)/100))+(((Inputs!$B$12*(1+Inputs!$B$13/100))-(Inputs!$B$12*(1+Inputs!$B$13/100)))+0.25*(Inputs!$B$14-Inputs!$B$14))*(1+(Inputs!$B$7+1)/100))*(F937/100)</f>
        <v/>
      </c>
      <c r="K937">
        <f>J937*(1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f>IFERROR(1/(IF(Inputs!$B$38="pvp",15,MAX(0.1,Skills!D8-IF(Skills!E8=TRUE,Inputs!$B$32,0)))*(1-IF(AND(ArtifactsInput!$M$27,Inputs!$B$4="Chapter Hunt"),CHOOSE(ArtifactsInput!$N$27+1,20,24,28,32,36,40),0)/100)),0)</f>
        <v/>
      </c>
      <c r="R937">
        <f>IF(AND(Inputs!$B$38&lt;&gt;"pvp",Inputs!$B$43&gt;0),IF(MAX(0,Inputs!$B$43-B962)&lt;=0,0,(INT(MAX(0,Inputs!$B$43-B962)/(IF(Inputs!$B$38="pvp",15,MAX(0.1,Skills!D8-IF(Skills!E8=TRUE,Inputs!$B$32,0)))*(1-IF(AND(ArtifactsInput!$M$27,Inputs!$B$4="Chapter Hunt"),CHOOSE(ArtifactsInput!$N$27+1,20,24,28,32,36,40),0)/100)))+1)),0)</f>
        <v/>
      </c>
      <c r="S937">
        <f>IFERROR(O937/N937,0)</f>
        <v/>
      </c>
      <c r="T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Skills!A9</f>
        <v/>
      </c>
      <c r="B938">
        <f>Skills!B9</f>
        <v/>
      </c>
      <c r="C938">
        <f>Inputs!$B$3&gt;=110</f>
        <v/>
      </c>
      <c r="D938">
        <f>IF(Skills!C9=1,60+Inputs!$B$25+Inputs!$B$29,IF(Skills!C9=2,90+Inputs!$B$26+Inputs!$B$29,IF(Skills!C9=3,120+Inputs!$B$27+Inputs!$B$29,MAX(0,(Inputs!$B$3-100)*3)+Inputs!$B$28+Inputs!$B$29)))</f>
        <v/>
      </c>
      <c r="E938">
        <f>INDEX(FactorTable!$B$2:$Y$301, MATCH(ROUND(MIN(300,MAX(1,D938)),0), FactorTable!$A$2:$A$301,0), Skills!M9+1)</f>
        <v/>
      </c>
      <c r="F938">
        <f>IF(Skills!N9=TRUE,(Skills!L9/10)*(E938/1000),Skills!L9/10)+Skills!O9</f>
        <v/>
      </c>
      <c r="G938">
        <f>Skills!G9*IF(Skills!H9&gt;0,Skills!I9/Skills!H9,1)</f>
        <v/>
      </c>
      <c r="H938">
        <f>1-(1-Skills!J9/100)^Skills!K9</f>
        <v/>
      </c>
      <c r="I938" t="inlineStr">
        <is>
          <t>1</t>
        </is>
      </c>
      <c r="J938">
        <f>((Inputs!$B$6*(1+(Inputs!$B$7+1)/100))+(((Inputs!$B$12*(1+Inputs!$B$13/100))-(Inputs!$B$12*(1+Inputs!$B$13/100)))+0.25*(Inputs!$B$14-Inputs!$B$14))*(1+(Inputs!$B$7+1)/100))*(F938/100)</f>
        <v/>
      </c>
      <c r="K938">
        <f>J938*(1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949=TRUE)*(F949-Calc!F20)),(Inputs!$B$23+0+(IF(ArtifactsInput!$M$15,CHOOSE(ArtifactsInput!$N$15+1,25,30,35,40,45,50)/100*(Inputs!$B$11-Inputs!$B$11),0))))/100+(Inputs!$B$23+0+(IF(ArtifactsInput!$M$15,CHOOSE(ArtifactsInput!$N$15+1,25,30,35,40,45,50)/100*(Inputs!$B$11-Inputs!$B$11),0)))/100)/2</f>
        <v/>
      </c>
      <c r="M938">
        <f>L938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IF(B965=0,0,O938/B965)</f>
        <v/>
      </c>
      <c r="Q938">
        <f>IFERROR(1/(IF(Inputs!$B$38="pvp",15,MAX(0.1,Skills!D9-IF(Skills!E9=TRUE,Inputs!$B$32,0)))*(1-IF(AND(ArtifactsInput!$M$27,Inputs!$B$4="Chapter Hunt"),CHOOSE(ArtifactsInput!$N$27+1,20,24,28,32,36,40),0)/100)),0)</f>
        <v/>
      </c>
      <c r="R938">
        <f>IF(AND(Inputs!$B$38&lt;&gt;"pvp",Inputs!$B$43&gt;0),IF(MAX(0,Inputs!$B$43-B962)&lt;=0,0,(INT(MAX(0,Inputs!$B$43-B962)/(IF(Inputs!$B$38="pvp",15,MAX(0.1,Skills!D9-IF(Skills!E9=TRUE,Inputs!$B$32,0)))*(1-IF(AND(ArtifactsInput!$M$27,Inputs!$B$4="Chapter Hunt"),CHOOSE(ArtifactsInput!$N$27+1,20,24,28,32,36,40),0)/100)))+1)),0)</f>
        <v/>
      </c>
      <c r="S938">
        <f>IFERROR(O938/N938,0)</f>
        <v/>
      </c>
      <c r="T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Skills!A10</f>
        <v/>
      </c>
      <c r="B939">
        <f>Skills!B10</f>
        <v/>
      </c>
      <c r="C939">
        <f>Inputs!$B$3&gt;=103</f>
        <v/>
      </c>
      <c r="D939">
        <f>IF(Skills!C10=1,60+Inputs!$B$25+Inputs!$B$29,IF(Skills!C10=2,90+Inputs!$B$26+Inputs!$B$29,IF(Skills!C10=3,120+Inputs!$B$27+Inputs!$B$29,MAX(0,(Inputs!$B$3-100)*3)+Inputs!$B$28+Inputs!$B$29)))</f>
        <v/>
      </c>
      <c r="E939">
        <f>INDEX(FactorTable!$B$2:$Y$301, MATCH(ROUND(MIN(300,MAX(1,D939)),0), FactorTable!$A$2:$A$301,0), Skills!M10+1)</f>
        <v/>
      </c>
      <c r="F939">
        <f>IF(Skills!N10=TRUE,(Skills!L10/10)*(E939/1000),Skills!L10/10)+Skills!O10</f>
        <v/>
      </c>
      <c r="G939">
        <f>Skills!G10*IF(Skills!H10&gt;0,Skills!I10/Skills!H10,1)</f>
        <v/>
      </c>
      <c r="H939">
        <f>1-(1-Skills!J10/100)^Skills!K10</f>
        <v/>
      </c>
      <c r="I939" t="inlineStr">
        <is>
          <t>1</t>
        </is>
      </c>
      <c r="J939">
        <f>((Inputs!$B$6*(1+(Inputs!$B$7+1)/100))+(((Inputs!$B$12*(1+Inputs!$B$13/100))-(Inputs!$B$12*(1+Inputs!$B$13/100)))+0.25*(Inputs!$B$14-Inputs!$B$14))*(1+(Inputs!$B$7+1)/100))*(F939/100)</f>
        <v/>
      </c>
      <c r="K939">
        <f>J939*(1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949=TRUE)*(F949-Calc!F20)),(Inputs!$B$23+0+(IF(ArtifactsInput!$M$15,CHOOSE(ArtifactsInput!$N$15+1,25,30,35,40,45,50)/100*(Inputs!$B$11-Inputs!$B$11),0))))/100+(Inputs!$B$23+0+(IF(ArtifactsInput!$M$15,CHOOSE(ArtifactsInput!$N$15+1,25,30,35,40,45,50)/100*(Inputs!$B$11-Inputs!$B$11),0)))/100)/2</f>
        <v/>
      </c>
      <c r="M939">
        <f>L939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IF(B965=0,0,O939/B965)</f>
        <v/>
      </c>
      <c r="Q939">
        <f>IFERROR(1/(IF(Inputs!$B$38="pvp",15,MAX(0.1,Skills!D10-IF(Skills!E10=TRUE,Inputs!$B$32,0)))*(1-IF(AND(ArtifactsInput!$M$27,Inputs!$B$4="Chapter Hunt"),CHOOSE(ArtifactsInput!$N$27+1,20,24,28,32,36,40),0)/100)),0)</f>
        <v/>
      </c>
      <c r="R939">
        <f>IF(AND(Inputs!$B$38&lt;&gt;"pvp",Inputs!$B$43&gt;0),IF(MAX(0,Inputs!$B$43-B962)&lt;=0,0,(INT(MAX(0,Inputs!$B$43-B962)/(IF(Inputs!$B$38="pvp",15,MAX(0.1,Skills!D10-IF(Skills!E10=TRUE,Inputs!$B$32,0)))*(1-IF(AND(ArtifactsInput!$M$27,Inputs!$B$4="Chapter Hunt"),CHOOSE(ArtifactsInput!$N$27+1,20,24,28,32,36,40),0)/100)))+1)),0)</f>
        <v/>
      </c>
      <c r="S939">
        <f>IFERROR(O939/N939,0)</f>
        <v/>
      </c>
      <c r="T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Skills!A11</f>
        <v/>
      </c>
      <c r="B940">
        <f>Skills!B11</f>
        <v/>
      </c>
      <c r="C940">
        <f>Inputs!$B$3&gt;=113</f>
        <v/>
      </c>
      <c r="D940">
        <f>IF(Skills!C11=1,60+Inputs!$B$25+Inputs!$B$29,IF(Skills!C11=2,90+Inputs!$B$26+Inputs!$B$29,IF(Skills!C11=3,120+Inputs!$B$27+Inputs!$B$29,MAX(0,(Inputs!$B$3-100)*3)+Inputs!$B$28+Inputs!$B$29)))</f>
        <v/>
      </c>
      <c r="E940">
        <f>INDEX(FactorTable!$B$2:$Y$301, MATCH(ROUND(MIN(300,MAX(1,D940)),0), FactorTable!$A$2:$A$301,0), Skills!M11+1)</f>
        <v/>
      </c>
      <c r="F940">
        <f>IF(Skills!N11=TRUE,(Skills!L11/10)*(E940/1000),Skills!L11/10)+Skills!O11</f>
        <v/>
      </c>
      <c r="G940">
        <f>Skills!G11*IF(Skills!H11&gt;0,Skills!I11/Skills!H11,1)</f>
        <v/>
      </c>
      <c r="H940">
        <f>1-(1-Skills!J11/100)^Skills!K11</f>
        <v/>
      </c>
      <c r="I940" t="inlineStr">
        <is>
          <t>1</t>
        </is>
      </c>
      <c r="J940">
        <f>((Inputs!$B$6*(1+(Inputs!$B$7+1)/100))+(((Inputs!$B$12*(1+Inputs!$B$13/100))-(Inputs!$B$12*(1+Inputs!$B$13/100)))+0.25*(Inputs!$B$14-Inputs!$B$14))*(1+(Inputs!$B$7+1)/100))*(F940/100)</f>
        <v/>
      </c>
      <c r="K940">
        <f>J940*(1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949=TRUE)*(F949-Calc!F20)),(Inputs!$B$23+0+(IF(ArtifactsInput!$M$15,CHOOSE(ArtifactsInput!$N$15+1,25,30,35,40,45,50)/100*(Inputs!$B$11-Inputs!$B$11),0))))/100+(Inputs!$B$23+0+(IF(ArtifactsInput!$M$15,CHOOSE(ArtifactsInput!$N$15+1,25,30,35,40,45,50)/100*(Inputs!$B$11-Inputs!$B$11),0)))/100)/2</f>
        <v/>
      </c>
      <c r="M940">
        <f>L940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IF(B965=0,0,O940/B965)</f>
        <v/>
      </c>
      <c r="Q940">
        <f>IFERROR(1/(IF(Inputs!$B$38="pvp",15,MAX(0.1,Skills!D11-IF(Skills!E11=TRUE,Inputs!$B$32,0)))*(1-IF(AND(ArtifactsInput!$M$27,Inputs!$B$4="Chapter Hunt"),CHOOSE(ArtifactsInput!$N$27+1,20,24,28,32,36,40),0)/100)),0)</f>
        <v/>
      </c>
      <c r="R940">
        <f>IF(AND(Inputs!$B$38&lt;&gt;"pvp",Inputs!$B$43&gt;0),IF(MAX(0,Inputs!$B$43-B962)&lt;=0,0,(INT(MAX(0,Inputs!$B$43-B962)/(IF(Inputs!$B$38="pvp",15,MAX(0.1,Skills!D11-IF(Skills!E11=TRUE,Inputs!$B$32,0)))*(1-IF(AND(ArtifactsInput!$M$27,Inputs!$B$4="Chapter Hunt"),CHOOSE(ArtifactsInput!$N$27+1,20,24,28,32,36,40),0)/100)))+1)),0)</f>
        <v/>
      </c>
      <c r="S940">
        <f>IFERROR(O940/N940,0)</f>
        <v/>
      </c>
      <c r="T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Skills!A12</f>
        <v/>
      </c>
      <c r="B941">
        <f>Skills!B12</f>
        <v/>
      </c>
      <c r="C941">
        <f>Inputs!$B$3&gt;=100</f>
        <v/>
      </c>
      <c r="D941">
        <f>IF(Skills!C12=1,60+Inputs!$B$25+Inputs!$B$29,IF(Skills!C12=2,90+Inputs!$B$26+Inputs!$B$29,IF(Skills!C12=3,120+Inputs!$B$27+Inputs!$B$29,MAX(0,(Inputs!$B$3-100)*3)+Inputs!$B$28+Inputs!$B$29)))</f>
        <v/>
      </c>
      <c r="E941">
        <f>INDEX(FactorTable!$B$2:$Y$301, MATCH(ROUND(MIN(300,MAX(1,D941)),0), FactorTable!$A$2:$A$301,0), Skills!M12+1)</f>
        <v/>
      </c>
      <c r="F941">
        <f>IF(Skills!N12=TRUE,(Skills!L12/10)*(E941/1000),Skills!L12/10)+Skills!O12</f>
        <v/>
      </c>
      <c r="G941" t="inlineStr"/>
      <c r="H941" t="inlineStr"/>
      <c r="I941" t="inlineStr">
        <is>
          <t>1</t>
        </is>
      </c>
      <c r="J941" t="inlineStr"/>
      <c r="K941" t="inlineStr"/>
      <c r="L941" t="inlineStr"/>
      <c r="M941" t="inlineStr"/>
      <c r="N941" t="inlineStr"/>
      <c r="O941" t="inlineStr"/>
      <c r="P941" t="inlineStr"/>
      <c r="Q941" t="inlineStr"/>
      <c r="R941" t="inlineStr"/>
      <c r="S941" t="inlineStr"/>
      <c r="T941" t="inlineStr"/>
      <c r="V941" t="inlineStr"/>
    </row>
    <row r="942">
      <c r="A942">
        <f>Skills!A13</f>
        <v/>
      </c>
      <c r="B942">
        <f>Skills!B13</f>
        <v/>
      </c>
      <c r="C942">
        <f>Inputs!$B$3&gt;=66</f>
        <v/>
      </c>
      <c r="D942">
        <f>IF(Skills!C13=1,60+Inputs!$B$25+Inputs!$B$29,IF(Skills!C13=2,90+Inputs!$B$26+Inputs!$B$29,IF(Skills!C13=3,120+Inputs!$B$27+Inputs!$B$29,MAX(0,(Inputs!$B$3-100)*3)+Inputs!$B$28+Inputs!$B$29)))</f>
        <v/>
      </c>
      <c r="E942">
        <f>INDEX(FactorTable!$B$2:$Y$301, MATCH(ROUND(MIN(300,MAX(1,D942)),0), FactorTable!$A$2:$A$301,0), Skills!M13+1)</f>
        <v/>
      </c>
      <c r="F942">
        <f>IF(Skills!N13=TRUE,(Skills!L13/10)*(E942/1000),Skills!L13/10)+Skills!O13</f>
        <v/>
      </c>
      <c r="G942">
        <f>Skills!G13*IF(Skills!H13&gt;0,Skills!I13/Skills!H13,1)</f>
        <v/>
      </c>
      <c r="H942">
        <f>1-(1-Skills!J13/100)^Skills!K13</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Skills!A14</f>
        <v/>
      </c>
      <c r="B943">
        <f>Skills!B14</f>
        <v/>
      </c>
      <c r="C943">
        <f>Inputs!$B$3&gt;=107</f>
        <v/>
      </c>
      <c r="D943">
        <f>IF(Skills!C14=1,60+Inputs!$B$25+Inputs!$B$29,IF(Skills!C14=2,90+Inputs!$B$26+Inputs!$B$29,IF(Skills!C14=3,120+Inputs!$B$27+Inputs!$B$29,MAX(0,(Inputs!$B$3-100)*3)+Inputs!$B$28+Inputs!$B$29)))</f>
        <v/>
      </c>
      <c r="E943">
        <f>INDEX(FactorTable!$B$2:$Y$301, MATCH(ROUND(MIN(300,MAX(1,D943)),0), FactorTable!$A$2:$A$301,0), Skills!M14+1)</f>
        <v/>
      </c>
      <c r="F943">
        <f>IF(Skills!N14=TRUE,(Skills!L14/10)*(E943/1000),Skills!L14/10)+Skills!O14</f>
        <v/>
      </c>
      <c r="G943">
        <f>Skills!G14*IF(Skills!H14&gt;0,Skills!I14/Skills!H14,1)</f>
        <v/>
      </c>
      <c r="H943">
        <f>1-(1-Skills!J14/100)^Skills!K14</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Skills!A15</f>
        <v/>
      </c>
      <c r="B944">
        <f>Skills!B15</f>
        <v/>
      </c>
      <c r="C944">
        <f>Inputs!$B$3&gt;=115</f>
        <v/>
      </c>
      <c r="D944">
        <f>IF(Skills!C15=1,60+Inputs!$B$25+Inputs!$B$29,IF(Skills!C15=2,90+Inputs!$B$26+Inputs!$B$29,IF(Skills!C15=3,120+Inputs!$B$27+Inputs!$B$29,MAX(0,(Inputs!$B$3-100)*3)+Inputs!$B$28+Inputs!$B$29)))</f>
        <v/>
      </c>
      <c r="E944">
        <f>INDEX(FactorTable!$B$2:$Y$301, MATCH(ROUND(MIN(300,MAX(1,D944)),0), FactorTable!$A$2:$A$301,0), Skills!M15+1)</f>
        <v/>
      </c>
      <c r="F944">
        <f>IF(Skills!N15=TRUE,(Skills!L15/10)*(E944/1000),Skills!L15/10)+Skills!O15</f>
        <v/>
      </c>
      <c r="G944">
        <f>Skills!G15*IF(Skills!H15&gt;0,Skills!I15/Skills!H15,1)</f>
        <v/>
      </c>
      <c r="H944">
        <f>1-(1-Skills!J15/100)^Skills!K15</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Skills!A16</f>
        <v/>
      </c>
      <c r="B945">
        <f>Skills!B16</f>
        <v/>
      </c>
      <c r="C945">
        <f>Inputs!$B$3&gt;=15</f>
        <v/>
      </c>
      <c r="D945">
        <f>IF(Skills!C16=1,60+Inputs!$B$25+Inputs!$B$29,IF(Skills!C16=2,90+Inputs!$B$26+Inputs!$B$29,IF(Skills!C16=3,120+Inputs!$B$27+Inputs!$B$29,MAX(0,(Inputs!$B$3-100)*3)+Inputs!$B$28+Inputs!$B$29)))</f>
        <v/>
      </c>
      <c r="E945">
        <f>INDEX(FactorTable!$B$2:$Y$301, MATCH(ROUND(MIN(300,MAX(1,D945)),0), FactorTable!$A$2:$A$301,0), Skills!M16+1)</f>
        <v/>
      </c>
      <c r="F945">
        <f>IF(Skills!N16=TRUE,(Skills!L16/10)*(E945/1000),Skills!L16/10)+Skills!O16</f>
        <v/>
      </c>
      <c r="G945">
        <f>Skills!G16*IF(Skills!H16&gt;0,Skills!I16/Skills!H16,1)</f>
        <v/>
      </c>
      <c r="H945">
        <f>1-(1-Skills!J16/100)^Skills!K16</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Skills!A17</f>
        <v/>
      </c>
      <c r="B946">
        <f>Skills!B17</f>
        <v/>
      </c>
      <c r="C946">
        <f>Inputs!$B$3&gt;=10</f>
        <v/>
      </c>
      <c r="D946">
        <f>IF(Skills!C17=1,60+Inputs!$B$25+Inputs!$B$29,IF(Skills!C17=2,90+Inputs!$B$26+Inputs!$B$29,IF(Skills!C17=3,120+Inputs!$B$27+Inputs!$B$29,MAX(0,(Inputs!$B$3-100)*3)+Inputs!$B$28+Inputs!$B$29)))</f>
        <v/>
      </c>
      <c r="E946">
        <f>INDEX(FactorTable!$B$2:$Y$301, MATCH(ROUND(MIN(300,MAX(1,D946)),0), FactorTable!$A$2:$A$301,0), Skills!M17+1)</f>
        <v/>
      </c>
      <c r="F946">
        <f>IF(Skills!N17=TRUE,(Skills!L17/10)*(E946/1000),Skills!L17/10)+Skills!O17</f>
        <v/>
      </c>
      <c r="G946">
        <f>Skills!G17*IF(Skills!H17&gt;0,Skills!I17/Skills!H17,1)</f>
        <v/>
      </c>
      <c r="H946">
        <f>1-(1-Skills!J17/100)^Skills!K17</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Skills!A18</f>
        <v/>
      </c>
      <c r="B947">
        <f>Skills!B18</f>
        <v/>
      </c>
      <c r="C947">
        <f>Inputs!$B$3&gt;=33</f>
        <v/>
      </c>
      <c r="D947">
        <f>IF(Skills!C18=1,60+Inputs!$B$25+Inputs!$B$29,IF(Skills!C18=2,90+Inputs!$B$26+Inputs!$B$29,IF(Skills!C18=3,120+Inputs!$B$27+Inputs!$B$29,MAX(0,(Inputs!$B$3-100)*3)+Inputs!$B$28+Inputs!$B$29)))</f>
        <v/>
      </c>
      <c r="E947">
        <f>INDEX(FactorTable!$B$2:$Y$301, MATCH(ROUND(MIN(300,MAX(1,D947)),0), FactorTable!$A$2:$A$301,0), Skills!M18+1)</f>
        <v/>
      </c>
      <c r="F947">
        <f>IF(Skills!N18=TRUE,(Skills!L18/10)*(E947/1000),Skills!L18/10)+Skills!O18</f>
        <v/>
      </c>
      <c r="G947">
        <f>Skills!G18*IF(Skills!H18&gt;0,Skills!I18/Skills!H18,1)</f>
        <v/>
      </c>
      <c r="H947">
        <f>1-(1-Skills!J18/100)^Skills!K18</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Skills!A19</f>
        <v/>
      </c>
      <c r="B948">
        <f>Skills!B19</f>
        <v/>
      </c>
      <c r="C948">
        <f>Inputs!$B$3&gt;=40</f>
        <v/>
      </c>
      <c r="D948">
        <f>IF(Skills!C19=1,60+Inputs!$B$25+Inputs!$B$29,IF(Skills!C19=2,90+Inputs!$B$26+Inputs!$B$29,IF(Skills!C19=3,120+Inputs!$B$27+Inputs!$B$29,MAX(0,(Inputs!$B$3-100)*3)+Inputs!$B$28+Inputs!$B$29)))</f>
        <v/>
      </c>
      <c r="E948">
        <f>INDEX(FactorTable!$B$2:$Y$301, MATCH(ROUND(MIN(300,MAX(1,D948)),0), FactorTable!$A$2:$A$301,0), Skills!M19+1)</f>
        <v/>
      </c>
      <c r="F948">
        <f>IF(Skills!N19=TRUE,(Skills!L19/10)*(E948/1000),Skills!L19/10)+Skills!O19</f>
        <v/>
      </c>
      <c r="G948">
        <f>Skills!G19*IF(Skills!H19&gt;0,Skills!I19/Skills!H19,1)</f>
        <v/>
      </c>
      <c r="H948">
        <f>1-(1-Skills!J19/100)^Skills!K19</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Skills!A20</f>
        <v/>
      </c>
      <c r="B949">
        <f>Skills!B20</f>
        <v/>
      </c>
      <c r="C949">
        <f>Inputs!$B$3&gt;=43</f>
        <v/>
      </c>
      <c r="D949">
        <f>IF(Skills!C20=1,60+Inputs!$B$25+Inputs!$B$29,IF(Skills!C20=2,90+Inputs!$B$26+Inputs!$B$29,IF(Skills!C20=3,120+Inputs!$B$27+Inputs!$B$29,MAX(0,(Inputs!$B$3-100)*3)+Inputs!$B$28+Inputs!$B$29)))</f>
        <v/>
      </c>
      <c r="E949">
        <f>INDEX(FactorTable!$B$2:$Y$301, MATCH(ROUND(MIN(300,MAX(1,D949)),0), FactorTable!$A$2:$A$301,0), Skills!M20+1)</f>
        <v/>
      </c>
      <c r="F949">
        <f>IF(Skills!N20=TRUE,(Skills!L20/10)*(E949/1000),Skills!L20/10)+Skills!O20</f>
        <v/>
      </c>
      <c r="G949">
        <f>Skills!G20*IF(Skills!H20&gt;0,Skills!I20/Skills!H20,1)</f>
        <v/>
      </c>
      <c r="H949">
        <f>1-(1-Skills!J20/100)^Skills!K20</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Skills!A21</f>
        <v/>
      </c>
      <c r="B950">
        <f>Skills!B21</f>
        <v/>
      </c>
      <c r="C950">
        <f>Inputs!$B$3&gt;=38</f>
        <v/>
      </c>
      <c r="D950">
        <f>IF(Skills!C21=1,60+Inputs!$B$25+Inputs!$B$29,IF(Skills!C21=2,90+Inputs!$B$26+Inputs!$B$29,IF(Skills!C21=3,120+Inputs!$B$27+Inputs!$B$29,MAX(0,(Inputs!$B$3-100)*3)+Inputs!$B$28+Inputs!$B$29)))</f>
        <v/>
      </c>
      <c r="E950">
        <f>INDEX(FactorTable!$B$2:$Y$301, MATCH(ROUND(MIN(300,MAX(1,D950)),0), FactorTable!$A$2:$A$301,0), Skills!M21+1)</f>
        <v/>
      </c>
      <c r="F950">
        <f>IF(Skills!N21=TRUE,(Skills!L21/10)*(E950/1000),Skills!L21/10)+Skills!O21</f>
        <v/>
      </c>
      <c r="G950">
        <f>Skills!G21*IF(Skills!H21&gt;0,Skills!I21/Skills!H21,1)</f>
        <v/>
      </c>
      <c r="H950">
        <f>1-(1-Skills!J21/100)^Skills!K21</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1">
      <c r="A951">
        <f>Skills!A22</f>
        <v/>
      </c>
      <c r="B951">
        <f>Skills!B22</f>
        <v/>
      </c>
      <c r="C951">
        <f>Inputs!$B$3&gt;=75</f>
        <v/>
      </c>
      <c r="D951">
        <f>IF(Skills!C22=1,60+Inputs!$B$25+Inputs!$B$29,IF(Skills!C22=2,90+Inputs!$B$26+Inputs!$B$29,IF(Skills!C22=3,120+Inputs!$B$27+Inputs!$B$29,MAX(0,(Inputs!$B$3-100)*3)+Inputs!$B$28+Inputs!$B$29)))</f>
        <v/>
      </c>
      <c r="E951">
        <f>INDEX(FactorTable!$B$2:$Y$301, MATCH(ROUND(MIN(300,MAX(1,D951)),0), FactorTable!$A$2:$A$301,0), Skills!M22+1)</f>
        <v/>
      </c>
      <c r="F951">
        <f>IF(Skills!N22=TRUE,(Skills!L22/10)*(E951/1000),Skills!L22/10)+Skills!O22</f>
        <v/>
      </c>
      <c r="G951">
        <f>Skills!G22*IF(Skills!H22&gt;0,Skills!I22/Skills!H22,1)</f>
        <v/>
      </c>
      <c r="H951">
        <f>1-(1-Skills!J22/100)^Skills!K22</f>
        <v/>
      </c>
      <c r="I951" t="inlineStr">
        <is>
          <t>1</t>
        </is>
      </c>
      <c r="J951" t="inlineStr"/>
      <c r="K951" t="inlineStr"/>
      <c r="L951" t="inlineStr"/>
      <c r="M951" t="inlineStr"/>
      <c r="N951" t="inlineStr"/>
      <c r="O951">
        <f>(1-Summary!$B$11)*T951+Summary!$B$11*V951</f>
        <v/>
      </c>
      <c r="P951">
        <f>IF(B965=0,0,O951/B965)</f>
        <v/>
      </c>
      <c r="Q951" t="n">
        <v>0</v>
      </c>
      <c r="R951" t="n">
        <v>0</v>
      </c>
      <c r="S951">
        <f>IFERROR(O951/N951,0)</f>
        <v/>
      </c>
      <c r="T951" t="n">
        <v>0</v>
      </c>
      <c r="V951" t="n">
        <v>0</v>
      </c>
    </row>
    <row r="952">
      <c r="A952">
        <f>Skills!A23</f>
        <v/>
      </c>
      <c r="B952">
        <f>Skills!B23</f>
        <v/>
      </c>
      <c r="C952">
        <f>TRUE</f>
        <v/>
      </c>
      <c r="D952">
        <f>IF(Skills!C23=1,60+Inputs!$B$25+Inputs!$B$29,IF(Skills!C23=2,90+Inputs!$B$26+Inputs!$B$29,IF(Skills!C23=3,120+Inputs!$B$27+Inputs!$B$29,MAX(0,(Inputs!$B$3-100)*3)+Inputs!$B$28+Inputs!$B$29)))</f>
        <v/>
      </c>
      <c r="E952">
        <f>INDEX(FactorTable!$B$2:$Y$301, MATCH(ROUND(MIN(300,MAX(1,D952)),0), FactorTable!$A$2:$A$301,0), Skills!M23+1)</f>
        <v/>
      </c>
      <c r="F952">
        <f>IF(Skills!N23=TRUE,(Skills!L23/10)*(E952/1000),Skills!L23/10)+Skills!O23</f>
        <v/>
      </c>
      <c r="G952">
        <f>Skills!G23*IF(Skills!H23&gt;0,Skills!I23/Skills!H23,1)</f>
        <v/>
      </c>
      <c r="H952">
        <f>1-(1-Skills!J23/100)^Skills!K23</f>
        <v/>
      </c>
      <c r="I952" t="inlineStr">
        <is>
          <t>1</t>
        </is>
      </c>
      <c r="J952" t="inlineStr"/>
      <c r="K952" t="inlineStr"/>
      <c r="L952" t="inlineStr"/>
      <c r="M952" t="inlineStr"/>
      <c r="N952" t="inlineStr"/>
      <c r="O952">
        <f>(1-Summary!$B$11)*T952+Summary!$B$11*V952</f>
        <v/>
      </c>
      <c r="P952">
        <f>IF(B965=0,0,O952/B965)</f>
        <v/>
      </c>
      <c r="Q952">
        <f>IFERROR(1/(IF(Inputs!$B$38="pvp",15,MAX(0.1,Skills!D23-IF(Skills!E23=TRUE,Inputs!$B$32,0)))*(1-IF(AND(ArtifactsInput!$M$27,Inputs!$B$4="Chapter Hunt"),CHOOSE(ArtifactsInput!$N$27+1,20,24,28,32,36,40),0)/100)),0)</f>
        <v/>
      </c>
      <c r="R952">
        <f>IF(AND(Inputs!$B$38&lt;&gt;"pvp",Inputs!$B$43&gt;0),IF(Inputs!$B$43&lt;=0,0,(INT(Inputs!$B$43/(IF(Inputs!$B$38="pvp",15,MAX(0.1,Skills!D23-IF(Skills!E23=TRUE,Inputs!$B$32,0)))*(1-IF(AND(ArtifactsInput!$M$27,Inputs!$B$4="Chapter Hunt"),CHOOSE(ArtifactsInput!$N$27+1,20,24,28,32,36,40),0)/100)))+1)),0)</f>
        <v/>
      </c>
      <c r="S952">
        <f>IFERROR(O952/N952,0)</f>
        <v/>
      </c>
      <c r="T952" t="n">
        <v>0</v>
      </c>
      <c r="V952" t="n">
        <v>0</v>
      </c>
    </row>
    <row r="954">
      <c r="A954" t="inlineStr">
        <is>
          <t>Attack% Bucket Multiplier</t>
        </is>
      </c>
      <c r="B954">
        <f>(1+(((C942=TRUE)*F942*5/7)+((C948=TRUE)*(F948-Calc!F19))+(IF(ArtifactsInput!$M$21,CHOOSE(ArtifactsInput!$N$21+1,25,30,35,40,45,50)*(IF(OR(Inputs!$B$4="Chapter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duty-cycle averaged)</t>
        </is>
      </c>
      <c r="B956">
        <f>((C952=TRUE)*F952*IF(AND(Inputs!$B$38&lt;&gt;"pvp",Inputs!$B$43&gt;0),(((R952-1)*(Skills!T23*(1+Inputs!$B$34/100))+MIN((Skills!T23*(1+Inputs!$B$34/100)),MAX(0,Inputs!$B$43-((R952-1)*Skills!D23))))/Inputs!$B$43),IF(Inputs!$B$38="pvp",MIN((Skills!T23*(1+Inputs!$B$34/100)),15)/15,(Skills!T23*(1+Inputs!$B$34/100))/Skills!D23)))</f>
        <v/>
      </c>
    </row>
    <row r="957">
      <c r="A957" t="inlineStr">
        <is>
          <t>Actions Per Second</t>
        </is>
      </c>
      <c r="B957">
        <f>1+MIN(150,150*(1-(1-(Inputs!$B$11+((C946=TRUE)*(F946-Calc!F17))+((C947=TRUE)*(F947-Calc!F18)))/150)*(1-B956/150)))/100</f>
        <v/>
      </c>
    </row>
    <row r="958">
      <c r="A958" t="inlineStr">
        <is>
          <t>Skill + Buff Cast Rate</t>
        </is>
      </c>
      <c r="B958">
        <f>IF(AND(Inputs!$B$38&lt;&gt;"pvp",Inputs!$B$43&gt;0),SUMPRODUCT((Skills!E2:E23=TRUE)*(C931:C952=TRUE)*R931:R952*Skills!F2:F23)/Inputs!$B$43,SUMPRODUCT((Skills!E2:E23=TRUE)*(C931:C952=TRUE)*Q931:Q952*Skills!F2:F23))</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((C934=TRUE)*F934*((10+IF(Inputs!$B$3&gt;=94,5,0))/((10+IF(Inputs!$B$3&gt;=94,5,0))+5/(B959*(1+IF(Inputs!$B$3&gt;=104,1,0))))))+((C943=TRUE)*F943)+((C944=TRUE)*F944)+((Inputs!$B$3&gt;=110)*20*(B957-1))</f>
        <v/>
      </c>
    </row>
    <row r="962">
      <c r="A962" t="inlineStr">
        <is>
          <t>Buff-Casting Startup Delay (s, fixed-duration only)</t>
        </is>
      </c>
      <c r="B962">
        <f>IF(AND(Inputs!$B$38&lt;&gt;"pvp",Inputs!$B$43&gt;0),SUMPRODUCT((Skills!T2:T23&gt;0)*(Skills!E2:E23=TRUE)*(C931:C952=TRUE))/B957,0)</f>
        <v/>
      </c>
    </row>
    <row r="963">
      <c r="A963" t="inlineStr">
        <is>
          <t>Boss-Only Total DPS (this block's swept value)</t>
        </is>
      </c>
      <c r="B963">
        <f>SUM(T931:T952)</f>
        <v/>
      </c>
    </row>
    <row r="964">
      <c r="A964" t="inlineStr">
        <is>
          <t>Normal-Only Total DPS (this block's swept value)</t>
        </is>
      </c>
      <c r="B964">
        <f>SUM(V931:V952)</f>
        <v/>
      </c>
    </row>
    <row r="965">
      <c r="A965" s="6" t="inlineStr">
        <is>
          <t>TOTAL DPS</t>
        </is>
      </c>
      <c r="B965" s="6">
        <f>SUM(O931:O952)</f>
        <v/>
      </c>
    </row>
    <row r="968">
      <c r="A968" s="6" t="inlineStr">
        <is>
          <t>Stat: Skill Cooldown Decrease (seconds)</t>
        </is>
      </c>
    </row>
    <row r="969">
      <c r="A969" s="5" t="inlineStr">
        <is>
          <t>Key</t>
        </is>
      </c>
      <c r="B969" s="5" t="inlineStr">
        <is>
          <t>Name</t>
        </is>
      </c>
      <c r="C969" s="5" t="inlineStr">
        <is>
          <t>Unlocked</t>
        </is>
      </c>
      <c r="D969" s="5" t="inlineStr">
        <is>
          <t>InputLevel</t>
        </is>
      </c>
      <c r="E969" s="5" t="inlineStr">
        <is>
          <t>Factor</t>
        </is>
      </c>
      <c r="F969" s="5" t="inlineStr">
        <is>
          <t>CoefficientPercent</t>
        </is>
      </c>
      <c r="G969" s="5" t="inlineStr">
        <is>
          <t>EffectiveHits</t>
        </is>
      </c>
      <c r="H969" s="5" t="inlineStr">
        <is>
          <t>ProcProbability</t>
        </is>
      </c>
      <c r="I969" s="5" t="inlineStr">
        <is>
          <t>MapleHeroMultiplier</t>
        </is>
      </c>
      <c r="J969" s="5" t="inlineStr">
        <is>
          <t>BaseDamage</t>
        </is>
      </c>
      <c r="K969" s="5" t="inlineStr">
        <is>
          <t>BaseHitDamage</t>
        </is>
      </c>
      <c r="L969" s="5" t="inlineStr">
        <is>
          <t>NonCritAvg</t>
        </is>
      </c>
      <c r="M969" s="5" t="inlineStr">
        <is>
          <t>CritAvg</t>
        </is>
      </c>
      <c r="N969" s="5" t="inlineStr">
        <is>
          <t>ExpectedDamage(perHit)</t>
        </is>
      </c>
      <c r="O969" s="5" t="inlineStr">
        <is>
          <t>DPS</t>
        </is>
      </c>
      <c r="P969" s="5" t="inlineStr">
        <is>
          <t>% of Total</t>
        </is>
      </c>
      <c r="Q969" s="5" t="inlineStr">
        <is>
          <t>InvCooldown</t>
        </is>
      </c>
      <c r="R969" s="5" t="inlineStr">
        <is>
          <t>CastsInFight</t>
        </is>
      </c>
      <c r="S969" s="5" t="inlineStr">
        <is>
          <t>HitRate(perSec)</t>
        </is>
      </c>
      <c r="U969" t="inlineStr">
        <is>
          <t>helpers</t>
        </is>
      </c>
    </row>
    <row r="970">
      <c r="A970">
        <f>Skills!A2</f>
        <v/>
      </c>
      <c r="B970">
        <f>Skills!B2</f>
        <v/>
      </c>
      <c r="C970">
        <f>Inputs!$B$3&gt;=100</f>
        <v/>
      </c>
      <c r="D970" t="inlineStr"/>
      <c r="E970" t="inlineStr"/>
      <c r="F970">
        <f>U972+Skills!O2</f>
        <v/>
      </c>
      <c r="G970">
        <f>Skills!G2*IF(Skills!H2&gt;0,Skills!I2/Skills!H2,1)</f>
        <v/>
      </c>
      <c r="H970">
        <f>1-(1-Skills!J2/100)^Skills!K2</f>
        <v/>
      </c>
      <c r="I970" t="inlineStr">
        <is>
          <t>1</t>
        </is>
      </c>
      <c r="J970">
        <f>((Inputs!$B$6*(1+Inputs!$B$7/100))+(((Inputs!$B$12*(1+Inputs!$B$13/100))-(Inputs!$B$12*(1+Inputs!$B$13/100)))+0.25*(Inputs!$B$14-Inputs!$B$14))*(1+Inputs!$B$7/100))*(F970/100)</f>
        <v/>
      </c>
      <c r="K970">
        <f>J970*(1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988=TRUE)*(F988-Calc!F20)),(Inputs!$B$23+0+(IF(ArtifactsInput!$M$15,CHOOSE(ArtifactsInput!$N$15+1,25,30,35,40,45,50)/100*(Inputs!$B$11-Inputs!$B$11),0))))/100+(Inputs!$B$23+0+(IF(ArtifactsInput!$M$15,CHOOSE(ArtifactsInput!$N$15+1,25,30,35,40,45,50)/100*(Inputs!$B$11-Inputs!$B$11),0)))/100)/2</f>
        <v/>
      </c>
      <c r="M970">
        <f>L970*(1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IF(B1004=0,0,O970/B1004)</f>
        <v/>
      </c>
      <c r="Q970" t="n">
        <v>0</v>
      </c>
      <c r="R970" t="n">
        <v>0</v>
      </c>
      <c r="S970">
        <f>IFERROR(O970/N970,0)</f>
        <v/>
      </c>
      <c r="T970">
        <f>IF(C970,(Skills!G2*N970*B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0">
        <f>MAX(0,(Inputs!$B$3-100)*3)+Inputs!$B$28+Inputs!$B$29</f>
        <v/>
      </c>
      <c r="V970">
        <f>IF(C970,(Skills!G2*N970*B998)*IF(Inputs!$B$38="pvp",1,(1+(Inputs!$B$21+Skills!Q2+(IF(ArtifactsInput!$M$33,CHOOSE(ArtifactsInput!$N$33+1,30,36,42,48,54,60),0))+(IF(AND(ArtifactsInput!$M$35,Inputs!$B$4&lt;&gt;"Chapter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Skills!A3</f>
        <v/>
      </c>
      <c r="B971">
        <f>Skills!B3</f>
        <v/>
      </c>
      <c r="C971">
        <f>Inputs!$B$3&gt;=35</f>
        <v/>
      </c>
      <c r="D971">
        <f>IF(Skills!C3=1,60+Inputs!$B$25+Inputs!$B$29,IF(Skills!C3=2,90+Inputs!$B$26+Inputs!$B$29,IF(Skills!C3=3,120+Inputs!$B$27+Inputs!$B$29,MAX(0,(Inputs!$B$3-100)*3)+Inputs!$B$28+Inputs!$B$29)))</f>
        <v/>
      </c>
      <c r="E971">
        <f>INDEX(FactorTable!$B$2:$Y$301, MATCH(ROUND(MIN(300,MAX(1,D971)),0), FactorTable!$A$2:$A$301,0), Skills!M3+1)</f>
        <v/>
      </c>
      <c r="F971">
        <f>IF(Skills!N3=TRUE,(Skills!L3/10)*(E971/1000),Skills!L3/10)+Skills!O3</f>
        <v/>
      </c>
      <c r="G971">
        <f>Skills!G3*IF(Skills!H3&gt;0,Skills!I3/Skills!H3,1)</f>
        <v/>
      </c>
      <c r="H971">
        <f>1-(1-Skills!J3/100)^Skills!K3</f>
        <v/>
      </c>
      <c r="I971" t="inlineStr">
        <is>
          <t>1</t>
        </is>
      </c>
      <c r="J971">
        <f>((Inputs!$B$6*(1+Inputs!$B$7/100))+(((Inputs!$B$12*(1+Inputs!$B$13/100))-(Inputs!$B$12*(1+Inputs!$B$13/100)))+0.25*(Inputs!$B$14-Inputs!$B$14))*(1+Inputs!$B$7/100))*(F971/100)</f>
        <v/>
      </c>
      <c r="K971">
        <f>J971*(1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971)</f>
        <v/>
      </c>
      <c r="L971">
        <f>K971*(MIN(Inputs!$B$22+((C988=TRUE)*(F988-Calc!F20)),(Inputs!$B$23+0+(IF(ArtifactsInput!$M$15,CHOOSE(ArtifactsInput!$N$15+1,25,30,35,40,45,50)/100*(Inputs!$B$11-Inputs!$B$11),0))))/100+(Inputs!$B$23+0+(IF(ArtifactsInput!$M$15,CHOOSE(ArtifactsInput!$N$15+1,25,30,35,40,45,50)/100*(Inputs!$B$11-Inputs!$B$11),0)))/100)/2</f>
        <v/>
      </c>
      <c r="M971">
        <f>L971*(1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1">
        <f>L971*(1-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1">
        <f>(1-Summary!$B$11)*T971+Summary!$B$11*V971</f>
        <v/>
      </c>
      <c r="P971">
        <f>IF(B1004=0,0,O971/B1004)</f>
        <v/>
      </c>
      <c r="Q971" t="n">
        <v>0</v>
      </c>
      <c r="R971" t="n">
        <v>0</v>
      </c>
      <c r="S971">
        <f>IFERROR(O971/N971,0)</f>
        <v/>
      </c>
      <c r="T971">
        <f>IF(C971,(Skills!G3*H971*N971*B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1">
        <f>INDEX(FactorTable!$B$2:$Y$301, MATCH(ROUND(MIN(300,MAX(1,U970)),0), FactorTable!$A$2:$A$301,0), 22)</f>
        <v/>
      </c>
      <c r="V971">
        <f>IF(C971,(Skills!G3*H971*N971*B998)*IF(Inputs!$B$38="pvp",1,(1+(Inputs!$B$21+Skills!Q3+(IF(ArtifactsInput!$M$33,CHOOSE(ArtifactsInput!$N$33+1,30,36,42,48,54,60),0))+(IF(AND(ArtifactsInput!$M$35,Inputs!$B$4&lt;&gt;"Chapter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2">
      <c r="A972">
        <f>Skills!A4</f>
        <v/>
      </c>
      <c r="B972">
        <f>Skills!B4</f>
        <v/>
      </c>
      <c r="C972">
        <f>Inputs!$B$3&gt;=60</f>
        <v/>
      </c>
      <c r="D972">
        <f>IF(Skills!C4=1,60+Inputs!$B$25+Inputs!$B$29,IF(Skills!C4=2,90+Inputs!$B$26+Inputs!$B$29,IF(Skills!C4=3,120+Inputs!$B$27+Inputs!$B$29,MAX(0,(Inputs!$B$3-100)*3)+Inputs!$B$28+Inputs!$B$29)))</f>
        <v/>
      </c>
      <c r="E972">
        <f>INDEX(FactorTable!$B$2:$Y$301, MATCH(ROUND(MIN(300,MAX(1,D972)),0), FactorTable!$A$2:$A$301,0), Skills!M4+1)</f>
        <v/>
      </c>
      <c r="F972">
        <f>IF(Skills!N4=TRUE,(Skills!L4/10)*(E972/1000),Skills!L4/10)+Skills!O4</f>
        <v/>
      </c>
      <c r="G972">
        <f>Skills!G4*IF(Skills!H4&gt;0,Skills!I4/Skills!H4,1)</f>
        <v/>
      </c>
      <c r="H972">
        <f>1-(1-Skills!J4/100)^Skills!K4</f>
        <v/>
      </c>
      <c r="I972" t="inlineStr">
        <is>
          <t>1</t>
        </is>
      </c>
      <c r="J972">
        <f>((Inputs!$B$6*(1+Inputs!$B$7/100))+(((Inputs!$B$12*(1+Inputs!$B$13/100))-(Inputs!$B$12*(1+Inputs!$B$13/100)))+0.25*(Inputs!$B$14-Inputs!$B$14))*(1+Inputs!$B$7/100))*(F972/100)</f>
        <v/>
      </c>
      <c r="K972">
        <f>J972*(1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980=TRUE,F980,0)/100)*(1+(IF(Skills!A4="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988=TRUE)*(F988-Calc!F20)),(Inputs!$B$23+0+(IF(ArtifactsInput!$M$15,CHOOSE(ArtifactsInput!$N$15+1,25,30,35,40,45,50)/100*(Inputs!$B$11-Inputs!$B$11),0))))/100+(Inputs!$B$23+0+(IF(ArtifactsInput!$M$15,CHOOSE(ArtifactsInput!$N$15+1,25,30,35,40,45,50)/100*(Inputs!$B$11-Inputs!$B$11),0)))/100)/2</f>
        <v/>
      </c>
      <c r="M972">
        <f>L972*(1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IF(B1004=0,0,O972/B1004)</f>
        <v/>
      </c>
      <c r="Q972" t="n">
        <v>0</v>
      </c>
      <c r="R972" t="n">
        <v>0</v>
      </c>
      <c r="S972">
        <f>IFERROR(O972/N972,0)</f>
        <v/>
      </c>
      <c r="T972">
        <f>IF(C972,(Skills!G4*H972*N972*B998)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290*U971/1000</f>
        <v/>
      </c>
      <c r="V972">
        <f>IF(C972,(Skills!G4*H972*N972*B998)*IF(Inputs!$B$38="pvp",1,(1+(Inputs!$B$21+Skills!Q4+(IF(ArtifactsInput!$M$33,CHOOSE(ArtifactsInput!$N$33+1,30,36,42,48,54,60),0))+(IF(AND(ArtifactsInput!$M$35,Inputs!$B$4&lt;&gt;"Chapter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Skills!A5</f>
        <v/>
      </c>
      <c r="B973">
        <f>Skills!B5</f>
        <v/>
      </c>
      <c r="C973">
        <f>Inputs!$B$3&gt;=60</f>
        <v/>
      </c>
      <c r="D973">
        <f>IF(Skills!C5=1,60+Inputs!$B$25+Inputs!$B$29,IF(Skills!C5=2,90+Inputs!$B$26+Inputs!$B$29,IF(Skills!C5=3,120+Inputs!$B$27+Inputs!$B$29,MAX(0,(Inputs!$B$3-100)*3)+Inputs!$B$28+Inputs!$B$29)))</f>
        <v/>
      </c>
      <c r="E973">
        <f>INDEX(FactorTable!$B$2:$Y$301, MATCH(ROUND(MIN(300,MAX(1,D973)),0), FactorTable!$A$2:$A$301,0), Skills!M5+1)</f>
        <v/>
      </c>
      <c r="F973">
        <f>IF(Skills!N5=TRUE,(Skills!L5/10)*(E973/1000),Skills!L5/10)+Skills!O5</f>
        <v/>
      </c>
      <c r="G973">
        <f>Skills!G5*IF(Skills!H5&gt;0,Skills!I5/Skills!H5,1)</f>
        <v/>
      </c>
      <c r="H973">
        <f>1-(1-Skills!J5/100)^Skills!K5</f>
        <v/>
      </c>
      <c r="I973" t="inlineStr">
        <is>
          <t>1</t>
        </is>
      </c>
      <c r="J973" t="inlineStr"/>
      <c r="K973" t="inlineStr"/>
      <c r="L973" t="inlineStr"/>
      <c r="M973" t="inlineStr"/>
      <c r="N973" t="inlineStr"/>
      <c r="O973">
        <f>(1-Summary!$B$11)*T973+Summary!$B$11*V973</f>
        <v/>
      </c>
      <c r="P973">
        <f>IF(B1004=0,0,O973/B1004)</f>
        <v/>
      </c>
      <c r="Q973" t="n">
        <v>0</v>
      </c>
      <c r="R973" t="n">
        <v>0</v>
      </c>
      <c r="S973">
        <f>IFERROR(O973/N973,0)</f>
        <v/>
      </c>
      <c r="T973" t="n">
        <v>0</v>
      </c>
      <c r="V973" t="n">
        <v>0</v>
      </c>
    </row>
    <row r="974">
      <c r="A974">
        <f>Skills!A6</f>
        <v/>
      </c>
      <c r="B974">
        <f>Skills!B6</f>
        <v/>
      </c>
      <c r="C974">
        <f>Inputs!$B$3&gt;=63</f>
        <v/>
      </c>
      <c r="D974">
        <f>IF(Skills!C6=1,60+Inputs!$B$25+Inputs!$B$29,IF(Skills!C6=2,90+Inputs!$B$26+Inputs!$B$29,IF(Skills!C6=3,120+Inputs!$B$27+Inputs!$B$29,MAX(0,(Inputs!$B$3-100)*3)+Inputs!$B$28+Inputs!$B$29)))</f>
        <v/>
      </c>
      <c r="E974">
        <f>INDEX(FactorTable!$B$2:$Y$301, MATCH(ROUND(MIN(300,MAX(1,D974)),0), FactorTable!$A$2:$A$301,0), Skills!M6+1)</f>
        <v/>
      </c>
      <c r="F974">
        <f>IF(Skills!N6=TRUE,(Skills!L6/10)*(E974/1000),Skills!L6/10)+Skills!O6</f>
        <v/>
      </c>
      <c r="G974">
        <f>Skills!G6*IF(Skills!H6&gt;0,Skills!I6/Skills!H6,1)</f>
        <v/>
      </c>
      <c r="H974">
        <f>1-(1-Skills!J6/100)^Skills!K6</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988=TRUE)*(F988-Calc!F20)),(Inputs!$B$23+0+(IF(ArtifactsInput!$M$15,CHOOSE(ArtifactsInput!$N$15+1,25,30,35,40,45,50)/100*(Inputs!$B$11-Inputs!$B$11),0))))/100+(Inputs!$B$23+0+(IF(ArtifactsInput!$M$15,CHOOSE(ArtifactsInput!$N$15+1,25,30,35,40,45,50)/100*(Inputs!$B$11-Inputs!$B$11),0)))/100)/2</f>
        <v/>
      </c>
      <c r="M974">
        <f>L974*(1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IF(B1004=0,0,O974/B1004)</f>
        <v/>
      </c>
      <c r="Q974">
        <f>IFERROR(1/(IF(Inputs!$B$38="pvp",15,MAX(0.1,Skills!D6-IF(Skills!E6=TRUE,(Inputs!$B$32+1),0)))*(1-IF(AND(ArtifactsInput!$M$27,Inputs!$B$4="Chapter Hunt"),CHOOSE(ArtifactsInput!$N$27+1,20,24,28,32,36,40),0)/100)),0)</f>
        <v/>
      </c>
      <c r="R974">
        <f>IF(AND(Inputs!$B$38&lt;&gt;"pvp",Inputs!$B$43&gt;0),IF(MAX(0,Inputs!$B$43-B1001)&lt;=0,0,(INT(MAX(0,Inputs!$B$43-B1001)/(IF(Inputs!$B$38="pvp",15,MAX(0.1,Skills!D6-IF(Skills!E6=TRUE,(Inputs!$B$32+1),0)))*(1-IF(AND(ArtifactsInput!$M$27,Inputs!$B$4="Chapter Hunt"),CHOOSE(ArtifactsInput!$N$27+1,20,24,28,32,36,40),0)/100)))+1)),0)</f>
        <v/>
      </c>
      <c r="S974">
        <f>IFERROR(O974/N974,0)</f>
        <v/>
      </c>
      <c r="T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$21+Skills!Q6+(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Skills!A7</f>
        <v/>
      </c>
      <c r="B975">
        <f>Skills!B7</f>
        <v/>
      </c>
      <c r="C975">
        <f>Inputs!$B$3&gt;=100</f>
        <v/>
      </c>
      <c r="D975">
        <f>IF(Skills!C7=1,60+Inputs!$B$25+Inputs!$B$29,IF(Skills!C7=2,90+Inputs!$B$26+Inputs!$B$29,IF(Skills!C7=3,120+Inputs!$B$27+Inputs!$B$29,MAX(0,(Inputs!$B$3-100)*3)+Inputs!$B$28+Inputs!$B$29)))</f>
        <v/>
      </c>
      <c r="E975">
        <f>INDEX(FactorTable!$B$2:$Y$301, MATCH(ROUND(MIN(300,MAX(1,D975)),0), FactorTable!$A$2:$A$301,0), Skills!M7+1)</f>
        <v/>
      </c>
      <c r="F975">
        <f>IF(Skills!N7=TRUE,(Skills!L7/10)*(E975/1000),Skills!L7/10)+Skills!O7</f>
        <v/>
      </c>
      <c r="G975">
        <f>Skills!G7*IF(Skills!H7&gt;0,Skills!I7/Skills!H7,1)</f>
        <v/>
      </c>
      <c r="H975">
        <f>1-(1-Skills!J7/100)^Skills!K7</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988=TRUE)*(F988-Calc!F20)),(Inputs!$B$23+0+(IF(ArtifactsInput!$M$15,CHOOSE(ArtifactsInput!$N$15+1,25,30,35,40,45,50)/100*(Inputs!$B$11-Inputs!$B$11),0))))/100+(Inputs!$B$23+0+(IF(ArtifactsInput!$M$15,CHOOSE(ArtifactsInput!$N$15+1,25,30,35,40,45,50)/100*(Inputs!$B$11-Inputs!$B$11),0)))/100)/2</f>
        <v/>
      </c>
      <c r="M975">
        <f>L975*(1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IF(B1004=0,0,O975/B1004)</f>
        <v/>
      </c>
      <c r="Q975">
        <f>IFERROR(1/(IF(Inputs!$B$38="pvp",15,MAX(0.1,Skills!D7-IF(Skills!E7=TRUE,(Inputs!$B$32+1),0)))*(1-IF(AND(ArtifactsInput!$M$27,Inputs!$B$4="Chapter Hunt"),CHOOSE(ArtifactsInput!$N$27+1,20,24,28,32,36,40),0)/100)),0)</f>
        <v/>
      </c>
      <c r="R975">
        <f>IF(AND(Inputs!$B$38&lt;&gt;"pvp",Inputs!$B$43&gt;0),IF(MAX(0,Inputs!$B$43-B1001)&lt;=0,0,(INT(MAX(0,Inputs!$B$43-B1001)/(IF(Inputs!$B$38="pvp",15,MAX(0.1,Skills!D7-IF(Skills!E7=TRUE,(Inputs!$B$32+1),0)))*(1-IF(AND(ArtifactsInput!$M$27,Inputs!$B$4="Chapter Hunt"),CHOOSE(ArtifactsInput!$N$27+1,20,24,28,32,36,40),0)/100)))+1)),0)</f>
        <v/>
      </c>
      <c r="S975">
        <f>IFERROR(O975/N975,0)</f>
        <v/>
      </c>
      <c r="T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$21+Skills!Q7+(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Skills!A8</f>
        <v/>
      </c>
      <c r="B976">
        <f>Skills!B8</f>
        <v/>
      </c>
      <c r="C976">
        <f>Inputs!$B$3&gt;=110</f>
        <v/>
      </c>
      <c r="D976">
        <f>IF(Skills!C8=1,60+Inputs!$B$25+Inputs!$B$29,IF(Skills!C8=2,90+Inputs!$B$26+Inputs!$B$29,IF(Skills!C8=3,120+Inputs!$B$27+Inputs!$B$29,MAX(0,(Inputs!$B$3-100)*3)+Inputs!$B$28+Inputs!$B$29)))</f>
        <v/>
      </c>
      <c r="E976">
        <f>INDEX(FactorTable!$B$2:$Y$301, MATCH(ROUND(MIN(300,MAX(1,D976)),0), FactorTable!$A$2:$A$301,0), Skills!M8+1)</f>
        <v/>
      </c>
      <c r="F976">
        <f>IF(Skills!N8=TRUE,(Skills!L8/10)*(E976/1000),Skills!L8/10)+Skills!O8</f>
        <v/>
      </c>
      <c r="G976">
        <f>Skills!G8*IF(Skills!H8&gt;0,Skills!I8/Skills!H8,1)</f>
        <v/>
      </c>
      <c r="H976">
        <f>1-(1-Skills!J8/100)^Skills!K8</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988=TRUE)*(F988-Calc!F20)),(Inputs!$B$23+0+(IF(ArtifactsInput!$M$15,CHOOSE(ArtifactsInput!$N$15+1,25,30,35,40,45,50)/100*(Inputs!$B$11-Inputs!$B$11),0))))/100+(Inputs!$B$23+0+(IF(ArtifactsInput!$M$15,CHOOSE(ArtifactsInput!$N$15+1,25,30,35,40,45,50)/100*(Inputs!$B$11-Inputs!$B$11),0)))/100)/2</f>
        <v/>
      </c>
      <c r="M976">
        <f>L976*(1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IF(B1004=0,0,O976/B1004)</f>
        <v/>
      </c>
      <c r="Q976">
        <f>IFERROR(1/(IF(Inputs!$B$38="pvp",15,MAX(0.1,Skills!D8-IF(Skills!E8=TRUE,(Inputs!$B$32+1),0)))*(1-IF(AND(ArtifactsInput!$M$27,Inputs!$B$4="Chapter Hunt"),CHOOSE(ArtifactsInput!$N$27+1,20,24,28,32,36,40),0)/100)),0)</f>
        <v/>
      </c>
      <c r="R976">
        <f>IF(AND(Inputs!$B$38&lt;&gt;"pvp",Inputs!$B$43&gt;0),IF(MAX(0,Inputs!$B$43-B1001)&lt;=0,0,(INT(MAX(0,Inputs!$B$43-B1001)/(IF(Inputs!$B$38="pvp",15,MAX(0.1,Skills!D8-IF(Skills!E8=TRUE,(Inputs!$B$32+1),0)))*(1-IF(AND(ArtifactsInput!$M$27,Inputs!$B$4="Chapter Hunt"),CHOOSE(ArtifactsInput!$N$27+1,20,24,28,32,36,40),0)/100)))+1)),0)</f>
        <v/>
      </c>
      <c r="S976">
        <f>IFERROR(O976/N976,0)</f>
        <v/>
      </c>
      <c r="T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$21+Skills!Q8+(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Skills!A9</f>
        <v/>
      </c>
      <c r="B977">
        <f>Skills!B9</f>
        <v/>
      </c>
      <c r="C977">
        <f>Inputs!$B$3&gt;=110</f>
        <v/>
      </c>
      <c r="D977">
        <f>IF(Skills!C9=1,60+Inputs!$B$25+Inputs!$B$29,IF(Skills!C9=2,90+Inputs!$B$26+Inputs!$B$29,IF(Skills!C9=3,120+Inputs!$B$27+Inputs!$B$29,MAX(0,(Inputs!$B$3-100)*3)+Inputs!$B$28+Inputs!$B$29)))</f>
        <v/>
      </c>
      <c r="E977">
        <f>INDEX(FactorTable!$B$2:$Y$301, MATCH(ROUND(MIN(300,MAX(1,D977)),0), FactorTable!$A$2:$A$301,0), Skills!M9+1)</f>
        <v/>
      </c>
      <c r="F977">
        <f>IF(Skills!N9=TRUE,(Skills!L9/10)*(E977/1000),Skills!L9/10)+Skills!O9</f>
        <v/>
      </c>
      <c r="G977">
        <f>Skills!G9*IF(Skills!H9&gt;0,Skills!I9/Skills!H9,1)</f>
        <v/>
      </c>
      <c r="H977">
        <f>1-(1-Skills!J9/100)^Skills!K9</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988=TRUE)*(F988-Calc!F20)),(Inputs!$B$23+0+(IF(ArtifactsInput!$M$15,CHOOSE(ArtifactsInput!$N$15+1,25,30,35,40,45,50)/100*(Inputs!$B$11-Inputs!$B$11),0))))/100+(Inputs!$B$23+0+(IF(ArtifactsInput!$M$15,CHOOSE(ArtifactsInput!$N$15+1,25,30,35,40,45,50)/100*(Inputs!$B$11-Inputs!$B$11),0)))/100)/2</f>
        <v/>
      </c>
      <c r="M977">
        <f>L977*(1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IF(B1004=0,0,O977/B1004)</f>
        <v/>
      </c>
      <c r="Q977">
        <f>IFERROR(1/(IF(Inputs!$B$38="pvp",15,MAX(0.1,Skills!D9-IF(Skills!E9=TRUE,(Inputs!$B$32+1),0)))*(1-IF(AND(ArtifactsInput!$M$27,Inputs!$B$4="Chapter Hunt"),CHOOSE(ArtifactsInput!$N$27+1,20,24,28,32,36,40),0)/100)),0)</f>
        <v/>
      </c>
      <c r="R977">
        <f>IF(AND(Inputs!$B$38&lt;&gt;"pvp",Inputs!$B$43&gt;0),IF(MAX(0,Inputs!$B$43-B1001)&lt;=0,0,(INT(MAX(0,Inputs!$B$43-B1001)/(IF(Inputs!$B$38="pvp",15,MAX(0.1,Skills!D9-IF(Skills!E9=TRUE,(Inputs!$B$32+1),0)))*(1-IF(AND(ArtifactsInput!$M$27,Inputs!$B$4="Chapter Hunt"),CHOOSE(ArtifactsInput!$N$27+1,20,24,28,32,36,40),0)/100)))+1)),0)</f>
        <v/>
      </c>
      <c r="S977">
        <f>IFERROR(O977/N977,0)</f>
        <v/>
      </c>
      <c r="T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$21+Skills!Q9+(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Skills!A10</f>
        <v/>
      </c>
      <c r="B978">
        <f>Skills!B10</f>
        <v/>
      </c>
      <c r="C978">
        <f>Inputs!$B$3&gt;=103</f>
        <v/>
      </c>
      <c r="D978">
        <f>IF(Skills!C10=1,60+Inputs!$B$25+Inputs!$B$29,IF(Skills!C10=2,90+Inputs!$B$26+Inputs!$B$29,IF(Skills!C10=3,120+Inputs!$B$27+Inputs!$B$29,MAX(0,(Inputs!$B$3-100)*3)+Inputs!$B$28+Inputs!$B$29)))</f>
        <v/>
      </c>
      <c r="E978">
        <f>INDEX(FactorTable!$B$2:$Y$301, MATCH(ROUND(MIN(300,MAX(1,D978)),0), FactorTable!$A$2:$A$301,0), Skills!M10+1)</f>
        <v/>
      </c>
      <c r="F978">
        <f>IF(Skills!N10=TRUE,(Skills!L10/10)*(E978/1000),Skills!L10/10)+Skills!O10</f>
        <v/>
      </c>
      <c r="G978">
        <f>Skills!G10*IF(Skills!H10&gt;0,Skills!I10/Skills!H10,1)</f>
        <v/>
      </c>
      <c r="H978">
        <f>1-(1-Skills!J10/100)^Skills!K10</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988=TRUE)*(F988-Calc!F20)),(Inputs!$B$23+0+(IF(ArtifactsInput!$M$15,CHOOSE(ArtifactsInput!$N$15+1,25,30,35,40,45,50)/100*(Inputs!$B$11-Inputs!$B$11),0))))/100+(Inputs!$B$23+0+(IF(ArtifactsInput!$M$15,CHOOSE(ArtifactsInput!$N$15+1,25,30,35,40,45,50)/100*(Inputs!$B$11-Inputs!$B$11),0)))/100)/2</f>
        <v/>
      </c>
      <c r="M978">
        <f>L978*(1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IF(B1004=0,0,O978/B1004)</f>
        <v/>
      </c>
      <c r="Q978">
        <f>IFERROR(1/(IF(Inputs!$B$38="pvp",15,MAX(0.1,Skills!D10-IF(Skills!E10=TRUE,(Inputs!$B$32+1),0)))*(1-IF(AND(ArtifactsInput!$M$27,Inputs!$B$4="Chapter Hunt"),CHOOSE(ArtifactsInput!$N$27+1,20,24,28,32,36,40),0)/100)),0)</f>
        <v/>
      </c>
      <c r="R978">
        <f>IF(AND(Inputs!$B$38&lt;&gt;"pvp",Inputs!$B$43&gt;0),IF(MAX(0,Inputs!$B$43-B1001)&lt;=0,0,(INT(MAX(0,Inputs!$B$43-B1001)/(IF(Inputs!$B$38="pvp",15,MAX(0.1,Skills!D10-IF(Skills!E10=TRUE,(Inputs!$B$32+1),0)))*(1-IF(AND(ArtifactsInput!$M$27,Inputs!$B$4="Chapter Hunt"),CHOOSE(ArtifactsInput!$N$27+1,20,24,28,32,36,40),0)/100)))+1)),0)</f>
        <v/>
      </c>
      <c r="S978">
        <f>IFERROR(O978/N978,0)</f>
        <v/>
      </c>
      <c r="T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$21+Skills!Q10+(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Skills!A11</f>
        <v/>
      </c>
      <c r="B979">
        <f>Skills!B11</f>
        <v/>
      </c>
      <c r="C979">
        <f>Inputs!$B$3&gt;=113</f>
        <v/>
      </c>
      <c r="D979">
        <f>IF(Skills!C11=1,60+Inputs!$B$25+Inputs!$B$29,IF(Skills!C11=2,90+Inputs!$B$26+Inputs!$B$29,IF(Skills!C11=3,120+Inputs!$B$27+Inputs!$B$29,MAX(0,(Inputs!$B$3-100)*3)+Inputs!$B$28+Inputs!$B$29)))</f>
        <v/>
      </c>
      <c r="E979">
        <f>INDEX(FactorTable!$B$2:$Y$301, MATCH(ROUND(MIN(300,MAX(1,D979)),0), FactorTable!$A$2:$A$301,0), Skills!M11+1)</f>
        <v/>
      </c>
      <c r="F979">
        <f>IF(Skills!N11=TRUE,(Skills!L11/10)*(E979/1000),Skills!L11/10)+Skills!O11</f>
        <v/>
      </c>
      <c r="G979">
        <f>Skills!G11*IF(Skills!H11&gt;0,Skills!I11/Skills!H11,1)</f>
        <v/>
      </c>
      <c r="H979">
        <f>1-(1-Skills!J11/100)^Skills!K11</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988=TRUE)*(F988-Calc!F20)),(Inputs!$B$23+0+(IF(ArtifactsInput!$M$15,CHOOSE(ArtifactsInput!$N$15+1,25,30,35,40,45,50)/100*(Inputs!$B$11-Inputs!$B$11),0))))/100+(Inputs!$B$23+0+(IF(ArtifactsInput!$M$15,CHOOSE(ArtifactsInput!$N$15+1,25,30,35,40,45,50)/100*(Inputs!$B$11-Inputs!$B$11),0)))/100)/2</f>
        <v/>
      </c>
      <c r="M979">
        <f>L979*(1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IF(B1004=0,0,O979/B1004)</f>
        <v/>
      </c>
      <c r="Q979">
        <f>IFERROR(1/(IF(Inputs!$B$38="pvp",15,MAX(0.1,Skills!D11-IF(Skills!E11=TRUE,(Inputs!$B$32+1),0)))*(1-IF(AND(ArtifactsInput!$M$27,Inputs!$B$4="Chapter Hunt"),CHOOSE(ArtifactsInput!$N$27+1,20,24,28,32,36,40),0)/100)),0)</f>
        <v/>
      </c>
      <c r="R979">
        <f>IF(AND(Inputs!$B$38&lt;&gt;"pvp",Inputs!$B$43&gt;0),IF(MAX(0,Inputs!$B$43-B1001)&lt;=0,0,(INT(MAX(0,Inputs!$B$43-B1001)/(IF(Inputs!$B$38="pvp",15,MAX(0.1,Skills!D11-IF(Skills!E11=TRUE,(Inputs!$B$32+1),0)))*(1-IF(AND(ArtifactsInput!$M$27,Inputs!$B$4="Chapter Hunt"),CHOOSE(ArtifactsInput!$N$27+1,20,24,28,32,36,40),0)/100)))+1)),0)</f>
        <v/>
      </c>
      <c r="S979">
        <f>IFERROR(O979/N979,0)</f>
        <v/>
      </c>
      <c r="T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$21+Skills!Q11+(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Skills!A12</f>
        <v/>
      </c>
      <c r="B980">
        <f>Skills!B12</f>
        <v/>
      </c>
      <c r="C980">
        <f>Inputs!$B$3&gt;=100</f>
        <v/>
      </c>
      <c r="D980">
        <f>IF(Skills!C12=1,60+Inputs!$B$25+Inputs!$B$29,IF(Skills!C12=2,90+Inputs!$B$26+Inputs!$B$29,IF(Skills!C12=3,120+Inputs!$B$27+Inputs!$B$29,MAX(0,(Inputs!$B$3-100)*3)+Inputs!$B$28+Inputs!$B$29)))</f>
        <v/>
      </c>
      <c r="E980">
        <f>INDEX(FactorTable!$B$2:$Y$301, MATCH(ROUND(MIN(300,MAX(1,D980)),0), FactorTable!$A$2:$A$301,0), Skills!M12+1)</f>
        <v/>
      </c>
      <c r="F980">
        <f>IF(Skills!N12=TRUE,(Skills!L12/10)*(E980/1000),Skills!L12/10)+Skills!O12</f>
        <v/>
      </c>
      <c r="G980" t="inlineStr"/>
      <c r="H980" t="inlineStr"/>
      <c r="I980" t="inlineStr">
        <is>
          <t>1</t>
        </is>
      </c>
      <c r="J980" t="inlineStr"/>
      <c r="K980" t="inlineStr"/>
      <c r="L980" t="inlineStr"/>
      <c r="M980" t="inlineStr"/>
      <c r="N980" t="inlineStr"/>
      <c r="O980" t="inlineStr"/>
      <c r="P980" t="inlineStr"/>
      <c r="Q980" t="inlineStr"/>
      <c r="R980" t="inlineStr"/>
      <c r="S980" t="inlineStr"/>
      <c r="T980" t="inlineStr"/>
      <c r="V980" t="inlineStr"/>
    </row>
    <row r="981">
      <c r="A981">
        <f>Skills!A13</f>
        <v/>
      </c>
      <c r="B981">
        <f>Skills!B13</f>
        <v/>
      </c>
      <c r="C981">
        <f>Inputs!$B$3&gt;=66</f>
        <v/>
      </c>
      <c r="D981">
        <f>IF(Skills!C13=1,60+Inputs!$B$25+Inputs!$B$29,IF(Skills!C13=2,90+Inputs!$B$26+Inputs!$B$29,IF(Skills!C13=3,120+Inputs!$B$27+Inputs!$B$29,MAX(0,(Inputs!$B$3-100)*3)+Inputs!$B$28+Inputs!$B$29)))</f>
        <v/>
      </c>
      <c r="E981">
        <f>INDEX(FactorTable!$B$2:$Y$301, MATCH(ROUND(MIN(300,MAX(1,D981)),0), FactorTable!$A$2:$A$301,0), Skills!M13+1)</f>
        <v/>
      </c>
      <c r="F981">
        <f>IF(Skills!N13=TRUE,(Skills!L13/10)*(E981/1000),Skills!L13/10)+Skills!O13</f>
        <v/>
      </c>
      <c r="G981">
        <f>Skills!G13*IF(Skills!H13&gt;0,Skills!I13/Skills!H13,1)</f>
        <v/>
      </c>
      <c r="H981">
        <f>1-(1-Skills!J13/100)^Skills!K13</f>
        <v/>
      </c>
      <c r="I981" t="inlineStr">
        <is>
          <t>1</t>
        </is>
      </c>
      <c r="J981" t="inlineStr"/>
      <c r="K981" t="inlineStr"/>
      <c r="L981" t="inlineStr"/>
      <c r="M981" t="inlineStr"/>
      <c r="N981" t="inlineStr"/>
      <c r="O981">
        <f>(1-Summary!$B$11)*T981+Summary!$B$11*V981</f>
        <v/>
      </c>
      <c r="P981">
        <f>IF(B1004=0,0,O981/B1004)</f>
        <v/>
      </c>
      <c r="Q981" t="n">
        <v>0</v>
      </c>
      <c r="R981" t="n">
        <v>0</v>
      </c>
      <c r="S981">
        <f>IFERROR(O981/N981,0)</f>
        <v/>
      </c>
      <c r="T981" t="n">
        <v>0</v>
      </c>
      <c r="V981" t="n">
        <v>0</v>
      </c>
    </row>
    <row r="982">
      <c r="A982">
        <f>Skills!A14</f>
        <v/>
      </c>
      <c r="B982">
        <f>Skills!B14</f>
        <v/>
      </c>
      <c r="C982">
        <f>Inputs!$B$3&gt;=107</f>
        <v/>
      </c>
      <c r="D982">
        <f>IF(Skills!C14=1,60+Inputs!$B$25+Inputs!$B$29,IF(Skills!C14=2,90+Inputs!$B$26+Inputs!$B$29,IF(Skills!C14=3,120+Inputs!$B$27+Inputs!$B$29,MAX(0,(Inputs!$B$3-100)*3)+Inputs!$B$28+Inputs!$B$29)))</f>
        <v/>
      </c>
      <c r="E982">
        <f>INDEX(FactorTable!$B$2:$Y$301, MATCH(ROUND(MIN(300,MAX(1,D982)),0), FactorTable!$A$2:$A$301,0), Skills!M14+1)</f>
        <v/>
      </c>
      <c r="F982">
        <f>IF(Skills!N14=TRUE,(Skills!L14/10)*(E982/1000),Skills!L14/10)+Skills!O14</f>
        <v/>
      </c>
      <c r="G982">
        <f>Skills!G14*IF(Skills!H14&gt;0,Skills!I14/Skills!H14,1)</f>
        <v/>
      </c>
      <c r="H982">
        <f>1-(1-Skills!J14/100)^Skills!K14</f>
        <v/>
      </c>
      <c r="I982" t="inlineStr">
        <is>
          <t>1</t>
        </is>
      </c>
      <c r="J982" t="inlineStr"/>
      <c r="K982" t="inlineStr"/>
      <c r="L982" t="inlineStr"/>
      <c r="M982" t="inlineStr"/>
      <c r="N982" t="inlineStr"/>
      <c r="O982">
        <f>(1-Summary!$B$11)*T982+Summary!$B$11*V982</f>
        <v/>
      </c>
      <c r="P982">
        <f>IF(B1004=0,0,O982/B1004)</f>
        <v/>
      </c>
      <c r="Q982" t="n">
        <v>0</v>
      </c>
      <c r="R982" t="n">
        <v>0</v>
      </c>
      <c r="S982">
        <f>IFERROR(O982/N982,0)</f>
        <v/>
      </c>
      <c r="T982" t="n">
        <v>0</v>
      </c>
      <c r="V982" t="n">
        <v>0</v>
      </c>
    </row>
    <row r="983">
      <c r="A983">
        <f>Skills!A15</f>
        <v/>
      </c>
      <c r="B983">
        <f>Skills!B15</f>
        <v/>
      </c>
      <c r="C983">
        <f>Inputs!$B$3&gt;=115</f>
        <v/>
      </c>
      <c r="D983">
        <f>IF(Skills!C15=1,60+Inputs!$B$25+Inputs!$B$29,IF(Skills!C15=2,90+Inputs!$B$26+Inputs!$B$29,IF(Skills!C15=3,120+Inputs!$B$27+Inputs!$B$29,MAX(0,(Inputs!$B$3-100)*3)+Inputs!$B$28+Inputs!$B$29)))</f>
        <v/>
      </c>
      <c r="E983">
        <f>INDEX(FactorTable!$B$2:$Y$301, MATCH(ROUND(MIN(300,MAX(1,D983)),0), FactorTable!$A$2:$A$301,0), Skills!M15+1)</f>
        <v/>
      </c>
      <c r="F983">
        <f>IF(Skills!N15=TRUE,(Skills!L15/10)*(E983/1000),Skills!L15/10)+Skills!O15</f>
        <v/>
      </c>
      <c r="G983">
        <f>Skills!G15*IF(Skills!H15&gt;0,Skills!I15/Skills!H15,1)</f>
        <v/>
      </c>
      <c r="H983">
        <f>1-(1-Skills!J15/100)^Skills!K15</f>
        <v/>
      </c>
      <c r="I983" t="inlineStr">
        <is>
          <t>1</t>
        </is>
      </c>
      <c r="J983" t="inlineStr"/>
      <c r="K983" t="inlineStr"/>
      <c r="L983" t="inlineStr"/>
      <c r="M983" t="inlineStr"/>
      <c r="N983" t="inlineStr"/>
      <c r="O983">
        <f>(1-Summary!$B$11)*T983+Summary!$B$11*V983</f>
        <v/>
      </c>
      <c r="P983">
        <f>IF(B1004=0,0,O983/B1004)</f>
        <v/>
      </c>
      <c r="Q983" t="n">
        <v>0</v>
      </c>
      <c r="R983" t="n">
        <v>0</v>
      </c>
      <c r="S983">
        <f>IFERROR(O983/N983,0)</f>
        <v/>
      </c>
      <c r="T983" t="n">
        <v>0</v>
      </c>
      <c r="V983" t="n">
        <v>0</v>
      </c>
    </row>
    <row r="984">
      <c r="A984">
        <f>Skills!A16</f>
        <v/>
      </c>
      <c r="B984">
        <f>Skills!B16</f>
        <v/>
      </c>
      <c r="C984">
        <f>Inputs!$B$3&gt;=15</f>
        <v/>
      </c>
      <c r="D984">
        <f>IF(Skills!C16=1,60+Inputs!$B$25+Inputs!$B$29,IF(Skills!C16=2,90+Inputs!$B$26+Inputs!$B$29,IF(Skills!C16=3,120+Inputs!$B$27+Inputs!$B$29,MAX(0,(Inputs!$B$3-100)*3)+Inputs!$B$28+Inputs!$B$29)))</f>
        <v/>
      </c>
      <c r="E984">
        <f>INDEX(FactorTable!$B$2:$Y$301, MATCH(ROUND(MIN(300,MAX(1,D984)),0), FactorTable!$A$2:$A$301,0), Skills!M16+1)</f>
        <v/>
      </c>
      <c r="F984">
        <f>IF(Skills!N16=TRUE,(Skills!L16/10)*(E984/1000),Skills!L16/10)+Skills!O16</f>
        <v/>
      </c>
      <c r="G984">
        <f>Skills!G16*IF(Skills!H16&gt;0,Skills!I16/Skills!H16,1)</f>
        <v/>
      </c>
      <c r="H984">
        <f>1-(1-Skills!J16/100)^Skills!K16</f>
        <v/>
      </c>
      <c r="I984" t="inlineStr">
        <is>
          <t>1</t>
        </is>
      </c>
      <c r="J984" t="inlineStr"/>
      <c r="K984" t="inlineStr"/>
      <c r="L984" t="inlineStr"/>
      <c r="M984" t="inlineStr"/>
      <c r="N984" t="inlineStr"/>
      <c r="O984">
        <f>(1-Summary!$B$11)*T984+Summary!$B$11*V984</f>
        <v/>
      </c>
      <c r="P984">
        <f>IF(B1004=0,0,O984/B1004)</f>
        <v/>
      </c>
      <c r="Q984" t="n">
        <v>0</v>
      </c>
      <c r="R984" t="n">
        <v>0</v>
      </c>
      <c r="S984">
        <f>IFERROR(O984/N984,0)</f>
        <v/>
      </c>
      <c r="T984" t="n">
        <v>0</v>
      </c>
      <c r="V984" t="n">
        <v>0</v>
      </c>
    </row>
    <row r="985">
      <c r="A985">
        <f>Skills!A17</f>
        <v/>
      </c>
      <c r="B985">
        <f>Skills!B17</f>
        <v/>
      </c>
      <c r="C985">
        <f>Inputs!$B$3&gt;=10</f>
        <v/>
      </c>
      <c r="D985">
        <f>IF(Skills!C17=1,60+Inputs!$B$25+Inputs!$B$29,IF(Skills!C17=2,90+Inputs!$B$26+Inputs!$B$29,IF(Skills!C17=3,120+Inputs!$B$27+Inputs!$B$29,MAX(0,(Inputs!$B$3-100)*3)+Inputs!$B$28+Inputs!$B$29)))</f>
        <v/>
      </c>
      <c r="E985">
        <f>INDEX(FactorTable!$B$2:$Y$301, MATCH(ROUND(MIN(300,MAX(1,D985)),0), FactorTable!$A$2:$A$301,0), Skills!M17+1)</f>
        <v/>
      </c>
      <c r="F985">
        <f>IF(Skills!N17=TRUE,(Skills!L17/10)*(E985/1000),Skills!L17/10)+Skills!O17</f>
        <v/>
      </c>
      <c r="G985">
        <f>Skills!G17*IF(Skills!H17&gt;0,Skills!I17/Skills!H17,1)</f>
        <v/>
      </c>
      <c r="H985">
        <f>1-(1-Skills!J17/100)^Skills!K17</f>
        <v/>
      </c>
      <c r="I985" t="inlineStr">
        <is>
          <t>1</t>
        </is>
      </c>
      <c r="J985" t="inlineStr"/>
      <c r="K985" t="inlineStr"/>
      <c r="L985" t="inlineStr"/>
      <c r="M985" t="inlineStr"/>
      <c r="N985" t="inlineStr"/>
      <c r="O985">
        <f>(1-Summary!$B$11)*T985+Summary!$B$11*V985</f>
        <v/>
      </c>
      <c r="P985">
        <f>IF(B1004=0,0,O985/B1004)</f>
        <v/>
      </c>
      <c r="Q985" t="n">
        <v>0</v>
      </c>
      <c r="R985" t="n">
        <v>0</v>
      </c>
      <c r="S985">
        <f>IFERROR(O985/N985,0)</f>
        <v/>
      </c>
      <c r="T985" t="n">
        <v>0</v>
      </c>
      <c r="V985" t="n">
        <v>0</v>
      </c>
    </row>
    <row r="986">
      <c r="A986">
        <f>Skills!A18</f>
        <v/>
      </c>
      <c r="B986">
        <f>Skills!B18</f>
        <v/>
      </c>
      <c r="C986">
        <f>Inputs!$B$3&gt;=33</f>
        <v/>
      </c>
      <c r="D986">
        <f>IF(Skills!C18=1,60+Inputs!$B$25+Inputs!$B$29,IF(Skills!C18=2,90+Inputs!$B$26+Inputs!$B$29,IF(Skills!C18=3,120+Inputs!$B$27+Inputs!$B$29,MAX(0,(Inputs!$B$3-100)*3)+Inputs!$B$28+Inputs!$B$29)))</f>
        <v/>
      </c>
      <c r="E986">
        <f>INDEX(FactorTable!$B$2:$Y$301, MATCH(ROUND(MIN(300,MAX(1,D986)),0), FactorTable!$A$2:$A$301,0), Skills!M18+1)</f>
        <v/>
      </c>
      <c r="F986">
        <f>IF(Skills!N18=TRUE,(Skills!L18/10)*(E986/1000),Skills!L18/10)+Skills!O18</f>
        <v/>
      </c>
      <c r="G986">
        <f>Skills!G18*IF(Skills!H18&gt;0,Skills!I18/Skills!H18,1)</f>
        <v/>
      </c>
      <c r="H986">
        <f>1-(1-Skills!J18/100)^Skills!K18</f>
        <v/>
      </c>
      <c r="I986" t="inlineStr">
        <is>
          <t>1</t>
        </is>
      </c>
      <c r="J986" t="inlineStr"/>
      <c r="K986" t="inlineStr"/>
      <c r="L986" t="inlineStr"/>
      <c r="M986" t="inlineStr"/>
      <c r="N986" t="inlineStr"/>
      <c r="O986">
        <f>(1-Summary!$B$11)*T986+Summary!$B$11*V986</f>
        <v/>
      </c>
      <c r="P986">
        <f>IF(B1004=0,0,O986/B1004)</f>
        <v/>
      </c>
      <c r="Q986" t="n">
        <v>0</v>
      </c>
      <c r="R986" t="n">
        <v>0</v>
      </c>
      <c r="S986">
        <f>IFERROR(O986/N986,0)</f>
        <v/>
      </c>
      <c r="T986" t="n">
        <v>0</v>
      </c>
      <c r="V986" t="n">
        <v>0</v>
      </c>
    </row>
    <row r="987">
      <c r="A987">
        <f>Skills!A19</f>
        <v/>
      </c>
      <c r="B987">
        <f>Skills!B19</f>
        <v/>
      </c>
      <c r="C987">
        <f>Inputs!$B$3&gt;=40</f>
        <v/>
      </c>
      <c r="D987">
        <f>IF(Skills!C19=1,60+Inputs!$B$25+Inputs!$B$29,IF(Skills!C19=2,90+Inputs!$B$26+Inputs!$B$29,IF(Skills!C19=3,120+Inputs!$B$27+Inputs!$B$29,MAX(0,(Inputs!$B$3-100)*3)+Inputs!$B$28+Inputs!$B$29)))</f>
        <v/>
      </c>
      <c r="E987">
        <f>INDEX(FactorTable!$B$2:$Y$301, MATCH(ROUND(MIN(300,MAX(1,D987)),0), FactorTable!$A$2:$A$301,0), Skills!M19+1)</f>
        <v/>
      </c>
      <c r="F987">
        <f>IF(Skills!N19=TRUE,(Skills!L19/10)*(E987/1000),Skills!L19/10)+Skills!O19</f>
        <v/>
      </c>
      <c r="G987">
        <f>Skills!G19*IF(Skills!H19&gt;0,Skills!I19/Skills!H19,1)</f>
        <v/>
      </c>
      <c r="H987">
        <f>1-(1-Skills!J19/100)^Skills!K19</f>
        <v/>
      </c>
      <c r="I987" t="inlineStr">
        <is>
          <t>1</t>
        </is>
      </c>
      <c r="J987" t="inlineStr"/>
      <c r="K987" t="inlineStr"/>
      <c r="L987" t="inlineStr"/>
      <c r="M987" t="inlineStr"/>
      <c r="N987" t="inlineStr"/>
      <c r="O987">
        <f>(1-Summary!$B$11)*T987+Summary!$B$11*V987</f>
        <v/>
      </c>
      <c r="P987">
        <f>IF(B1004=0,0,O987/B1004)</f>
        <v/>
      </c>
      <c r="Q987" t="n">
        <v>0</v>
      </c>
      <c r="R987" t="n">
        <v>0</v>
      </c>
      <c r="S987">
        <f>IFERROR(O987/N987,0)</f>
        <v/>
      </c>
      <c r="T987" t="n">
        <v>0</v>
      </c>
      <c r="V987" t="n">
        <v>0</v>
      </c>
    </row>
    <row r="988">
      <c r="A988">
        <f>Skills!A20</f>
        <v/>
      </c>
      <c r="B988">
        <f>Skills!B20</f>
        <v/>
      </c>
      <c r="C988">
        <f>Inputs!$B$3&gt;=43</f>
        <v/>
      </c>
      <c r="D988">
        <f>IF(Skills!C20=1,60+Inputs!$B$25+Inputs!$B$29,IF(Skills!C20=2,90+Inputs!$B$26+Inputs!$B$29,IF(Skills!C20=3,120+Inputs!$B$27+Inputs!$B$29,MAX(0,(Inputs!$B$3-100)*3)+Inputs!$B$28+Inputs!$B$29)))</f>
        <v/>
      </c>
      <c r="E988">
        <f>INDEX(FactorTable!$B$2:$Y$301, MATCH(ROUND(MIN(300,MAX(1,D988)),0), FactorTable!$A$2:$A$301,0), Skills!M20+1)</f>
        <v/>
      </c>
      <c r="F988">
        <f>IF(Skills!N20=TRUE,(Skills!L20/10)*(E988/1000),Skills!L20/10)+Skills!O20</f>
        <v/>
      </c>
      <c r="G988">
        <f>Skills!G20*IF(Skills!H20&gt;0,Skills!I20/Skills!H20,1)</f>
        <v/>
      </c>
      <c r="H988">
        <f>1-(1-Skills!J20/100)^Skills!K20</f>
        <v/>
      </c>
      <c r="I988" t="inlineStr">
        <is>
          <t>1</t>
        </is>
      </c>
      <c r="J988" t="inlineStr"/>
      <c r="K988" t="inlineStr"/>
      <c r="L988" t="inlineStr"/>
      <c r="M988" t="inlineStr"/>
      <c r="N988" t="inlineStr"/>
      <c r="O988">
        <f>(1-Summary!$B$11)*T988+Summary!$B$11*V988</f>
        <v/>
      </c>
      <c r="P988">
        <f>IF(B1004=0,0,O988/B1004)</f>
        <v/>
      </c>
      <c r="Q988" t="n">
        <v>0</v>
      </c>
      <c r="R988" t="n">
        <v>0</v>
      </c>
      <c r="S988">
        <f>IFERROR(O988/N988,0)</f>
        <v/>
      </c>
      <c r="T988" t="n">
        <v>0</v>
      </c>
      <c r="V988" t="n">
        <v>0</v>
      </c>
    </row>
    <row r="989">
      <c r="A989">
        <f>Skills!A21</f>
        <v/>
      </c>
      <c r="B989">
        <f>Skills!B21</f>
        <v/>
      </c>
      <c r="C989">
        <f>Inputs!$B$3&gt;=38</f>
        <v/>
      </c>
      <c r="D989">
        <f>IF(Skills!C21=1,60+Inputs!$B$25+Inputs!$B$29,IF(Skills!C21=2,90+Inputs!$B$26+Inputs!$B$29,IF(Skills!C21=3,120+Inputs!$B$27+Inputs!$B$29,MAX(0,(Inputs!$B$3-100)*3)+Inputs!$B$28+Inputs!$B$29)))</f>
        <v/>
      </c>
      <c r="E989">
        <f>INDEX(FactorTable!$B$2:$Y$301, MATCH(ROUND(MIN(300,MAX(1,D989)),0), FactorTable!$A$2:$A$301,0), Skills!M21+1)</f>
        <v/>
      </c>
      <c r="F989">
        <f>IF(Skills!N21=TRUE,(Skills!L21/10)*(E989/1000),Skills!L21/10)+Skills!O21</f>
        <v/>
      </c>
      <c r="G989">
        <f>Skills!G21*IF(Skills!H21&gt;0,Skills!I21/Skills!H21,1)</f>
        <v/>
      </c>
      <c r="H989">
        <f>1-(1-Skills!J21/100)^Skills!K21</f>
        <v/>
      </c>
      <c r="I989" t="inlineStr">
        <is>
          <t>1</t>
        </is>
      </c>
      <c r="J989" t="inlineStr"/>
      <c r="K989" t="inlineStr"/>
      <c r="L989" t="inlineStr"/>
      <c r="M989" t="inlineStr"/>
      <c r="N989" t="inlineStr"/>
      <c r="O989">
        <f>(1-Summary!$B$11)*T989+Summary!$B$11*V989</f>
        <v/>
      </c>
      <c r="P989">
        <f>IF(B1004=0,0,O989/B1004)</f>
        <v/>
      </c>
      <c r="Q989" t="n">
        <v>0</v>
      </c>
      <c r="R989" t="n">
        <v>0</v>
      </c>
      <c r="S989">
        <f>IFERROR(O989/N989,0)</f>
        <v/>
      </c>
      <c r="T989" t="n">
        <v>0</v>
      </c>
      <c r="V989" t="n">
        <v>0</v>
      </c>
    </row>
    <row r="990">
      <c r="A990">
        <f>Skills!A22</f>
        <v/>
      </c>
      <c r="B990">
        <f>Skills!B22</f>
        <v/>
      </c>
      <c r="C990">
        <f>Inputs!$B$3&gt;=75</f>
        <v/>
      </c>
      <c r="D990">
        <f>IF(Skills!C22=1,60+Inputs!$B$25+Inputs!$B$29,IF(Skills!C22=2,90+Inputs!$B$26+Inputs!$B$29,IF(Skills!C22=3,120+Inputs!$B$27+Inputs!$B$29,MAX(0,(Inputs!$B$3-100)*3)+Inputs!$B$28+Inputs!$B$29)))</f>
        <v/>
      </c>
      <c r="E990">
        <f>INDEX(FactorTable!$B$2:$Y$301, MATCH(ROUND(MIN(300,MAX(1,D990)),0), FactorTable!$A$2:$A$301,0), Skills!M22+1)</f>
        <v/>
      </c>
      <c r="F990">
        <f>IF(Skills!N22=TRUE,(Skills!L22/10)*(E990/1000),Skills!L22/10)+Skills!O22</f>
        <v/>
      </c>
      <c r="G990">
        <f>Skills!G22*IF(Skills!H22&gt;0,Skills!I22/Skills!H22,1)</f>
        <v/>
      </c>
      <c r="H990">
        <f>1-(1-Skills!J22/100)^Skills!K22</f>
        <v/>
      </c>
      <c r="I990" t="inlineStr">
        <is>
          <t>1</t>
        </is>
      </c>
      <c r="J990" t="inlineStr"/>
      <c r="K990" t="inlineStr"/>
      <c r="L990" t="inlineStr"/>
      <c r="M990" t="inlineStr"/>
      <c r="N990" t="inlineStr"/>
      <c r="O990">
        <f>(1-Summary!$B$11)*T990+Summary!$B$11*V990</f>
        <v/>
      </c>
      <c r="P990">
        <f>IF(B1004=0,0,O990/B1004)</f>
        <v/>
      </c>
      <c r="Q990" t="n">
        <v>0</v>
      </c>
      <c r="R990" t="n">
        <v>0</v>
      </c>
      <c r="S990">
        <f>IFERROR(O990/N990,0)</f>
        <v/>
      </c>
      <c r="T990" t="n">
        <v>0</v>
      </c>
      <c r="V990" t="n">
        <v>0</v>
      </c>
    </row>
    <row r="991">
      <c r="A991">
        <f>Skills!A23</f>
        <v/>
      </c>
      <c r="B991">
        <f>Skills!B23</f>
        <v/>
      </c>
      <c r="C991">
        <f>TRUE</f>
        <v/>
      </c>
      <c r="D991">
        <f>IF(Skills!C23=1,60+Inputs!$B$25+Inputs!$B$29,IF(Skills!C23=2,90+Inputs!$B$26+Inputs!$B$29,IF(Skills!C23=3,120+Inputs!$B$27+Inputs!$B$29,MAX(0,(Inputs!$B$3-100)*3)+Inputs!$B$28+Inputs!$B$29)))</f>
        <v/>
      </c>
      <c r="E991">
        <f>INDEX(FactorTable!$B$2:$Y$301, MATCH(ROUND(MIN(300,MAX(1,D991)),0), FactorTable!$A$2:$A$301,0), Skills!M23+1)</f>
        <v/>
      </c>
      <c r="F991">
        <f>IF(Skills!N23=TRUE,(Skills!L23/10)*(E991/1000),Skills!L23/10)+Skills!O23</f>
        <v/>
      </c>
      <c r="G991">
        <f>Skills!G23*IF(Skills!H23&gt;0,Skills!I23/Skills!H23,1)</f>
        <v/>
      </c>
      <c r="H991">
        <f>1-(1-Skills!J23/100)^Skills!K23</f>
        <v/>
      </c>
      <c r="I991" t="inlineStr">
        <is>
          <t>1</t>
        </is>
      </c>
      <c r="J991" t="inlineStr"/>
      <c r="K991" t="inlineStr"/>
      <c r="L991" t="inlineStr"/>
      <c r="M991" t="inlineStr"/>
      <c r="N991" t="inlineStr"/>
      <c r="O991">
        <f>(1-Summary!$B$11)*T991+Summary!$B$11*V991</f>
        <v/>
      </c>
      <c r="P991">
        <f>IF(B1004=0,0,O991/B1004)</f>
        <v/>
      </c>
      <c r="Q991">
        <f>IFERROR(1/(IF(Inputs!$B$38="pvp",15,MAX(0.1,Skills!D23-IF(Skills!E23=TRUE,(Inputs!$B$32+1),0)))*(1-IF(AND(ArtifactsInput!$M$27,Inputs!$B$4="Chapter Hunt"),CHOOSE(ArtifactsInput!$N$27+1,20,24,28,32,36,40),0)/100)),0)</f>
        <v/>
      </c>
      <c r="R991">
        <f>IF(AND(Inputs!$B$38&lt;&gt;"pvp",Inputs!$B$43&gt;0),IF(Inputs!$B$43&lt;=0,0,(INT(Inputs!$B$43/(IF(Inputs!$B$38="pvp",15,MAX(0.1,Skills!D23-IF(Skills!E23=TRUE,(Inputs!$B$32+1),0)))*(1-IF(AND(ArtifactsInput!$M$27,Inputs!$B$4="Chapter Hunt"),CHOOSE(ArtifactsInput!$N$27+1,20,24,28,32,36,40),0)/100)))+1)),0)</f>
        <v/>
      </c>
      <c r="S991">
        <f>IFERROR(O991/N991,0)</f>
        <v/>
      </c>
      <c r="T991" t="n">
        <v>0</v>
      </c>
      <c r="V991" t="n">
        <v>0</v>
      </c>
    </row>
    <row r="993">
      <c r="A993" t="inlineStr">
        <is>
          <t>Attack% Bucket Multiplier</t>
        </is>
      </c>
      <c r="B993">
        <f>(1+(((C981=TRUE)*F981*5/7)+((C987=TRUE)*(F987-Calc!F19))+(IF(ArtifactsInput!$M$21,CHOOSE(ArtifactsInput!$N$21+1,25,30,35,40,45,50)*(IF(OR(Inputs!$B$4="Chapter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4">
      <c r="A994" t="inlineStr">
        <is>
          <t>Global Crit Rate Bonus %</t>
        </is>
      </c>
      <c r="B994" t="n">
        <v>0</v>
      </c>
    </row>
    <row r="995">
      <c r="A995" t="inlineStr">
        <is>
          <t>Attack Speed Buff Bonus % (Nimble Feet, duty-cycle averaged)</t>
        </is>
      </c>
      <c r="B995">
        <f>((C991=TRUE)*F991*IF(AND(Inputs!$B$38&lt;&gt;"pvp",Inputs!$B$43&gt;0),(((R991-1)*(Skills!T23*(1+Inputs!$B$34/100))+MIN((Skills!T23*(1+Inputs!$B$34/100)),MAX(0,Inputs!$B$43-((R991-1)*Skills!D23))))/Inputs!$B$43),IF(Inputs!$B$38="pvp",MIN((Skills!T23*(1+Inputs!$B$34/100)),15)/15,(Skills!T23*(1+Inputs!$B$34/100))/Skills!D23)))</f>
        <v/>
      </c>
    </row>
    <row r="996">
      <c r="A996" t="inlineStr">
        <is>
          <t>Actions Per Second</t>
        </is>
      </c>
      <c r="B996">
        <f>1+MIN(150,150*(1-(1-(Inputs!$B$11+((C985=TRUE)*(F985-Calc!F17))+((C986=TRUE)*(F986-Calc!F18)))/150)*(1-B995/150)))/100</f>
        <v/>
      </c>
    </row>
    <row r="997">
      <c r="A997" t="inlineStr">
        <is>
          <t>Skill + Buff Cast Rate</t>
        </is>
      </c>
      <c r="B997">
        <f>IF(AND(Inputs!$B$38&lt;&gt;"pvp",Inputs!$B$43&gt;0),SUMPRODUCT((Skills!E2:E23=TRUE)*(C970:C991=TRUE)*R970:R991*Skills!F2:F23)/Inputs!$B$43,SUMPRODUCT((Skills!E2:E23=TRUE)*(C970:C991=TRUE)*Q970:Q991*Skills!F2:F23))</f>
        <v/>
      </c>
    </row>
    <row r="998">
      <c r="A998" t="inlineStr">
        <is>
          <t>Hook Bomber Casts Per Second</t>
        </is>
      </c>
      <c r="B998">
        <f>MAX(0,B996-B997)</f>
        <v/>
      </c>
    </row>
    <row r="999">
      <c r="A999" t="inlineStr">
        <is>
          <t>Global Critical Damage Bonus % (unused)</t>
        </is>
      </c>
      <c r="B999" t="n">
        <v>0</v>
      </c>
    </row>
    <row r="1000">
      <c r="A1000" t="inlineStr">
        <is>
          <t>Global Final Damage Bonus % (Serpent Scale + Crossbones + Time Leap + Speed Infusion)</t>
        </is>
      </c>
      <c r="B1000">
        <f>((C973=TRUE)*F973*((10+IF(Inputs!$B$3&gt;=94,5,0))/((10+IF(Inputs!$B$3&gt;=94,5,0))+5/(B998*(1+IF(Inputs!$B$3&gt;=104,1,0))))))+((C982=TRUE)*F982)+((C983=TRUE)*F983)+((Inputs!$B$3&gt;=110)*20*(B996-1))</f>
        <v/>
      </c>
    </row>
    <row r="1001">
      <c r="A1001" t="inlineStr">
        <is>
          <t>Buff-Casting Startup Delay (s, fixed-duration only)</t>
        </is>
      </c>
      <c r="B1001">
        <f>IF(AND(Inputs!$B$38&lt;&gt;"pvp",Inputs!$B$43&gt;0),SUMPRODUCT((Skills!T2:T23&gt;0)*(Skills!E2:E23=TRUE)*(C970:C991=TRUE))/B996,0)</f>
        <v/>
      </c>
    </row>
    <row r="1002">
      <c r="A1002" t="inlineStr">
        <is>
          <t>Boss-Only Total DPS (this block's swept value)</t>
        </is>
      </c>
      <c r="B1002">
        <f>SUM(T970:T991)</f>
        <v/>
      </c>
    </row>
    <row r="1003">
      <c r="A1003" t="inlineStr">
        <is>
          <t>Normal-Only Total DPS (this block's swept value)</t>
        </is>
      </c>
      <c r="B1003">
        <f>SUM(V970:V991)</f>
        <v/>
      </c>
    </row>
    <row r="1004">
      <c r="A1004" s="6" t="inlineStr">
        <is>
          <t>TOTAL DPS</t>
        </is>
      </c>
      <c r="B1004" s="6">
        <f>SUM(O970:O991)</f>
        <v/>
      </c>
    </row>
    <row r="1007">
      <c r="A1007" s="6" t="inlineStr">
        <is>
          <t>Stat: Basic Attack Target Increase (flat)</t>
        </is>
      </c>
    </row>
    <row r="1008">
      <c r="A1008" s="5" t="inlineStr">
        <is>
          <t>Key</t>
        </is>
      </c>
      <c r="B1008" s="5" t="inlineStr">
        <is>
          <t>Name</t>
        </is>
      </c>
      <c r="C1008" s="5" t="inlineStr">
        <is>
          <t>Unlocked</t>
        </is>
      </c>
      <c r="D1008" s="5" t="inlineStr">
        <is>
          <t>InputLevel</t>
        </is>
      </c>
      <c r="E1008" s="5" t="inlineStr">
        <is>
          <t>Factor</t>
        </is>
      </c>
      <c r="F1008" s="5" t="inlineStr">
        <is>
          <t>CoefficientPercent</t>
        </is>
      </c>
      <c r="G1008" s="5" t="inlineStr">
        <is>
          <t>EffectiveHits</t>
        </is>
      </c>
      <c r="H1008" s="5" t="inlineStr">
        <is>
          <t>ProcProbability</t>
        </is>
      </c>
      <c r="I1008" s="5" t="inlineStr">
        <is>
          <t>MapleHeroMultiplier</t>
        </is>
      </c>
      <c r="J1008" s="5" t="inlineStr">
        <is>
          <t>BaseDamage</t>
        </is>
      </c>
      <c r="K1008" s="5" t="inlineStr">
        <is>
          <t>BaseHitDamage</t>
        </is>
      </c>
      <c r="L1008" s="5" t="inlineStr">
        <is>
          <t>NonCritAvg</t>
        </is>
      </c>
      <c r="M1008" s="5" t="inlineStr">
        <is>
          <t>CritAvg</t>
        </is>
      </c>
      <c r="N1008" s="5" t="inlineStr">
        <is>
          <t>ExpectedDamage(perHit)</t>
        </is>
      </c>
      <c r="O1008" s="5" t="inlineStr">
        <is>
          <t>DPS</t>
        </is>
      </c>
      <c r="P1008" s="5" t="inlineStr">
        <is>
          <t>% of Total</t>
        </is>
      </c>
      <c r="Q1008" s="5" t="inlineStr">
        <is>
          <t>InvCooldown</t>
        </is>
      </c>
      <c r="R1008" s="5" t="inlineStr">
        <is>
          <t>CastsInFight</t>
        </is>
      </c>
      <c r="S1008" s="5" t="inlineStr">
        <is>
          <t>HitRate(perSec)</t>
        </is>
      </c>
      <c r="U1008" t="inlineStr">
        <is>
          <t>helpers</t>
        </is>
      </c>
    </row>
    <row r="1009">
      <c r="A1009">
        <f>Skills!A2</f>
        <v/>
      </c>
      <c r="B1009">
        <f>Skills!B2</f>
        <v/>
      </c>
      <c r="C1009">
        <f>Inputs!$B$3&gt;=100</f>
        <v/>
      </c>
      <c r="D1009" t="inlineStr"/>
      <c r="E1009" t="inlineStr"/>
      <c r="F1009">
        <f>U1011+Skills!O2</f>
        <v/>
      </c>
      <c r="G1009">
        <f>Skills!G2*IF(Skills!H2&gt;0,Skills!I2/Skills!H2,1)</f>
        <v/>
      </c>
      <c r="H1009">
        <f>1-(1-Skills!J2/100)^Skills!K2</f>
        <v/>
      </c>
      <c r="I1009" t="inlineStr">
        <is>
          <t>1</t>
        </is>
      </c>
      <c r="J1009">
        <f>((Inputs!$B$6*(1+Inputs!$B$7/100))+(((Inputs!$B$12*(1+Inputs!$B$13/100))-(Inputs!$B$12*(1+Inputs!$B$13/100)))+0.25*(Inputs!$B$14-Inputs!$B$14))*(1+Inputs!$B$7/100))*(F1009/100)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1027=TRUE)*(F1027-Calc!F20)),(Inputs!$B$23+0+(IF(ArtifactsInput!$M$15,CHOOSE(ArtifactsInput!$N$15+1,25,30,35,40,45,50)/100*(Inputs!$B$11-Inputs!$B$11),0))))/100+(Inputs!$B$23+0+(IF(ArtifactsInput!$M$15,CHOOSE(ArtifactsInput!$N$15+1,25,30,35,40,45,50)/100*(Inputs!$B$11-Inputs!$B$11),0)))/100)/2</f>
        <v/>
      </c>
      <c r="M1009">
        <f>L1009*(1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IF(B1043=0,0,O1009/B1043)</f>
        <v/>
      </c>
      <c r="Q1009" t="n">
        <v>0</v>
      </c>
      <c r="R1009" t="n">
        <v>0</v>
      </c>
      <c r="S1009">
        <f>IFERROR(O1009/N1009,0)</f>
        <v/>
      </c>
      <c r="T1009">
        <f>IF(C1009,(Skills!G2*N1009*B1037)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MAX(0,(Inputs!$B$3-100)*3)+Inputs!$B$28+Inputs!$B$29</f>
        <v/>
      </c>
      <c r="V1009">
        <f>IF(C1009,(Skills!G2*N1009*B1037)*IF(Inputs!$B$38="pvp",1,(1+(Inputs!$B$21+Skills!Q2+(IF(ArtifactsInput!$M$33,CHOOSE(ArtifactsInput!$N$33+1,30,36,42,48,54,60),0))+(IF(AND(ArtifactsInput!$M$35,Inputs!$B$4&lt;&gt;"Chapter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Skills!A3</f>
        <v/>
      </c>
      <c r="B1010">
        <f>Skills!B3</f>
        <v/>
      </c>
      <c r="C1010">
        <f>Inputs!$B$3&gt;=35</f>
        <v/>
      </c>
      <c r="D1010">
        <f>IF(Skills!C3=1,60+Inputs!$B$25+Inputs!$B$29,IF(Skills!C3=2,90+Inputs!$B$26+Inputs!$B$29,IF(Skills!C3=3,120+Inputs!$B$27+Inputs!$B$29,MAX(0,(Inputs!$B$3-100)*3)+Inputs!$B$28+Inputs!$B$29)))</f>
        <v/>
      </c>
      <c r="E1010">
        <f>INDEX(FactorTable!$B$2:$Y$301, MATCH(ROUND(MIN(300,MAX(1,D1010)),0), FactorTable!$A$2:$A$301,0), Skills!M3+1)</f>
        <v/>
      </c>
      <c r="F1010">
        <f>IF(Skills!N3=TRUE,(Skills!L3/10)*(E1010/1000),Skills!L3/10)+Skills!O3</f>
        <v/>
      </c>
      <c r="G1010">
        <f>Skills!G3*IF(Skills!H3&gt;0,Skills!I3/Skills!H3,1)</f>
        <v/>
      </c>
      <c r="H1010">
        <f>1-(1-Skills!J3/100)^Skills!K3</f>
        <v/>
      </c>
      <c r="I1010" t="inlineStr">
        <is>
          <t>1</t>
        </is>
      </c>
      <c r="J1010">
        <f>((Inputs!$B$6*(1+Inputs!$B$7/100))+(((Inputs!$B$12*(1+Inputs!$B$13/100))-(Inputs!$B$12*(1+Inputs!$B$13/100)))+0.25*(Inputs!$B$14-Inputs!$B$14))*(1+Inputs!$B$7/100))*(F1010/100)</f>
        <v/>
      </c>
      <c r="K1010">
        <f>J1010*(1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C1027=TRUE)*(F1027-Calc!F20)),(Inputs!$B$23+0+(IF(ArtifactsInput!$M$15,CHOOSE(ArtifactsInput!$N$15+1,25,30,35,40,45,50)/100*(Inputs!$B$11-Inputs!$B$11),0))))/100+(Inputs!$B$23+0+(IF(ArtifactsInput!$M$15,CHOOSE(ArtifactsInput!$N$15+1,25,30,35,40,45,50)/100*(Inputs!$B$11-Inputs!$B$11),0)))/100)/2</f>
        <v/>
      </c>
      <c r="M1010">
        <f>L1010*(1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(1-Summary!$B$11)*T1010+Summary!$B$11*V1010</f>
        <v/>
      </c>
      <c r="P1010">
        <f>IF(B1043=0,0,O1010/B1043)</f>
        <v/>
      </c>
      <c r="Q1010" t="n">
        <v>0</v>
      </c>
      <c r="R1010" t="n">
        <v>0</v>
      </c>
      <c r="S1010">
        <f>IFERROR(O1010/N1010,0)</f>
        <v/>
      </c>
      <c r="T1010">
        <f>IF(C1010,(Skills!G3*H1010*N1010*B1037)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INDEX(FactorTable!$B$2:$Y$301, MATCH(ROUND(MIN(300,MAX(1,U1009)),0), FactorTable!$A$2:$A$301,0), 22)</f>
        <v/>
      </c>
      <c r="V1010">
        <f>IF(C1010,(Skills!G3*H1010*N1010*B1037)*IF(Inputs!$B$38="pvp",1,(1+(Inputs!$B$21+Skills!Q3+(IF(ArtifactsInput!$M$33,CHOOSE(ArtifactsInput!$N$33+1,30,36,42,48,54,60),0))+(IF(AND(ArtifactsInput!$M$35,Inputs!$B$4&lt;&gt;"Chapter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Skills!A4</f>
        <v/>
      </c>
      <c r="B1011">
        <f>Skills!B4</f>
        <v/>
      </c>
      <c r="C1011">
        <f>Inputs!$B$3&gt;=60</f>
        <v/>
      </c>
      <c r="D1011">
        <f>IF(Skills!C4=1,60+Inputs!$B$25+Inputs!$B$29,IF(Skills!C4=2,90+Inputs!$B$26+Inputs!$B$29,IF(Skills!C4=3,120+Inputs!$B$27+Inputs!$B$29,MAX(0,(Inputs!$B$3-100)*3)+Inputs!$B$28+Inputs!$B$29)))</f>
        <v/>
      </c>
      <c r="E1011">
        <f>INDEX(FactorTable!$B$2:$Y$301, MATCH(ROUND(MIN(300,MAX(1,D1011)),0), FactorTable!$A$2:$A$301,0), Skills!M4+1)</f>
        <v/>
      </c>
      <c r="F1011">
        <f>IF(Skills!N4=TRUE,(Skills!L4/10)*(E1011/1000),Skills!L4/10)+Skills!O4</f>
        <v/>
      </c>
      <c r="G1011">
        <f>Skills!G4*IF(Skills!H4&gt;0,Skills!I4/Skills!H4,1)</f>
        <v/>
      </c>
      <c r="H1011">
        <f>1-(1-Skills!J4/100)^Skills!K4</f>
        <v/>
      </c>
      <c r="I1011" t="inlineStr">
        <is>
          <t>1</t>
        </is>
      </c>
      <c r="J1011">
        <f>((Inputs!$B$6*(1+Inputs!$B$7/100))+(((Inputs!$B$12*(1+Inputs!$B$13/100))-(Inputs!$B$12*(1+Inputs!$B$13/100)))+0.25*(Inputs!$B$14-Inputs!$B$14))*(1+Inputs!$B$7/100))*(F1011/100)</f>
        <v/>
      </c>
      <c r="K1011">
        <f>J1011*(1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1019=TRUE,F1019,0)/100)*(1+(IF(Skills!A4="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C1027=TRUE)*(F1027-Calc!F20)),(Inputs!$B$23+0+(IF(ArtifactsInput!$M$15,CHOOSE(ArtifactsInput!$N$15+1,25,30,35,40,45,50)/100*(Inputs!$B$11-Inputs!$B$11),0))))/100+(Inputs!$B$23+0+(IF(ArtifactsInput!$M$15,CHOOSE(ArtifactsInput!$N$15+1,25,30,35,40,45,50)/100*(Inputs!$B$11-Inputs!$B$11),0)))/100)/2</f>
        <v/>
      </c>
      <c r="M1011">
        <f>L1011*(1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(1-Summary!$B$11)*T1011+Summary!$B$11*V1011</f>
        <v/>
      </c>
      <c r="P1011">
        <f>IF(B1043=0,0,O1011/B1043)</f>
        <v/>
      </c>
      <c r="Q1011" t="n">
        <v>0</v>
      </c>
      <c r="R1011" t="n">
        <v>0</v>
      </c>
      <c r="S1011">
        <f>IFERROR(O1011/N1011,0)</f>
        <v/>
      </c>
      <c r="T1011">
        <f>IF(C1011,(Skills!G4*H1011*N1011*B1037)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290*U1010/1000</f>
        <v/>
      </c>
      <c r="V1011">
        <f>IF(C1011,(Skills!G4*H1011*N1011*B1037)*IF(Inputs!$B$38="pvp",1,(1+(Inputs!$B$21+Skills!Q4+(IF(ArtifactsInput!$M$33,CHOOSE(ArtifactsInput!$N$33+1,30,36,42,48,54,60),0))+(IF(AND(ArtifactsInput!$M$35,Inputs!$B$4&lt;&gt;"Chapter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Skills!A5</f>
        <v/>
      </c>
      <c r="B1012">
        <f>Skills!B5</f>
        <v/>
      </c>
      <c r="C1012">
        <f>Inputs!$B$3&gt;=60</f>
        <v/>
      </c>
      <c r="D1012">
        <f>IF(Skills!C5=1,60+Inputs!$B$25+Inputs!$B$29,IF(Skills!C5=2,90+Inputs!$B$26+Inputs!$B$29,IF(Skills!C5=3,120+Inputs!$B$27+Inputs!$B$29,MAX(0,(Inputs!$B$3-100)*3)+Inputs!$B$28+Inputs!$B$29)))</f>
        <v/>
      </c>
      <c r="E1012">
        <f>INDEX(FactorTable!$B$2:$Y$301, MATCH(ROUND(MIN(300,MAX(1,D1012)),0), FactorTable!$A$2:$A$301,0), Skills!M5+1)</f>
        <v/>
      </c>
      <c r="F1012">
        <f>IF(Skills!N5=TRUE,(Skills!L5/10)*(E1012/1000),Skills!L5/10)+Skills!O5</f>
        <v/>
      </c>
      <c r="G1012">
        <f>Skills!G5*IF(Skills!H5&gt;0,Skills!I5/Skills!H5,1)</f>
        <v/>
      </c>
      <c r="H1012">
        <f>1-(1-Skills!J5/100)^Skills!K5</f>
        <v/>
      </c>
      <c r="I1012" t="inlineStr">
        <is>
          <t>1</t>
        </is>
      </c>
      <c r="J1012" t="inlineStr"/>
      <c r="K1012" t="inlineStr"/>
      <c r="L1012" t="inlineStr"/>
      <c r="M1012" t="inlineStr"/>
      <c r="N1012" t="inlineStr"/>
      <c r="O1012">
        <f>(1-Summary!$B$11)*T1012+Summary!$B$11*V1012</f>
        <v/>
      </c>
      <c r="P1012">
        <f>IF(B1043=0,0,O1012/B1043)</f>
        <v/>
      </c>
      <c r="Q1012" t="n">
        <v>0</v>
      </c>
      <c r="R1012" t="n">
        <v>0</v>
      </c>
      <c r="S1012">
        <f>IFERROR(O1012/N1012,0)</f>
        <v/>
      </c>
      <c r="T1012" t="n">
        <v>0</v>
      </c>
      <c r="V1012" t="n">
        <v>0</v>
      </c>
    </row>
    <row r="1013">
      <c r="A1013">
        <f>Skills!A6</f>
        <v/>
      </c>
      <c r="B1013">
        <f>Skills!B6</f>
        <v/>
      </c>
      <c r="C1013">
        <f>Inputs!$B$3&gt;=63</f>
        <v/>
      </c>
      <c r="D1013">
        <f>IF(Skills!C6=1,60+Inputs!$B$25+Inputs!$B$29,IF(Skills!C6=2,90+Inputs!$B$26+Inputs!$B$29,IF(Skills!C6=3,120+Inputs!$B$27+Inputs!$B$29,MAX(0,(Inputs!$B$3-100)*3)+Inputs!$B$28+Inputs!$B$29)))</f>
        <v/>
      </c>
      <c r="E1013">
        <f>INDEX(FactorTable!$B$2:$Y$301, MATCH(ROUND(MIN(300,MAX(1,D1013)),0), FactorTable!$A$2:$A$301,0), Skills!M6+1)</f>
        <v/>
      </c>
      <c r="F1013">
        <f>IF(Skills!N6=TRUE,(Skills!L6/10)*(E1013/1000),Skills!L6/10)+Skills!O6</f>
        <v/>
      </c>
      <c r="G1013">
        <f>Skills!G6*IF(Skills!H6&gt;0,Skills!I6/Skills!H6,1)</f>
        <v/>
      </c>
      <c r="H1013">
        <f>1-(1-Skills!J6/100)^Skills!K6</f>
        <v/>
      </c>
      <c r="I1013" t="inlineStr">
        <is>
          <t>1</t>
        </is>
      </c>
      <c r="J1013">
        <f>((Inputs!$B$6*(1+Inputs!$B$7/100))+(((Inputs!$B$12*(1+Inputs!$B$13/100))-(Inputs!$B$12*(1+Inputs!$B$13/100)))+0.25*(Inputs!$B$14-Inputs!$B$14))*(1+Inputs!$B$7/100))*(F1013/100)</f>
        <v/>
      </c>
      <c r="K1013">
        <f>J1013*(1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1027=TRUE)*(F1027-Calc!F20)),(Inputs!$B$23+0+(IF(ArtifactsInput!$M$15,CHOOSE(ArtifactsInput!$N$15+1,25,30,35,40,45,50)/100*(Inputs!$B$11-Inputs!$B$11),0))))/100+(Inputs!$B$23+0+(IF(ArtifactsInput!$M$15,CHOOSE(ArtifactsInput!$N$15+1,25,30,35,40,45,50)/100*(Inputs!$B$11-Inputs!$B$11),0)))/100)/2</f>
        <v/>
      </c>
      <c r="M1013">
        <f>L1013*(1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IF(B1043=0,0,O1013/B1043)</f>
        <v/>
      </c>
      <c r="Q1013">
        <f>IFERROR(1/(IF(Inputs!$B$38="pvp",15,MAX(0.1,Skills!D6-IF(Skills!E6=TRUE,Inputs!$B$32,0)))*(1-IF(AND(ArtifactsInput!$M$27,Inputs!$B$4="Chapter Hunt"),CHOOSE(ArtifactsInput!$N$27+1,20,24,28,32,36,40),0)/100)),0)</f>
        <v/>
      </c>
      <c r="R1013">
        <f>IF(AND(Inputs!$B$38&lt;&gt;"pvp",Inputs!$B$43&gt;0),IF(MAX(0,Inputs!$B$43-B1040)&lt;=0,0,(INT(MAX(0,Inputs!$B$43-B1040)/(IF(Inputs!$B$38="pvp",15,MAX(0.1,Skills!D6-IF(Skills!E6=TRUE,Inputs!$B$32,0)))*(1-IF(AND(ArtifactsInput!$M$27,Inputs!$B$4="Chapter Hunt"),CHOOSE(ArtifactsInput!$N$27+1,20,24,28,32,36,40),0)/100)))+1)),0)</f>
        <v/>
      </c>
      <c r="S1013">
        <f>IFERROR(O1013/N1013,0)</f>
        <v/>
      </c>
      <c r="T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$21+Skills!Q6+(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Skills!A7</f>
        <v/>
      </c>
      <c r="B1014">
        <f>Skills!B7</f>
        <v/>
      </c>
      <c r="C1014">
        <f>Inputs!$B$3&gt;=100</f>
        <v/>
      </c>
      <c r="D1014">
        <f>IF(Skills!C7=1,60+Inputs!$B$25+Inputs!$B$29,IF(Skills!C7=2,90+Inputs!$B$26+Inputs!$B$29,IF(Skills!C7=3,120+Inputs!$B$27+Inputs!$B$29,MAX(0,(Inputs!$B$3-100)*3)+Inputs!$B$28+Inputs!$B$29)))</f>
        <v/>
      </c>
      <c r="E1014">
        <f>INDEX(FactorTable!$B$2:$Y$301, MATCH(ROUND(MIN(300,MAX(1,D1014)),0), FactorTable!$A$2:$A$301,0), Skills!M7+1)</f>
        <v/>
      </c>
      <c r="F1014">
        <f>IF(Skills!N7=TRUE,(Skills!L7/10)*(E1014/1000),Skills!L7/10)+Skills!O7</f>
        <v/>
      </c>
      <c r="G1014">
        <f>Skills!G7*IF(Skills!H7&gt;0,Skills!I7/Skills!H7,1)</f>
        <v/>
      </c>
      <c r="H1014">
        <f>1-(1-Skills!J7/100)^Skills!K7</f>
        <v/>
      </c>
      <c r="I1014" t="inlineStr">
        <is>
          <t>1</t>
        </is>
      </c>
      <c r="J1014">
        <f>((Inputs!$B$6*(1+Inputs!$B$7/100))+(((Inputs!$B$12*(1+Inputs!$B$13/100))-(Inputs!$B$12*(1+Inputs!$B$13/100)))+0.25*(Inputs!$B$14-Inputs!$B$14))*(1+Inputs!$B$7/100))*(F1014/100)</f>
        <v/>
      </c>
      <c r="K1014">
        <f>J1014*(1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1027=TRUE)*(F1027-Calc!F20)),(Inputs!$B$23+0+(IF(ArtifactsInput!$M$15,CHOOSE(ArtifactsInput!$N$15+1,25,30,35,40,45,50)/100*(Inputs!$B$11-Inputs!$B$11),0))))/100+(Inputs!$B$23+0+(IF(ArtifactsInput!$M$15,CHOOSE(ArtifactsInput!$N$15+1,25,30,35,40,45,50)/100*(Inputs!$B$11-Inputs!$B$11),0)))/100)/2</f>
        <v/>
      </c>
      <c r="M1014">
        <f>L1014*(1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IF(B1043=0,0,O1014/B1043)</f>
        <v/>
      </c>
      <c r="Q1014">
        <f>IFERROR(1/(IF(Inputs!$B$38="pvp",15,MAX(0.1,Skills!D7-IF(Skills!E7=TRUE,Inputs!$B$32,0)))*(1-IF(AND(ArtifactsInput!$M$27,Inputs!$B$4="Chapter Hunt"),CHOOSE(ArtifactsInput!$N$27+1,20,24,28,32,36,40),0)/100)),0)</f>
        <v/>
      </c>
      <c r="R1014">
        <f>IF(AND(Inputs!$B$38&lt;&gt;"pvp",Inputs!$B$43&gt;0),IF(MAX(0,Inputs!$B$43-B1040)&lt;=0,0,(INT(MAX(0,Inputs!$B$43-B1040)/(IF(Inputs!$B$38="pvp",15,MAX(0.1,Skills!D7-IF(Skills!E7=TRUE,Inputs!$B$32,0)))*(1-IF(AND(ArtifactsInput!$M$27,Inputs!$B$4="Chapter Hunt"),CHOOSE(ArtifactsInput!$N$27+1,20,24,28,32,36,40),0)/100)))+1)),0)</f>
        <v/>
      </c>
      <c r="S1014">
        <f>IFERROR(O1014/N1014,0)</f>
        <v/>
      </c>
      <c r="T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$21+Skills!Q7+(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Skills!A8</f>
        <v/>
      </c>
      <c r="B1015">
        <f>Skills!B8</f>
        <v/>
      </c>
      <c r="C1015">
        <f>Inputs!$B$3&gt;=110</f>
        <v/>
      </c>
      <c r="D1015">
        <f>IF(Skills!C8=1,60+Inputs!$B$25+Inputs!$B$29,IF(Skills!C8=2,90+Inputs!$B$26+Inputs!$B$29,IF(Skills!C8=3,120+Inputs!$B$27+Inputs!$B$29,MAX(0,(Inputs!$B$3-100)*3)+Inputs!$B$28+Inputs!$B$29)))</f>
        <v/>
      </c>
      <c r="E1015">
        <f>INDEX(FactorTable!$B$2:$Y$301, MATCH(ROUND(MIN(300,MAX(1,D1015)),0), FactorTable!$A$2:$A$301,0), Skills!M8+1)</f>
        <v/>
      </c>
      <c r="F1015">
        <f>IF(Skills!N8=TRUE,(Skills!L8/10)*(E1015/1000),Skills!L8/10)+Skills!O8</f>
        <v/>
      </c>
      <c r="G1015">
        <f>Skills!G8*IF(Skills!H8&gt;0,Skills!I8/Skills!H8,1)</f>
        <v/>
      </c>
      <c r="H1015">
        <f>1-(1-Skills!J8/100)^Skills!K8</f>
        <v/>
      </c>
      <c r="I1015" t="inlineStr">
        <is>
          <t>1</t>
        </is>
      </c>
      <c r="J1015">
        <f>((Inputs!$B$6*(1+Inputs!$B$7/100))+(((Inputs!$B$12*(1+Inputs!$B$13/100))-(Inputs!$B$12*(1+Inputs!$B$13/100)))+0.25*(Inputs!$B$14-Inputs!$B$14))*(1+Inputs!$B$7/100))*(F1015/100)</f>
        <v/>
      </c>
      <c r="K1015">
        <f>J1015*(1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C1027=TRUE)*(F1027-Calc!F20)),(Inputs!$B$23+0+(IF(ArtifactsInput!$M$15,CHOOSE(ArtifactsInput!$N$15+1,25,30,35,40,45,50)/100*(Inputs!$B$11-Inputs!$B$11),0))))/100+(Inputs!$B$23+0+(IF(ArtifactsInput!$M$15,CHOOSE(ArtifactsInput!$N$15+1,25,30,35,40,45,50)/100*(Inputs!$B$11-Inputs!$B$11),0)))/100)/2</f>
        <v/>
      </c>
      <c r="M1015">
        <f>L1015*(1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(1-Summary!$B$11)*T1015+Summary!$B$11*V1015</f>
        <v/>
      </c>
      <c r="P1015">
        <f>IF(B1043=0,0,O1015/B1043)</f>
        <v/>
      </c>
      <c r="Q1015">
        <f>IFERROR(1/(IF(Inputs!$B$38="pvp",15,MAX(0.1,Skills!D8-IF(Skills!E8=TRUE,Inputs!$B$32,0)))*(1-IF(AND(ArtifactsInput!$M$27,Inputs!$B$4="Chapter Hunt"),CHOOSE(ArtifactsInput!$N$27+1,20,24,28,32,36,40),0)/100)),0)</f>
        <v/>
      </c>
      <c r="R1015">
        <f>IF(AND(Inputs!$B$38&lt;&gt;"pvp",Inputs!$B$43&gt;0),IF(MAX(0,Inputs!$B$43-B1040)&lt;=0,0,(INT(MAX(0,Inputs!$B$43-B1040)/(IF(Inputs!$B$38="pvp",15,MAX(0.1,Skills!D8-IF(Skills!E8=TRUE,Inputs!$B$32,0)))*(1-IF(AND(ArtifactsInput!$M$27,Inputs!$B$4="Chapter Hunt"),CHOOSE(ArtifactsInput!$N$27+1,20,24,28,32,36,40),0)/100)))+1)),0)</f>
        <v/>
      </c>
      <c r="S1015">
        <f>IFERROR(O1015/N1015,0)</f>
        <v/>
      </c>
      <c r="T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$21+Skills!Q8+(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Skills!A9</f>
        <v/>
      </c>
      <c r="B1016">
        <f>Skills!B9</f>
        <v/>
      </c>
      <c r="C1016">
        <f>Inputs!$B$3&gt;=110</f>
        <v/>
      </c>
      <c r="D1016">
        <f>IF(Skills!C9=1,60+Inputs!$B$25+Inputs!$B$29,IF(Skills!C9=2,90+Inputs!$B$26+Inputs!$B$29,IF(Skills!C9=3,120+Inputs!$B$27+Inputs!$B$29,MAX(0,(Inputs!$B$3-100)*3)+Inputs!$B$28+Inputs!$B$29)))</f>
        <v/>
      </c>
      <c r="E1016">
        <f>INDEX(FactorTable!$B$2:$Y$301, MATCH(ROUND(MIN(300,MAX(1,D1016)),0), FactorTable!$A$2:$A$301,0), Skills!M9+1)</f>
        <v/>
      </c>
      <c r="F1016">
        <f>IF(Skills!N9=TRUE,(Skills!L9/10)*(E1016/1000),Skills!L9/10)+Skills!O9</f>
        <v/>
      </c>
      <c r="G1016">
        <f>Skills!G9*IF(Skills!H9&gt;0,Skills!I9/Skills!H9,1)</f>
        <v/>
      </c>
      <c r="H1016">
        <f>1-(1-Skills!J9/100)^Skills!K9</f>
        <v/>
      </c>
      <c r="I1016" t="inlineStr">
        <is>
          <t>1</t>
        </is>
      </c>
      <c r="J1016">
        <f>((Inputs!$B$6*(1+Inputs!$B$7/100))+(((Inputs!$B$12*(1+Inputs!$B$13/100))-(Inputs!$B$12*(1+Inputs!$B$13/100)))+0.25*(Inputs!$B$14-Inputs!$B$14))*(1+Inputs!$B$7/100))*(F1016/100)</f>
        <v/>
      </c>
      <c r="K1016">
        <f>J1016*(1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1027=TRUE)*(F1027-Calc!F20)),(Inputs!$B$23+0+(IF(ArtifactsInput!$M$15,CHOOSE(ArtifactsInput!$N$15+1,25,30,35,40,45,50)/100*(Inputs!$B$11-Inputs!$B$11),0))))/100+(Inputs!$B$23+0+(IF(ArtifactsInput!$M$15,CHOOSE(ArtifactsInput!$N$15+1,25,30,35,40,45,50)/100*(Inputs!$B$11-Inputs!$B$11),0)))/100)/2</f>
        <v/>
      </c>
      <c r="M1016">
        <f>L1016*(1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IF(B1043=0,0,O1016/B1043)</f>
        <v/>
      </c>
      <c r="Q1016">
        <f>IFERROR(1/(IF(Inputs!$B$38="pvp",15,MAX(0.1,Skills!D9-IF(Skills!E9=TRUE,Inputs!$B$32,0)))*(1-IF(AND(ArtifactsInput!$M$27,Inputs!$B$4="Chapter Hunt"),CHOOSE(ArtifactsInput!$N$27+1,20,24,28,32,36,40),0)/100)),0)</f>
        <v/>
      </c>
      <c r="R1016">
        <f>IF(AND(Inputs!$B$38&lt;&gt;"pvp",Inputs!$B$43&gt;0),IF(MAX(0,Inputs!$B$43-B1040)&lt;=0,0,(INT(MAX(0,Inputs!$B$43-B1040)/(IF(Inputs!$B$38="pvp",15,MAX(0.1,Skills!D9-IF(Skills!E9=TRUE,Inputs!$B$32,0)))*(1-IF(AND(ArtifactsInput!$M$27,Inputs!$B$4="Chapter Hunt"),CHOOSE(ArtifactsInput!$N$27+1,20,24,28,32,36,40),0)/100)))+1)),0)</f>
        <v/>
      </c>
      <c r="S1016">
        <f>IFERROR(O1016/N1016,0)</f>
        <v/>
      </c>
      <c r="T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$21+Skills!Q9+(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Skills!A10</f>
        <v/>
      </c>
      <c r="B1017">
        <f>Skills!B10</f>
        <v/>
      </c>
      <c r="C1017">
        <f>Inputs!$B$3&gt;=103</f>
        <v/>
      </c>
      <c r="D1017">
        <f>IF(Skills!C10=1,60+Inputs!$B$25+Inputs!$B$29,IF(Skills!C10=2,90+Inputs!$B$26+Inputs!$B$29,IF(Skills!C10=3,120+Inputs!$B$27+Inputs!$B$29,MAX(0,(Inputs!$B$3-100)*3)+Inputs!$B$28+Inputs!$B$29)))</f>
        <v/>
      </c>
      <c r="E1017">
        <f>INDEX(FactorTable!$B$2:$Y$301, MATCH(ROUND(MIN(300,MAX(1,D1017)),0), FactorTable!$A$2:$A$301,0), Skills!M10+1)</f>
        <v/>
      </c>
      <c r="F1017">
        <f>IF(Skills!N10=TRUE,(Skills!L10/10)*(E1017/1000),Skills!L10/10)+Skills!O10</f>
        <v/>
      </c>
      <c r="G1017">
        <f>Skills!G10*IF(Skills!H10&gt;0,Skills!I10/Skills!H10,1)</f>
        <v/>
      </c>
      <c r="H1017">
        <f>1-(1-Skills!J10/100)^Skills!K10</f>
        <v/>
      </c>
      <c r="I1017" t="inlineStr">
        <is>
          <t>1</t>
        </is>
      </c>
      <c r="J1017">
        <f>((Inputs!$B$6*(1+Inputs!$B$7/100))+(((Inputs!$B$12*(1+Inputs!$B$13/100))-(Inputs!$B$12*(1+Inputs!$B$13/100)))+0.25*(Inputs!$B$14-Inputs!$B$14))*(1+Inputs!$B$7/100))*(F1017/100)</f>
        <v/>
      </c>
      <c r="K1017">
        <f>J1017*(1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1027=TRUE)*(F1027-Calc!F20)),(Inputs!$B$23+0+(IF(ArtifactsInput!$M$15,CHOOSE(ArtifactsInput!$N$15+1,25,30,35,40,45,50)/100*(Inputs!$B$11-Inputs!$B$11),0))))/100+(Inputs!$B$23+0+(IF(ArtifactsInput!$M$15,CHOOSE(ArtifactsInput!$N$15+1,25,30,35,40,45,50)/100*(Inputs!$B$11-Inputs!$B$11),0)))/100)/2</f>
        <v/>
      </c>
      <c r="M1017">
        <f>L1017*(1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IF(B1043=0,0,O1017/B1043)</f>
        <v/>
      </c>
      <c r="Q1017">
        <f>IFERROR(1/(IF(Inputs!$B$38="pvp",15,MAX(0.1,Skills!D10-IF(Skills!E10=TRUE,Inputs!$B$32,0)))*(1-IF(AND(ArtifactsInput!$M$27,Inputs!$B$4="Chapter Hunt"),CHOOSE(ArtifactsInput!$N$27+1,20,24,28,32,36,40),0)/100)),0)</f>
        <v/>
      </c>
      <c r="R1017">
        <f>IF(AND(Inputs!$B$38&lt;&gt;"pvp",Inputs!$B$43&gt;0),IF(MAX(0,Inputs!$B$43-B1040)&lt;=0,0,(INT(MAX(0,Inputs!$B$43-B1040)/(IF(Inputs!$B$38="pvp",15,MAX(0.1,Skills!D10-IF(Skills!E10=TRUE,Inputs!$B$32,0)))*(1-IF(AND(ArtifactsInput!$M$27,Inputs!$B$4="Chapter Hunt"),CHOOSE(ArtifactsInput!$N$27+1,20,24,28,32,36,40),0)/100)))+1)),0)</f>
        <v/>
      </c>
      <c r="S1017">
        <f>IFERROR(O1017/N1017,0)</f>
        <v/>
      </c>
      <c r="T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$21+Skills!Q10+(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Skills!A11</f>
        <v/>
      </c>
      <c r="B1018">
        <f>Skills!B11</f>
        <v/>
      </c>
      <c r="C1018">
        <f>Inputs!$B$3&gt;=113</f>
        <v/>
      </c>
      <c r="D1018">
        <f>IF(Skills!C11=1,60+Inputs!$B$25+Inputs!$B$29,IF(Skills!C11=2,90+Inputs!$B$26+Inputs!$B$29,IF(Skills!C11=3,120+Inputs!$B$27+Inputs!$B$29,MAX(0,(Inputs!$B$3-100)*3)+Inputs!$B$28+Inputs!$B$29)))</f>
        <v/>
      </c>
      <c r="E1018">
        <f>INDEX(FactorTable!$B$2:$Y$301, MATCH(ROUND(MIN(300,MAX(1,D1018)),0), FactorTable!$A$2:$A$301,0), Skills!M11+1)</f>
        <v/>
      </c>
      <c r="F1018">
        <f>IF(Skills!N11=TRUE,(Skills!L11/10)*(E1018/1000),Skills!L11/10)+Skills!O11</f>
        <v/>
      </c>
      <c r="G1018">
        <f>Skills!G11*IF(Skills!H11&gt;0,Skills!I11/Skills!H11,1)</f>
        <v/>
      </c>
      <c r="H1018">
        <f>1-(1-Skills!J11/100)^Skills!K11</f>
        <v/>
      </c>
      <c r="I1018" t="inlineStr">
        <is>
          <t>1</t>
        </is>
      </c>
      <c r="J1018">
        <f>((Inputs!$B$6*(1+Inputs!$B$7/100))+(((Inputs!$B$12*(1+Inputs!$B$13/100))-(Inputs!$B$12*(1+Inputs!$B$13/100)))+0.25*(Inputs!$B$14-Inputs!$B$14))*(1+Inputs!$B$7/100))*(F1018/100)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1027=TRUE)*(F1027-Calc!F20)),(Inputs!$B$23+0+(IF(ArtifactsInput!$M$15,CHOOSE(ArtifactsInput!$N$15+1,25,30,35,40,45,50)/100*(Inputs!$B$11-Inputs!$B$11),0))))/100+(Inputs!$B$23+0+(IF(ArtifactsInput!$M$15,CHOOSE(ArtifactsInput!$N$15+1,25,30,35,40,45,50)/100*(Inputs!$B$11-Inputs!$B$11),0)))/100)/2</f>
        <v/>
      </c>
      <c r="M1018">
        <f>L1018*(1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IF(B1043=0,0,O1018/B1043)</f>
        <v/>
      </c>
      <c r="Q1018">
        <f>IFERROR(1/(IF(Inputs!$B$38="pvp",15,MAX(0.1,Skills!D11-IF(Skills!E11=TRUE,Inputs!$B$32,0)))*(1-IF(AND(ArtifactsInput!$M$27,Inputs!$B$4="Chapter Hunt"),CHOOSE(ArtifactsInput!$N$27+1,20,24,28,32,36,40),0)/100)),0)</f>
        <v/>
      </c>
      <c r="R1018">
        <f>IF(AND(Inputs!$B$38&lt;&gt;"pvp",Inputs!$B$43&gt;0),IF(MAX(0,Inputs!$B$43-B1040)&lt;=0,0,(INT(MAX(0,Inputs!$B$43-B1040)/(IF(Inputs!$B$38="pvp",15,MAX(0.1,Skills!D11-IF(Skills!E11=TRUE,Inputs!$B$32,0)))*(1-IF(AND(ArtifactsInput!$M$27,Inputs!$B$4="Chapter Hunt"),CHOOSE(ArtifactsInput!$N$27+1,20,24,28,32,36,40),0)/100)))+1)),0)</f>
        <v/>
      </c>
      <c r="S1018">
        <f>IFERROR(O1018/N1018,0)</f>
        <v/>
      </c>
      <c r="T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$21+Skills!Q11+(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Skills!A12</f>
        <v/>
      </c>
      <c r="B1019">
        <f>Skills!B12</f>
        <v/>
      </c>
      <c r="C1019">
        <f>Inputs!$B$3&gt;=100</f>
        <v/>
      </c>
      <c r="D1019">
        <f>IF(Skills!C12=1,60+Inputs!$B$25+Inputs!$B$29,IF(Skills!C12=2,90+Inputs!$B$26+Inputs!$B$29,IF(Skills!C12=3,120+Inputs!$B$27+Inputs!$B$29,MAX(0,(Inputs!$B$3-100)*3)+Inputs!$B$28+Inputs!$B$29)))</f>
        <v/>
      </c>
      <c r="E1019">
        <f>INDEX(FactorTable!$B$2:$Y$301, MATCH(ROUND(MIN(300,MAX(1,D1019)),0), FactorTable!$A$2:$A$301,0), Skills!M12+1)</f>
        <v/>
      </c>
      <c r="F1019">
        <f>IF(Skills!N12=TRUE,(Skills!L12/10)*(E1019/1000),Skills!L12/10)+Skills!O12</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V1019" t="inlineStr"/>
    </row>
    <row r="1020">
      <c r="A1020">
        <f>Skills!A13</f>
        <v/>
      </c>
      <c r="B1020">
        <f>Skills!B13</f>
        <v/>
      </c>
      <c r="C1020">
        <f>Inputs!$B$3&gt;=66</f>
        <v/>
      </c>
      <c r="D1020">
        <f>IF(Skills!C13=1,60+Inputs!$B$25+Inputs!$B$29,IF(Skills!C13=2,90+Inputs!$B$26+Inputs!$B$29,IF(Skills!C13=3,120+Inputs!$B$27+Inputs!$B$29,MAX(0,(Inputs!$B$3-100)*3)+Inputs!$B$28+Inputs!$B$29)))</f>
        <v/>
      </c>
      <c r="E1020">
        <f>INDEX(FactorTable!$B$2:$Y$301, MATCH(ROUND(MIN(300,MAX(1,D1020)),0), FactorTable!$A$2:$A$301,0), Skills!M13+1)</f>
        <v/>
      </c>
      <c r="F1020">
        <f>IF(Skills!N13=TRUE,(Skills!L13/10)*(E1020/1000),Skills!L13/10)+Skills!O13</f>
        <v/>
      </c>
      <c r="G1020">
        <f>Skills!G13*IF(Skills!H13&gt;0,Skills!I13/Skills!H13,1)</f>
        <v/>
      </c>
      <c r="H1020">
        <f>1-(1-Skills!J13/100)^Skills!K13</f>
        <v/>
      </c>
      <c r="I1020" t="inlineStr">
        <is>
          <t>1</t>
        </is>
      </c>
      <c r="J1020" t="inlineStr"/>
      <c r="K1020" t="inlineStr"/>
      <c r="L1020" t="inlineStr"/>
      <c r="M1020" t="inlineStr"/>
      <c r="N1020" t="inlineStr"/>
      <c r="O1020">
        <f>(1-Summary!$B$11)*T1020+Summary!$B$11*V1020</f>
        <v/>
      </c>
      <c r="P1020">
        <f>IF(B1043=0,0,O1020/B1043)</f>
        <v/>
      </c>
      <c r="Q1020" t="n">
        <v>0</v>
      </c>
      <c r="R1020" t="n">
        <v>0</v>
      </c>
      <c r="S1020">
        <f>IFERROR(O1020/N1020,0)</f>
        <v/>
      </c>
      <c r="T1020" t="n">
        <v>0</v>
      </c>
      <c r="V1020" t="n">
        <v>0</v>
      </c>
    </row>
    <row r="1021">
      <c r="A1021">
        <f>Skills!A14</f>
        <v/>
      </c>
      <c r="B1021">
        <f>Skills!B14</f>
        <v/>
      </c>
      <c r="C1021">
        <f>Inputs!$B$3&gt;=107</f>
        <v/>
      </c>
      <c r="D1021">
        <f>IF(Skills!C14=1,60+Inputs!$B$25+Inputs!$B$29,IF(Skills!C14=2,90+Inputs!$B$26+Inputs!$B$29,IF(Skills!C14=3,120+Inputs!$B$27+Inputs!$B$29,MAX(0,(Inputs!$B$3-100)*3)+Inputs!$B$28+Inputs!$B$29)))</f>
        <v/>
      </c>
      <c r="E1021">
        <f>INDEX(FactorTable!$B$2:$Y$301, MATCH(ROUND(MIN(300,MAX(1,D1021)),0), FactorTable!$A$2:$A$301,0), Skills!M14+1)</f>
        <v/>
      </c>
      <c r="F1021">
        <f>IF(Skills!N14=TRUE,(Skills!L14/10)*(E1021/1000),Skills!L14/10)+Skills!O14</f>
        <v/>
      </c>
      <c r="G1021">
        <f>Skills!G14*IF(Skills!H14&gt;0,Skills!I14/Skills!H14,1)</f>
        <v/>
      </c>
      <c r="H1021">
        <f>1-(1-Skills!J14/100)^Skills!K14</f>
        <v/>
      </c>
      <c r="I1021" t="inlineStr">
        <is>
          <t>1</t>
        </is>
      </c>
      <c r="J1021" t="inlineStr"/>
      <c r="K1021" t="inlineStr"/>
      <c r="L1021" t="inlineStr"/>
      <c r="M1021" t="inlineStr"/>
      <c r="N1021" t="inlineStr"/>
      <c r="O1021">
        <f>(1-Summary!$B$11)*T1021+Summary!$B$11*V1021</f>
        <v/>
      </c>
      <c r="P1021">
        <f>IF(B1043=0,0,O1021/B1043)</f>
        <v/>
      </c>
      <c r="Q1021" t="n">
        <v>0</v>
      </c>
      <c r="R1021" t="n">
        <v>0</v>
      </c>
      <c r="S1021">
        <f>IFERROR(O1021/N1021,0)</f>
        <v/>
      </c>
      <c r="T1021" t="n">
        <v>0</v>
      </c>
      <c r="V1021" t="n">
        <v>0</v>
      </c>
    </row>
    <row r="1022">
      <c r="A1022">
        <f>Skills!A15</f>
        <v/>
      </c>
      <c r="B1022">
        <f>Skills!B15</f>
        <v/>
      </c>
      <c r="C1022">
        <f>Inputs!$B$3&gt;=115</f>
        <v/>
      </c>
      <c r="D1022">
        <f>IF(Skills!C15=1,60+Inputs!$B$25+Inputs!$B$29,IF(Skills!C15=2,90+Inputs!$B$26+Inputs!$B$29,IF(Skills!C15=3,120+Inputs!$B$27+Inputs!$B$29,MAX(0,(Inputs!$B$3-100)*3)+Inputs!$B$28+Inputs!$B$29)))</f>
        <v/>
      </c>
      <c r="E1022">
        <f>INDEX(FactorTable!$B$2:$Y$301, MATCH(ROUND(MIN(300,MAX(1,D1022)),0), FactorTable!$A$2:$A$301,0), Skills!M15+1)</f>
        <v/>
      </c>
      <c r="F1022">
        <f>IF(Skills!N15=TRUE,(Skills!L15/10)*(E1022/1000),Skills!L15/10)+Skills!O15</f>
        <v/>
      </c>
      <c r="G1022">
        <f>Skills!G15*IF(Skills!H15&gt;0,Skills!I15/Skills!H15,1)</f>
        <v/>
      </c>
      <c r="H1022">
        <f>1-(1-Skills!J15/100)^Skills!K15</f>
        <v/>
      </c>
      <c r="I1022" t="inlineStr">
        <is>
          <t>1</t>
        </is>
      </c>
      <c r="J1022" t="inlineStr"/>
      <c r="K1022" t="inlineStr"/>
      <c r="L1022" t="inlineStr"/>
      <c r="M1022" t="inlineStr"/>
      <c r="N1022" t="inlineStr"/>
      <c r="O1022">
        <f>(1-Summary!$B$11)*T1022+Summary!$B$11*V1022</f>
        <v/>
      </c>
      <c r="P1022">
        <f>IF(B1043=0,0,O1022/B1043)</f>
        <v/>
      </c>
      <c r="Q1022" t="n">
        <v>0</v>
      </c>
      <c r="R1022" t="n">
        <v>0</v>
      </c>
      <c r="S1022">
        <f>IFERROR(O1022/N1022,0)</f>
        <v/>
      </c>
      <c r="T1022" t="n">
        <v>0</v>
      </c>
      <c r="V1022" t="n">
        <v>0</v>
      </c>
    </row>
    <row r="1023">
      <c r="A1023">
        <f>Skills!A16</f>
        <v/>
      </c>
      <c r="B1023">
        <f>Skills!B16</f>
        <v/>
      </c>
      <c r="C1023">
        <f>Inputs!$B$3&gt;=15</f>
        <v/>
      </c>
      <c r="D1023">
        <f>IF(Skills!C16=1,60+Inputs!$B$25+Inputs!$B$29,IF(Skills!C16=2,90+Inputs!$B$26+Inputs!$B$29,IF(Skills!C16=3,120+Inputs!$B$27+Inputs!$B$29,MAX(0,(Inputs!$B$3-100)*3)+Inputs!$B$28+Inputs!$B$29)))</f>
        <v/>
      </c>
      <c r="E1023">
        <f>INDEX(FactorTable!$B$2:$Y$301, MATCH(ROUND(MIN(300,MAX(1,D1023)),0), FactorTable!$A$2:$A$301,0), Skills!M16+1)</f>
        <v/>
      </c>
      <c r="F1023">
        <f>IF(Skills!N16=TRUE,(Skills!L16/10)*(E1023/1000),Skills!L16/10)+Skills!O16</f>
        <v/>
      </c>
      <c r="G1023">
        <f>Skills!G16*IF(Skills!H16&gt;0,Skills!I16/Skills!H16,1)</f>
        <v/>
      </c>
      <c r="H1023">
        <f>1-(1-Skills!J16/100)^Skills!K16</f>
        <v/>
      </c>
      <c r="I1023" t="inlineStr">
        <is>
          <t>1</t>
        </is>
      </c>
      <c r="J1023" t="inlineStr"/>
      <c r="K1023" t="inlineStr"/>
      <c r="L1023" t="inlineStr"/>
      <c r="M1023" t="inlineStr"/>
      <c r="N1023" t="inlineStr"/>
      <c r="O1023">
        <f>(1-Summary!$B$11)*T1023+Summary!$B$11*V1023</f>
        <v/>
      </c>
      <c r="P1023">
        <f>IF(B1043=0,0,O1023/B1043)</f>
        <v/>
      </c>
      <c r="Q1023" t="n">
        <v>0</v>
      </c>
      <c r="R1023" t="n">
        <v>0</v>
      </c>
      <c r="S1023">
        <f>IFERROR(O1023/N1023,0)</f>
        <v/>
      </c>
      <c r="T1023" t="n">
        <v>0</v>
      </c>
      <c r="V1023" t="n">
        <v>0</v>
      </c>
    </row>
    <row r="1024">
      <c r="A1024">
        <f>Skills!A17</f>
        <v/>
      </c>
      <c r="B1024">
        <f>Skills!B17</f>
        <v/>
      </c>
      <c r="C1024">
        <f>Inputs!$B$3&gt;=10</f>
        <v/>
      </c>
      <c r="D1024">
        <f>IF(Skills!C17=1,60+Inputs!$B$25+Inputs!$B$29,IF(Skills!C17=2,90+Inputs!$B$26+Inputs!$B$29,IF(Skills!C17=3,120+Inputs!$B$27+Inputs!$B$29,MAX(0,(Inputs!$B$3-100)*3)+Inputs!$B$28+Inputs!$B$29)))</f>
        <v/>
      </c>
      <c r="E1024">
        <f>INDEX(FactorTable!$B$2:$Y$301, MATCH(ROUND(MIN(300,MAX(1,D1024)),0), FactorTable!$A$2:$A$301,0), Skills!M17+1)</f>
        <v/>
      </c>
      <c r="F1024">
        <f>IF(Skills!N17=TRUE,(Skills!L17/10)*(E1024/1000),Skills!L17/10)+Skills!O17</f>
        <v/>
      </c>
      <c r="G1024">
        <f>Skills!G17*IF(Skills!H17&gt;0,Skills!I17/Skills!H17,1)</f>
        <v/>
      </c>
      <c r="H1024">
        <f>1-(1-Skills!J17/100)^Skills!K17</f>
        <v/>
      </c>
      <c r="I1024" t="inlineStr">
        <is>
          <t>1</t>
        </is>
      </c>
      <c r="J1024" t="inlineStr"/>
      <c r="K1024" t="inlineStr"/>
      <c r="L1024" t="inlineStr"/>
      <c r="M1024" t="inlineStr"/>
      <c r="N1024" t="inlineStr"/>
      <c r="O1024">
        <f>(1-Summary!$B$11)*T1024+Summary!$B$11*V1024</f>
        <v/>
      </c>
      <c r="P1024">
        <f>IF(B1043=0,0,O1024/B1043)</f>
        <v/>
      </c>
      <c r="Q1024" t="n">
        <v>0</v>
      </c>
      <c r="R1024" t="n">
        <v>0</v>
      </c>
      <c r="S1024">
        <f>IFERROR(O1024/N1024,0)</f>
        <v/>
      </c>
      <c r="T1024" t="n">
        <v>0</v>
      </c>
      <c r="V1024" t="n">
        <v>0</v>
      </c>
    </row>
    <row r="1025">
      <c r="A1025">
        <f>Skills!A18</f>
        <v/>
      </c>
      <c r="B1025">
        <f>Skills!B18</f>
        <v/>
      </c>
      <c r="C1025">
        <f>Inputs!$B$3&gt;=33</f>
        <v/>
      </c>
      <c r="D1025">
        <f>IF(Skills!C18=1,60+Inputs!$B$25+Inputs!$B$29,IF(Skills!C18=2,90+Inputs!$B$26+Inputs!$B$29,IF(Skills!C18=3,120+Inputs!$B$27+Inputs!$B$29,MAX(0,(Inputs!$B$3-100)*3)+Inputs!$B$28+Inputs!$B$29)))</f>
        <v/>
      </c>
      <c r="E1025">
        <f>INDEX(FactorTable!$B$2:$Y$301, MATCH(ROUND(MIN(300,MAX(1,D1025)),0), FactorTable!$A$2:$A$301,0), Skills!M18+1)</f>
        <v/>
      </c>
      <c r="F1025">
        <f>IF(Skills!N18=TRUE,(Skills!L18/10)*(E1025/1000),Skills!L18/10)+Skills!O18</f>
        <v/>
      </c>
      <c r="G1025">
        <f>Skills!G18*IF(Skills!H18&gt;0,Skills!I18/Skills!H18,1)</f>
        <v/>
      </c>
      <c r="H1025">
        <f>1-(1-Skills!J18/100)^Skills!K18</f>
        <v/>
      </c>
      <c r="I1025" t="inlineStr">
        <is>
          <t>1</t>
        </is>
      </c>
      <c r="J1025" t="inlineStr"/>
      <c r="K1025" t="inlineStr"/>
      <c r="L1025" t="inlineStr"/>
      <c r="M1025" t="inlineStr"/>
      <c r="N1025" t="inlineStr"/>
      <c r="O1025">
        <f>(1-Summary!$B$11)*T1025+Summary!$B$11*V1025</f>
        <v/>
      </c>
      <c r="P1025">
        <f>IF(B1043=0,0,O1025/B1043)</f>
        <v/>
      </c>
      <c r="Q1025" t="n">
        <v>0</v>
      </c>
      <c r="R1025" t="n">
        <v>0</v>
      </c>
      <c r="S1025">
        <f>IFERROR(O1025/N1025,0)</f>
        <v/>
      </c>
      <c r="T1025" t="n">
        <v>0</v>
      </c>
      <c r="V1025" t="n">
        <v>0</v>
      </c>
    </row>
    <row r="1026">
      <c r="A1026">
        <f>Skills!A19</f>
        <v/>
      </c>
      <c r="B1026">
        <f>Skills!B19</f>
        <v/>
      </c>
      <c r="C1026">
        <f>Inputs!$B$3&gt;=40</f>
        <v/>
      </c>
      <c r="D1026">
        <f>IF(Skills!C19=1,60+Inputs!$B$25+Inputs!$B$29,IF(Skills!C19=2,90+Inputs!$B$26+Inputs!$B$29,IF(Skills!C19=3,120+Inputs!$B$27+Inputs!$B$29,MAX(0,(Inputs!$B$3-100)*3)+Inputs!$B$28+Inputs!$B$29)))</f>
        <v/>
      </c>
      <c r="E1026">
        <f>INDEX(FactorTable!$B$2:$Y$301, MATCH(ROUND(MIN(300,MAX(1,D1026)),0), FactorTable!$A$2:$A$301,0), Skills!M19+1)</f>
        <v/>
      </c>
      <c r="F1026">
        <f>IF(Skills!N19=TRUE,(Skills!L19/10)*(E1026/1000),Skills!L19/10)+Skills!O19</f>
        <v/>
      </c>
      <c r="G1026">
        <f>Skills!G19*IF(Skills!H19&gt;0,Skills!I19/Skills!H19,1)</f>
        <v/>
      </c>
      <c r="H1026">
        <f>1-(1-Skills!J19/100)^Skills!K19</f>
        <v/>
      </c>
      <c r="I1026" t="inlineStr">
        <is>
          <t>1</t>
        </is>
      </c>
      <c r="J1026" t="inlineStr"/>
      <c r="K1026" t="inlineStr"/>
      <c r="L1026" t="inlineStr"/>
      <c r="M1026" t="inlineStr"/>
      <c r="N1026" t="inlineStr"/>
      <c r="O1026">
        <f>(1-Summary!$B$11)*T1026+Summary!$B$11*V1026</f>
        <v/>
      </c>
      <c r="P1026">
        <f>IF(B1043=0,0,O1026/B1043)</f>
        <v/>
      </c>
      <c r="Q1026" t="n">
        <v>0</v>
      </c>
      <c r="R1026" t="n">
        <v>0</v>
      </c>
      <c r="S1026">
        <f>IFERROR(O1026/N1026,0)</f>
        <v/>
      </c>
      <c r="T1026" t="n">
        <v>0</v>
      </c>
      <c r="V1026" t="n">
        <v>0</v>
      </c>
    </row>
    <row r="1027">
      <c r="A1027">
        <f>Skills!A20</f>
        <v/>
      </c>
      <c r="B1027">
        <f>Skills!B20</f>
        <v/>
      </c>
      <c r="C1027">
        <f>Inputs!$B$3&gt;=43</f>
        <v/>
      </c>
      <c r="D1027">
        <f>IF(Skills!C20=1,60+Inputs!$B$25+Inputs!$B$29,IF(Skills!C20=2,90+Inputs!$B$26+Inputs!$B$29,IF(Skills!C20=3,120+Inputs!$B$27+Inputs!$B$29,MAX(0,(Inputs!$B$3-100)*3)+Inputs!$B$28+Inputs!$B$29)))</f>
        <v/>
      </c>
      <c r="E1027">
        <f>INDEX(FactorTable!$B$2:$Y$301, MATCH(ROUND(MIN(300,MAX(1,D1027)),0), FactorTable!$A$2:$A$301,0), Skills!M20+1)</f>
        <v/>
      </c>
      <c r="F1027">
        <f>IF(Skills!N20=TRUE,(Skills!L20/10)*(E1027/1000),Skills!L20/10)+Skills!O20</f>
        <v/>
      </c>
      <c r="G1027">
        <f>Skills!G20*IF(Skills!H20&gt;0,Skills!I20/Skills!H20,1)</f>
        <v/>
      </c>
      <c r="H1027">
        <f>1-(1-Skills!J20/100)^Skills!K20</f>
        <v/>
      </c>
      <c r="I1027" t="inlineStr">
        <is>
          <t>1</t>
        </is>
      </c>
      <c r="J1027" t="inlineStr"/>
      <c r="K1027" t="inlineStr"/>
      <c r="L1027" t="inlineStr"/>
      <c r="M1027" t="inlineStr"/>
      <c r="N1027" t="inlineStr"/>
      <c r="O1027">
        <f>(1-Summary!$B$11)*T1027+Summary!$B$11*V1027</f>
        <v/>
      </c>
      <c r="P1027">
        <f>IF(B1043=0,0,O1027/B1043)</f>
        <v/>
      </c>
      <c r="Q1027" t="n">
        <v>0</v>
      </c>
      <c r="R1027" t="n">
        <v>0</v>
      </c>
      <c r="S1027">
        <f>IFERROR(O1027/N1027,0)</f>
        <v/>
      </c>
      <c r="T1027" t="n">
        <v>0</v>
      </c>
      <c r="V1027" t="n">
        <v>0</v>
      </c>
    </row>
    <row r="1028">
      <c r="A1028">
        <f>Skills!A21</f>
        <v/>
      </c>
      <c r="B1028">
        <f>Skills!B21</f>
        <v/>
      </c>
      <c r="C1028">
        <f>Inputs!$B$3&gt;=38</f>
        <v/>
      </c>
      <c r="D1028">
        <f>IF(Skills!C21=1,60+Inputs!$B$25+Inputs!$B$29,IF(Skills!C21=2,90+Inputs!$B$26+Inputs!$B$29,IF(Skills!C21=3,120+Inputs!$B$27+Inputs!$B$29,MAX(0,(Inputs!$B$3-100)*3)+Inputs!$B$28+Inputs!$B$29)))</f>
        <v/>
      </c>
      <c r="E1028">
        <f>INDEX(FactorTable!$B$2:$Y$301, MATCH(ROUND(MIN(300,MAX(1,D1028)),0), FactorTable!$A$2:$A$301,0), Skills!M21+1)</f>
        <v/>
      </c>
      <c r="F1028">
        <f>IF(Skills!N21=TRUE,(Skills!L21/10)*(E1028/1000),Skills!L21/10)+Skills!O21</f>
        <v/>
      </c>
      <c r="G1028">
        <f>Skills!G21*IF(Skills!H21&gt;0,Skills!I21/Skills!H21,1)</f>
        <v/>
      </c>
      <c r="H1028">
        <f>1-(1-Skills!J21/100)^Skills!K21</f>
        <v/>
      </c>
      <c r="I1028" t="inlineStr">
        <is>
          <t>1</t>
        </is>
      </c>
      <c r="J1028" t="inlineStr"/>
      <c r="K1028" t="inlineStr"/>
      <c r="L1028" t="inlineStr"/>
      <c r="M1028" t="inlineStr"/>
      <c r="N1028" t="inlineStr"/>
      <c r="O1028">
        <f>(1-Summary!$B$11)*T1028+Summary!$B$11*V1028</f>
        <v/>
      </c>
      <c r="P1028">
        <f>IF(B1043=0,0,O1028/B1043)</f>
        <v/>
      </c>
      <c r="Q1028" t="n">
        <v>0</v>
      </c>
      <c r="R1028" t="n">
        <v>0</v>
      </c>
      <c r="S1028">
        <f>IFERROR(O1028/N1028,0)</f>
        <v/>
      </c>
      <c r="T1028" t="n">
        <v>0</v>
      </c>
      <c r="V1028" t="n">
        <v>0</v>
      </c>
    </row>
    <row r="1029">
      <c r="A1029">
        <f>Skills!A22</f>
        <v/>
      </c>
      <c r="B1029">
        <f>Skills!B22</f>
        <v/>
      </c>
      <c r="C1029">
        <f>Inputs!$B$3&gt;=75</f>
        <v/>
      </c>
      <c r="D1029">
        <f>IF(Skills!C22=1,60+Inputs!$B$25+Inputs!$B$29,IF(Skills!C22=2,90+Inputs!$B$26+Inputs!$B$29,IF(Skills!C22=3,120+Inputs!$B$27+Inputs!$B$29,MAX(0,(Inputs!$B$3-100)*3)+Inputs!$B$28+Inputs!$B$29)))</f>
        <v/>
      </c>
      <c r="E1029">
        <f>INDEX(FactorTable!$B$2:$Y$301, MATCH(ROUND(MIN(300,MAX(1,D1029)),0), FactorTable!$A$2:$A$301,0), Skills!M22+1)</f>
        <v/>
      </c>
      <c r="F1029">
        <f>IF(Skills!N22=TRUE,(Skills!L22/10)*(E1029/1000),Skills!L22/10)+Skills!O22</f>
        <v/>
      </c>
      <c r="G1029">
        <f>Skills!G22*IF(Skills!H22&gt;0,Skills!I22/Skills!H22,1)</f>
        <v/>
      </c>
      <c r="H1029">
        <f>1-(1-Skills!J22/100)^Skills!K22</f>
        <v/>
      </c>
      <c r="I1029" t="inlineStr">
        <is>
          <t>1</t>
        </is>
      </c>
      <c r="J1029" t="inlineStr"/>
      <c r="K1029" t="inlineStr"/>
      <c r="L1029" t="inlineStr"/>
      <c r="M1029" t="inlineStr"/>
      <c r="N1029" t="inlineStr"/>
      <c r="O1029">
        <f>(1-Summary!$B$11)*T1029+Summary!$B$11*V1029</f>
        <v/>
      </c>
      <c r="P1029">
        <f>IF(B1043=0,0,O1029/B1043)</f>
        <v/>
      </c>
      <c r="Q1029" t="n">
        <v>0</v>
      </c>
      <c r="R1029" t="n">
        <v>0</v>
      </c>
      <c r="S1029">
        <f>IFERROR(O1029/N1029,0)</f>
        <v/>
      </c>
      <c r="T1029" t="n">
        <v>0</v>
      </c>
      <c r="V1029" t="n">
        <v>0</v>
      </c>
    </row>
    <row r="1030">
      <c r="A1030">
        <f>Skills!A23</f>
        <v/>
      </c>
      <c r="B1030">
        <f>Skills!B23</f>
        <v/>
      </c>
      <c r="C1030">
        <f>TRUE</f>
        <v/>
      </c>
      <c r="D1030">
        <f>IF(Skills!C23=1,60+Inputs!$B$25+Inputs!$B$29,IF(Skills!C23=2,90+Inputs!$B$26+Inputs!$B$29,IF(Skills!C23=3,120+Inputs!$B$27+Inputs!$B$29,MAX(0,(Inputs!$B$3-100)*3)+Inputs!$B$28+Inputs!$B$29)))</f>
        <v/>
      </c>
      <c r="E1030">
        <f>INDEX(FactorTable!$B$2:$Y$301, MATCH(ROUND(MIN(300,MAX(1,D1030)),0), FactorTable!$A$2:$A$301,0), Skills!M23+1)</f>
        <v/>
      </c>
      <c r="F1030">
        <f>IF(Skills!N23=TRUE,(Skills!L23/10)*(E1030/1000),Skills!L23/10)+Skills!O23</f>
        <v/>
      </c>
      <c r="G1030">
        <f>Skills!G23*IF(Skills!H23&gt;0,Skills!I23/Skills!H23,1)</f>
        <v/>
      </c>
      <c r="H1030">
        <f>1-(1-Skills!J23/100)^Skills!K23</f>
        <v/>
      </c>
      <c r="I1030" t="inlineStr">
        <is>
          <t>1</t>
        </is>
      </c>
      <c r="J1030" t="inlineStr"/>
      <c r="K1030" t="inlineStr"/>
      <c r="L1030" t="inlineStr"/>
      <c r="M1030" t="inlineStr"/>
      <c r="N1030" t="inlineStr"/>
      <c r="O1030">
        <f>(1-Summary!$B$11)*T1030+Summary!$B$11*V1030</f>
        <v/>
      </c>
      <c r="P1030">
        <f>IF(B1043=0,0,O1030/B1043)</f>
        <v/>
      </c>
      <c r="Q1030">
        <f>IFERROR(1/(IF(Inputs!$B$38="pvp",15,MAX(0.1,Skills!D23-IF(Skills!E23=TRUE,Inputs!$B$32,0)))*(1-IF(AND(ArtifactsInput!$M$27,Inputs!$B$4="Chapter Hunt"),CHOOSE(ArtifactsInput!$N$27+1,20,24,28,32,36,40),0)/100)),0)</f>
        <v/>
      </c>
      <c r="R1030">
        <f>IF(AND(Inputs!$B$38&lt;&gt;"pvp",Inputs!$B$43&gt;0),IF(Inputs!$B$43&lt;=0,0,(INT(Inputs!$B$43/(IF(Inputs!$B$38="pvp",15,MAX(0.1,Skills!D23-IF(Skills!E23=TRUE,Inputs!$B$32,0)))*(1-IF(AND(ArtifactsInput!$M$27,Inputs!$B$4="Chapter Hunt"),CHOOSE(ArtifactsInput!$N$27+1,20,24,28,32,36,40),0)/100)))+1)),0)</f>
        <v/>
      </c>
      <c r="S1030">
        <f>IFERROR(O1030/N1030,0)</f>
        <v/>
      </c>
      <c r="T1030" t="n">
        <v>0</v>
      </c>
      <c r="V1030" t="n">
        <v>0</v>
      </c>
    </row>
    <row r="1032">
      <c r="A1032" t="inlineStr">
        <is>
          <t>Attack% Bucket Multiplier</t>
        </is>
      </c>
      <c r="B1032">
        <f>(1+(((C1020=TRUE)*F1020*5/7)+((C1026=TRUE)*(F1026-Calc!F19))+(IF(ArtifactsInput!$M$21,CHOOSE(ArtifactsInput!$N$21+1,25,30,35,40,45,50)*(IF(OR(Inputs!$B$4="Chapter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3">
      <c r="A1033" t="inlineStr">
        <is>
          <t>Global Crit Rate Bonus %</t>
        </is>
      </c>
      <c r="B1033" t="n">
        <v>0</v>
      </c>
    </row>
    <row r="1034">
      <c r="A1034" t="inlineStr">
        <is>
          <t>Attack Speed Buff Bonus % (Nimble Feet, duty-cycle averaged)</t>
        </is>
      </c>
      <c r="B1034">
        <f>((C1030=TRUE)*F1030*IF(AND(Inputs!$B$38&lt;&gt;"pvp",Inputs!$B$43&gt;0),(((R1030-1)*(Skills!T23*(1+Inputs!$B$34/100))+MIN((Skills!T23*(1+Inputs!$B$34/100)),MAX(0,Inputs!$B$43-((R1030-1)*Skills!D23))))/Inputs!$B$43),IF(Inputs!$B$38="pvp",MIN((Skills!T23*(1+Inputs!$B$34/100)),15)/15,(Skills!T23*(1+Inputs!$B$34/100))/Skills!D23)))</f>
        <v/>
      </c>
    </row>
    <row r="1035">
      <c r="A1035" t="inlineStr">
        <is>
          <t>Actions Per Second</t>
        </is>
      </c>
      <c r="B1035">
        <f>1+MIN(150,150*(1-(1-(Inputs!$B$11+((C1024=TRUE)*(F1024-Calc!F17))+((C1025=TRUE)*(F1025-Calc!F18)))/150)*(1-B1034/150)))/100</f>
        <v/>
      </c>
    </row>
    <row r="1036">
      <c r="A1036" t="inlineStr">
        <is>
          <t>Skill + Buff Cast Rate</t>
        </is>
      </c>
      <c r="B1036">
        <f>IF(AND(Inputs!$B$38&lt;&gt;"pvp",Inputs!$B$43&gt;0),SUMPRODUCT((Skills!E2:E23=TRUE)*(C1009:C1030=TRUE)*R1009:R1030*Skills!F2:F23)/Inputs!$B$43,SUMPRODUCT((Skills!E2:E23=TRUE)*(C1009:C1030=TRUE)*Q1009:Q1030*Skills!F2:F23))</f>
        <v/>
      </c>
    </row>
    <row r="1037">
      <c r="A1037" t="inlineStr">
        <is>
          <t>Hook Bomber Casts Per Second</t>
        </is>
      </c>
      <c r="B1037">
        <f>MAX(0,B1035-B1036)</f>
        <v/>
      </c>
    </row>
    <row r="1038">
      <c r="A1038" t="inlineStr">
        <is>
          <t>Global Critical Damage Bonus % (unused)</t>
        </is>
      </c>
      <c r="B1038" t="n">
        <v>0</v>
      </c>
    </row>
    <row r="1039">
      <c r="A1039" t="inlineStr">
        <is>
          <t>Global Final Damage Bonus % (Serpent Scale + Crossbones + Time Leap + Speed Infusion)</t>
        </is>
      </c>
      <c r="B1039">
        <f>((C1012=TRUE)*F1012*((10+IF(Inputs!$B$3&gt;=94,5,0))/((10+IF(Inputs!$B$3&gt;=94,5,0))+5/(B1037*(1+IF(Inputs!$B$3&gt;=104,1,0))))))+((C1021=TRUE)*F1021)+((C1022=TRUE)*F1022)+((Inputs!$B$3&gt;=110)*20*(B1035-1))</f>
        <v/>
      </c>
    </row>
    <row r="1040">
      <c r="A1040" t="inlineStr">
        <is>
          <t>Buff-Casting Startup Delay (s, fixed-duration only)</t>
        </is>
      </c>
      <c r="B1040">
        <f>IF(AND(Inputs!$B$38&lt;&gt;"pvp",Inputs!$B$43&gt;0),SUMPRODUCT((Skills!T2:T23&gt;0)*(Skills!E2:E23=TRUE)*(C1009:C1030=TRUE))/B1035,0)</f>
        <v/>
      </c>
    </row>
    <row r="1041">
      <c r="A1041" t="inlineStr">
        <is>
          <t>Boss-Only Total DPS (this block's swept value)</t>
        </is>
      </c>
      <c r="B1041">
        <f>SUM(T1009:T1030)</f>
        <v/>
      </c>
    </row>
    <row r="1042">
      <c r="A1042" t="inlineStr">
        <is>
          <t>Normal-Only Total DPS (this block's swept value)</t>
        </is>
      </c>
      <c r="B1042">
        <f>SUM(V1009:V1030)</f>
        <v/>
      </c>
    </row>
    <row r="1043">
      <c r="A1043" s="6" t="inlineStr">
        <is>
          <t>TOTAL DPS</t>
        </is>
      </c>
      <c r="B1043" s="6">
        <f>SUM(O1009:O1030)</f>
        <v/>
      </c>
    </row>
    <row r="1046">
      <c r="A1046" s="6" t="inlineStr">
        <is>
          <t>Stat: Buff Duration Increase %</t>
        </is>
      </c>
    </row>
    <row r="1047">
      <c r="A1047" s="5" t="inlineStr">
        <is>
          <t>Key</t>
        </is>
      </c>
      <c r="B1047" s="5" t="inlineStr">
        <is>
          <t>Name</t>
        </is>
      </c>
      <c r="C1047" s="5" t="inlineStr">
        <is>
          <t>Unlocked</t>
        </is>
      </c>
      <c r="D1047" s="5" t="inlineStr">
        <is>
          <t>InputLevel</t>
        </is>
      </c>
      <c r="E1047" s="5" t="inlineStr">
        <is>
          <t>Factor</t>
        </is>
      </c>
      <c r="F1047" s="5" t="inlineStr">
        <is>
          <t>CoefficientPercent</t>
        </is>
      </c>
      <c r="G1047" s="5" t="inlineStr">
        <is>
          <t>EffectiveHits</t>
        </is>
      </c>
      <c r="H1047" s="5" t="inlineStr">
        <is>
          <t>ProcProbability</t>
        </is>
      </c>
      <c r="I1047" s="5" t="inlineStr">
        <is>
          <t>MapleHeroMultiplier</t>
        </is>
      </c>
      <c r="J1047" s="5" t="inlineStr">
        <is>
          <t>BaseDamage</t>
        </is>
      </c>
      <c r="K1047" s="5" t="inlineStr">
        <is>
          <t>BaseHitDamage</t>
        </is>
      </c>
      <c r="L1047" s="5" t="inlineStr">
        <is>
          <t>NonCritAvg</t>
        </is>
      </c>
      <c r="M1047" s="5" t="inlineStr">
        <is>
          <t>CritAvg</t>
        </is>
      </c>
      <c r="N1047" s="5" t="inlineStr">
        <is>
          <t>ExpectedDamage(perHit)</t>
        </is>
      </c>
      <c r="O1047" s="5" t="inlineStr">
        <is>
          <t>DPS</t>
        </is>
      </c>
      <c r="P1047" s="5" t="inlineStr">
        <is>
          <t>% of Total</t>
        </is>
      </c>
      <c r="Q1047" s="5" t="inlineStr">
        <is>
          <t>InvCooldown</t>
        </is>
      </c>
      <c r="R1047" s="5" t="inlineStr">
        <is>
          <t>CastsInFight</t>
        </is>
      </c>
      <c r="S1047" s="5" t="inlineStr">
        <is>
          <t>HitRate(perSec)</t>
        </is>
      </c>
      <c r="U1047" t="inlineStr">
        <is>
          <t>helpers</t>
        </is>
      </c>
    </row>
    <row r="1048">
      <c r="A1048">
        <f>Skills!A2</f>
        <v/>
      </c>
      <c r="B1048">
        <f>Skills!B2</f>
        <v/>
      </c>
      <c r="C1048">
        <f>Inputs!$B$3&gt;=100</f>
        <v/>
      </c>
      <c r="D1048" t="inlineStr"/>
      <c r="E1048" t="inlineStr"/>
      <c r="F1048">
        <f>U1050+Skills!O2</f>
        <v/>
      </c>
      <c r="G1048">
        <f>Skills!G2*IF(Skills!H2&gt;0,Skills!I2/Skills!H2,1)</f>
        <v/>
      </c>
      <c r="H1048">
        <f>1-(1-Skills!J2/100)^Skills!K2</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1066=TRUE)*(F1066-Calc!F20)),(Inputs!$B$23+0+(IF(ArtifactsInput!$M$15,CHOOSE(ArtifactsInput!$N$15+1,25,30,35,40,45,50)/100*(Inputs!$B$11-Inputs!$B$11),0))))/100+(Inputs!$B$23+0+(IF(ArtifactsInput!$M$15,CHOOSE(ArtifactsInput!$N$15+1,25,30,35,40,45,50)/100*(Inputs!$B$11-Inputs!$B$11),0)))/100)/2</f>
        <v/>
      </c>
      <c r="M1048">
        <f>L1048*(1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IF(B1082=0,0,O1048/B1082)</f>
        <v/>
      </c>
      <c r="Q1048" t="n">
        <v>0</v>
      </c>
      <c r="R1048" t="n">
        <v>0</v>
      </c>
      <c r="S1048">
        <f>IFERROR(O1048/N1048,0)</f>
        <v/>
      </c>
      <c r="T1048">
        <f>IF(C1048,(Skills!G2*N1048*B1076)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MAX(0,(Inputs!$B$3-100)*3)+Inputs!$B$28+Inputs!$B$29</f>
        <v/>
      </c>
      <c r="V1048">
        <f>IF(C1048,(Skills!G2*N1048*B1076)*IF(Inputs!$B$38="pvp",1,(1+(Inputs!$B$21+Skills!Q2+(IF(ArtifactsInput!$M$33,CHOOSE(ArtifactsInput!$N$33+1,30,36,42,48,54,60),0))+(IF(AND(ArtifactsInput!$M$35,Inputs!$B$4&lt;&gt;"Chapter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Skills!A3</f>
        <v/>
      </c>
      <c r="B1049">
        <f>Skills!B3</f>
        <v/>
      </c>
      <c r="C1049">
        <f>Inputs!$B$3&gt;=35</f>
        <v/>
      </c>
      <c r="D1049">
        <f>IF(Skills!C3=1,60+Inputs!$B$25+Inputs!$B$29,IF(Skills!C3=2,90+Inputs!$B$26+Inputs!$B$29,IF(Skills!C3=3,120+Inputs!$B$27+Inputs!$B$29,MAX(0,(Inputs!$B$3-100)*3)+Inputs!$B$28+Inputs!$B$29)))</f>
        <v/>
      </c>
      <c r="E1049">
        <f>INDEX(FactorTable!$B$2:$Y$301, MATCH(ROUND(MIN(300,MAX(1,D1049)),0), FactorTable!$A$2:$A$301,0), Skills!M3+1)</f>
        <v/>
      </c>
      <c r="F1049">
        <f>IF(Skills!N3=TRUE,(Skills!L3/10)*(E1049/1000),Skills!L3/10)+Skills!O3</f>
        <v/>
      </c>
      <c r="G1049">
        <f>Skills!G3*IF(Skills!H3&gt;0,Skills!I3/Skills!H3,1)</f>
        <v/>
      </c>
      <c r="H1049">
        <f>1-(1-Skills!J3/100)^Skills!K3</f>
        <v/>
      </c>
      <c r="I1049" t="inlineStr">
        <is>
          <t>1</t>
        </is>
      </c>
      <c r="J1049">
        <f>((Inputs!$B$6*(1+Inputs!$B$7/100))+(((Inputs!$B$12*(1+Inputs!$B$13/100))-(Inputs!$B$12*(1+Inputs!$B$13/100)))+0.25*(Inputs!$B$14-Inputs!$B$14))*(1+Inputs!$B$7/100))*(F1049/100)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1066=TRUE)*(F1066-Calc!F20)),(Inputs!$B$23+0+(IF(ArtifactsInput!$M$15,CHOOSE(ArtifactsInput!$N$15+1,25,30,35,40,45,50)/100*(Inputs!$B$11-Inputs!$B$11),0))))/100+(Inputs!$B$23+0+(IF(ArtifactsInput!$M$15,CHOOSE(ArtifactsInput!$N$15+1,25,30,35,40,45,50)/100*(Inputs!$B$11-Inputs!$B$11),0)))/100)/2</f>
        <v/>
      </c>
      <c r="M1049">
        <f>L1049*(1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IF(B1082=0,0,O1049/B1082)</f>
        <v/>
      </c>
      <c r="Q1049" t="n">
        <v>0</v>
      </c>
      <c r="R1049" t="n">
        <v>0</v>
      </c>
      <c r="S1049">
        <f>IFERROR(O1049/N1049,0)</f>
        <v/>
      </c>
      <c r="T1049">
        <f>IF(C1049,(Skills!G3*H1049*N1049*B1076)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9">
        <f>INDEX(FactorTable!$B$2:$Y$301, MATCH(ROUND(MIN(300,MAX(1,U1048)),0), FactorTable!$A$2:$A$301,0), 22)</f>
        <v/>
      </c>
      <c r="V1049">
        <f>IF(C1049,(Skills!G3*H1049*N1049*B1076)*IF(Inputs!$B$38="pvp",1,(1+(Inputs!$B$21+Skills!Q3+(IF(ArtifactsInput!$M$33,CHOOSE(ArtifactsInput!$N$33+1,30,36,42,48,54,60),0))+(IF(AND(ArtifactsInput!$M$35,Inputs!$B$4&lt;&gt;"Chapter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Skills!A4</f>
        <v/>
      </c>
      <c r="B1050">
        <f>Skills!B4</f>
        <v/>
      </c>
      <c r="C1050">
        <f>Inputs!$B$3&gt;=60</f>
        <v/>
      </c>
      <c r="D1050">
        <f>IF(Skills!C4=1,60+Inputs!$B$25+Inputs!$B$29,IF(Skills!C4=2,90+Inputs!$B$26+Inputs!$B$29,IF(Skills!C4=3,120+Inputs!$B$27+Inputs!$B$29,MAX(0,(Inputs!$B$3-100)*3)+Inputs!$B$28+Inputs!$B$29)))</f>
        <v/>
      </c>
      <c r="E1050">
        <f>INDEX(FactorTable!$B$2:$Y$301, MATCH(ROUND(MIN(300,MAX(1,D1050)),0), FactorTable!$A$2:$A$301,0), Skills!M4+1)</f>
        <v/>
      </c>
      <c r="F1050">
        <f>IF(Skills!N4=TRUE,(Skills!L4/10)*(E1050/1000),Skills!L4/10)+Skills!O4</f>
        <v/>
      </c>
      <c r="G1050">
        <f>Skills!G4*IF(Skills!H4&gt;0,Skills!I4/Skills!H4,1)</f>
        <v/>
      </c>
      <c r="H1050">
        <f>1-(1-Skills!J4/100)^Skills!K4</f>
        <v/>
      </c>
      <c r="I1050" t="inlineStr">
        <is>
          <t>1</t>
        </is>
      </c>
      <c r="J1050">
        <f>((Inputs!$B$6*(1+Inputs!$B$7/100))+(((Inputs!$B$12*(1+Inputs!$B$13/100))-(Inputs!$B$12*(1+Inputs!$B$13/100)))+0.25*(Inputs!$B$14-Inputs!$B$14))*(1+Inputs!$B$7/100))*(F1050/100)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4="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1066=TRUE)*(F1066-Calc!F20)),(Inputs!$B$23+0+(IF(ArtifactsInput!$M$15,CHOOSE(ArtifactsInput!$N$15+1,25,30,35,40,45,50)/100*(Inputs!$B$11-Inputs!$B$11),0))))/100+(Inputs!$B$23+0+(IF(ArtifactsInput!$M$15,CHOOSE(ArtifactsInput!$N$15+1,25,30,35,40,45,50)/100*(Inputs!$B$11-Inputs!$B$11),0)))/100)/2</f>
        <v/>
      </c>
      <c r="M1050">
        <f>L1050*(1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IF(B1082=0,0,O1050/B1082)</f>
        <v/>
      </c>
      <c r="Q1050" t="n">
        <v>0</v>
      </c>
      <c r="R1050" t="n">
        <v>0</v>
      </c>
      <c r="S1050">
        <f>IFERROR(O1050/N1050,0)</f>
        <v/>
      </c>
      <c r="T1050">
        <f>IF(C1050,(Skills!G4*H1050*N1050*B1076)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290*U1049/1000</f>
        <v/>
      </c>
      <c r="V1050">
        <f>IF(C1050,(Skills!G4*H1050*N1050*B1076)*IF(Inputs!$B$38="pvp",1,(1+(Inputs!$B$21+Skills!Q4+(IF(ArtifactsInput!$M$33,CHOOSE(ArtifactsInput!$N$33+1,30,36,42,48,54,60),0))+(IF(AND(ArtifactsInput!$M$35,Inputs!$B$4&lt;&gt;"Chapter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Skills!A5</f>
        <v/>
      </c>
      <c r="B1051">
        <f>Skills!B5</f>
        <v/>
      </c>
      <c r="C1051">
        <f>Inputs!$B$3&gt;=60</f>
        <v/>
      </c>
      <c r="D1051">
        <f>IF(Skills!C5=1,60+Inputs!$B$25+Inputs!$B$29,IF(Skills!C5=2,90+Inputs!$B$26+Inputs!$B$29,IF(Skills!C5=3,120+Inputs!$B$27+Inputs!$B$29,MAX(0,(Inputs!$B$3-100)*3)+Inputs!$B$28+Inputs!$B$29)))</f>
        <v/>
      </c>
      <c r="E1051">
        <f>INDEX(FactorTable!$B$2:$Y$301, MATCH(ROUND(MIN(300,MAX(1,D1051)),0), FactorTable!$A$2:$A$301,0), Skills!M5+1)</f>
        <v/>
      </c>
      <c r="F1051">
        <f>IF(Skills!N5=TRUE,(Skills!L5/10)*(E1051/1000),Skills!L5/10)+Skills!O5</f>
        <v/>
      </c>
      <c r="G1051">
        <f>Skills!G5*IF(Skills!H5&gt;0,Skills!I5/Skills!H5,1)</f>
        <v/>
      </c>
      <c r="H1051">
        <f>1-(1-Skills!J5/100)^Skills!K5</f>
        <v/>
      </c>
      <c r="I1051" t="inlineStr">
        <is>
          <t>1</t>
        </is>
      </c>
      <c r="J1051" t="inlineStr"/>
      <c r="K1051" t="inlineStr"/>
      <c r="L1051" t="inlineStr"/>
      <c r="M1051" t="inlineStr"/>
      <c r="N1051" t="inlineStr"/>
      <c r="O1051">
        <f>(1-Summary!$B$11)*T1051+Summary!$B$11*V1051</f>
        <v/>
      </c>
      <c r="P1051">
        <f>IF(B1082=0,0,O1051/B1082)</f>
        <v/>
      </c>
      <c r="Q1051" t="n">
        <v>0</v>
      </c>
      <c r="R1051" t="n">
        <v>0</v>
      </c>
      <c r="S1051">
        <f>IFERROR(O1051/N1051,0)</f>
        <v/>
      </c>
      <c r="T1051" t="n">
        <v>0</v>
      </c>
      <c r="V1051" t="n">
        <v>0</v>
      </c>
    </row>
    <row r="1052">
      <c r="A1052">
        <f>Skills!A6</f>
        <v/>
      </c>
      <c r="B1052">
        <f>Skills!B6</f>
        <v/>
      </c>
      <c r="C1052">
        <f>Inputs!$B$3&gt;=63</f>
        <v/>
      </c>
      <c r="D1052">
        <f>IF(Skills!C6=1,60+Inputs!$B$25+Inputs!$B$29,IF(Skills!C6=2,90+Inputs!$B$26+Inputs!$B$29,IF(Skills!C6=3,120+Inputs!$B$27+Inputs!$B$29,MAX(0,(Inputs!$B$3-100)*3)+Inputs!$B$28+Inputs!$B$29)))</f>
        <v/>
      </c>
      <c r="E1052">
        <f>INDEX(FactorTable!$B$2:$Y$301, MATCH(ROUND(MIN(300,MAX(1,D1052)),0), FactorTable!$A$2:$A$301,0), Skills!M6+1)</f>
        <v/>
      </c>
      <c r="F1052">
        <f>IF(Skills!N6=TRUE,(Skills!L6/10)*(E1052/1000),Skills!L6/10)+Skills!O6</f>
        <v/>
      </c>
      <c r="G1052">
        <f>Skills!G6*IF(Skills!H6&gt;0,Skills!I6/Skills!H6,1)</f>
        <v/>
      </c>
      <c r="H1052">
        <f>1-(1-Skills!J6/100)^Skills!K6</f>
        <v/>
      </c>
      <c r="I1052" t="inlineStr">
        <is>
          <t>1</t>
        </is>
      </c>
      <c r="J1052">
        <f>((Inputs!$B$6*(1+Inputs!$B$7/100))+(((Inputs!$B$12*(1+Inputs!$B$13/100))-(Inputs!$B$12*(1+Inputs!$B$13/100)))+0.25*(Inputs!$B$14-Inputs!$B$14))*(1+Inputs!$B$7/100))*(F1052/100)</f>
        <v/>
      </c>
      <c r="K1052">
        <f>J1052*(1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1066=TRUE)*(F1066-Calc!F20)),(Inputs!$B$23+0+(IF(ArtifactsInput!$M$15,CHOOSE(ArtifactsInput!$N$15+1,25,30,35,40,45,50)/100*(Inputs!$B$11-Inputs!$B$11),0))))/100+(Inputs!$B$23+0+(IF(ArtifactsInput!$M$15,CHOOSE(ArtifactsInput!$N$15+1,25,30,35,40,45,50)/100*(Inputs!$B$11-Inputs!$B$11),0)))/100)/2</f>
        <v/>
      </c>
      <c r="M1052">
        <f>L1052*(1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IF(B1082=0,0,O1052/B1082)</f>
        <v/>
      </c>
      <c r="Q1052">
        <f>IFERROR(1/(IF(Inputs!$B$38="pvp",15,MAX(0.1,Skills!D6-IF(Skills!E6=TRUE,Inputs!$B$32,0)))*(1-IF(AND(ArtifactsInput!$M$27,Inputs!$B$4="Chapter Hunt"),CHOOSE(ArtifactsInput!$N$27+1,20,24,28,32,36,40),0)/100)),0)</f>
        <v/>
      </c>
      <c r="R1052">
        <f>IF(AND(Inputs!$B$38&lt;&gt;"pvp",Inputs!$B$43&gt;0),IF(MAX(0,Inputs!$B$43-B1079)&lt;=0,0,(INT(MAX(0,Inputs!$B$43-B1079)/(IF(Inputs!$B$38="pvp",15,MAX(0.1,Skills!D6-IF(Skills!E6=TRUE,Inputs!$B$32,0)))*(1-IF(AND(ArtifactsInput!$M$27,Inputs!$B$4="Chapter Hunt"),CHOOSE(ArtifactsInput!$N$27+1,20,24,28,32,36,40),0)/100)))+1)),0)</f>
        <v/>
      </c>
      <c r="S1052">
        <f>IFERROR(O1052/N1052,0)</f>
        <v/>
      </c>
      <c r="T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$21+Skills!Q6+(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Skills!A7</f>
        <v/>
      </c>
      <c r="B1053">
        <f>Skills!B7</f>
        <v/>
      </c>
      <c r="C1053">
        <f>Inputs!$B$3&gt;=100</f>
        <v/>
      </c>
      <c r="D1053">
        <f>IF(Skills!C7=1,60+Inputs!$B$25+Inputs!$B$29,IF(Skills!C7=2,90+Inputs!$B$26+Inputs!$B$29,IF(Skills!C7=3,120+Inputs!$B$27+Inputs!$B$29,MAX(0,(Inputs!$B$3-100)*3)+Inputs!$B$28+Inputs!$B$29)))</f>
        <v/>
      </c>
      <c r="E1053">
        <f>INDEX(FactorTable!$B$2:$Y$301, MATCH(ROUND(MIN(300,MAX(1,D1053)),0), FactorTable!$A$2:$A$301,0), Skills!M7+1)</f>
        <v/>
      </c>
      <c r="F1053">
        <f>IF(Skills!N7=TRUE,(Skills!L7/10)*(E1053/1000),Skills!L7/10)+Skills!O7</f>
        <v/>
      </c>
      <c r="G1053">
        <f>Skills!G7*IF(Skills!H7&gt;0,Skills!I7/Skills!H7,1)</f>
        <v/>
      </c>
      <c r="H1053">
        <f>1-(1-Skills!J7/100)^Skills!K7</f>
        <v/>
      </c>
      <c r="I1053" t="inlineStr">
        <is>
          <t>1</t>
        </is>
      </c>
      <c r="J1053">
        <f>((Inputs!$B$6*(1+Inputs!$B$7/100))+(((Inputs!$B$12*(1+Inputs!$B$13/100))-(Inputs!$B$12*(1+Inputs!$B$13/100)))+0.25*(Inputs!$B$14-Inputs!$B$14))*(1+Inputs!$B$7/100))*(F1053/100)</f>
        <v/>
      </c>
      <c r="K1053">
        <f>J1053*(1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1066=TRUE)*(F1066-Calc!F20)),(Inputs!$B$23+0+(IF(ArtifactsInput!$M$15,CHOOSE(ArtifactsInput!$N$15+1,25,30,35,40,45,50)/100*(Inputs!$B$11-Inputs!$B$11),0))))/100+(Inputs!$B$23+0+(IF(ArtifactsInput!$M$15,CHOOSE(ArtifactsInput!$N$15+1,25,30,35,40,45,50)/100*(Inputs!$B$11-Inputs!$B$11),0)))/100)/2</f>
        <v/>
      </c>
      <c r="M1053">
        <f>L1053*(1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IF(B1082=0,0,O1053/B1082)</f>
        <v/>
      </c>
      <c r="Q1053">
        <f>IFERROR(1/(IF(Inputs!$B$38="pvp",15,MAX(0.1,Skills!D7-IF(Skills!E7=TRUE,Inputs!$B$32,0)))*(1-IF(AND(ArtifactsInput!$M$27,Inputs!$B$4="Chapter Hunt"),CHOOSE(ArtifactsInput!$N$27+1,20,24,28,32,36,40),0)/100)),0)</f>
        <v/>
      </c>
      <c r="R1053">
        <f>IF(AND(Inputs!$B$38&lt;&gt;"pvp",Inputs!$B$43&gt;0),IF(MAX(0,Inputs!$B$43-B1079)&lt;=0,0,(INT(MAX(0,Inputs!$B$43-B1079)/(IF(Inputs!$B$38="pvp",15,MAX(0.1,Skills!D7-IF(Skills!E7=TRUE,Inputs!$B$32,0)))*(1-IF(AND(ArtifactsInput!$M$27,Inputs!$B$4="Chapter Hunt"),CHOOSE(ArtifactsInput!$N$27+1,20,24,28,32,36,40),0)/100)))+1)),0)</f>
        <v/>
      </c>
      <c r="S1053">
        <f>IFERROR(O1053/N1053,0)</f>
        <v/>
      </c>
      <c r="T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$21+Skills!Q7+(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Skills!A8</f>
        <v/>
      </c>
      <c r="B1054">
        <f>Skills!B8</f>
        <v/>
      </c>
      <c r="C1054">
        <f>Inputs!$B$3&gt;=110</f>
        <v/>
      </c>
      <c r="D1054">
        <f>IF(Skills!C8=1,60+Inputs!$B$25+Inputs!$B$29,IF(Skills!C8=2,90+Inputs!$B$26+Inputs!$B$29,IF(Skills!C8=3,120+Inputs!$B$27+Inputs!$B$29,MAX(0,(Inputs!$B$3-100)*3)+Inputs!$B$28+Inputs!$B$29)))</f>
        <v/>
      </c>
      <c r="E1054">
        <f>INDEX(FactorTable!$B$2:$Y$301, MATCH(ROUND(MIN(300,MAX(1,D1054)),0), FactorTable!$A$2:$A$301,0), Skills!M8+1)</f>
        <v/>
      </c>
      <c r="F1054">
        <f>IF(Skills!N8=TRUE,(Skills!L8/10)*(E1054/1000),Skills!L8/10)+Skills!O8</f>
        <v/>
      </c>
      <c r="G1054">
        <f>Skills!G8*IF(Skills!H8&gt;0,Skills!I8/Skills!H8,1)</f>
        <v/>
      </c>
      <c r="H1054">
        <f>1-(1-Skills!J8/100)^Skills!K8</f>
        <v/>
      </c>
      <c r="I1054" t="inlineStr">
        <is>
          <t>1</t>
        </is>
      </c>
      <c r="J1054">
        <f>((Inputs!$B$6*(1+Inputs!$B$7/100))+(((Inputs!$B$12*(1+Inputs!$B$13/100))-(Inputs!$B$12*(1+Inputs!$B$13/100)))+0.25*(Inputs!$B$14-Inputs!$B$14))*(1+Inputs!$B$7/100))*(F1054/100)</f>
        <v/>
      </c>
      <c r="K1054">
        <f>J1054*(1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C1066=TRUE)*(F1066-Calc!F20)),(Inputs!$B$23+0+(IF(ArtifactsInput!$M$15,CHOOSE(ArtifactsInput!$N$15+1,25,30,35,40,45,50)/100*(Inputs!$B$11-Inputs!$B$11),0))))/100+(Inputs!$B$23+0+(IF(ArtifactsInput!$M$15,CHOOSE(ArtifactsInput!$N$15+1,25,30,35,40,45,50)/100*(Inputs!$B$11-Inputs!$B$11),0)))/100)/2</f>
        <v/>
      </c>
      <c r="M1054">
        <f>L1054*(1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(1-Summary!$B$11)*T1054+Summary!$B$11*V1054</f>
        <v/>
      </c>
      <c r="P1054">
        <f>IF(B1082=0,0,O1054/B1082)</f>
        <v/>
      </c>
      <c r="Q1054">
        <f>IFERROR(1/(IF(Inputs!$B$38="pvp",15,MAX(0.1,Skills!D8-IF(Skills!E8=TRUE,Inputs!$B$32,0)))*(1-IF(AND(ArtifactsInput!$M$27,Inputs!$B$4="Chapter Hunt"),CHOOSE(ArtifactsInput!$N$27+1,20,24,28,32,36,40),0)/100)),0)</f>
        <v/>
      </c>
      <c r="R1054">
        <f>IF(AND(Inputs!$B$38&lt;&gt;"pvp",Inputs!$B$43&gt;0),IF(MAX(0,Inputs!$B$43-B1079)&lt;=0,0,(INT(MAX(0,Inputs!$B$43-B1079)/(IF(Inputs!$B$38="pvp",15,MAX(0.1,Skills!D8-IF(Skills!E8=TRUE,Inputs!$B$32,0)))*(1-IF(AND(ArtifactsInput!$M$27,Inputs!$B$4="Chapter Hunt"),CHOOSE(ArtifactsInput!$N$27+1,20,24,28,32,36,40),0)/100)))+1)),0)</f>
        <v/>
      </c>
      <c r="S1054">
        <f>IFERROR(O1054/N1054,0)</f>
        <v/>
      </c>
      <c r="T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$21+Skills!Q8+(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Skills!A9</f>
        <v/>
      </c>
      <c r="B1055">
        <f>Skills!B9</f>
        <v/>
      </c>
      <c r="C1055">
        <f>Inputs!$B$3&gt;=110</f>
        <v/>
      </c>
      <c r="D1055">
        <f>IF(Skills!C9=1,60+Inputs!$B$25+Inputs!$B$29,IF(Skills!C9=2,90+Inputs!$B$26+Inputs!$B$29,IF(Skills!C9=3,120+Inputs!$B$27+Inputs!$B$29,MAX(0,(Inputs!$B$3-100)*3)+Inputs!$B$28+Inputs!$B$29)))</f>
        <v/>
      </c>
      <c r="E1055">
        <f>INDEX(FactorTable!$B$2:$Y$301, MATCH(ROUND(MIN(300,MAX(1,D1055)),0), FactorTable!$A$2:$A$301,0), Skills!M9+1)</f>
        <v/>
      </c>
      <c r="F1055">
        <f>IF(Skills!N9=TRUE,(Skills!L9/10)*(E1055/1000),Skills!L9/10)+Skills!O9</f>
        <v/>
      </c>
      <c r="G1055">
        <f>Skills!G9*IF(Skills!H9&gt;0,Skills!I9/Skills!H9,1)</f>
        <v/>
      </c>
      <c r="H1055">
        <f>1-(1-Skills!J9/100)^Skills!K9</f>
        <v/>
      </c>
      <c r="I1055" t="inlineStr">
        <is>
          <t>1</t>
        </is>
      </c>
      <c r="J1055">
        <f>((Inputs!$B$6*(1+Inputs!$B$7/100))+(((Inputs!$B$12*(1+Inputs!$B$13/100))-(Inputs!$B$12*(1+Inputs!$B$13/100)))+0.25*(Inputs!$B$14-Inputs!$B$14))*(1+Inputs!$B$7/100))*(F1055/100)</f>
        <v/>
      </c>
      <c r="K1055">
        <f>J1055*(1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C1066=TRUE)*(F1066-Calc!F20)),(Inputs!$B$23+0+(IF(ArtifactsInput!$M$15,CHOOSE(ArtifactsInput!$N$15+1,25,30,35,40,45,50)/100*(Inputs!$B$11-Inputs!$B$11),0))))/100+(Inputs!$B$23+0+(IF(ArtifactsInput!$M$15,CHOOSE(ArtifactsInput!$N$15+1,25,30,35,40,45,50)/100*(Inputs!$B$11-Inputs!$B$11),0)))/100)/2</f>
        <v/>
      </c>
      <c r="M1055">
        <f>L1055*(1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(1-Summary!$B$11)*T1055+Summary!$B$11*V1055</f>
        <v/>
      </c>
      <c r="P1055">
        <f>IF(B1082=0,0,O1055/B1082)</f>
        <v/>
      </c>
      <c r="Q1055">
        <f>IFERROR(1/(IF(Inputs!$B$38="pvp",15,MAX(0.1,Skills!D9-IF(Skills!E9=TRUE,Inputs!$B$32,0)))*(1-IF(AND(ArtifactsInput!$M$27,Inputs!$B$4="Chapter Hunt"),CHOOSE(ArtifactsInput!$N$27+1,20,24,28,32,36,40),0)/100)),0)</f>
        <v/>
      </c>
      <c r="R1055">
        <f>IF(AND(Inputs!$B$38&lt;&gt;"pvp",Inputs!$B$43&gt;0),IF(MAX(0,Inputs!$B$43-B1079)&lt;=0,0,(INT(MAX(0,Inputs!$B$43-B1079)/(IF(Inputs!$B$38="pvp",15,MAX(0.1,Skills!D9-IF(Skills!E9=TRUE,Inputs!$B$32,0)))*(1-IF(AND(ArtifactsInput!$M$27,Inputs!$B$4="Chapter Hunt"),CHOOSE(ArtifactsInput!$N$27+1,20,24,28,32,36,40),0)/100)))+1)),0)</f>
        <v/>
      </c>
      <c r="S1055">
        <f>IFERROR(O1055/N1055,0)</f>
        <v/>
      </c>
      <c r="T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$21+Skills!Q9+(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Skills!A10</f>
        <v/>
      </c>
      <c r="B1056">
        <f>Skills!B10</f>
        <v/>
      </c>
      <c r="C1056">
        <f>Inputs!$B$3&gt;=103</f>
        <v/>
      </c>
      <c r="D1056">
        <f>IF(Skills!C10=1,60+Inputs!$B$25+Inputs!$B$29,IF(Skills!C10=2,90+Inputs!$B$26+Inputs!$B$29,IF(Skills!C10=3,120+Inputs!$B$27+Inputs!$B$29,MAX(0,(Inputs!$B$3-100)*3)+Inputs!$B$28+Inputs!$B$29)))</f>
        <v/>
      </c>
      <c r="E1056">
        <f>INDEX(FactorTable!$B$2:$Y$301, MATCH(ROUND(MIN(300,MAX(1,D1056)),0), FactorTable!$A$2:$A$301,0), Skills!M10+1)</f>
        <v/>
      </c>
      <c r="F1056">
        <f>IF(Skills!N10=TRUE,(Skills!L10/10)*(E1056/1000),Skills!L10/10)+Skills!O10</f>
        <v/>
      </c>
      <c r="G1056">
        <f>Skills!G10*IF(Skills!H10&gt;0,Skills!I10/Skills!H10,1)</f>
        <v/>
      </c>
      <c r="H1056">
        <f>1-(1-Skills!J10/100)^Skills!K10</f>
        <v/>
      </c>
      <c r="I1056" t="inlineStr">
        <is>
          <t>1</t>
        </is>
      </c>
      <c r="J1056">
        <f>((Inputs!$B$6*(1+Inputs!$B$7/100))+(((Inputs!$B$12*(1+Inputs!$B$13/100))-(Inputs!$B$12*(1+Inputs!$B$13/100)))+0.25*(Inputs!$B$14-Inputs!$B$14))*(1+Inputs!$B$7/100))*(F1056/100)</f>
        <v/>
      </c>
      <c r="K1056">
        <f>J1056*(1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C1066=TRUE)*(F1066-Calc!F20)),(Inputs!$B$23+0+(IF(ArtifactsInput!$M$15,CHOOSE(ArtifactsInput!$N$15+1,25,30,35,40,45,50)/100*(Inputs!$B$11-Inputs!$B$11),0))))/100+(Inputs!$B$23+0+(IF(ArtifactsInput!$M$15,CHOOSE(ArtifactsInput!$N$15+1,25,30,35,40,45,50)/100*(Inputs!$B$11-Inputs!$B$11),0)))/100)/2</f>
        <v/>
      </c>
      <c r="M1056">
        <f>L1056*(1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(1-Summary!$B$11)*T1056+Summary!$B$11*V1056</f>
        <v/>
      </c>
      <c r="P1056">
        <f>IF(B1082=0,0,O1056/B1082)</f>
        <v/>
      </c>
      <c r="Q1056">
        <f>IFERROR(1/(IF(Inputs!$B$38="pvp",15,MAX(0.1,Skills!D10-IF(Skills!E10=TRUE,Inputs!$B$32,0)))*(1-IF(AND(ArtifactsInput!$M$27,Inputs!$B$4="Chapter Hunt"),CHOOSE(ArtifactsInput!$N$27+1,20,24,28,32,36,40),0)/100)),0)</f>
        <v/>
      </c>
      <c r="R1056">
        <f>IF(AND(Inputs!$B$38&lt;&gt;"pvp",Inputs!$B$43&gt;0),IF(MAX(0,Inputs!$B$43-B1079)&lt;=0,0,(INT(MAX(0,Inputs!$B$43-B1079)/(IF(Inputs!$B$38="pvp",15,MAX(0.1,Skills!D10-IF(Skills!E10=TRUE,Inputs!$B$32,0)))*(1-IF(AND(ArtifactsInput!$M$27,Inputs!$B$4="Chapter Hunt"),CHOOSE(ArtifactsInput!$N$27+1,20,24,28,32,36,40),0)/100)))+1)),0)</f>
        <v/>
      </c>
      <c r="S1056">
        <f>IFERROR(O1056/N1056,0)</f>
        <v/>
      </c>
      <c r="T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$21+Skills!Q10+(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Skills!A11</f>
        <v/>
      </c>
      <c r="B1057">
        <f>Skills!B11</f>
        <v/>
      </c>
      <c r="C1057">
        <f>Inputs!$B$3&gt;=113</f>
        <v/>
      </c>
      <c r="D1057">
        <f>IF(Skills!C11=1,60+Inputs!$B$25+Inputs!$B$29,IF(Skills!C11=2,90+Inputs!$B$26+Inputs!$B$29,IF(Skills!C11=3,120+Inputs!$B$27+Inputs!$B$29,MAX(0,(Inputs!$B$3-100)*3)+Inputs!$B$28+Inputs!$B$29)))</f>
        <v/>
      </c>
      <c r="E1057">
        <f>INDEX(FactorTable!$B$2:$Y$301, MATCH(ROUND(MIN(300,MAX(1,D1057)),0), FactorTable!$A$2:$A$301,0), Skills!M11+1)</f>
        <v/>
      </c>
      <c r="F1057">
        <f>IF(Skills!N11=TRUE,(Skills!L11/10)*(E1057/1000),Skills!L11/10)+Skills!O11</f>
        <v/>
      </c>
      <c r="G1057">
        <f>Skills!G11*IF(Skills!H11&gt;0,Skills!I11/Skills!H11,1)</f>
        <v/>
      </c>
      <c r="H1057">
        <f>1-(1-Skills!J11/100)^Skills!K11</f>
        <v/>
      </c>
      <c r="I1057" t="inlineStr">
        <is>
          <t>1</t>
        </is>
      </c>
      <c r="J1057">
        <f>((Inputs!$B$6*(1+Inputs!$B$7/100))+(((Inputs!$B$12*(1+Inputs!$B$13/100))-(Inputs!$B$12*(1+Inputs!$B$13/100)))+0.25*(Inputs!$B$14-Inputs!$B$14))*(1+Inputs!$B$7/100))*(F1057/100)</f>
        <v/>
      </c>
      <c r="K1057">
        <f>J1057*(1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C1066=TRUE)*(F1066-Calc!F20)),(Inputs!$B$23+0+(IF(ArtifactsInput!$M$15,CHOOSE(ArtifactsInput!$N$15+1,25,30,35,40,45,50)/100*(Inputs!$B$11-Inputs!$B$11),0))))/100+(Inputs!$B$23+0+(IF(ArtifactsInput!$M$15,CHOOSE(ArtifactsInput!$N$15+1,25,30,35,40,45,50)/100*(Inputs!$B$11-Inputs!$B$11),0)))/100)/2</f>
        <v/>
      </c>
      <c r="M1057">
        <f>L1057*(1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(1-Summary!$B$11)*T1057+Summary!$B$11*V1057</f>
        <v/>
      </c>
      <c r="P1057">
        <f>IF(B1082=0,0,O1057/B1082)</f>
        <v/>
      </c>
      <c r="Q1057">
        <f>IFERROR(1/(IF(Inputs!$B$38="pvp",15,MAX(0.1,Skills!D11-IF(Skills!E11=TRUE,Inputs!$B$32,0)))*(1-IF(AND(ArtifactsInput!$M$27,Inputs!$B$4="Chapter Hunt"),CHOOSE(ArtifactsInput!$N$27+1,20,24,28,32,36,40),0)/100)),0)</f>
        <v/>
      </c>
      <c r="R1057">
        <f>IF(AND(Inputs!$B$38&lt;&gt;"pvp",Inputs!$B$43&gt;0),IF(MAX(0,Inputs!$B$43-B1079)&lt;=0,0,(INT(MAX(0,Inputs!$B$43-B1079)/(IF(Inputs!$B$38="pvp",15,MAX(0.1,Skills!D11-IF(Skills!E11=TRUE,Inputs!$B$32,0)))*(1-IF(AND(ArtifactsInput!$M$27,Inputs!$B$4="Chapter Hunt"),CHOOSE(ArtifactsInput!$N$27+1,20,24,28,32,36,40),0)/100)))+1)),0)</f>
        <v/>
      </c>
      <c r="S1057">
        <f>IFERROR(O1057/N1057,0)</f>
        <v/>
      </c>
      <c r="T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$21+Skills!Q11+(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Skills!A12</f>
        <v/>
      </c>
      <c r="B1058">
        <f>Skills!B12</f>
        <v/>
      </c>
      <c r="C1058">
        <f>Inputs!$B$3&gt;=100</f>
        <v/>
      </c>
      <c r="D1058">
        <f>IF(Skills!C12=1,60+Inputs!$B$25+Inputs!$B$29,IF(Skills!C12=2,90+Inputs!$B$26+Inputs!$B$29,IF(Skills!C12=3,120+Inputs!$B$27+Inputs!$B$29,MAX(0,(Inputs!$B$3-100)*3)+Inputs!$B$28+Inputs!$B$29)))</f>
        <v/>
      </c>
      <c r="E1058">
        <f>INDEX(FactorTable!$B$2:$Y$301, MATCH(ROUND(MIN(300,MAX(1,D1058)),0), FactorTable!$A$2:$A$301,0), Skills!M12+1)</f>
        <v/>
      </c>
      <c r="F1058">
        <f>IF(Skills!N12=TRUE,(Skills!L12/10)*(E1058/1000),Skills!L12/10)+Skills!O12</f>
        <v/>
      </c>
      <c r="G1058" t="inlineStr"/>
      <c r="H1058" t="inlineStr"/>
      <c r="I1058" t="inlineStr">
        <is>
          <t>1</t>
        </is>
      </c>
      <c r="J1058" t="inlineStr"/>
      <c r="K1058" t="inlineStr"/>
      <c r="L1058" t="inlineStr"/>
      <c r="M1058" t="inlineStr"/>
      <c r="N1058" t="inlineStr"/>
      <c r="O1058" t="inlineStr"/>
      <c r="P1058" t="inlineStr"/>
      <c r="Q1058" t="inlineStr"/>
      <c r="R1058" t="inlineStr"/>
      <c r="S1058" t="inlineStr"/>
      <c r="T1058" t="inlineStr"/>
      <c r="V1058" t="inlineStr"/>
    </row>
    <row r="1059">
      <c r="A1059">
        <f>Skills!A13</f>
        <v/>
      </c>
      <c r="B1059">
        <f>Skills!B13</f>
        <v/>
      </c>
      <c r="C1059">
        <f>Inputs!$B$3&gt;=66</f>
        <v/>
      </c>
      <c r="D1059">
        <f>IF(Skills!C13=1,60+Inputs!$B$25+Inputs!$B$29,IF(Skills!C13=2,90+Inputs!$B$26+Inputs!$B$29,IF(Skills!C13=3,120+Inputs!$B$27+Inputs!$B$29,MAX(0,(Inputs!$B$3-100)*3)+Inputs!$B$28+Inputs!$B$29)))</f>
        <v/>
      </c>
      <c r="E1059">
        <f>INDEX(FactorTable!$B$2:$Y$301, MATCH(ROUND(MIN(300,MAX(1,D1059)),0), FactorTable!$A$2:$A$301,0), Skills!M13+1)</f>
        <v/>
      </c>
      <c r="F1059">
        <f>IF(Skills!N13=TRUE,(Skills!L13/10)*(E1059/1000),Skills!L13/10)+Skills!O13</f>
        <v/>
      </c>
      <c r="G1059">
        <f>Skills!G13*IF(Skills!H13&gt;0,Skills!I13/Skills!H13,1)</f>
        <v/>
      </c>
      <c r="H1059">
        <f>1-(1-Skills!J13/100)^Skills!K13</f>
        <v/>
      </c>
      <c r="I1059" t="inlineStr">
        <is>
          <t>1</t>
        </is>
      </c>
      <c r="J1059" t="inlineStr"/>
      <c r="K1059" t="inlineStr"/>
      <c r="L1059" t="inlineStr"/>
      <c r="M1059" t="inlineStr"/>
      <c r="N1059" t="inlineStr"/>
      <c r="O1059">
        <f>(1-Summary!$B$11)*T1059+Summary!$B$11*V1059</f>
        <v/>
      </c>
      <c r="P1059">
        <f>IF(B1082=0,0,O1059/B1082)</f>
        <v/>
      </c>
      <c r="Q1059" t="n">
        <v>0</v>
      </c>
      <c r="R1059" t="n">
        <v>0</v>
      </c>
      <c r="S1059">
        <f>IFERROR(O1059/N1059,0)</f>
        <v/>
      </c>
      <c r="T1059" t="n">
        <v>0</v>
      </c>
      <c r="V1059" t="n">
        <v>0</v>
      </c>
    </row>
    <row r="1060">
      <c r="A1060">
        <f>Skills!A14</f>
        <v/>
      </c>
      <c r="B1060">
        <f>Skills!B14</f>
        <v/>
      </c>
      <c r="C1060">
        <f>Inputs!$B$3&gt;=107</f>
        <v/>
      </c>
      <c r="D1060">
        <f>IF(Skills!C14=1,60+Inputs!$B$25+Inputs!$B$29,IF(Skills!C14=2,90+Inputs!$B$26+Inputs!$B$29,IF(Skills!C14=3,120+Inputs!$B$27+Inputs!$B$29,MAX(0,(Inputs!$B$3-100)*3)+Inputs!$B$28+Inputs!$B$29)))</f>
        <v/>
      </c>
      <c r="E1060">
        <f>INDEX(FactorTable!$B$2:$Y$301, MATCH(ROUND(MIN(300,MAX(1,D1060)),0), FactorTable!$A$2:$A$301,0), Skills!M14+1)</f>
        <v/>
      </c>
      <c r="F1060">
        <f>IF(Skills!N14=TRUE,(Skills!L14/10)*(E1060/1000),Skills!L14/10)+Skills!O14</f>
        <v/>
      </c>
      <c r="G1060">
        <f>Skills!G14*IF(Skills!H14&gt;0,Skills!I14/Skills!H14,1)</f>
        <v/>
      </c>
      <c r="H1060">
        <f>1-(1-Skills!J14/100)^Skills!K14</f>
        <v/>
      </c>
      <c r="I1060" t="inlineStr">
        <is>
          <t>1</t>
        </is>
      </c>
      <c r="J1060" t="inlineStr"/>
      <c r="K1060" t="inlineStr"/>
      <c r="L1060" t="inlineStr"/>
      <c r="M1060" t="inlineStr"/>
      <c r="N1060" t="inlineStr"/>
      <c r="O1060">
        <f>(1-Summary!$B$11)*T1060+Summary!$B$11*V1060</f>
        <v/>
      </c>
      <c r="P1060">
        <f>IF(B1082=0,0,O1060/B1082)</f>
        <v/>
      </c>
      <c r="Q1060" t="n">
        <v>0</v>
      </c>
      <c r="R1060" t="n">
        <v>0</v>
      </c>
      <c r="S1060">
        <f>IFERROR(O1060/N1060,0)</f>
        <v/>
      </c>
      <c r="T1060" t="n">
        <v>0</v>
      </c>
      <c r="V1060" t="n">
        <v>0</v>
      </c>
    </row>
    <row r="1061">
      <c r="A1061">
        <f>Skills!A15</f>
        <v/>
      </c>
      <c r="B1061">
        <f>Skills!B15</f>
        <v/>
      </c>
      <c r="C1061">
        <f>Inputs!$B$3&gt;=115</f>
        <v/>
      </c>
      <c r="D1061">
        <f>IF(Skills!C15=1,60+Inputs!$B$25+Inputs!$B$29,IF(Skills!C15=2,90+Inputs!$B$26+Inputs!$B$29,IF(Skills!C15=3,120+Inputs!$B$27+Inputs!$B$29,MAX(0,(Inputs!$B$3-100)*3)+Inputs!$B$28+Inputs!$B$29)))</f>
        <v/>
      </c>
      <c r="E1061">
        <f>INDEX(FactorTable!$B$2:$Y$301, MATCH(ROUND(MIN(300,MAX(1,D1061)),0), FactorTable!$A$2:$A$301,0), Skills!M15+1)</f>
        <v/>
      </c>
      <c r="F1061">
        <f>IF(Skills!N15=TRUE,(Skills!L15/10)*(E1061/1000),Skills!L15/10)+Skills!O15</f>
        <v/>
      </c>
      <c r="G1061">
        <f>Skills!G15*IF(Skills!H15&gt;0,Skills!I15/Skills!H15,1)</f>
        <v/>
      </c>
      <c r="H1061">
        <f>1-(1-Skills!J15/100)^Skills!K15</f>
        <v/>
      </c>
      <c r="I1061" t="inlineStr">
        <is>
          <t>1</t>
        </is>
      </c>
      <c r="J1061" t="inlineStr"/>
      <c r="K1061" t="inlineStr"/>
      <c r="L1061" t="inlineStr"/>
      <c r="M1061" t="inlineStr"/>
      <c r="N1061" t="inlineStr"/>
      <c r="O1061">
        <f>(1-Summary!$B$11)*T1061+Summary!$B$11*V1061</f>
        <v/>
      </c>
      <c r="P1061">
        <f>IF(B1082=0,0,O1061/B1082)</f>
        <v/>
      </c>
      <c r="Q1061" t="n">
        <v>0</v>
      </c>
      <c r="R1061" t="n">
        <v>0</v>
      </c>
      <c r="S1061">
        <f>IFERROR(O1061/N1061,0)</f>
        <v/>
      </c>
      <c r="T1061" t="n">
        <v>0</v>
      </c>
      <c r="V1061" t="n">
        <v>0</v>
      </c>
    </row>
    <row r="1062">
      <c r="A1062">
        <f>Skills!A16</f>
        <v/>
      </c>
      <c r="B1062">
        <f>Skills!B16</f>
        <v/>
      </c>
      <c r="C1062">
        <f>Inputs!$B$3&gt;=15</f>
        <v/>
      </c>
      <c r="D1062">
        <f>IF(Skills!C16=1,60+Inputs!$B$25+Inputs!$B$29,IF(Skills!C16=2,90+Inputs!$B$26+Inputs!$B$29,IF(Skills!C16=3,120+Inputs!$B$27+Inputs!$B$29,MAX(0,(Inputs!$B$3-100)*3)+Inputs!$B$28+Inputs!$B$29)))</f>
        <v/>
      </c>
      <c r="E1062">
        <f>INDEX(FactorTable!$B$2:$Y$301, MATCH(ROUND(MIN(300,MAX(1,D1062)),0), FactorTable!$A$2:$A$301,0), Skills!M16+1)</f>
        <v/>
      </c>
      <c r="F1062">
        <f>IF(Skills!N16=TRUE,(Skills!L16/10)*(E1062/1000),Skills!L16/10)+Skills!O16</f>
        <v/>
      </c>
      <c r="G1062">
        <f>Skills!G16*IF(Skills!H16&gt;0,Skills!I16/Skills!H16,1)</f>
        <v/>
      </c>
      <c r="H1062">
        <f>1-(1-Skills!J16/100)^Skills!K16</f>
        <v/>
      </c>
      <c r="I1062" t="inlineStr">
        <is>
          <t>1</t>
        </is>
      </c>
      <c r="J1062" t="inlineStr"/>
      <c r="K1062" t="inlineStr"/>
      <c r="L1062" t="inlineStr"/>
      <c r="M1062" t="inlineStr"/>
      <c r="N1062" t="inlineStr"/>
      <c r="O1062">
        <f>(1-Summary!$B$11)*T1062+Summary!$B$11*V1062</f>
        <v/>
      </c>
      <c r="P1062">
        <f>IF(B1082=0,0,O1062/B1082)</f>
        <v/>
      </c>
      <c r="Q1062" t="n">
        <v>0</v>
      </c>
      <c r="R1062" t="n">
        <v>0</v>
      </c>
      <c r="S1062">
        <f>IFERROR(O1062/N1062,0)</f>
        <v/>
      </c>
      <c r="T1062" t="n">
        <v>0</v>
      </c>
      <c r="V1062" t="n">
        <v>0</v>
      </c>
    </row>
    <row r="1063">
      <c r="A1063">
        <f>Skills!A17</f>
        <v/>
      </c>
      <c r="B1063">
        <f>Skills!B17</f>
        <v/>
      </c>
      <c r="C1063">
        <f>Inputs!$B$3&gt;=10</f>
        <v/>
      </c>
      <c r="D1063">
        <f>IF(Skills!C17=1,60+Inputs!$B$25+Inputs!$B$29,IF(Skills!C17=2,90+Inputs!$B$26+Inputs!$B$29,IF(Skills!C17=3,120+Inputs!$B$27+Inputs!$B$29,MAX(0,(Inputs!$B$3-100)*3)+Inputs!$B$28+Inputs!$B$29)))</f>
        <v/>
      </c>
      <c r="E1063">
        <f>INDEX(FactorTable!$B$2:$Y$301, MATCH(ROUND(MIN(300,MAX(1,D1063)),0), FactorTable!$A$2:$A$301,0), Skills!M17+1)</f>
        <v/>
      </c>
      <c r="F1063">
        <f>IF(Skills!N17=TRUE,(Skills!L17/10)*(E1063/1000),Skills!L17/10)+Skills!O17</f>
        <v/>
      </c>
      <c r="G1063">
        <f>Skills!G17*IF(Skills!H17&gt;0,Skills!I17/Skills!H17,1)</f>
        <v/>
      </c>
      <c r="H1063">
        <f>1-(1-Skills!J17/100)^Skills!K17</f>
        <v/>
      </c>
      <c r="I1063" t="inlineStr">
        <is>
          <t>1</t>
        </is>
      </c>
      <c r="J1063" t="inlineStr"/>
      <c r="K1063" t="inlineStr"/>
      <c r="L1063" t="inlineStr"/>
      <c r="M1063" t="inlineStr"/>
      <c r="N1063" t="inlineStr"/>
      <c r="O1063">
        <f>(1-Summary!$B$11)*T1063+Summary!$B$11*V1063</f>
        <v/>
      </c>
      <c r="P1063">
        <f>IF(B1082=0,0,O1063/B1082)</f>
        <v/>
      </c>
      <c r="Q1063" t="n">
        <v>0</v>
      </c>
      <c r="R1063" t="n">
        <v>0</v>
      </c>
      <c r="S1063">
        <f>IFERROR(O1063/N1063,0)</f>
        <v/>
      </c>
      <c r="T1063" t="n">
        <v>0</v>
      </c>
      <c r="V1063" t="n">
        <v>0</v>
      </c>
    </row>
    <row r="1064">
      <c r="A1064">
        <f>Skills!A18</f>
        <v/>
      </c>
      <c r="B1064">
        <f>Skills!B18</f>
        <v/>
      </c>
      <c r="C1064">
        <f>Inputs!$B$3&gt;=33</f>
        <v/>
      </c>
      <c r="D1064">
        <f>IF(Skills!C18=1,60+Inputs!$B$25+Inputs!$B$29,IF(Skills!C18=2,90+Inputs!$B$26+Inputs!$B$29,IF(Skills!C18=3,120+Inputs!$B$27+Inputs!$B$29,MAX(0,(Inputs!$B$3-100)*3)+Inputs!$B$28+Inputs!$B$29)))</f>
        <v/>
      </c>
      <c r="E1064">
        <f>INDEX(FactorTable!$B$2:$Y$301, MATCH(ROUND(MIN(300,MAX(1,D1064)),0), FactorTable!$A$2:$A$301,0), Skills!M18+1)</f>
        <v/>
      </c>
      <c r="F1064">
        <f>IF(Skills!N18=TRUE,(Skills!L18/10)*(E1064/1000),Skills!L18/10)+Skills!O18</f>
        <v/>
      </c>
      <c r="G1064">
        <f>Skills!G18*IF(Skills!H18&gt;0,Skills!I18/Skills!H18,1)</f>
        <v/>
      </c>
      <c r="H1064">
        <f>1-(1-Skills!J18/100)^Skills!K18</f>
        <v/>
      </c>
      <c r="I1064" t="inlineStr">
        <is>
          <t>1</t>
        </is>
      </c>
      <c r="J1064" t="inlineStr"/>
      <c r="K1064" t="inlineStr"/>
      <c r="L1064" t="inlineStr"/>
      <c r="M1064" t="inlineStr"/>
      <c r="N1064" t="inlineStr"/>
      <c r="O1064">
        <f>(1-Summary!$B$11)*T1064+Summary!$B$11*V1064</f>
        <v/>
      </c>
      <c r="P1064">
        <f>IF(B1082=0,0,O1064/B1082)</f>
        <v/>
      </c>
      <c r="Q1064" t="n">
        <v>0</v>
      </c>
      <c r="R1064" t="n">
        <v>0</v>
      </c>
      <c r="S1064">
        <f>IFERROR(O1064/N1064,0)</f>
        <v/>
      </c>
      <c r="T1064" t="n">
        <v>0</v>
      </c>
      <c r="V1064" t="n">
        <v>0</v>
      </c>
    </row>
    <row r="1065">
      <c r="A1065">
        <f>Skills!A19</f>
        <v/>
      </c>
      <c r="B1065">
        <f>Skills!B19</f>
        <v/>
      </c>
      <c r="C1065">
        <f>Inputs!$B$3&gt;=40</f>
        <v/>
      </c>
      <c r="D1065">
        <f>IF(Skills!C19=1,60+Inputs!$B$25+Inputs!$B$29,IF(Skills!C19=2,90+Inputs!$B$26+Inputs!$B$29,IF(Skills!C19=3,120+Inputs!$B$27+Inputs!$B$29,MAX(0,(Inputs!$B$3-100)*3)+Inputs!$B$28+Inputs!$B$29)))</f>
        <v/>
      </c>
      <c r="E1065">
        <f>INDEX(FactorTable!$B$2:$Y$301, MATCH(ROUND(MIN(300,MAX(1,D1065)),0), FactorTable!$A$2:$A$301,0), Skills!M19+1)</f>
        <v/>
      </c>
      <c r="F1065">
        <f>IF(Skills!N19=TRUE,(Skills!L19/10)*(E1065/1000),Skills!L19/10)+Skills!O19</f>
        <v/>
      </c>
      <c r="G1065">
        <f>Skills!G19*IF(Skills!H19&gt;0,Skills!I19/Skills!H19,1)</f>
        <v/>
      </c>
      <c r="H1065">
        <f>1-(1-Skills!J19/100)^Skills!K19</f>
        <v/>
      </c>
      <c r="I1065" t="inlineStr">
        <is>
          <t>1</t>
        </is>
      </c>
      <c r="J1065" t="inlineStr"/>
      <c r="K1065" t="inlineStr"/>
      <c r="L1065" t="inlineStr"/>
      <c r="M1065" t="inlineStr"/>
      <c r="N1065" t="inlineStr"/>
      <c r="O1065">
        <f>(1-Summary!$B$11)*T1065+Summary!$B$11*V1065</f>
        <v/>
      </c>
      <c r="P1065">
        <f>IF(B1082=0,0,O1065/B1082)</f>
        <v/>
      </c>
      <c r="Q1065" t="n">
        <v>0</v>
      </c>
      <c r="R1065" t="n">
        <v>0</v>
      </c>
      <c r="S1065">
        <f>IFERROR(O1065/N1065,0)</f>
        <v/>
      </c>
      <c r="T1065" t="n">
        <v>0</v>
      </c>
      <c r="V1065" t="n">
        <v>0</v>
      </c>
    </row>
    <row r="1066">
      <c r="A1066">
        <f>Skills!A20</f>
        <v/>
      </c>
      <c r="B1066">
        <f>Skills!B20</f>
        <v/>
      </c>
      <c r="C1066">
        <f>Inputs!$B$3&gt;=43</f>
        <v/>
      </c>
      <c r="D1066">
        <f>IF(Skills!C20=1,60+Inputs!$B$25+Inputs!$B$29,IF(Skills!C20=2,90+Inputs!$B$26+Inputs!$B$29,IF(Skills!C20=3,120+Inputs!$B$27+Inputs!$B$29,MAX(0,(Inputs!$B$3-100)*3)+Inputs!$B$28+Inputs!$B$29)))</f>
        <v/>
      </c>
      <c r="E1066">
        <f>INDEX(FactorTable!$B$2:$Y$301, MATCH(ROUND(MIN(300,MAX(1,D1066)),0), FactorTable!$A$2:$A$301,0), Skills!M20+1)</f>
        <v/>
      </c>
      <c r="F1066">
        <f>IF(Skills!N20=TRUE,(Skills!L20/10)*(E1066/1000),Skills!L20/10)+Skills!O20</f>
        <v/>
      </c>
      <c r="G1066">
        <f>Skills!G20*IF(Skills!H20&gt;0,Skills!I20/Skills!H20,1)</f>
        <v/>
      </c>
      <c r="H1066">
        <f>1-(1-Skills!J20/100)^Skills!K20</f>
        <v/>
      </c>
      <c r="I1066" t="inlineStr">
        <is>
          <t>1</t>
        </is>
      </c>
      <c r="J1066" t="inlineStr"/>
      <c r="K1066" t="inlineStr"/>
      <c r="L1066" t="inlineStr"/>
      <c r="M1066" t="inlineStr"/>
      <c r="N1066" t="inlineStr"/>
      <c r="O1066">
        <f>(1-Summary!$B$11)*T1066+Summary!$B$11*V1066</f>
        <v/>
      </c>
      <c r="P1066">
        <f>IF(B1082=0,0,O1066/B1082)</f>
        <v/>
      </c>
      <c r="Q1066" t="n">
        <v>0</v>
      </c>
      <c r="R1066" t="n">
        <v>0</v>
      </c>
      <c r="S1066">
        <f>IFERROR(O1066/N1066,0)</f>
        <v/>
      </c>
      <c r="T1066" t="n">
        <v>0</v>
      </c>
      <c r="V1066" t="n">
        <v>0</v>
      </c>
    </row>
    <row r="1067">
      <c r="A1067">
        <f>Skills!A21</f>
        <v/>
      </c>
      <c r="B1067">
        <f>Skills!B21</f>
        <v/>
      </c>
      <c r="C1067">
        <f>Inputs!$B$3&gt;=38</f>
        <v/>
      </c>
      <c r="D1067">
        <f>IF(Skills!C21=1,60+Inputs!$B$25+Inputs!$B$29,IF(Skills!C21=2,90+Inputs!$B$26+Inputs!$B$29,IF(Skills!C21=3,120+Inputs!$B$27+Inputs!$B$29,MAX(0,(Inputs!$B$3-100)*3)+Inputs!$B$28+Inputs!$B$29)))</f>
        <v/>
      </c>
      <c r="E1067">
        <f>INDEX(FactorTable!$B$2:$Y$301, MATCH(ROUND(MIN(300,MAX(1,D1067)),0), FactorTable!$A$2:$A$301,0), Skills!M21+1)</f>
        <v/>
      </c>
      <c r="F1067">
        <f>IF(Skills!N21=TRUE,(Skills!L21/10)*(E1067/1000),Skills!L21/10)+Skills!O21</f>
        <v/>
      </c>
      <c r="G1067">
        <f>Skills!G21*IF(Skills!H21&gt;0,Skills!I21/Skills!H21,1)</f>
        <v/>
      </c>
      <c r="H1067">
        <f>1-(1-Skills!J21/100)^Skills!K21</f>
        <v/>
      </c>
      <c r="I1067" t="inlineStr">
        <is>
          <t>1</t>
        </is>
      </c>
      <c r="J1067" t="inlineStr"/>
      <c r="K1067" t="inlineStr"/>
      <c r="L1067" t="inlineStr"/>
      <c r="M1067" t="inlineStr"/>
      <c r="N1067" t="inlineStr"/>
      <c r="O1067">
        <f>(1-Summary!$B$11)*T1067+Summary!$B$11*V1067</f>
        <v/>
      </c>
      <c r="P1067">
        <f>IF(B1082=0,0,O1067/B1082)</f>
        <v/>
      </c>
      <c r="Q1067" t="n">
        <v>0</v>
      </c>
      <c r="R1067" t="n">
        <v>0</v>
      </c>
      <c r="S1067">
        <f>IFERROR(O1067/N1067,0)</f>
        <v/>
      </c>
      <c r="T1067" t="n">
        <v>0</v>
      </c>
      <c r="V1067" t="n">
        <v>0</v>
      </c>
    </row>
    <row r="1068">
      <c r="A1068">
        <f>Skills!A22</f>
        <v/>
      </c>
      <c r="B1068">
        <f>Skills!B22</f>
        <v/>
      </c>
      <c r="C1068">
        <f>Inputs!$B$3&gt;=75</f>
        <v/>
      </c>
      <c r="D1068">
        <f>IF(Skills!C22=1,60+Inputs!$B$25+Inputs!$B$29,IF(Skills!C22=2,90+Inputs!$B$26+Inputs!$B$29,IF(Skills!C22=3,120+Inputs!$B$27+Inputs!$B$29,MAX(0,(Inputs!$B$3-100)*3)+Inputs!$B$28+Inputs!$B$29)))</f>
        <v/>
      </c>
      <c r="E1068">
        <f>INDEX(FactorTable!$B$2:$Y$301, MATCH(ROUND(MIN(300,MAX(1,D1068)),0), FactorTable!$A$2:$A$301,0), Skills!M22+1)</f>
        <v/>
      </c>
      <c r="F1068">
        <f>IF(Skills!N22=TRUE,(Skills!L22/10)*(E1068/1000),Skills!L22/10)+Skills!O22</f>
        <v/>
      </c>
      <c r="G1068">
        <f>Skills!G22*IF(Skills!H22&gt;0,Skills!I22/Skills!H22,1)</f>
        <v/>
      </c>
      <c r="H1068">
        <f>1-(1-Skills!J22/100)^Skills!K22</f>
        <v/>
      </c>
      <c r="I1068" t="inlineStr">
        <is>
          <t>1</t>
        </is>
      </c>
      <c r="J1068" t="inlineStr"/>
      <c r="K1068" t="inlineStr"/>
      <c r="L1068" t="inlineStr"/>
      <c r="M1068" t="inlineStr"/>
      <c r="N1068" t="inlineStr"/>
      <c r="O1068">
        <f>(1-Summary!$B$11)*T1068+Summary!$B$11*V1068</f>
        <v/>
      </c>
      <c r="P1068">
        <f>IF(B1082=0,0,O1068/B1082)</f>
        <v/>
      </c>
      <c r="Q1068" t="n">
        <v>0</v>
      </c>
      <c r="R1068" t="n">
        <v>0</v>
      </c>
      <c r="S1068">
        <f>IFERROR(O1068/N1068,0)</f>
        <v/>
      </c>
      <c r="T1068" t="n">
        <v>0</v>
      </c>
      <c r="V1068" t="n">
        <v>0</v>
      </c>
    </row>
    <row r="1069">
      <c r="A1069">
        <f>Skills!A23</f>
        <v/>
      </c>
      <c r="B1069">
        <f>Skills!B23</f>
        <v/>
      </c>
      <c r="C1069">
        <f>TRUE</f>
        <v/>
      </c>
      <c r="D1069">
        <f>IF(Skills!C23=1,60+Inputs!$B$25+Inputs!$B$29,IF(Skills!C23=2,90+Inputs!$B$26+Inputs!$B$29,IF(Skills!C23=3,120+Inputs!$B$27+Inputs!$B$29,MAX(0,(Inputs!$B$3-100)*3)+Inputs!$B$28+Inputs!$B$29)))</f>
        <v/>
      </c>
      <c r="E1069">
        <f>INDEX(FactorTable!$B$2:$Y$301, MATCH(ROUND(MIN(300,MAX(1,D1069)),0), FactorTable!$A$2:$A$301,0), Skills!M23+1)</f>
        <v/>
      </c>
      <c r="F1069">
        <f>IF(Skills!N23=TRUE,(Skills!L23/10)*(E1069/1000),Skills!L23/10)+Skills!O23</f>
        <v/>
      </c>
      <c r="G1069">
        <f>Skills!G23*IF(Skills!H23&gt;0,Skills!I23/Skills!H23,1)</f>
        <v/>
      </c>
      <c r="H1069">
        <f>1-(1-Skills!J23/100)^Skills!K23</f>
        <v/>
      </c>
      <c r="I1069" t="inlineStr">
        <is>
          <t>1</t>
        </is>
      </c>
      <c r="J1069" t="inlineStr"/>
      <c r="K1069" t="inlineStr"/>
      <c r="L1069" t="inlineStr"/>
      <c r="M1069" t="inlineStr"/>
      <c r="N1069" t="inlineStr"/>
      <c r="O1069">
        <f>(1-Summary!$B$11)*T1069+Summary!$B$11*V1069</f>
        <v/>
      </c>
      <c r="P1069">
        <f>IF(B1082=0,0,O1069/B1082)</f>
        <v/>
      </c>
      <c r="Q1069">
        <f>IFERROR(1/(IF(Inputs!$B$38="pvp",15,MAX(0.1,Skills!D23-IF(Skills!E23=TRUE,Inputs!$B$32,0)))*(1-IF(AND(ArtifactsInput!$M$27,Inputs!$B$4="Chapter Hunt"),CHOOSE(ArtifactsInput!$N$27+1,20,24,28,32,36,40),0)/100)),0)</f>
        <v/>
      </c>
      <c r="R1069">
        <f>IF(AND(Inputs!$B$38&lt;&gt;"pvp",Inputs!$B$43&gt;0),IF(Inputs!$B$43&lt;=0,0,(INT(Inputs!$B$43/(IF(Inputs!$B$38="pvp",15,MAX(0.1,Skills!D23-IF(Skills!E23=TRUE,Inputs!$B$32,0)))*(1-IF(AND(ArtifactsInput!$M$27,Inputs!$B$4="Chapter Hunt"),CHOOSE(ArtifactsInput!$N$27+1,20,24,28,32,36,40),0)/100)))+1)),0)</f>
        <v/>
      </c>
      <c r="S1069">
        <f>IFERROR(O1069/N1069,0)</f>
        <v/>
      </c>
      <c r="T1069" t="n">
        <v>0</v>
      </c>
      <c r="V1069" t="n">
        <v>0</v>
      </c>
    </row>
    <row r="1071">
      <c r="A1071" t="inlineStr">
        <is>
          <t>Attack% Bucket Multiplier</t>
        </is>
      </c>
      <c r="B1071">
        <f>(1+(((C1059=TRUE)*F1059*5/7)+((C1065=TRUE)*(F1065-Calc!F19))+(IF(ArtifactsInput!$M$21,CHOOSE(ArtifactsInput!$N$21+1,25,30,35,40,45,50)*(IF(OR(Inputs!$B$4="Chapter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2">
      <c r="A1072" t="inlineStr">
        <is>
          <t>Global Crit Rate Bonus %</t>
        </is>
      </c>
      <c r="B1072" t="n">
        <v>0</v>
      </c>
    </row>
    <row r="1073">
      <c r="A1073" t="inlineStr">
        <is>
          <t>Attack Speed Buff Bonus % (Nimble Feet, duty-cycle averaged)</t>
        </is>
      </c>
      <c r="B1073">
        <f>((C1069=TRUE)*F1069*IF(AND(Inputs!$B$38&lt;&gt;"pvp",Inputs!$B$43&gt;0),(((R1069-1)*(Skills!T23*(1+(Inputs!$B$34+1)/100))+MIN((Skills!T23*(1+(Inputs!$B$34+1)/100)),MAX(0,Inputs!$B$43-((R1069-1)*Skills!D23))))/Inputs!$B$43),IF(Inputs!$B$38="pvp",MIN((Skills!T23*(1+(Inputs!$B$34+1)/100)),15)/15,(Skills!T23*(1+(Inputs!$B$34+1)/100))/Skills!D23)))</f>
        <v/>
      </c>
    </row>
    <row r="1074">
      <c r="A1074" t="inlineStr">
        <is>
          <t>Actions Per Second</t>
        </is>
      </c>
      <c r="B1074">
        <f>1+MIN(150,150*(1-(1-(Inputs!$B$11+((C1063=TRUE)*(F1063-Calc!F17))+((C1064=TRUE)*(F1064-Calc!F18)))/150)*(1-B1073/150)))/100</f>
        <v/>
      </c>
    </row>
    <row r="1075">
      <c r="A1075" t="inlineStr">
        <is>
          <t>Skill + Buff Cast Rate</t>
        </is>
      </c>
      <c r="B1075">
        <f>IF(AND(Inputs!$B$38&lt;&gt;"pvp",Inputs!$B$43&gt;0),SUMPRODUCT((Skills!E2:E23=TRUE)*(C1048:C1069=TRUE)*R1048:R1069*Skills!F2:F23)/Inputs!$B$43,SUMPRODUCT((Skills!E2:E23=TRUE)*(C1048:C1069=TRUE)*Q1048:Q1069*Skills!F2:F23))</f>
        <v/>
      </c>
    </row>
    <row r="1076">
      <c r="A1076" t="inlineStr">
        <is>
          <t>Hook Bomber Casts Per Second</t>
        </is>
      </c>
      <c r="B1076">
        <f>MAX(0,B1074-B1075)</f>
        <v/>
      </c>
    </row>
    <row r="1077">
      <c r="A1077" t="inlineStr">
        <is>
          <t>Global Critical Damage Bonus % (unused)</t>
        </is>
      </c>
      <c r="B1077" t="n">
        <v>0</v>
      </c>
    </row>
    <row r="1078">
      <c r="A1078" t="inlineStr">
        <is>
          <t>Global Final Damage Bonus % (Serpent Scale + Crossbones + Time Leap + Speed Infusion)</t>
        </is>
      </c>
      <c r="B1078">
        <f>((C1051=TRUE)*F1051*((10+IF(Inputs!$B$3&gt;=94,5,0))/((10+IF(Inputs!$B$3&gt;=94,5,0))+5/(B1076*(1+IF(Inputs!$B$3&gt;=104,1,0))))))+((C1060=TRUE)*F1060)+((C1061=TRUE)*F1061)+((Inputs!$B$3&gt;=110)*20*(B1074-1))</f>
        <v/>
      </c>
    </row>
    <row r="1079">
      <c r="A1079" t="inlineStr">
        <is>
          <t>Buff-Casting Startup Delay (s, fixed-duration only)</t>
        </is>
      </c>
      <c r="B1079">
        <f>IF(AND(Inputs!$B$38&lt;&gt;"pvp",Inputs!$B$43&gt;0),SUMPRODUCT((Skills!T2:T23&gt;0)*(Skills!E2:E23=TRUE)*(C1048:C1069=TRUE))/B1074,0)</f>
        <v/>
      </c>
    </row>
    <row r="1080">
      <c r="A1080" t="inlineStr">
        <is>
          <t>Boss-Only Total DPS (this block's swept value)</t>
        </is>
      </c>
      <c r="B1080">
        <f>SUM(T1048:T1069)</f>
        <v/>
      </c>
    </row>
    <row r="1081">
      <c r="A1081" t="inlineStr">
        <is>
          <t>Normal-Only Total DPS (this block's swept value)</t>
        </is>
      </c>
      <c r="B1081">
        <f>SUM(V1048:V1069)</f>
        <v/>
      </c>
    </row>
    <row r="1082">
      <c r="A1082" s="6" t="inlineStr">
        <is>
          <t>TOTAL DPS</t>
        </is>
      </c>
      <c r="B1082" s="6">
        <f>SUM(O1048:O1069)</f>
        <v/>
      </c>
    </row>
    <row r="1085">
      <c r="A1085" s="6" t="inlineStr">
        <is>
          <t>Stat: Charm of the Undead (Equip)</t>
        </is>
      </c>
    </row>
    <row r="1086">
      <c r="A1086" s="5" t="inlineStr">
        <is>
          <t>Key</t>
        </is>
      </c>
      <c r="B1086" s="5" t="inlineStr">
        <is>
          <t>Name</t>
        </is>
      </c>
      <c r="C1086" s="5" t="inlineStr">
        <is>
          <t>Unlocked</t>
        </is>
      </c>
      <c r="D1086" s="5" t="inlineStr">
        <is>
          <t>InputLevel</t>
        </is>
      </c>
      <c r="E1086" s="5" t="inlineStr">
        <is>
          <t>Factor</t>
        </is>
      </c>
      <c r="F1086" s="5" t="inlineStr">
        <is>
          <t>CoefficientPercent</t>
        </is>
      </c>
      <c r="G1086" s="5" t="inlineStr">
        <is>
          <t>EffectiveHits</t>
        </is>
      </c>
      <c r="H1086" s="5" t="inlineStr">
        <is>
          <t>ProcProbability</t>
        </is>
      </c>
      <c r="I1086" s="5" t="inlineStr">
        <is>
          <t>MapleHeroMultiplier</t>
        </is>
      </c>
      <c r="J1086" s="5" t="inlineStr">
        <is>
          <t>BaseDamage</t>
        </is>
      </c>
      <c r="K1086" s="5" t="inlineStr">
        <is>
          <t>BaseHitDamage</t>
        </is>
      </c>
      <c r="L1086" s="5" t="inlineStr">
        <is>
          <t>NonCritAvg</t>
        </is>
      </c>
      <c r="M1086" s="5" t="inlineStr">
        <is>
          <t>CritAvg</t>
        </is>
      </c>
      <c r="N1086" s="5" t="inlineStr">
        <is>
          <t>ExpectedDamage(perHit)</t>
        </is>
      </c>
      <c r="O1086" s="5" t="inlineStr">
        <is>
          <t>DPS</t>
        </is>
      </c>
      <c r="P1086" s="5" t="inlineStr">
        <is>
          <t>% of Total</t>
        </is>
      </c>
      <c r="Q1086" s="5" t="inlineStr">
        <is>
          <t>InvCooldown</t>
        </is>
      </c>
      <c r="R1086" s="5" t="inlineStr">
        <is>
          <t>CastsInFight</t>
        </is>
      </c>
      <c r="S1086" s="5" t="inlineStr">
        <is>
          <t>HitRate(perSec)</t>
        </is>
      </c>
      <c r="U1086" t="inlineStr">
        <is>
          <t>helpers</t>
        </is>
      </c>
    </row>
    <row r="1087">
      <c r="A1087">
        <f>Skills!A2</f>
        <v/>
      </c>
      <c r="B1087">
        <f>Skills!B2</f>
        <v/>
      </c>
      <c r="C1087">
        <f>Inputs!$B$3&gt;=100</f>
        <v/>
      </c>
      <c r="D1087" t="inlineStr"/>
      <c r="E1087" t="inlineStr"/>
      <c r="F1087">
        <f>U1089+Skills!O2</f>
        <v/>
      </c>
      <c r="G1087">
        <f>Skills!G2*IF(Skills!H2&gt;0,Skills!I2/Skills!H2,1)</f>
        <v/>
      </c>
      <c r="H1087">
        <f>1-(1-Skills!J2/100)^Skills!K2</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20)),(Inputs!$B$23+0+(IF(ArtifactsInput!$M$15,CHOOSE(ArtifactsInput!$N$15+1,25,30,35,40,45,50)/100*(Inputs!$B$11-Inputs!$B$11),0))))/100+(Inputs!$B$23+0+(IF(ArtifactsInput!$M$15,CHOOSE(ArtifactsInput!$N$15+1,25,30,35,40,45,50)/100*(Inputs!$B$11-Inputs!$B$11),0)))/100)/2</f>
        <v/>
      </c>
      <c r="M1087">
        <f>L1087*(1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IF(B1121=0,0,O1087/B1121)</f>
        <v/>
      </c>
      <c r="Q1087" t="n">
        <v>0</v>
      </c>
      <c r="R1087" t="n">
        <v>0</v>
      </c>
      <c r="S1087">
        <f>IFERROR(O1087/N1087,0)</f>
        <v/>
      </c>
      <c r="T1087">
        <f>IF(C1087,(Skills!G2*N1087*B1115)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MAX(0,(Inputs!$B$3-100)*3)+Inputs!$B$28+Inputs!$B$29</f>
        <v/>
      </c>
      <c r="V1087">
        <f>IF(C1087,(Skills!G2*N1087*B1115)*IF(Inputs!$B$38="pvp",1,(1+(Inputs!$B$21+Skills!Q2+(IF(ArtifactsInput!$M$33,CHOOSE(ArtifactsInput!$N$33+1,30,36,42,48,54,60),0))+(IF(AND(ArtifactsInput!$M$35,Inputs!$B$4&lt;&gt;"Chapter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Skills!A3</f>
        <v/>
      </c>
      <c r="B1088">
        <f>Skills!B3</f>
        <v/>
      </c>
      <c r="C1088">
        <f>Inputs!$B$3&gt;=35</f>
        <v/>
      </c>
      <c r="D1088">
        <f>IF(Skills!C3=1,60+Inputs!$B$25+Inputs!$B$29,IF(Skills!C3=2,90+Inputs!$B$26+Inputs!$B$29,IF(Skills!C3=3,120+Inputs!$B$27+Inputs!$B$29,MAX(0,(Inputs!$B$3-100)*3)+Inputs!$B$28+Inputs!$B$29)))</f>
        <v/>
      </c>
      <c r="E1088">
        <f>INDEX(FactorTable!$B$2:$Y$301, MATCH(ROUND(MIN(300,MAX(1,D1088)),0), FactorTable!$A$2:$A$301,0), Skills!M3+1)</f>
        <v/>
      </c>
      <c r="F1088">
        <f>IF(Skills!N3=TRUE,(Skills!L3/10)*(E1088/1000),Skills!L3/10)+Skills!O3</f>
        <v/>
      </c>
      <c r="G1088">
        <f>Skills!G3*IF(Skills!H3&gt;0,Skills!I3/Skills!H3,1)</f>
        <v/>
      </c>
      <c r="H1088">
        <f>1-(1-Skills!J3/100)^Skills!K3</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20)),(Inputs!$B$23+0+(IF(ArtifactsInput!$M$15,CHOOSE(ArtifactsInput!$N$15+1,25,30,35,40,45,50)/100*(Inputs!$B$11-Inputs!$B$11),0))))/100+(Inputs!$B$23+0+(IF(ArtifactsInput!$M$15,CHOOSE(ArtifactsInput!$N$15+1,25,30,35,40,45,50)/100*(Inputs!$B$11-Inputs!$B$11),0)))/100)/2</f>
        <v/>
      </c>
      <c r="M1088">
        <f>L1088*(1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IF(B1121=0,0,O1088/B1121)</f>
        <v/>
      </c>
      <c r="Q1088" t="n">
        <v>0</v>
      </c>
      <c r="R1088" t="n">
        <v>0</v>
      </c>
      <c r="S1088">
        <f>IFERROR(O1088/N1088,0)</f>
        <v/>
      </c>
      <c r="T1088">
        <f>IF(C1088,(Skills!G3*H1088*N1088*B1115)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8">
        <f>INDEX(FactorTable!$B$2:$Y$301, MATCH(ROUND(MIN(300,MAX(1,U1087)),0), FactorTable!$A$2:$A$301,0), 22)</f>
        <v/>
      </c>
      <c r="V1088">
        <f>IF(C1088,(Skills!G3*H1088*N1088*B1115)*IF(Inputs!$B$38="pvp",1,(1+(Inputs!$B$21+Skills!Q3+(IF(ArtifactsInput!$M$33,CHOOSE(ArtifactsInput!$N$33+1,30,36,42,48,54,60),0))+(IF(AND(ArtifactsInput!$M$35,Inputs!$B$4&lt;&gt;"Chapter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Skills!A4</f>
        <v/>
      </c>
      <c r="B1089">
        <f>Skills!B4</f>
        <v/>
      </c>
      <c r="C1089">
        <f>Inputs!$B$3&gt;=60</f>
        <v/>
      </c>
      <c r="D1089">
        <f>IF(Skills!C4=1,60+Inputs!$B$25+Inputs!$B$29,IF(Skills!C4=2,90+Inputs!$B$26+Inputs!$B$29,IF(Skills!C4=3,120+Inputs!$B$27+Inputs!$B$29,MAX(0,(Inputs!$B$3-100)*3)+Inputs!$B$28+Inputs!$B$29)))</f>
        <v/>
      </c>
      <c r="E1089">
        <f>INDEX(FactorTable!$B$2:$Y$301, MATCH(ROUND(MIN(300,MAX(1,D1089)),0), FactorTable!$A$2:$A$301,0), Skills!M4+1)</f>
        <v/>
      </c>
      <c r="F1089">
        <f>IF(Skills!N4=TRUE,(Skills!L4/10)*(E1089/1000),Skills!L4/10)+Skills!O4</f>
        <v/>
      </c>
      <c r="G1089">
        <f>Skills!G4*IF(Skills!H4&gt;0,Skills!I4/Skills!H4,1)</f>
        <v/>
      </c>
      <c r="H1089">
        <f>1-(1-Skills!J4/100)^Skills!K4</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1097=TRUE,F1097,0)/100)*(1+(IF(Skills!A4="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20)),(Inputs!$B$23+0+(IF(ArtifactsInput!$M$15,CHOOSE(ArtifactsInput!$N$15+1,25,30,35,40,45,50)/100*(Inputs!$B$11-Inputs!$B$11),0))))/100+(Inputs!$B$23+0+(IF(ArtifactsInput!$M$15,CHOOSE(ArtifactsInput!$N$15+1,25,30,35,40,45,50)/100*(Inputs!$B$11-Inputs!$B$11),0)))/100)/2</f>
        <v/>
      </c>
      <c r="M1089">
        <f>L1089*(1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IF(B1121=0,0,O1089/B1121)</f>
        <v/>
      </c>
      <c r="Q1089" t="n">
        <v>0</v>
      </c>
      <c r="R1089" t="n">
        <v>0</v>
      </c>
      <c r="S1089">
        <f>IFERROR(O1089/N1089,0)</f>
        <v/>
      </c>
      <c r="T1089">
        <f>IF(C1089,(Skills!G4*H1089*N1089*B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290*U1088/1000</f>
        <v/>
      </c>
      <c r="V1089">
        <f>IF(C1089,(Skills!G4*H1089*N1089*B1115)*IF(Inputs!$B$38="pvp",1,(1+(Inputs!$B$21+Skills!Q4+(IF(ArtifactsInput!$M$33,CHOOSE(ArtifactsInput!$N$33+1,30,36,42,48,54,60),0))+(IF(AND(ArtifactsInput!$M$35,Inputs!$B$4&lt;&gt;"Chapter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Skills!A5</f>
        <v/>
      </c>
      <c r="B1090">
        <f>Skills!B5</f>
        <v/>
      </c>
      <c r="C1090">
        <f>Inputs!$B$3&gt;=60</f>
        <v/>
      </c>
      <c r="D1090">
        <f>IF(Skills!C5=1,60+Inputs!$B$25+Inputs!$B$29,IF(Skills!C5=2,90+Inputs!$B$26+Inputs!$B$29,IF(Skills!C5=3,120+Inputs!$B$27+Inputs!$B$29,MAX(0,(Inputs!$B$3-100)*3)+Inputs!$B$28+Inputs!$B$29)))</f>
        <v/>
      </c>
      <c r="E1090">
        <f>INDEX(FactorTable!$B$2:$Y$301, MATCH(ROUND(MIN(300,MAX(1,D1090)),0), FactorTable!$A$2:$A$301,0), Skills!M5+1)</f>
        <v/>
      </c>
      <c r="F1090">
        <f>IF(Skills!N5=TRUE,(Skills!L5/10)*(E1090/1000),Skills!L5/10)+Skills!O5</f>
        <v/>
      </c>
      <c r="G1090">
        <f>Skills!G5*IF(Skills!H5&gt;0,Skills!I5/Skills!H5,1)</f>
        <v/>
      </c>
      <c r="H1090">
        <f>1-(1-Skills!J5/100)^Skills!K5</f>
        <v/>
      </c>
      <c r="I1090" t="inlineStr">
        <is>
          <t>1</t>
        </is>
      </c>
      <c r="J1090" t="inlineStr"/>
      <c r="K1090" t="inlineStr"/>
      <c r="L1090" t="inlineStr"/>
      <c r="M1090" t="inlineStr"/>
      <c r="N1090" t="inlineStr"/>
      <c r="O1090">
        <f>(1-Summary!$B$11)*T1090+Summary!$B$11*V1090</f>
        <v/>
      </c>
      <c r="P1090">
        <f>IF(B1121=0,0,O1090/B1121)</f>
        <v/>
      </c>
      <c r="Q1090" t="n">
        <v>0</v>
      </c>
      <c r="R1090" t="n">
        <v>0</v>
      </c>
      <c r="S1090">
        <f>IFERROR(O1090/N1090,0)</f>
        <v/>
      </c>
      <c r="T1090" t="n">
        <v>0</v>
      </c>
      <c r="V1090" t="n">
        <v>0</v>
      </c>
    </row>
    <row r="1091">
      <c r="A1091">
        <f>Skills!A6</f>
        <v/>
      </c>
      <c r="B1091">
        <f>Skills!B6</f>
        <v/>
      </c>
      <c r="C1091">
        <f>Inputs!$B$3&gt;=63</f>
        <v/>
      </c>
      <c r="D1091">
        <f>IF(Skills!C6=1,60+Inputs!$B$25+Inputs!$B$29,IF(Skills!C6=2,90+Inputs!$B$26+Inputs!$B$29,IF(Skills!C6=3,120+Inputs!$B$27+Inputs!$B$29,MAX(0,(Inputs!$B$3-100)*3)+Inputs!$B$28+Inputs!$B$29)))</f>
        <v/>
      </c>
      <c r="E1091">
        <f>INDEX(FactorTable!$B$2:$Y$301, MATCH(ROUND(MIN(300,MAX(1,D1091)),0), FactorTable!$A$2:$A$301,0), Skills!M6+1)</f>
        <v/>
      </c>
      <c r="F1091">
        <f>IF(Skills!N6=TRUE,(Skills!L6/10)*(E1091/1000),Skills!L6/10)+Skills!O6</f>
        <v/>
      </c>
      <c r="G1091">
        <f>Skills!G6*IF(Skills!H6&gt;0,Skills!I6/Skills!H6,1)</f>
        <v/>
      </c>
      <c r="H1091">
        <f>1-(1-Skills!J6/100)^Skills!K6</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20)),(Inputs!$B$23+0+(IF(ArtifactsInput!$M$15,CHOOSE(ArtifactsInput!$N$15+1,25,30,35,40,45,50)/100*(Inputs!$B$11-Inputs!$B$11),0))))/100+(Inputs!$B$23+0+(IF(ArtifactsInput!$M$15,CHOOSE(ArtifactsInput!$N$15+1,25,30,35,40,45,50)/100*(Inputs!$B$11-Inputs!$B$11),0)))/100)/2</f>
        <v/>
      </c>
      <c r="M1091">
        <f>L1091*(1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IF(B1121=0,0,O1091/B1121)</f>
        <v/>
      </c>
      <c r="Q1091">
        <f>IFERROR(1/(IF(Inputs!$B$38="pvp",15,MAX(0.1,Skills!D6-IF(Skills!E6=TRUE,Inputs!$B$32,0)))*(1-IF(AND(ArtifactsInput!$M$27,Inputs!$B$4="Chapter Hunt"),CHOOSE(ArtifactsInput!$N$27+1,20,24,28,32,36,40),0)/100)),0)</f>
        <v/>
      </c>
      <c r="R1091">
        <f>IF(AND(Inputs!$B$38&lt;&gt;"pvp",Inputs!$B$43&gt;0),IF(MAX(0,Inputs!$B$43-B1118)&lt;=0,0,(INT(MAX(0,Inputs!$B$43-B1118)/(IF(Inputs!$B$38="pvp",15,MAX(0.1,Skills!D6-IF(Skills!E6=TRUE,Inputs!$B$32,0)))*(1-IF(AND(ArtifactsInput!$M$27,Inputs!$B$4="Chapter Hunt"),CHOOSE(ArtifactsInput!$N$27+1,20,24,28,32,36,40),0)/100)))+1)),0)</f>
        <v/>
      </c>
      <c r="S1091">
        <f>IFERROR(O1091/N1091,0)</f>
        <v/>
      </c>
      <c r="T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$21+Skills!Q6+(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Skills!A7</f>
        <v/>
      </c>
      <c r="B1092">
        <f>Skills!B7</f>
        <v/>
      </c>
      <c r="C1092">
        <f>Inputs!$B$3&gt;=100</f>
        <v/>
      </c>
      <c r="D1092">
        <f>IF(Skills!C7=1,60+Inputs!$B$25+Inputs!$B$29,IF(Skills!C7=2,90+Inputs!$B$26+Inputs!$B$29,IF(Skills!C7=3,120+Inputs!$B$27+Inputs!$B$29,MAX(0,(Inputs!$B$3-100)*3)+Inputs!$B$28+Inputs!$B$29)))</f>
        <v/>
      </c>
      <c r="E1092">
        <f>INDEX(FactorTable!$B$2:$Y$301, MATCH(ROUND(MIN(300,MAX(1,D1092)),0), FactorTable!$A$2:$A$301,0), Skills!M7+1)</f>
        <v/>
      </c>
      <c r="F1092">
        <f>IF(Skills!N7=TRUE,(Skills!L7/10)*(E1092/1000),Skills!L7/10)+Skills!O7</f>
        <v/>
      </c>
      <c r="G1092">
        <f>Skills!G7*IF(Skills!H7&gt;0,Skills!I7/Skills!H7,1)</f>
        <v/>
      </c>
      <c r="H1092">
        <f>1-(1-Skills!J7/100)^Skills!K7</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20)),(Inputs!$B$23+0+(IF(ArtifactsInput!$M$15,CHOOSE(ArtifactsInput!$N$15+1,25,30,35,40,45,50)/100*(Inputs!$B$11-Inputs!$B$11),0))))/100+(Inputs!$B$23+0+(IF(ArtifactsInput!$M$15,CHOOSE(ArtifactsInput!$N$15+1,25,30,35,40,45,50)/100*(Inputs!$B$11-Inputs!$B$11),0)))/100)/2</f>
        <v/>
      </c>
      <c r="M1092">
        <f>L1092*(1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IF(B1121=0,0,O1092/B1121)</f>
        <v/>
      </c>
      <c r="Q1092">
        <f>IFERROR(1/(IF(Inputs!$B$38="pvp",15,MAX(0.1,Skills!D7-IF(Skills!E7=TRUE,Inputs!$B$32,0)))*(1-IF(AND(ArtifactsInput!$M$27,Inputs!$B$4="Chapter Hunt"),CHOOSE(ArtifactsInput!$N$27+1,20,24,28,32,36,40),0)/100)),0)</f>
        <v/>
      </c>
      <c r="R1092">
        <f>IF(AND(Inputs!$B$38&lt;&gt;"pvp",Inputs!$B$43&gt;0),IF(MAX(0,Inputs!$B$43-B1118)&lt;=0,0,(INT(MAX(0,Inputs!$B$43-B1118)/(IF(Inputs!$B$38="pvp",15,MAX(0.1,Skills!D7-IF(Skills!E7=TRUE,Inputs!$B$32,0)))*(1-IF(AND(ArtifactsInput!$M$27,Inputs!$B$4="Chapter Hunt"),CHOOSE(ArtifactsInput!$N$27+1,20,24,28,32,36,40),0)/100)))+1)),0)</f>
        <v/>
      </c>
      <c r="S1092">
        <f>IFERROR(O1092/N1092,0)</f>
        <v/>
      </c>
      <c r="T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$21+Skills!Q7+(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Skills!A8</f>
        <v/>
      </c>
      <c r="B1093">
        <f>Skills!B8</f>
        <v/>
      </c>
      <c r="C1093">
        <f>Inputs!$B$3&gt;=110</f>
        <v/>
      </c>
      <c r="D1093">
        <f>IF(Skills!C8=1,60+Inputs!$B$25+Inputs!$B$29,IF(Skills!C8=2,90+Inputs!$B$26+Inputs!$B$29,IF(Skills!C8=3,120+Inputs!$B$27+Inputs!$B$29,MAX(0,(Inputs!$B$3-100)*3)+Inputs!$B$28+Inputs!$B$29)))</f>
        <v/>
      </c>
      <c r="E1093">
        <f>INDEX(FactorTable!$B$2:$Y$301, MATCH(ROUND(MIN(300,MAX(1,D1093)),0), FactorTable!$A$2:$A$301,0), Skills!M8+1)</f>
        <v/>
      </c>
      <c r="F1093">
        <f>IF(Skills!N8=TRUE,(Skills!L8/10)*(E1093/1000),Skills!L8/10)+Skills!O8</f>
        <v/>
      </c>
      <c r="G1093">
        <f>Skills!G8*IF(Skills!H8&gt;0,Skills!I8/Skills!H8,1)</f>
        <v/>
      </c>
      <c r="H1093">
        <f>1-(1-Skills!J8/100)^Skills!K8</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20)),(Inputs!$B$23+0+(IF(ArtifactsInput!$M$15,CHOOSE(ArtifactsInput!$N$15+1,25,30,35,40,45,50)/100*(Inputs!$B$11-Inputs!$B$11),0))))/100+(Inputs!$B$23+0+(IF(ArtifactsInput!$M$15,CHOOSE(ArtifactsInput!$N$15+1,25,30,35,40,45,50)/100*(Inputs!$B$11-Inputs!$B$11),0)))/100)/2</f>
        <v/>
      </c>
      <c r="M1093">
        <f>L1093*(1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IF(B1121=0,0,O1093/B1121)</f>
        <v/>
      </c>
      <c r="Q1093">
        <f>IFERROR(1/(IF(Inputs!$B$38="pvp",15,MAX(0.1,Skills!D8-IF(Skills!E8=TRUE,Inputs!$B$32,0)))*(1-IF(AND(ArtifactsInput!$M$27,Inputs!$B$4="Chapter Hunt"),CHOOSE(ArtifactsInput!$N$27+1,20,24,28,32,36,40),0)/100)),0)</f>
        <v/>
      </c>
      <c r="R1093">
        <f>IF(AND(Inputs!$B$38&lt;&gt;"pvp",Inputs!$B$43&gt;0),IF(MAX(0,Inputs!$B$43-B1118)&lt;=0,0,(INT(MAX(0,Inputs!$B$43-B1118)/(IF(Inputs!$B$38="pvp",15,MAX(0.1,Skills!D8-IF(Skills!E8=TRUE,Inputs!$B$32,0)))*(1-IF(AND(ArtifactsInput!$M$27,Inputs!$B$4="Chapter Hunt"),CHOOSE(ArtifactsInput!$N$27+1,20,24,28,32,36,40),0)/100)))+1)),0)</f>
        <v/>
      </c>
      <c r="S1093">
        <f>IFERROR(O1093/N1093,0)</f>
        <v/>
      </c>
      <c r="T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$21+Skills!Q8+(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Skills!A9</f>
        <v/>
      </c>
      <c r="B1094">
        <f>Skills!B9</f>
        <v/>
      </c>
      <c r="C1094">
        <f>Inputs!$B$3&gt;=110</f>
        <v/>
      </c>
      <c r="D1094">
        <f>IF(Skills!C9=1,60+Inputs!$B$25+Inputs!$B$29,IF(Skills!C9=2,90+Inputs!$B$26+Inputs!$B$29,IF(Skills!C9=3,120+Inputs!$B$27+Inputs!$B$29,MAX(0,(Inputs!$B$3-100)*3)+Inputs!$B$28+Inputs!$B$29)))</f>
        <v/>
      </c>
      <c r="E1094">
        <f>INDEX(FactorTable!$B$2:$Y$301, MATCH(ROUND(MIN(300,MAX(1,D1094)),0), FactorTable!$A$2:$A$301,0), Skills!M9+1)</f>
        <v/>
      </c>
      <c r="F1094">
        <f>IF(Skills!N9=TRUE,(Skills!L9/10)*(E1094/1000),Skills!L9/10)+Skills!O9</f>
        <v/>
      </c>
      <c r="G1094">
        <f>Skills!G9*IF(Skills!H9&gt;0,Skills!I9/Skills!H9,1)</f>
        <v/>
      </c>
      <c r="H1094">
        <f>1-(1-Skills!J9/100)^Skills!K9</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20)),(Inputs!$B$23+0+(IF(ArtifactsInput!$M$15,CHOOSE(ArtifactsInput!$N$15+1,25,30,35,40,45,50)/100*(Inputs!$B$11-Inputs!$B$11),0))))/100+(Inputs!$B$23+0+(IF(ArtifactsInput!$M$15,CHOOSE(ArtifactsInput!$N$15+1,25,30,35,40,45,50)/100*(Inputs!$B$11-Inputs!$B$11),0)))/100)/2</f>
        <v/>
      </c>
      <c r="M1094">
        <f>L1094*(1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IF(B1121=0,0,O1094/B1121)</f>
        <v/>
      </c>
      <c r="Q1094">
        <f>IFERROR(1/(IF(Inputs!$B$38="pvp",15,MAX(0.1,Skills!D9-IF(Skills!E9=TRUE,Inputs!$B$32,0)))*(1-IF(AND(ArtifactsInput!$M$27,Inputs!$B$4="Chapter Hunt"),CHOOSE(ArtifactsInput!$N$27+1,20,24,28,32,36,40),0)/100)),0)</f>
        <v/>
      </c>
      <c r="R1094">
        <f>IF(AND(Inputs!$B$38&lt;&gt;"pvp",Inputs!$B$43&gt;0),IF(MAX(0,Inputs!$B$43-B1118)&lt;=0,0,(INT(MAX(0,Inputs!$B$43-B1118)/(IF(Inputs!$B$38="pvp",15,MAX(0.1,Skills!D9-IF(Skills!E9=TRUE,Inputs!$B$32,0)))*(1-IF(AND(ArtifactsInput!$M$27,Inputs!$B$4="Chapter Hunt"),CHOOSE(ArtifactsInput!$N$27+1,20,24,28,32,36,40),0)/100)))+1)),0)</f>
        <v/>
      </c>
      <c r="S1094">
        <f>IFERROR(O1094/N1094,0)</f>
        <v/>
      </c>
      <c r="T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$21+Skills!Q9+(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Skills!A10</f>
        <v/>
      </c>
      <c r="B1095">
        <f>Skills!B10</f>
        <v/>
      </c>
      <c r="C1095">
        <f>Inputs!$B$3&gt;=103</f>
        <v/>
      </c>
      <c r="D1095">
        <f>IF(Skills!C10=1,60+Inputs!$B$25+Inputs!$B$29,IF(Skills!C10=2,90+Inputs!$B$26+Inputs!$B$29,IF(Skills!C10=3,120+Inputs!$B$27+Inputs!$B$29,MAX(0,(Inputs!$B$3-100)*3)+Inputs!$B$28+Inputs!$B$29)))</f>
        <v/>
      </c>
      <c r="E1095">
        <f>INDEX(FactorTable!$B$2:$Y$301, MATCH(ROUND(MIN(300,MAX(1,D1095)),0), FactorTable!$A$2:$A$301,0), Skills!M10+1)</f>
        <v/>
      </c>
      <c r="F1095">
        <f>IF(Skills!N10=TRUE,(Skills!L10/10)*(E1095/1000),Skills!L10/10)+Skills!O10</f>
        <v/>
      </c>
      <c r="G1095">
        <f>Skills!G10*IF(Skills!H10&gt;0,Skills!I10/Skills!H10,1)</f>
        <v/>
      </c>
      <c r="H1095">
        <f>1-(1-Skills!J10/100)^Skills!K10</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20)),(Inputs!$B$23+0+(IF(ArtifactsInput!$M$15,CHOOSE(ArtifactsInput!$N$15+1,25,30,35,40,45,50)/100*(Inputs!$B$11-Inputs!$B$11),0))))/100+(Inputs!$B$23+0+(IF(ArtifactsInput!$M$15,CHOOSE(ArtifactsInput!$N$15+1,25,30,35,40,45,50)/100*(Inputs!$B$11-Inputs!$B$11),0)))/100)/2</f>
        <v/>
      </c>
      <c r="M1095">
        <f>L1095*(1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IF(B1121=0,0,O1095/B1121)</f>
        <v/>
      </c>
      <c r="Q1095">
        <f>IFERROR(1/(IF(Inputs!$B$38="pvp",15,MAX(0.1,Skills!D10-IF(Skills!E10=TRUE,Inputs!$B$32,0)))*(1-IF(AND(ArtifactsInput!$M$27,Inputs!$B$4="Chapter Hunt"),CHOOSE(ArtifactsInput!$N$27+1,20,24,28,32,36,40),0)/100)),0)</f>
        <v/>
      </c>
      <c r="R1095">
        <f>IF(AND(Inputs!$B$38&lt;&gt;"pvp",Inputs!$B$43&gt;0),IF(MAX(0,Inputs!$B$43-B1118)&lt;=0,0,(INT(MAX(0,Inputs!$B$43-B1118)/(IF(Inputs!$B$38="pvp",15,MAX(0.1,Skills!D10-IF(Skills!E10=TRUE,Inputs!$B$32,0)))*(1-IF(AND(ArtifactsInput!$M$27,Inputs!$B$4="Chapter Hunt"),CHOOSE(ArtifactsInput!$N$27+1,20,24,28,32,36,40),0)/100)))+1)),0)</f>
        <v/>
      </c>
      <c r="S1095">
        <f>IFERROR(O1095/N1095,0)</f>
        <v/>
      </c>
      <c r="T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$21+Skills!Q10+(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Skills!A11</f>
        <v/>
      </c>
      <c r="B1096">
        <f>Skills!B11</f>
        <v/>
      </c>
      <c r="C1096">
        <f>Inputs!$B$3&gt;=113</f>
        <v/>
      </c>
      <c r="D1096">
        <f>IF(Skills!C11=1,60+Inputs!$B$25+Inputs!$B$29,IF(Skills!C11=2,90+Inputs!$B$26+Inputs!$B$29,IF(Skills!C11=3,120+Inputs!$B$27+Inputs!$B$29,MAX(0,(Inputs!$B$3-100)*3)+Inputs!$B$28+Inputs!$B$29)))</f>
        <v/>
      </c>
      <c r="E1096">
        <f>INDEX(FactorTable!$B$2:$Y$301, MATCH(ROUND(MIN(300,MAX(1,D1096)),0), FactorTable!$A$2:$A$301,0), Skills!M11+1)</f>
        <v/>
      </c>
      <c r="F1096">
        <f>IF(Skills!N11=TRUE,(Skills!L11/10)*(E1096/1000),Skills!L11/10)+Skills!O11</f>
        <v/>
      </c>
      <c r="G1096">
        <f>Skills!G11*IF(Skills!H11&gt;0,Skills!I11/Skills!H11,1)</f>
        <v/>
      </c>
      <c r="H1096">
        <f>1-(1-Skills!J11/100)^Skills!K11</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20)),(Inputs!$B$23+0+(IF(ArtifactsInput!$M$15,CHOOSE(ArtifactsInput!$N$15+1,25,30,35,40,45,50)/100*(Inputs!$B$11-Inputs!$B$11),0))))/100+(Inputs!$B$23+0+(IF(ArtifactsInput!$M$15,CHOOSE(ArtifactsInput!$N$15+1,25,30,35,40,45,50)/100*(Inputs!$B$11-Inputs!$B$11),0)))/100)/2</f>
        <v/>
      </c>
      <c r="M1096">
        <f>L1096*(1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IF(B1121=0,0,O1096/B1121)</f>
        <v/>
      </c>
      <c r="Q1096">
        <f>IFERROR(1/(IF(Inputs!$B$38="pvp",15,MAX(0.1,Skills!D11-IF(Skills!E11=TRUE,Inputs!$B$32,0)))*(1-IF(AND(ArtifactsInput!$M$27,Inputs!$B$4="Chapter Hunt"),CHOOSE(ArtifactsInput!$N$27+1,20,24,28,32,36,40),0)/100)),0)</f>
        <v/>
      </c>
      <c r="R1096">
        <f>IF(AND(Inputs!$B$38&lt;&gt;"pvp",Inputs!$B$43&gt;0),IF(MAX(0,Inputs!$B$43-B1118)&lt;=0,0,(INT(MAX(0,Inputs!$B$43-B1118)/(IF(Inputs!$B$38="pvp",15,MAX(0.1,Skills!D11-IF(Skills!E11=TRUE,Inputs!$B$32,0)))*(1-IF(AND(ArtifactsInput!$M$27,Inputs!$B$4="Chapter Hunt"),CHOOSE(ArtifactsInput!$N$27+1,20,24,28,32,36,40),0)/100)))+1)),0)</f>
        <v/>
      </c>
      <c r="S1096">
        <f>IFERROR(O1096/N1096,0)</f>
        <v/>
      </c>
      <c r="T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$21+Skills!Q11+(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Skills!A12</f>
        <v/>
      </c>
      <c r="B1097">
        <f>Skills!B12</f>
        <v/>
      </c>
      <c r="C1097">
        <f>Inputs!$B$3&gt;=100</f>
        <v/>
      </c>
      <c r="D1097">
        <f>IF(Skills!C12=1,60+Inputs!$B$25+Inputs!$B$29,IF(Skills!C12=2,90+Inputs!$B$26+Inputs!$B$29,IF(Skills!C12=3,120+Inputs!$B$27+Inputs!$B$29,MAX(0,(Inputs!$B$3-100)*3)+Inputs!$B$28+Inputs!$B$29)))</f>
        <v/>
      </c>
      <c r="E1097">
        <f>INDEX(FactorTable!$B$2:$Y$301, MATCH(ROUND(MIN(300,MAX(1,D1097)),0), FactorTable!$A$2:$A$301,0), Skills!M12+1)</f>
        <v/>
      </c>
      <c r="F1097">
        <f>IF(Skills!N12=TRUE,(Skills!L12/10)*(E1097/1000),Skills!L12/10)+Skills!O12</f>
        <v/>
      </c>
      <c r="G1097" t="inlineStr"/>
      <c r="H1097" t="inlineStr"/>
      <c r="I1097" t="inlineStr">
        <is>
          <t>1</t>
        </is>
      </c>
      <c r="J1097" t="inlineStr"/>
      <c r="K1097" t="inlineStr"/>
      <c r="L1097" t="inlineStr"/>
      <c r="M1097" t="inlineStr"/>
      <c r="N1097" t="inlineStr"/>
      <c r="O1097" t="inlineStr"/>
      <c r="P1097" t="inlineStr"/>
      <c r="Q1097" t="inlineStr"/>
      <c r="R1097" t="inlineStr"/>
      <c r="S1097" t="inlineStr"/>
      <c r="T1097" t="inlineStr"/>
      <c r="V1097" t="inlineStr"/>
    </row>
    <row r="1098">
      <c r="A1098">
        <f>Skills!A13</f>
        <v/>
      </c>
      <c r="B1098">
        <f>Skills!B13</f>
        <v/>
      </c>
      <c r="C1098">
        <f>Inputs!$B$3&gt;=66</f>
        <v/>
      </c>
      <c r="D1098">
        <f>IF(Skills!C13=1,60+Inputs!$B$25+Inputs!$B$29,IF(Skills!C13=2,90+Inputs!$B$26+Inputs!$B$29,IF(Skills!C13=3,120+Inputs!$B$27+Inputs!$B$29,MAX(0,(Inputs!$B$3-100)*3)+Inputs!$B$28+Inputs!$B$29)))</f>
        <v/>
      </c>
      <c r="E1098">
        <f>INDEX(FactorTable!$B$2:$Y$301, MATCH(ROUND(MIN(300,MAX(1,D1098)),0), FactorTable!$A$2:$A$301,0), Skills!M13+1)</f>
        <v/>
      </c>
      <c r="F1098">
        <f>IF(Skills!N13=TRUE,(Skills!L13/10)*(E1098/1000),Skills!L13/10)+Skills!O13</f>
        <v/>
      </c>
      <c r="G1098">
        <f>Skills!G13*IF(Skills!H13&gt;0,Skills!I13/Skills!H13,1)</f>
        <v/>
      </c>
      <c r="H1098">
        <f>1-(1-Skills!J13/100)^Skills!K13</f>
        <v/>
      </c>
      <c r="I1098" t="inlineStr">
        <is>
          <t>1</t>
        </is>
      </c>
      <c r="J1098" t="inlineStr"/>
      <c r="K1098" t="inlineStr"/>
      <c r="L1098" t="inlineStr"/>
      <c r="M1098" t="inlineStr"/>
      <c r="N1098" t="inlineStr"/>
      <c r="O1098">
        <f>(1-Summary!$B$11)*T1098+Summary!$B$11*V1098</f>
        <v/>
      </c>
      <c r="P1098">
        <f>IF(B1121=0,0,O1098/B1121)</f>
        <v/>
      </c>
      <c r="Q1098" t="n">
        <v>0</v>
      </c>
      <c r="R1098" t="n">
        <v>0</v>
      </c>
      <c r="S1098">
        <f>IFERROR(O1098/N1098,0)</f>
        <v/>
      </c>
      <c r="T1098" t="n">
        <v>0</v>
      </c>
      <c r="V1098" t="n">
        <v>0</v>
      </c>
    </row>
    <row r="1099">
      <c r="A1099">
        <f>Skills!A14</f>
        <v/>
      </c>
      <c r="B1099">
        <f>Skills!B14</f>
        <v/>
      </c>
      <c r="C1099">
        <f>Inputs!$B$3&gt;=107</f>
        <v/>
      </c>
      <c r="D1099">
        <f>IF(Skills!C14=1,60+Inputs!$B$25+Inputs!$B$29,IF(Skills!C14=2,90+Inputs!$B$26+Inputs!$B$29,IF(Skills!C14=3,120+Inputs!$B$27+Inputs!$B$29,MAX(0,(Inputs!$B$3-100)*3)+Inputs!$B$28+Inputs!$B$29)))</f>
        <v/>
      </c>
      <c r="E1099">
        <f>INDEX(FactorTable!$B$2:$Y$301, MATCH(ROUND(MIN(300,MAX(1,D1099)),0), FactorTable!$A$2:$A$301,0), Skills!M14+1)</f>
        <v/>
      </c>
      <c r="F1099">
        <f>IF(Skills!N14=TRUE,(Skills!L14/10)*(E1099/1000),Skills!L14/10)+Skills!O14</f>
        <v/>
      </c>
      <c r="G1099">
        <f>Skills!G14*IF(Skills!H14&gt;0,Skills!I14/Skills!H14,1)</f>
        <v/>
      </c>
      <c r="H1099">
        <f>1-(1-Skills!J14/100)^Skills!K14</f>
        <v/>
      </c>
      <c r="I1099" t="inlineStr">
        <is>
          <t>1</t>
        </is>
      </c>
      <c r="J1099" t="inlineStr"/>
      <c r="K1099" t="inlineStr"/>
      <c r="L1099" t="inlineStr"/>
      <c r="M1099" t="inlineStr"/>
      <c r="N1099" t="inlineStr"/>
      <c r="O1099">
        <f>(1-Summary!$B$11)*T1099+Summary!$B$11*V1099</f>
        <v/>
      </c>
      <c r="P1099">
        <f>IF(B1121=0,0,O1099/B1121)</f>
        <v/>
      </c>
      <c r="Q1099" t="n">
        <v>0</v>
      </c>
      <c r="R1099" t="n">
        <v>0</v>
      </c>
      <c r="S1099">
        <f>IFERROR(O1099/N1099,0)</f>
        <v/>
      </c>
      <c r="T1099" t="n">
        <v>0</v>
      </c>
      <c r="V1099" t="n">
        <v>0</v>
      </c>
    </row>
    <row r="1100">
      <c r="A1100">
        <f>Skills!A15</f>
        <v/>
      </c>
      <c r="B1100">
        <f>Skills!B15</f>
        <v/>
      </c>
      <c r="C1100">
        <f>Inputs!$B$3&gt;=115</f>
        <v/>
      </c>
      <c r="D1100">
        <f>IF(Skills!C15=1,60+Inputs!$B$25+Inputs!$B$29,IF(Skills!C15=2,90+Inputs!$B$26+Inputs!$B$29,IF(Skills!C15=3,120+Inputs!$B$27+Inputs!$B$29,MAX(0,(Inputs!$B$3-100)*3)+Inputs!$B$28+Inputs!$B$29)))</f>
        <v/>
      </c>
      <c r="E1100">
        <f>INDEX(FactorTable!$B$2:$Y$301, MATCH(ROUND(MIN(300,MAX(1,D1100)),0), FactorTable!$A$2:$A$301,0), Skills!M15+1)</f>
        <v/>
      </c>
      <c r="F1100">
        <f>IF(Skills!N15=TRUE,(Skills!L15/10)*(E1100/1000),Skills!L15/10)+Skills!O15</f>
        <v/>
      </c>
      <c r="G1100">
        <f>Skills!G15*IF(Skills!H15&gt;0,Skills!I15/Skills!H15,1)</f>
        <v/>
      </c>
      <c r="H1100">
        <f>1-(1-Skills!J15/100)^Skills!K15</f>
        <v/>
      </c>
      <c r="I1100" t="inlineStr">
        <is>
          <t>1</t>
        </is>
      </c>
      <c r="J1100" t="inlineStr"/>
      <c r="K1100" t="inlineStr"/>
      <c r="L1100" t="inlineStr"/>
      <c r="M1100" t="inlineStr"/>
      <c r="N1100" t="inlineStr"/>
      <c r="O1100">
        <f>(1-Summary!$B$11)*T1100+Summary!$B$11*V1100</f>
        <v/>
      </c>
      <c r="P1100">
        <f>IF(B1121=0,0,O1100/B1121)</f>
        <v/>
      </c>
      <c r="Q1100" t="n">
        <v>0</v>
      </c>
      <c r="R1100" t="n">
        <v>0</v>
      </c>
      <c r="S1100">
        <f>IFERROR(O1100/N1100,0)</f>
        <v/>
      </c>
      <c r="T1100" t="n">
        <v>0</v>
      </c>
      <c r="V1100" t="n">
        <v>0</v>
      </c>
    </row>
    <row r="1101">
      <c r="A1101">
        <f>Skills!A16</f>
        <v/>
      </c>
      <c r="B1101">
        <f>Skills!B16</f>
        <v/>
      </c>
      <c r="C1101">
        <f>Inputs!$B$3&gt;=15</f>
        <v/>
      </c>
      <c r="D1101">
        <f>IF(Skills!C16=1,60+Inputs!$B$25+Inputs!$B$29,IF(Skills!C16=2,90+Inputs!$B$26+Inputs!$B$29,IF(Skills!C16=3,120+Inputs!$B$27+Inputs!$B$29,MAX(0,(Inputs!$B$3-100)*3)+Inputs!$B$28+Inputs!$B$29)))</f>
        <v/>
      </c>
      <c r="E1101">
        <f>INDEX(FactorTable!$B$2:$Y$301, MATCH(ROUND(MIN(300,MAX(1,D1101)),0), FactorTable!$A$2:$A$301,0), Skills!M16+1)</f>
        <v/>
      </c>
      <c r="F1101">
        <f>IF(Skills!N16=TRUE,(Skills!L16/10)*(E1101/1000),Skills!L16/10)+Skills!O16</f>
        <v/>
      </c>
      <c r="G1101">
        <f>Skills!G16*IF(Skills!H16&gt;0,Skills!I16/Skills!H16,1)</f>
        <v/>
      </c>
      <c r="H1101">
        <f>1-(1-Skills!J16/100)^Skills!K16</f>
        <v/>
      </c>
      <c r="I1101" t="inlineStr">
        <is>
          <t>1</t>
        </is>
      </c>
      <c r="J1101" t="inlineStr"/>
      <c r="K1101" t="inlineStr"/>
      <c r="L1101" t="inlineStr"/>
      <c r="M1101" t="inlineStr"/>
      <c r="N1101" t="inlineStr"/>
      <c r="O1101">
        <f>(1-Summary!$B$11)*T1101+Summary!$B$11*V1101</f>
        <v/>
      </c>
      <c r="P1101">
        <f>IF(B1121=0,0,O1101/B1121)</f>
        <v/>
      </c>
      <c r="Q1101" t="n">
        <v>0</v>
      </c>
      <c r="R1101" t="n">
        <v>0</v>
      </c>
      <c r="S1101">
        <f>IFERROR(O1101/N1101,0)</f>
        <v/>
      </c>
      <c r="T1101" t="n">
        <v>0</v>
      </c>
      <c r="V1101" t="n">
        <v>0</v>
      </c>
    </row>
    <row r="1102">
      <c r="A1102">
        <f>Skills!A17</f>
        <v/>
      </c>
      <c r="B1102">
        <f>Skills!B17</f>
        <v/>
      </c>
      <c r="C1102">
        <f>Inputs!$B$3&gt;=10</f>
        <v/>
      </c>
      <c r="D1102">
        <f>IF(Skills!C17=1,60+Inputs!$B$25+Inputs!$B$29,IF(Skills!C17=2,90+Inputs!$B$26+Inputs!$B$29,IF(Skills!C17=3,120+Inputs!$B$27+Inputs!$B$29,MAX(0,(Inputs!$B$3-100)*3)+Inputs!$B$28+Inputs!$B$29)))</f>
        <v/>
      </c>
      <c r="E1102">
        <f>INDEX(FactorTable!$B$2:$Y$301, MATCH(ROUND(MIN(300,MAX(1,D1102)),0), FactorTable!$A$2:$A$301,0), Skills!M17+1)</f>
        <v/>
      </c>
      <c r="F1102">
        <f>IF(Skills!N17=TRUE,(Skills!L17/10)*(E1102/1000),Skills!L17/10)+Skills!O17</f>
        <v/>
      </c>
      <c r="G1102">
        <f>Skills!G17*IF(Skills!H17&gt;0,Skills!I17/Skills!H17,1)</f>
        <v/>
      </c>
      <c r="H1102">
        <f>1-(1-Skills!J17/100)^Skills!K17</f>
        <v/>
      </c>
      <c r="I1102" t="inlineStr">
        <is>
          <t>1</t>
        </is>
      </c>
      <c r="J1102" t="inlineStr"/>
      <c r="K1102" t="inlineStr"/>
      <c r="L1102" t="inlineStr"/>
      <c r="M1102" t="inlineStr"/>
      <c r="N1102" t="inlineStr"/>
      <c r="O1102">
        <f>(1-Summary!$B$11)*T1102+Summary!$B$11*V1102</f>
        <v/>
      </c>
      <c r="P1102">
        <f>IF(B1121=0,0,O1102/B1121)</f>
        <v/>
      </c>
      <c r="Q1102" t="n">
        <v>0</v>
      </c>
      <c r="R1102" t="n">
        <v>0</v>
      </c>
      <c r="S1102">
        <f>IFERROR(O1102/N1102,0)</f>
        <v/>
      </c>
      <c r="T1102" t="n">
        <v>0</v>
      </c>
      <c r="V1102" t="n">
        <v>0</v>
      </c>
    </row>
    <row r="1103">
      <c r="A1103">
        <f>Skills!A18</f>
        <v/>
      </c>
      <c r="B1103">
        <f>Skills!B18</f>
        <v/>
      </c>
      <c r="C1103">
        <f>Inputs!$B$3&gt;=33</f>
        <v/>
      </c>
      <c r="D1103">
        <f>IF(Skills!C18=1,60+Inputs!$B$25+Inputs!$B$29,IF(Skills!C18=2,90+Inputs!$B$26+Inputs!$B$29,IF(Skills!C18=3,120+Inputs!$B$27+Inputs!$B$29,MAX(0,(Inputs!$B$3-100)*3)+Inputs!$B$28+Inputs!$B$29)))</f>
        <v/>
      </c>
      <c r="E1103">
        <f>INDEX(FactorTable!$B$2:$Y$301, MATCH(ROUND(MIN(300,MAX(1,D1103)),0), FactorTable!$A$2:$A$301,0), Skills!M18+1)</f>
        <v/>
      </c>
      <c r="F1103">
        <f>IF(Skills!N18=TRUE,(Skills!L18/10)*(E1103/1000),Skills!L18/10)+Skills!O18</f>
        <v/>
      </c>
      <c r="G1103">
        <f>Skills!G18*IF(Skills!H18&gt;0,Skills!I18/Skills!H18,1)</f>
        <v/>
      </c>
      <c r="H1103">
        <f>1-(1-Skills!J18/100)^Skills!K18</f>
        <v/>
      </c>
      <c r="I1103" t="inlineStr">
        <is>
          <t>1</t>
        </is>
      </c>
      <c r="J1103" t="inlineStr"/>
      <c r="K1103" t="inlineStr"/>
      <c r="L1103" t="inlineStr"/>
      <c r="M1103" t="inlineStr"/>
      <c r="N1103" t="inlineStr"/>
      <c r="O1103">
        <f>(1-Summary!$B$11)*T1103+Summary!$B$11*V1103</f>
        <v/>
      </c>
      <c r="P1103">
        <f>IF(B1121=0,0,O1103/B1121)</f>
        <v/>
      </c>
      <c r="Q1103" t="n">
        <v>0</v>
      </c>
      <c r="R1103" t="n">
        <v>0</v>
      </c>
      <c r="S1103">
        <f>IFERROR(O1103/N1103,0)</f>
        <v/>
      </c>
      <c r="T1103" t="n">
        <v>0</v>
      </c>
      <c r="V1103" t="n">
        <v>0</v>
      </c>
    </row>
    <row r="1104">
      <c r="A1104">
        <f>Skills!A19</f>
        <v/>
      </c>
      <c r="B1104">
        <f>Skills!B19</f>
        <v/>
      </c>
      <c r="C1104">
        <f>Inputs!$B$3&gt;=40</f>
        <v/>
      </c>
      <c r="D1104">
        <f>IF(Skills!C19=1,60+Inputs!$B$25+Inputs!$B$29,IF(Skills!C19=2,90+Inputs!$B$26+Inputs!$B$29,IF(Skills!C19=3,120+Inputs!$B$27+Inputs!$B$29,MAX(0,(Inputs!$B$3-100)*3)+Inputs!$B$28+Inputs!$B$29)))</f>
        <v/>
      </c>
      <c r="E1104">
        <f>INDEX(FactorTable!$B$2:$Y$301, MATCH(ROUND(MIN(300,MAX(1,D1104)),0), FactorTable!$A$2:$A$301,0), Skills!M19+1)</f>
        <v/>
      </c>
      <c r="F1104">
        <f>IF(Skills!N19=TRUE,(Skills!L19/10)*(E1104/1000),Skills!L19/10)+Skills!O19</f>
        <v/>
      </c>
      <c r="G1104">
        <f>Skills!G19*IF(Skills!H19&gt;0,Skills!I19/Skills!H19,1)</f>
        <v/>
      </c>
      <c r="H1104">
        <f>1-(1-Skills!J19/100)^Skills!K19</f>
        <v/>
      </c>
      <c r="I1104" t="inlineStr">
        <is>
          <t>1</t>
        </is>
      </c>
      <c r="J1104" t="inlineStr"/>
      <c r="K1104" t="inlineStr"/>
      <c r="L1104" t="inlineStr"/>
      <c r="M1104" t="inlineStr"/>
      <c r="N1104" t="inlineStr"/>
      <c r="O1104">
        <f>(1-Summary!$B$11)*T1104+Summary!$B$11*V1104</f>
        <v/>
      </c>
      <c r="P1104">
        <f>IF(B1121=0,0,O1104/B1121)</f>
        <v/>
      </c>
      <c r="Q1104" t="n">
        <v>0</v>
      </c>
      <c r="R1104" t="n">
        <v>0</v>
      </c>
      <c r="S1104">
        <f>IFERROR(O1104/N1104,0)</f>
        <v/>
      </c>
      <c r="T1104" t="n">
        <v>0</v>
      </c>
      <c r="V1104" t="n">
        <v>0</v>
      </c>
    </row>
    <row r="1105">
      <c r="A1105">
        <f>Skills!A20</f>
        <v/>
      </c>
      <c r="B1105">
        <f>Skills!B20</f>
        <v/>
      </c>
      <c r="C1105">
        <f>Inputs!$B$3&gt;=43</f>
        <v/>
      </c>
      <c r="D1105">
        <f>IF(Skills!C20=1,60+Inputs!$B$25+Inputs!$B$29,IF(Skills!C20=2,90+Inputs!$B$26+Inputs!$B$29,IF(Skills!C20=3,120+Inputs!$B$27+Inputs!$B$29,MAX(0,(Inputs!$B$3-100)*3)+Inputs!$B$28+Inputs!$B$29)))</f>
        <v/>
      </c>
      <c r="E1105">
        <f>INDEX(FactorTable!$B$2:$Y$301, MATCH(ROUND(MIN(300,MAX(1,D1105)),0), FactorTable!$A$2:$A$301,0), Skills!M20+1)</f>
        <v/>
      </c>
      <c r="F1105">
        <f>IF(Skills!N20=TRUE,(Skills!L20/10)*(E1105/1000),Skills!L20/10)+Skills!O20</f>
        <v/>
      </c>
      <c r="G1105">
        <f>Skills!G20*IF(Skills!H20&gt;0,Skills!I20/Skills!H20,1)</f>
        <v/>
      </c>
      <c r="H1105">
        <f>1-(1-Skills!J20/100)^Skills!K20</f>
        <v/>
      </c>
      <c r="I1105" t="inlineStr">
        <is>
          <t>1</t>
        </is>
      </c>
      <c r="J1105" t="inlineStr"/>
      <c r="K1105" t="inlineStr"/>
      <c r="L1105" t="inlineStr"/>
      <c r="M1105" t="inlineStr"/>
      <c r="N1105" t="inlineStr"/>
      <c r="O1105">
        <f>(1-Summary!$B$11)*T1105+Summary!$B$11*V1105</f>
        <v/>
      </c>
      <c r="P1105">
        <f>IF(B1121=0,0,O1105/B1121)</f>
        <v/>
      </c>
      <c r="Q1105" t="n">
        <v>0</v>
      </c>
      <c r="R1105" t="n">
        <v>0</v>
      </c>
      <c r="S1105">
        <f>IFERROR(O1105/N1105,0)</f>
        <v/>
      </c>
      <c r="T1105" t="n">
        <v>0</v>
      </c>
      <c r="V1105" t="n">
        <v>0</v>
      </c>
    </row>
    <row r="1106">
      <c r="A1106">
        <f>Skills!A21</f>
        <v/>
      </c>
      <c r="B1106">
        <f>Skills!B21</f>
        <v/>
      </c>
      <c r="C1106">
        <f>Inputs!$B$3&gt;=38</f>
        <v/>
      </c>
      <c r="D1106">
        <f>IF(Skills!C21=1,60+Inputs!$B$25+Inputs!$B$29,IF(Skills!C21=2,90+Inputs!$B$26+Inputs!$B$29,IF(Skills!C21=3,120+Inputs!$B$27+Inputs!$B$29,MAX(0,(Inputs!$B$3-100)*3)+Inputs!$B$28+Inputs!$B$29)))</f>
        <v/>
      </c>
      <c r="E1106">
        <f>INDEX(FactorTable!$B$2:$Y$301, MATCH(ROUND(MIN(300,MAX(1,D1106)),0), FactorTable!$A$2:$A$301,0), Skills!M21+1)</f>
        <v/>
      </c>
      <c r="F1106">
        <f>IF(Skills!N21=TRUE,(Skills!L21/10)*(E1106/1000),Skills!L21/10)+Skills!O21</f>
        <v/>
      </c>
      <c r="G1106">
        <f>Skills!G21*IF(Skills!H21&gt;0,Skills!I21/Skills!H21,1)</f>
        <v/>
      </c>
      <c r="H1106">
        <f>1-(1-Skills!J21/100)^Skills!K21</f>
        <v/>
      </c>
      <c r="I1106" t="inlineStr">
        <is>
          <t>1</t>
        </is>
      </c>
      <c r="J1106" t="inlineStr"/>
      <c r="K1106" t="inlineStr"/>
      <c r="L1106" t="inlineStr"/>
      <c r="M1106" t="inlineStr"/>
      <c r="N1106" t="inlineStr"/>
      <c r="O1106">
        <f>(1-Summary!$B$11)*T1106+Summary!$B$11*V1106</f>
        <v/>
      </c>
      <c r="P1106">
        <f>IF(B1121=0,0,O1106/B1121)</f>
        <v/>
      </c>
      <c r="Q1106" t="n">
        <v>0</v>
      </c>
      <c r="R1106" t="n">
        <v>0</v>
      </c>
      <c r="S1106">
        <f>IFERROR(O1106/N1106,0)</f>
        <v/>
      </c>
      <c r="T1106" t="n">
        <v>0</v>
      </c>
      <c r="V1106" t="n">
        <v>0</v>
      </c>
    </row>
    <row r="1107">
      <c r="A1107">
        <f>Skills!A22</f>
        <v/>
      </c>
      <c r="B1107">
        <f>Skills!B22</f>
        <v/>
      </c>
      <c r="C1107">
        <f>Inputs!$B$3&gt;=75</f>
        <v/>
      </c>
      <c r="D1107">
        <f>IF(Skills!C22=1,60+Inputs!$B$25+Inputs!$B$29,IF(Skills!C22=2,90+Inputs!$B$26+Inputs!$B$29,IF(Skills!C22=3,120+Inputs!$B$27+Inputs!$B$29,MAX(0,(Inputs!$B$3-100)*3)+Inputs!$B$28+Inputs!$B$29)))</f>
        <v/>
      </c>
      <c r="E1107">
        <f>INDEX(FactorTable!$B$2:$Y$301, MATCH(ROUND(MIN(300,MAX(1,D1107)),0), FactorTable!$A$2:$A$301,0), Skills!M22+1)</f>
        <v/>
      </c>
      <c r="F1107">
        <f>IF(Skills!N22=TRUE,(Skills!L22/10)*(E1107/1000),Skills!L22/10)+Skills!O22</f>
        <v/>
      </c>
      <c r="G1107">
        <f>Skills!G22*IF(Skills!H22&gt;0,Skills!I22/Skills!H22,1)</f>
        <v/>
      </c>
      <c r="H1107">
        <f>1-(1-Skills!J22/100)^Skills!K22</f>
        <v/>
      </c>
      <c r="I1107" t="inlineStr">
        <is>
          <t>1</t>
        </is>
      </c>
      <c r="J1107" t="inlineStr"/>
      <c r="K1107" t="inlineStr"/>
      <c r="L1107" t="inlineStr"/>
      <c r="M1107" t="inlineStr"/>
      <c r="N1107" t="inlineStr"/>
      <c r="O1107">
        <f>(1-Summary!$B$11)*T1107+Summary!$B$11*V1107</f>
        <v/>
      </c>
      <c r="P1107">
        <f>IF(B1121=0,0,O1107/B1121)</f>
        <v/>
      </c>
      <c r="Q1107" t="n">
        <v>0</v>
      </c>
      <c r="R1107" t="n">
        <v>0</v>
      </c>
      <c r="S1107">
        <f>IFERROR(O1107/N1107,0)</f>
        <v/>
      </c>
      <c r="T1107" t="n">
        <v>0</v>
      </c>
      <c r="V1107" t="n">
        <v>0</v>
      </c>
    </row>
    <row r="1108">
      <c r="A1108">
        <f>Skills!A23</f>
        <v/>
      </c>
      <c r="B1108">
        <f>Skills!B23</f>
        <v/>
      </c>
      <c r="C1108">
        <f>TRUE</f>
        <v/>
      </c>
      <c r="D1108">
        <f>IF(Skills!C23=1,60+Inputs!$B$25+Inputs!$B$29,IF(Skills!C23=2,90+Inputs!$B$26+Inputs!$B$29,IF(Skills!C23=3,120+Inputs!$B$27+Inputs!$B$29,MAX(0,(Inputs!$B$3-100)*3)+Inputs!$B$28+Inputs!$B$29)))</f>
        <v/>
      </c>
      <c r="E1108">
        <f>INDEX(FactorTable!$B$2:$Y$301, MATCH(ROUND(MIN(300,MAX(1,D1108)),0), FactorTable!$A$2:$A$301,0), Skills!M23+1)</f>
        <v/>
      </c>
      <c r="F1108">
        <f>IF(Skills!N23=TRUE,(Skills!L23/10)*(E1108/1000),Skills!L23/10)+Skills!O23</f>
        <v/>
      </c>
      <c r="G1108">
        <f>Skills!G23*IF(Skills!H23&gt;0,Skills!I23/Skills!H23,1)</f>
        <v/>
      </c>
      <c r="H1108">
        <f>1-(1-Skills!J23/100)^Skills!K23</f>
        <v/>
      </c>
      <c r="I1108" t="inlineStr">
        <is>
          <t>1</t>
        </is>
      </c>
      <c r="J1108" t="inlineStr"/>
      <c r="K1108" t="inlineStr"/>
      <c r="L1108" t="inlineStr"/>
      <c r="M1108" t="inlineStr"/>
      <c r="N1108" t="inlineStr"/>
      <c r="O1108">
        <f>(1-Summary!$B$11)*T1108+Summary!$B$11*V1108</f>
        <v/>
      </c>
      <c r="P1108">
        <f>IF(B1121=0,0,O1108/B1121)</f>
        <v/>
      </c>
      <c r="Q1108">
        <f>IFERROR(1/(IF(Inputs!$B$38="pvp",15,MAX(0.1,Skills!D23-IF(Skills!E23=TRUE,Inputs!$B$32,0)))*(1-IF(AND(ArtifactsInput!$M$27,Inputs!$B$4="Chapter Hunt"),CHOOSE(ArtifactsInput!$N$27+1,20,24,28,32,36,40),0)/100)),0)</f>
        <v/>
      </c>
      <c r="R1108">
        <f>IF(AND(Inputs!$B$38&lt;&gt;"pvp",Inputs!$B$43&gt;0),IF(Inputs!$B$43&lt;=0,0,(INT(Inputs!$B$43/(IF(Inputs!$B$38="pvp",15,MAX(0.1,Skills!D23-IF(Skills!E23=TRUE,Inputs!$B$32,0)))*(1-IF(AND(ArtifactsInput!$M$27,Inputs!$B$4="Chapter Hunt"),CHOOSE(ArtifactsInput!$N$27+1,20,24,28,32,36,40),0)/100)))+1)),0)</f>
        <v/>
      </c>
      <c r="S1108">
        <f>IFERROR(O1108/N1108,0)</f>
        <v/>
      </c>
      <c r="T1108" t="n">
        <v>0</v>
      </c>
      <c r="V1108" t="n">
        <v>0</v>
      </c>
    </row>
    <row r="1110">
      <c r="A1110" t="inlineStr">
        <is>
          <t>Attack% Bucket Multiplier</t>
        </is>
      </c>
      <c r="B1110">
        <f>(1+(((C1098=TRUE)*F1098*5/7)+((C1104=TRUE)*(F1104-Calc!F19))+(IF(ArtifactsInput!$M$21,CHOOSE(ArtifactsInput!$N$21+1,25,30,35,40,45,50)*(IF(OR(Inputs!$B$4="Chapter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11">
      <c r="A1111" t="inlineStr">
        <is>
          <t>Global Crit Rate Bonus %</t>
        </is>
      </c>
      <c r="B1111" t="n">
        <v>0</v>
      </c>
    </row>
    <row r="1112">
      <c r="A1112" t="inlineStr">
        <is>
          <t>Attack Speed Buff Bonus % (Nimble Feet, duty-cycle averaged)</t>
        </is>
      </c>
      <c r="B1112">
        <f>((C1108=TRUE)*F1108*IF(AND(Inputs!$B$38&lt;&gt;"pvp",Inputs!$B$43&gt;0),(((R1108-1)*(Skills!T23*(1+Inputs!$B$34/100))+MIN((Skills!T23*(1+Inputs!$B$34/100)),MAX(0,Inputs!$B$43-((R1108-1)*Skills!D23))))/Inputs!$B$43),IF(Inputs!$B$38="pvp",MIN((Skills!T23*(1+Inputs!$B$34/100)),15)/15,(Skills!T23*(1+Inputs!$B$34/100))/Skills!D23)))</f>
        <v/>
      </c>
    </row>
    <row r="1113">
      <c r="A1113" t="inlineStr">
        <is>
          <t>Actions Per Second</t>
        </is>
      </c>
      <c r="B1113">
        <f>1+MIN(150,150*(1-(1-(Inputs!$B$11+((C1102=TRUE)*(F1102-Calc!F17))+((C1103=TRUE)*(F1103-Calc!F18)))/150)*(1-B1112/150)))/100</f>
        <v/>
      </c>
    </row>
    <row r="1114">
      <c r="A1114" t="inlineStr">
        <is>
          <t>Skill + Buff Cast Rate</t>
        </is>
      </c>
      <c r="B1114">
        <f>IF(AND(Inputs!$B$38&lt;&gt;"pvp",Inputs!$B$43&gt;0),SUMPRODUCT((Skills!E2:E23=TRUE)*(C1087:C1108=TRUE)*R1087:R1108*Skills!F2:F23)/Inputs!$B$43,SUMPRODUCT((Skills!E2:E23=TRUE)*(C1087:C1108=TRUE)*Q1087:Q1108*Skills!F2:F23))</f>
        <v/>
      </c>
    </row>
    <row r="1115">
      <c r="A1115" t="inlineStr">
        <is>
          <t>Hook Bomber Casts Per Second</t>
        </is>
      </c>
      <c r="B1115">
        <f>MAX(0,B1113-B1114)</f>
        <v/>
      </c>
    </row>
    <row r="1116">
      <c r="A1116" t="inlineStr">
        <is>
          <t>Global Critical Damage Bonus % (unused)</t>
        </is>
      </c>
      <c r="B1116" t="n">
        <v>0</v>
      </c>
    </row>
    <row r="1117">
      <c r="A1117" t="inlineStr">
        <is>
          <t>Global Final Damage Bonus % (Serpent Scale + Crossbones + Time Leap + Speed Infusion)</t>
        </is>
      </c>
      <c r="B1117">
        <f>((C1090=TRUE)*F1090*((10+IF(Inputs!$B$3&gt;=94,5,0))/((10+IF(Inputs!$B$3&gt;=94,5,0))+5/(B1115*(1+IF(Inputs!$B$3&gt;=104,1,0))))))+((C1099=TRUE)*F1099)+((C1100=TRUE)*F1100)+((Inputs!$B$3&gt;=110)*20*(B1113-1))</f>
        <v/>
      </c>
    </row>
    <row r="1118">
      <c r="A1118" t="inlineStr">
        <is>
          <t>Buff-Casting Startup Delay (s, fixed-duration only)</t>
        </is>
      </c>
      <c r="B1118">
        <f>IF(AND(Inputs!$B$38&lt;&gt;"pvp",Inputs!$B$43&gt;0),SUMPRODUCT((Skills!T2:T23&gt;0)*(Skills!E2:E23=TRUE)*(C1087:C1108=TRUE))/B1113,0)</f>
        <v/>
      </c>
    </row>
    <row r="1119">
      <c r="A1119" t="inlineStr">
        <is>
          <t>Boss-Only Total DPS (this block's swept value)</t>
        </is>
      </c>
      <c r="B1119">
        <f>SUM(T1087:T1108)</f>
        <v/>
      </c>
    </row>
    <row r="1120">
      <c r="A1120" t="inlineStr">
        <is>
          <t>Normal-Only Total DPS (this block's swept value)</t>
        </is>
      </c>
      <c r="B1120">
        <f>SUM(V1087:V1108)</f>
        <v/>
      </c>
    </row>
    <row r="1121">
      <c r="A1121" s="6" t="inlineStr">
        <is>
          <t>TOTAL DPS</t>
        </is>
      </c>
      <c r="B1121" s="6">
        <f>SUM(O1087:O1108)</f>
        <v/>
      </c>
    </row>
    <row r="1124">
      <c r="A1124" s="6" t="inlineStr">
        <is>
          <t>Stat: Pig's Ribbon (Equip)</t>
        </is>
      </c>
    </row>
    <row r="1125">
      <c r="A1125" s="5" t="inlineStr">
        <is>
          <t>Key</t>
        </is>
      </c>
      <c r="B1125" s="5" t="inlineStr">
        <is>
          <t>Name</t>
        </is>
      </c>
      <c r="C1125" s="5" t="inlineStr">
        <is>
          <t>Unlocked</t>
        </is>
      </c>
      <c r="D1125" s="5" t="inlineStr">
        <is>
          <t>InputLevel</t>
        </is>
      </c>
      <c r="E1125" s="5" t="inlineStr">
        <is>
          <t>Factor</t>
        </is>
      </c>
      <c r="F1125" s="5" t="inlineStr">
        <is>
          <t>CoefficientPercent</t>
        </is>
      </c>
      <c r="G1125" s="5" t="inlineStr">
        <is>
          <t>EffectiveHits</t>
        </is>
      </c>
      <c r="H1125" s="5" t="inlineStr">
        <is>
          <t>ProcProbability</t>
        </is>
      </c>
      <c r="I1125" s="5" t="inlineStr">
        <is>
          <t>MapleHeroMultiplier</t>
        </is>
      </c>
      <c r="J1125" s="5" t="inlineStr">
        <is>
          <t>BaseDamage</t>
        </is>
      </c>
      <c r="K1125" s="5" t="inlineStr">
        <is>
          <t>BaseHitDamage</t>
        </is>
      </c>
      <c r="L1125" s="5" t="inlineStr">
        <is>
          <t>NonCritAvg</t>
        </is>
      </c>
      <c r="M1125" s="5" t="inlineStr">
        <is>
          <t>CritAvg</t>
        </is>
      </c>
      <c r="N1125" s="5" t="inlineStr">
        <is>
          <t>ExpectedDamage(perHit)</t>
        </is>
      </c>
      <c r="O1125" s="5" t="inlineStr">
        <is>
          <t>DPS</t>
        </is>
      </c>
      <c r="P1125" s="5" t="inlineStr">
        <is>
          <t>% of Total</t>
        </is>
      </c>
      <c r="Q1125" s="5" t="inlineStr">
        <is>
          <t>InvCooldown</t>
        </is>
      </c>
      <c r="R1125" s="5" t="inlineStr">
        <is>
          <t>CastsInFight</t>
        </is>
      </c>
      <c r="S1125" s="5" t="inlineStr">
        <is>
          <t>HitRate(perSec)</t>
        </is>
      </c>
      <c r="U1125" t="inlineStr">
        <is>
          <t>helpers</t>
        </is>
      </c>
    </row>
    <row r="1126">
      <c r="A1126">
        <f>Skills!A2</f>
        <v/>
      </c>
      <c r="B1126">
        <f>Skills!B2</f>
        <v/>
      </c>
      <c r="C1126">
        <f>Inputs!$B$3&gt;=100</f>
        <v/>
      </c>
      <c r="D1126" t="inlineStr"/>
      <c r="E1126" t="inlineStr"/>
      <c r="F1126">
        <f>U1128+Skills!O2</f>
        <v/>
      </c>
      <c r="G1126">
        <f>Skills!G2*IF(Skills!H2&gt;0,Skills!I2/Skills!H2,1)</f>
        <v/>
      </c>
      <c r="H1126">
        <f>1-(1-Skills!J2/100)^Skills!K2</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1144=TRUE)*(F1144-Calc!F20)),(Inputs!$B$23+0+(IF(ArtifactsInput!$M$15,CHOOSE(ArtifactsInput!$N$15+1,25,30,35,40,45,50)/100*(Inputs!$B$11-Inputs!$B$11),0))))/100+(Inputs!$B$23+0+(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t="n">
        <v>0</v>
      </c>
      <c r="R1126" t="n">
        <v>0</v>
      </c>
      <c r="S1126">
        <f>IFERROR(O1126/N1126,0)</f>
        <v/>
      </c>
      <c r="T1126">
        <f>IF(C1126,(Skills!G2*N1126*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6">
        <f>MAX(0,(Inputs!$B$3-100)*3)+Inputs!$B$28+Inputs!$B$29</f>
        <v/>
      </c>
      <c r="V1126">
        <f>IF(C1126,(Skills!G2*N1126*B1154)*IF(Inputs!$B$38="pvp",1,(1+(Inputs!$B$21+Skills!Q2+(IF(ArtifactsInput!$M$33,CHOOSE(ArtifactsInput!$N$33+1,30,36,42,48,54,60),0))+(IF(AND(ArtifactsInput!$M$35,Inputs!$B$4&lt;&gt;"Chapter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Skills!A3</f>
        <v/>
      </c>
      <c r="B1127">
        <f>Skills!B3</f>
        <v/>
      </c>
      <c r="C1127">
        <f>Inputs!$B$3&gt;=35</f>
        <v/>
      </c>
      <c r="D1127">
        <f>IF(Skills!C3=1,60+Inputs!$B$25+Inputs!$B$29,IF(Skills!C3=2,90+Inputs!$B$26+Inputs!$B$29,IF(Skills!C3=3,120+Inputs!$B$27+Inputs!$B$29,MAX(0,(Inputs!$B$3-100)*3)+Inputs!$B$28+Inputs!$B$29)))</f>
        <v/>
      </c>
      <c r="E1127">
        <f>INDEX(FactorTable!$B$2:$Y$301, MATCH(ROUND(MIN(300,MAX(1,D1127)),0), FactorTable!$A$2:$A$301,0), Skills!M3+1)</f>
        <v/>
      </c>
      <c r="F1127">
        <f>IF(Skills!N3=TRUE,(Skills!L3/10)*(E1127/1000),Skills!L3/10)+Skills!O3</f>
        <v/>
      </c>
      <c r="G1127">
        <f>Skills!G3*IF(Skills!H3&gt;0,Skills!I3/Skills!H3,1)</f>
        <v/>
      </c>
      <c r="H1127">
        <f>1-(1-Skills!J3/100)^Skills!K3</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1144=TRUE)*(F1144-Calc!F20)),(Inputs!$B$23+0+(IF(ArtifactsInput!$M$15,CHOOSE(ArtifactsInput!$N$15+1,25,30,35,40,45,50)/100*(Inputs!$B$11-Inputs!$B$11),0))))/100+(Inputs!$B$23+0+(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t="n">
        <v>0</v>
      </c>
      <c r="R1127" t="n">
        <v>0</v>
      </c>
      <c r="S1127">
        <f>IFERROR(O1127/N1127,0)</f>
        <v/>
      </c>
      <c r="T1127">
        <f>IF(C1127,(Skills!G3*H1127*N1127*B1154)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7">
        <f>INDEX(FactorTable!$B$2:$Y$301, MATCH(ROUND(MIN(300,MAX(1,U1126)),0), FactorTable!$A$2:$A$301,0), 22)</f>
        <v/>
      </c>
      <c r="V1127">
        <f>IF(C1127,(Skills!G3*H1127*N1127*B1154)*IF(Inputs!$B$38="pvp",1,(1+(Inputs!$B$21+Skills!Q3+(IF(ArtifactsInput!$M$33,CHOOSE(ArtifactsInput!$N$33+1,30,36,42,48,54,60),0))+(IF(AND(ArtifactsInput!$M$35,Inputs!$B$4&lt;&gt;"Chapter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Skills!A4</f>
        <v/>
      </c>
      <c r="B1128">
        <f>Skills!B4</f>
        <v/>
      </c>
      <c r="C1128">
        <f>Inputs!$B$3&gt;=60</f>
        <v/>
      </c>
      <c r="D1128">
        <f>IF(Skills!C4=1,60+Inputs!$B$25+Inputs!$B$29,IF(Skills!C4=2,90+Inputs!$B$26+Inputs!$B$29,IF(Skills!C4=3,120+Inputs!$B$27+Inputs!$B$29,MAX(0,(Inputs!$B$3-100)*3)+Inputs!$B$28+Inputs!$B$29)))</f>
        <v/>
      </c>
      <c r="E1128">
        <f>INDEX(FactorTable!$B$2:$Y$301, MATCH(ROUND(MIN(300,MAX(1,D1128)),0), FactorTable!$A$2:$A$301,0), Skills!M4+1)</f>
        <v/>
      </c>
      <c r="F1128">
        <f>IF(Skills!N4=TRUE,(Skills!L4/10)*(E1128/1000),Skills!L4/10)+Skills!O4</f>
        <v/>
      </c>
      <c r="G1128">
        <f>Skills!G4*IF(Skills!H4&gt;0,Skills!I4/Skills!H4,1)</f>
        <v/>
      </c>
      <c r="H1128">
        <f>1-(1-Skills!J4/100)^Skills!K4</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1136=TRUE,F1136,0)/100)*(1+(IF(Skills!A4="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1144=TRUE)*(F1144-Calc!F20)),(Inputs!$B$23+0+(IF(ArtifactsInput!$M$15,CHOOSE(ArtifactsInput!$N$15+1,25,30,35,40,45,50)/100*(Inputs!$B$11-Inputs!$B$11),0))))/100+(Inputs!$B$23+0+(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t="n">
        <v>0</v>
      </c>
      <c r="R1128" t="n">
        <v>0</v>
      </c>
      <c r="S1128">
        <f>IFERROR(O1128/N1128,0)</f>
        <v/>
      </c>
      <c r="T1128">
        <f>IF(C1128,(Skills!G4*H1128*N1128*B1154)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290*U1127/1000</f>
        <v/>
      </c>
      <c r="V1128">
        <f>IF(C1128,(Skills!G4*H1128*N1128*B1154)*IF(Inputs!$B$38="pvp",1,(1+(Inputs!$B$21+Skills!Q4+(IF(ArtifactsInput!$M$33,CHOOSE(ArtifactsInput!$N$33+1,30,36,42,48,54,60),0))+(IF(AND(ArtifactsInput!$M$35,Inputs!$B$4&lt;&gt;"Chapter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Skills!A5</f>
        <v/>
      </c>
      <c r="B1129">
        <f>Skills!B5</f>
        <v/>
      </c>
      <c r="C1129">
        <f>Inputs!$B$3&gt;=60</f>
        <v/>
      </c>
      <c r="D1129">
        <f>IF(Skills!C5=1,60+Inputs!$B$25+Inputs!$B$29,IF(Skills!C5=2,90+Inputs!$B$26+Inputs!$B$29,IF(Skills!C5=3,120+Inputs!$B$27+Inputs!$B$29,MAX(0,(Inputs!$B$3-100)*3)+Inputs!$B$28+Inputs!$B$29)))</f>
        <v/>
      </c>
      <c r="E1129">
        <f>INDEX(FactorTable!$B$2:$Y$301, MATCH(ROUND(MIN(300,MAX(1,D1129)),0), FactorTable!$A$2:$A$301,0), Skills!M5+1)</f>
        <v/>
      </c>
      <c r="F1129">
        <f>IF(Skills!N5=TRUE,(Skills!L5/10)*(E1129/1000),Skills!L5/10)+Skills!O5</f>
        <v/>
      </c>
      <c r="G1129">
        <f>Skills!G5*IF(Skills!H5&gt;0,Skills!I5/Skills!H5,1)</f>
        <v/>
      </c>
      <c r="H1129">
        <f>1-(1-Skills!J5/100)^Skills!K5</f>
        <v/>
      </c>
      <c r="I1129" t="inlineStr">
        <is>
          <t>1</t>
        </is>
      </c>
      <c r="J1129" t="inlineStr"/>
      <c r="K1129" t="inlineStr"/>
      <c r="L1129" t="inlineStr"/>
      <c r="M1129" t="inlineStr"/>
      <c r="N1129" t="inlineStr"/>
      <c r="O1129">
        <f>(1-Summary!$B$11)*T1129+Summary!$B$11*V1129</f>
        <v/>
      </c>
      <c r="P1129">
        <f>IF(B1160=0,0,O1129/B1160)</f>
        <v/>
      </c>
      <c r="Q1129" t="n">
        <v>0</v>
      </c>
      <c r="R1129" t="n">
        <v>0</v>
      </c>
      <c r="S1129">
        <f>IFERROR(O1129/N1129,0)</f>
        <v/>
      </c>
      <c r="T1129" t="n">
        <v>0</v>
      </c>
      <c r="V1129" t="n">
        <v>0</v>
      </c>
    </row>
    <row r="1130">
      <c r="A1130">
        <f>Skills!A6</f>
        <v/>
      </c>
      <c r="B1130">
        <f>Skills!B6</f>
        <v/>
      </c>
      <c r="C1130">
        <f>Inputs!$B$3&gt;=63</f>
        <v/>
      </c>
      <c r="D1130">
        <f>IF(Skills!C6=1,60+Inputs!$B$25+Inputs!$B$29,IF(Skills!C6=2,90+Inputs!$B$26+Inputs!$B$29,IF(Skills!C6=3,120+Inputs!$B$27+Inputs!$B$29,MAX(0,(Inputs!$B$3-100)*3)+Inputs!$B$28+Inputs!$B$29)))</f>
        <v/>
      </c>
      <c r="E1130">
        <f>INDEX(FactorTable!$B$2:$Y$301, MATCH(ROUND(MIN(300,MAX(1,D1130)),0), FactorTable!$A$2:$A$301,0), Skills!M6+1)</f>
        <v/>
      </c>
      <c r="F1130">
        <f>IF(Skills!N6=TRUE,(Skills!L6/10)*(E1130/1000),Skills!L6/10)+Skills!O6</f>
        <v/>
      </c>
      <c r="G1130">
        <f>Skills!G6*IF(Skills!H6&gt;0,Skills!I6/Skills!H6,1)</f>
        <v/>
      </c>
      <c r="H1130">
        <f>1-(1-Skills!J6/100)^Skills!K6</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1144=TRUE)*(F1144-Calc!F20)),(Inputs!$B$23+0+(IF(ArtifactsInput!$M$15,CHOOSE(ArtifactsInput!$N$15+1,25,30,35,40,45,50)/100*(Inputs!$B$11-Inputs!$B$11),0))))/100+(Inputs!$B$23+0+(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IFERROR(1/(IF(Inputs!$B$38="pvp",15,MAX(0.1,Skills!D6-IF(Skills!E6=TRUE,Inputs!$B$32,0)))*(1-IF(AND(ArtifactsInput!$M$27,Inputs!$B$4="Chapter Hunt"),CHOOSE(ArtifactsInput!$N$27+1,20,24,28,32,36,40),0)/100)),0)</f>
        <v/>
      </c>
      <c r="R1130">
        <f>IF(AND(Inputs!$B$38&lt;&gt;"pvp",Inputs!$B$43&gt;0),IF(MAX(0,Inputs!$B$43-B1157)&lt;=0,0,(INT(MAX(0,Inputs!$B$43-B1157)/(IF(Inputs!$B$38="pvp",15,MAX(0.1,Skills!D6-IF(Skills!E6=TRUE,Inputs!$B$32,0)))*(1-IF(AND(ArtifactsInput!$M$27,Inputs!$B$4="Chapter Hunt"),CHOOSE(ArtifactsInput!$N$27+1,20,24,28,32,36,40),0)/100)))+1)),0)</f>
        <v/>
      </c>
      <c r="S1130">
        <f>IFERROR(O1130/N1130,0)</f>
        <v/>
      </c>
      <c r="T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Skills!A7</f>
        <v/>
      </c>
      <c r="B1131">
        <f>Skills!B7</f>
        <v/>
      </c>
      <c r="C1131">
        <f>Inputs!$B$3&gt;=100</f>
        <v/>
      </c>
      <c r="D1131">
        <f>IF(Skills!C7=1,60+Inputs!$B$25+Inputs!$B$29,IF(Skills!C7=2,90+Inputs!$B$26+Inputs!$B$29,IF(Skills!C7=3,120+Inputs!$B$27+Inputs!$B$29,MAX(0,(Inputs!$B$3-100)*3)+Inputs!$B$28+Inputs!$B$29)))</f>
        <v/>
      </c>
      <c r="E1131">
        <f>INDEX(FactorTable!$B$2:$Y$301, MATCH(ROUND(MIN(300,MAX(1,D1131)),0), FactorTable!$A$2:$A$301,0), Skills!M7+1)</f>
        <v/>
      </c>
      <c r="F1131">
        <f>IF(Skills!N7=TRUE,(Skills!L7/10)*(E1131/1000),Skills!L7/10)+Skills!O7</f>
        <v/>
      </c>
      <c r="G1131">
        <f>Skills!G7*IF(Skills!H7&gt;0,Skills!I7/Skills!H7,1)</f>
        <v/>
      </c>
      <c r="H1131">
        <f>1-(1-Skills!J7/100)^Skills!K7</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1144=TRUE)*(F1144-Calc!F20)),(Inputs!$B$23+0+(IF(ArtifactsInput!$M$15,CHOOSE(ArtifactsInput!$N$15+1,25,30,35,40,45,50)/100*(Inputs!$B$11-Inputs!$B$11),0))))/100+(Inputs!$B$23+0+(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IFERROR(1/(IF(Inputs!$B$38="pvp",15,MAX(0.1,Skills!D7-IF(Skills!E7=TRUE,Inputs!$B$32,0)))*(1-IF(AND(ArtifactsInput!$M$27,Inputs!$B$4="Chapter Hunt"),CHOOSE(ArtifactsInput!$N$27+1,20,24,28,32,36,40),0)/100)),0)</f>
        <v/>
      </c>
      <c r="R1131">
        <f>IF(AND(Inputs!$B$38&lt;&gt;"pvp",Inputs!$B$43&gt;0),IF(MAX(0,Inputs!$B$43-B1157)&lt;=0,0,(INT(MAX(0,Inputs!$B$43-B1157)/(IF(Inputs!$B$38="pvp",15,MAX(0.1,Skills!D7-IF(Skills!E7=TRUE,Inputs!$B$32,0)))*(1-IF(AND(ArtifactsInput!$M$27,Inputs!$B$4="Chapter Hunt"),CHOOSE(ArtifactsInput!$N$27+1,20,24,28,32,36,40),0)/100)))+1)),0)</f>
        <v/>
      </c>
      <c r="S1131">
        <f>IFERROR(O1131/N1131,0)</f>
        <v/>
      </c>
      <c r="T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Skills!A8</f>
        <v/>
      </c>
      <c r="B1132">
        <f>Skills!B8</f>
        <v/>
      </c>
      <c r="C1132">
        <f>Inputs!$B$3&gt;=110</f>
        <v/>
      </c>
      <c r="D1132">
        <f>IF(Skills!C8=1,60+Inputs!$B$25+Inputs!$B$29,IF(Skills!C8=2,90+Inputs!$B$26+Inputs!$B$29,IF(Skills!C8=3,120+Inputs!$B$27+Inputs!$B$29,MAX(0,(Inputs!$B$3-100)*3)+Inputs!$B$28+Inputs!$B$29)))</f>
        <v/>
      </c>
      <c r="E1132">
        <f>INDEX(FactorTable!$B$2:$Y$301, MATCH(ROUND(MIN(300,MAX(1,D1132)),0), FactorTable!$A$2:$A$301,0), Skills!M8+1)</f>
        <v/>
      </c>
      <c r="F1132">
        <f>IF(Skills!N8=TRUE,(Skills!L8/10)*(E1132/1000),Skills!L8/10)+Skills!O8</f>
        <v/>
      </c>
      <c r="G1132">
        <f>Skills!G8*IF(Skills!H8&gt;0,Skills!I8/Skills!H8,1)</f>
        <v/>
      </c>
      <c r="H1132">
        <f>1-(1-Skills!J8/100)^Skills!K8</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1144=TRUE)*(F1144-Calc!F20)),(Inputs!$B$23+0+(IF(ArtifactsInput!$M$15,CHOOSE(ArtifactsInput!$N$15+1,25,30,35,40,45,50)/100*(Inputs!$B$11-Inputs!$B$11),0))))/100+(Inputs!$B$23+0+(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IFERROR(1/(IF(Inputs!$B$38="pvp",15,MAX(0.1,Skills!D8-IF(Skills!E8=TRUE,Inputs!$B$32,0)))*(1-IF(AND(ArtifactsInput!$M$27,Inputs!$B$4="Chapter Hunt"),CHOOSE(ArtifactsInput!$N$27+1,20,24,28,32,36,40),0)/100)),0)</f>
        <v/>
      </c>
      <c r="R1132">
        <f>IF(AND(Inputs!$B$38&lt;&gt;"pvp",Inputs!$B$43&gt;0),IF(MAX(0,Inputs!$B$43-B1157)&lt;=0,0,(INT(MAX(0,Inputs!$B$43-B1157)/(IF(Inputs!$B$38="pvp",15,MAX(0.1,Skills!D8-IF(Skills!E8=TRUE,Inputs!$B$32,0)))*(1-IF(AND(ArtifactsInput!$M$27,Inputs!$B$4="Chapter Hunt"),CHOOSE(ArtifactsInput!$N$27+1,20,24,28,32,36,40),0)/100)))+1)),0)</f>
        <v/>
      </c>
      <c r="S1132">
        <f>IFERROR(O1132/N1132,0)</f>
        <v/>
      </c>
      <c r="T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Skills!A9</f>
        <v/>
      </c>
      <c r="B1133">
        <f>Skills!B9</f>
        <v/>
      </c>
      <c r="C1133">
        <f>Inputs!$B$3&gt;=110</f>
        <v/>
      </c>
      <c r="D1133">
        <f>IF(Skills!C9=1,60+Inputs!$B$25+Inputs!$B$29,IF(Skills!C9=2,90+Inputs!$B$26+Inputs!$B$29,IF(Skills!C9=3,120+Inputs!$B$27+Inputs!$B$29,MAX(0,(Inputs!$B$3-100)*3)+Inputs!$B$28+Inputs!$B$29)))</f>
        <v/>
      </c>
      <c r="E1133">
        <f>INDEX(FactorTable!$B$2:$Y$301, MATCH(ROUND(MIN(300,MAX(1,D1133)),0), FactorTable!$A$2:$A$301,0), Skills!M9+1)</f>
        <v/>
      </c>
      <c r="F1133">
        <f>IF(Skills!N9=TRUE,(Skills!L9/10)*(E1133/1000),Skills!L9/10)+Skills!O9</f>
        <v/>
      </c>
      <c r="G1133">
        <f>Skills!G9*IF(Skills!H9&gt;0,Skills!I9/Skills!H9,1)</f>
        <v/>
      </c>
      <c r="H1133">
        <f>1-(1-Skills!J9/100)^Skills!K9</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1144=TRUE)*(F1144-Calc!F20)),(Inputs!$B$23+0+(IF(ArtifactsInput!$M$15,CHOOSE(ArtifactsInput!$N$15+1,25,30,35,40,45,50)/100*(Inputs!$B$11-Inputs!$B$11),0))))/100+(Inputs!$B$23+0+(IF(ArtifactsInput!$M$15,CHOOSE(ArtifactsInput!$N$15+1,25,30,35,40,45,50)/100*(Inputs!$B$11-Inputs!$B$11),0)))/100)/2</f>
        <v/>
      </c>
      <c r="M1133">
        <f>L1133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IF(B1160=0,0,O1133/B1160)</f>
        <v/>
      </c>
      <c r="Q1133">
        <f>IFERROR(1/(IF(Inputs!$B$38="pvp",15,MAX(0.1,Skills!D9-IF(Skills!E9=TRUE,Inputs!$B$32,0)))*(1-IF(AND(ArtifactsInput!$M$27,Inputs!$B$4="Chapter Hunt"),CHOOSE(ArtifactsInput!$N$27+1,20,24,28,32,36,40),0)/100)),0)</f>
        <v/>
      </c>
      <c r="R1133">
        <f>IF(AND(Inputs!$B$38&lt;&gt;"pvp",Inputs!$B$43&gt;0),IF(MAX(0,Inputs!$B$43-B1157)&lt;=0,0,(INT(MAX(0,Inputs!$B$43-B1157)/(IF(Inputs!$B$38="pvp",15,MAX(0.1,Skills!D9-IF(Skills!E9=TRUE,Inputs!$B$32,0)))*(1-IF(AND(ArtifactsInput!$M$27,Inputs!$B$4="Chapter Hunt"),CHOOSE(ArtifactsInput!$N$27+1,20,24,28,32,36,40),0)/100)))+1)),0)</f>
        <v/>
      </c>
      <c r="S1133">
        <f>IFERROR(O1133/N1133,0)</f>
        <v/>
      </c>
      <c r="T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Skills!A10</f>
        <v/>
      </c>
      <c r="B1134">
        <f>Skills!B10</f>
        <v/>
      </c>
      <c r="C1134">
        <f>Inputs!$B$3&gt;=103</f>
        <v/>
      </c>
      <c r="D1134">
        <f>IF(Skills!C10=1,60+Inputs!$B$25+Inputs!$B$29,IF(Skills!C10=2,90+Inputs!$B$26+Inputs!$B$29,IF(Skills!C10=3,120+Inputs!$B$27+Inputs!$B$29,MAX(0,(Inputs!$B$3-100)*3)+Inputs!$B$28+Inputs!$B$29)))</f>
        <v/>
      </c>
      <c r="E1134">
        <f>INDEX(FactorTable!$B$2:$Y$301, MATCH(ROUND(MIN(300,MAX(1,D1134)),0), FactorTable!$A$2:$A$301,0), Skills!M10+1)</f>
        <v/>
      </c>
      <c r="F1134">
        <f>IF(Skills!N10=TRUE,(Skills!L10/10)*(E1134/1000),Skills!L10/10)+Skills!O10</f>
        <v/>
      </c>
      <c r="G1134">
        <f>Skills!G10*IF(Skills!H10&gt;0,Skills!I10/Skills!H10,1)</f>
        <v/>
      </c>
      <c r="H1134">
        <f>1-(1-Skills!J10/100)^Skills!K10</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1144=TRUE)*(F1144-Calc!F20)),(Inputs!$B$23+0+(IF(ArtifactsInput!$M$15,CHOOSE(ArtifactsInput!$N$15+1,25,30,35,40,45,50)/100*(Inputs!$B$11-Inputs!$B$11),0))))/100+(Inputs!$B$23+0+(IF(ArtifactsInput!$M$15,CHOOSE(ArtifactsInput!$N$15+1,25,30,35,40,45,50)/100*(Inputs!$B$11-Inputs!$B$11),0)))/100)/2</f>
        <v/>
      </c>
      <c r="M1134">
        <f>L1134*(1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IF(B1160=0,0,O1134/B1160)</f>
        <v/>
      </c>
      <c r="Q1134">
        <f>IFERROR(1/(IF(Inputs!$B$38="pvp",15,MAX(0.1,Skills!D10-IF(Skills!E10=TRUE,Inputs!$B$32,0)))*(1-IF(AND(ArtifactsInput!$M$27,Inputs!$B$4="Chapter Hunt"),CHOOSE(ArtifactsInput!$N$27+1,20,24,28,32,36,40),0)/100)),0)</f>
        <v/>
      </c>
      <c r="R1134">
        <f>IF(AND(Inputs!$B$38&lt;&gt;"pvp",Inputs!$B$43&gt;0),IF(MAX(0,Inputs!$B$43-B1157)&lt;=0,0,(INT(MAX(0,Inputs!$B$43-B1157)/(IF(Inputs!$B$38="pvp",15,MAX(0.1,Skills!D10-IF(Skills!E10=TRUE,Inputs!$B$32,0)))*(1-IF(AND(ArtifactsInput!$M$27,Inputs!$B$4="Chapter Hunt"),CHOOSE(ArtifactsInput!$N$27+1,20,24,28,32,36,40),0)/100)))+1)),0)</f>
        <v/>
      </c>
      <c r="S1134">
        <f>IFERROR(O1134/N1134,0)</f>
        <v/>
      </c>
      <c r="T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Skills!A11</f>
        <v/>
      </c>
      <c r="B1135">
        <f>Skills!B11</f>
        <v/>
      </c>
      <c r="C1135">
        <f>Inputs!$B$3&gt;=113</f>
        <v/>
      </c>
      <c r="D1135">
        <f>IF(Skills!C11=1,60+Inputs!$B$25+Inputs!$B$29,IF(Skills!C11=2,90+Inputs!$B$26+Inputs!$B$29,IF(Skills!C11=3,120+Inputs!$B$27+Inputs!$B$29,MAX(0,(Inputs!$B$3-100)*3)+Inputs!$B$28+Inputs!$B$29)))</f>
        <v/>
      </c>
      <c r="E1135">
        <f>INDEX(FactorTable!$B$2:$Y$301, MATCH(ROUND(MIN(300,MAX(1,D1135)),0), FactorTable!$A$2:$A$301,0), Skills!M11+1)</f>
        <v/>
      </c>
      <c r="F1135">
        <f>IF(Skills!N11=TRUE,(Skills!L11/10)*(E1135/1000),Skills!L11/10)+Skills!O11</f>
        <v/>
      </c>
      <c r="G1135">
        <f>Skills!G11*IF(Skills!H11&gt;0,Skills!I11/Skills!H11,1)</f>
        <v/>
      </c>
      <c r="H1135">
        <f>1-(1-Skills!J11/100)^Skills!K11</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1144=TRUE)*(F1144-Calc!F20)),(Inputs!$B$23+0+(IF(ArtifactsInput!$M$15,CHOOSE(ArtifactsInput!$N$15+1,25,30,35,40,45,50)/100*(Inputs!$B$11-Inputs!$B$11),0))))/100+(Inputs!$B$23+0+(IF(ArtifactsInput!$M$15,CHOOSE(ArtifactsInput!$N$15+1,25,30,35,40,45,50)/100*(Inputs!$B$11-Inputs!$B$11),0)))/100)/2</f>
        <v/>
      </c>
      <c r="M1135">
        <f>L1135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IF(B1160=0,0,O1135/B1160)</f>
        <v/>
      </c>
      <c r="Q1135">
        <f>IFERROR(1/(IF(Inputs!$B$38="pvp",15,MAX(0.1,Skills!D11-IF(Skills!E11=TRUE,Inputs!$B$32,0)))*(1-IF(AND(ArtifactsInput!$M$27,Inputs!$B$4="Chapter Hunt"),CHOOSE(ArtifactsInput!$N$27+1,20,24,28,32,36,40),0)/100)),0)</f>
        <v/>
      </c>
      <c r="R1135">
        <f>IF(AND(Inputs!$B$38&lt;&gt;"pvp",Inputs!$B$43&gt;0),IF(MAX(0,Inputs!$B$43-B1157)&lt;=0,0,(INT(MAX(0,Inputs!$B$43-B1157)/(IF(Inputs!$B$38="pvp",15,MAX(0.1,Skills!D11-IF(Skills!E11=TRUE,Inputs!$B$32,0)))*(1-IF(AND(ArtifactsInput!$M$27,Inputs!$B$4="Chapter Hunt"),CHOOSE(ArtifactsInput!$N$27+1,20,24,28,32,36,40),0)/100)))+1)),0)</f>
        <v/>
      </c>
      <c r="S1135">
        <f>IFERROR(O1135/N1135,0)</f>
        <v/>
      </c>
      <c r="T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Skills!A12</f>
        <v/>
      </c>
      <c r="B1136">
        <f>Skills!B12</f>
        <v/>
      </c>
      <c r="C1136">
        <f>Inputs!$B$3&gt;=100</f>
        <v/>
      </c>
      <c r="D1136">
        <f>IF(Skills!C12=1,60+Inputs!$B$25+Inputs!$B$29,IF(Skills!C12=2,90+Inputs!$B$26+Inputs!$B$29,IF(Skills!C12=3,120+Inputs!$B$27+Inputs!$B$29,MAX(0,(Inputs!$B$3-100)*3)+Inputs!$B$28+Inputs!$B$29)))</f>
        <v/>
      </c>
      <c r="E1136">
        <f>INDEX(FactorTable!$B$2:$Y$301, MATCH(ROUND(MIN(300,MAX(1,D1136)),0), FactorTable!$A$2:$A$301,0), Skills!M12+1)</f>
        <v/>
      </c>
      <c r="F1136">
        <f>IF(Skills!N12=TRUE,(Skills!L12/10)*(E1136/1000),Skills!L12/10)+Skills!O12</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Skills!A13</f>
        <v/>
      </c>
      <c r="B1137">
        <f>Skills!B13</f>
        <v/>
      </c>
      <c r="C1137">
        <f>Inputs!$B$3&gt;=66</f>
        <v/>
      </c>
      <c r="D1137">
        <f>IF(Skills!C13=1,60+Inputs!$B$25+Inputs!$B$29,IF(Skills!C13=2,90+Inputs!$B$26+Inputs!$B$29,IF(Skills!C13=3,120+Inputs!$B$27+Inputs!$B$29,MAX(0,(Inputs!$B$3-100)*3)+Inputs!$B$28+Inputs!$B$29)))</f>
        <v/>
      </c>
      <c r="E1137">
        <f>INDEX(FactorTable!$B$2:$Y$301, MATCH(ROUND(MIN(300,MAX(1,D1137)),0), FactorTable!$A$2:$A$301,0), Skills!M13+1)</f>
        <v/>
      </c>
      <c r="F1137">
        <f>IF(Skills!N13=TRUE,(Skills!L13/10)*(E1137/1000),Skills!L13/10)+Skills!O13</f>
        <v/>
      </c>
      <c r="G1137">
        <f>Skills!G13*IF(Skills!H13&gt;0,Skills!I13/Skills!H13,1)</f>
        <v/>
      </c>
      <c r="H1137">
        <f>1-(1-Skills!J13/100)^Skills!K13</f>
        <v/>
      </c>
      <c r="I1137" t="inlineStr">
        <is>
          <t>1</t>
        </is>
      </c>
      <c r="J1137" t="inlineStr"/>
      <c r="K1137" t="inlineStr"/>
      <c r="L1137" t="inlineStr"/>
      <c r="M1137" t="inlineStr"/>
      <c r="N1137" t="inlineStr"/>
      <c r="O1137">
        <f>(1-Summary!$B$11)*T1137+Summary!$B$11*V1137</f>
        <v/>
      </c>
      <c r="P1137">
        <f>IF(B1160=0,0,O1137/B1160)</f>
        <v/>
      </c>
      <c r="Q1137" t="n">
        <v>0</v>
      </c>
      <c r="R1137" t="n">
        <v>0</v>
      </c>
      <c r="S1137">
        <f>IFERROR(O1137/N1137,0)</f>
        <v/>
      </c>
      <c r="T1137" t="n">
        <v>0</v>
      </c>
      <c r="V1137" t="n">
        <v>0</v>
      </c>
    </row>
    <row r="1138">
      <c r="A1138">
        <f>Skills!A14</f>
        <v/>
      </c>
      <c r="B1138">
        <f>Skills!B14</f>
        <v/>
      </c>
      <c r="C1138">
        <f>Inputs!$B$3&gt;=107</f>
        <v/>
      </c>
      <c r="D1138">
        <f>IF(Skills!C14=1,60+Inputs!$B$25+Inputs!$B$29,IF(Skills!C14=2,90+Inputs!$B$26+Inputs!$B$29,IF(Skills!C14=3,120+Inputs!$B$27+Inputs!$B$29,MAX(0,(Inputs!$B$3-100)*3)+Inputs!$B$28+Inputs!$B$29)))</f>
        <v/>
      </c>
      <c r="E1138">
        <f>INDEX(FactorTable!$B$2:$Y$301, MATCH(ROUND(MIN(300,MAX(1,D1138)),0), FactorTable!$A$2:$A$301,0), Skills!M14+1)</f>
        <v/>
      </c>
      <c r="F1138">
        <f>IF(Skills!N14=TRUE,(Skills!L14/10)*(E1138/1000),Skills!L14/10)+Skills!O14</f>
        <v/>
      </c>
      <c r="G1138">
        <f>Skills!G14*IF(Skills!H14&gt;0,Skills!I14/Skills!H14,1)</f>
        <v/>
      </c>
      <c r="H1138">
        <f>1-(1-Skills!J14/100)^Skills!K14</f>
        <v/>
      </c>
      <c r="I1138" t="inlineStr">
        <is>
          <t>1</t>
        </is>
      </c>
      <c r="J1138" t="inlineStr"/>
      <c r="K1138" t="inlineStr"/>
      <c r="L1138" t="inlineStr"/>
      <c r="M1138" t="inlineStr"/>
      <c r="N1138" t="inlineStr"/>
      <c r="O1138">
        <f>(1-Summary!$B$11)*T1138+Summary!$B$11*V1138</f>
        <v/>
      </c>
      <c r="P1138">
        <f>IF(B1160=0,0,O1138/B1160)</f>
        <v/>
      </c>
      <c r="Q1138" t="n">
        <v>0</v>
      </c>
      <c r="R1138" t="n">
        <v>0</v>
      </c>
      <c r="S1138">
        <f>IFERROR(O1138/N1138,0)</f>
        <v/>
      </c>
      <c r="T1138" t="n">
        <v>0</v>
      </c>
      <c r="V1138" t="n">
        <v>0</v>
      </c>
    </row>
    <row r="1139">
      <c r="A1139">
        <f>Skills!A15</f>
        <v/>
      </c>
      <c r="B1139">
        <f>Skills!B15</f>
        <v/>
      </c>
      <c r="C1139">
        <f>Inputs!$B$3&gt;=115</f>
        <v/>
      </c>
      <c r="D1139">
        <f>IF(Skills!C15=1,60+Inputs!$B$25+Inputs!$B$29,IF(Skills!C15=2,90+Inputs!$B$26+Inputs!$B$29,IF(Skills!C15=3,120+Inputs!$B$27+Inputs!$B$29,MAX(0,(Inputs!$B$3-100)*3)+Inputs!$B$28+Inputs!$B$29)))</f>
        <v/>
      </c>
      <c r="E1139">
        <f>INDEX(FactorTable!$B$2:$Y$301, MATCH(ROUND(MIN(300,MAX(1,D1139)),0), FactorTable!$A$2:$A$301,0), Skills!M15+1)</f>
        <v/>
      </c>
      <c r="F1139">
        <f>IF(Skills!N15=TRUE,(Skills!L15/10)*(E1139/1000),Skills!L15/10)+Skills!O15</f>
        <v/>
      </c>
      <c r="G1139">
        <f>Skills!G15*IF(Skills!H15&gt;0,Skills!I15/Skills!H15,1)</f>
        <v/>
      </c>
      <c r="H1139">
        <f>1-(1-Skills!J15/100)^Skills!K15</f>
        <v/>
      </c>
      <c r="I1139" t="inlineStr">
        <is>
          <t>1</t>
        </is>
      </c>
      <c r="J1139" t="inlineStr"/>
      <c r="K1139" t="inlineStr"/>
      <c r="L1139" t="inlineStr"/>
      <c r="M1139" t="inlineStr"/>
      <c r="N1139" t="inlineStr"/>
      <c r="O1139">
        <f>(1-Summary!$B$11)*T1139+Summary!$B$11*V1139</f>
        <v/>
      </c>
      <c r="P1139">
        <f>IF(B1160=0,0,O1139/B1160)</f>
        <v/>
      </c>
      <c r="Q1139" t="n">
        <v>0</v>
      </c>
      <c r="R1139" t="n">
        <v>0</v>
      </c>
      <c r="S1139">
        <f>IFERROR(O1139/N1139,0)</f>
        <v/>
      </c>
      <c r="T1139" t="n">
        <v>0</v>
      </c>
      <c r="V1139" t="n">
        <v>0</v>
      </c>
    </row>
    <row r="1140">
      <c r="A1140">
        <f>Skills!A16</f>
        <v/>
      </c>
      <c r="B1140">
        <f>Skills!B16</f>
        <v/>
      </c>
      <c r="C1140">
        <f>Inputs!$B$3&gt;=15</f>
        <v/>
      </c>
      <c r="D1140">
        <f>IF(Skills!C16=1,60+Inputs!$B$25+Inputs!$B$29,IF(Skills!C16=2,90+Inputs!$B$26+Inputs!$B$29,IF(Skills!C16=3,120+Inputs!$B$27+Inputs!$B$29,MAX(0,(Inputs!$B$3-100)*3)+Inputs!$B$28+Inputs!$B$29)))</f>
        <v/>
      </c>
      <c r="E1140">
        <f>INDEX(FactorTable!$B$2:$Y$301, MATCH(ROUND(MIN(300,MAX(1,D1140)),0), FactorTable!$A$2:$A$301,0), Skills!M16+1)</f>
        <v/>
      </c>
      <c r="F1140">
        <f>IF(Skills!N16=TRUE,(Skills!L16/10)*(E1140/1000),Skills!L16/10)+Skills!O16</f>
        <v/>
      </c>
      <c r="G1140">
        <f>Skills!G16*IF(Skills!H16&gt;0,Skills!I16/Skills!H16,1)</f>
        <v/>
      </c>
      <c r="H1140">
        <f>1-(1-Skills!J16/100)^Skills!K16</f>
        <v/>
      </c>
      <c r="I1140" t="inlineStr">
        <is>
          <t>1</t>
        </is>
      </c>
      <c r="J1140" t="inlineStr"/>
      <c r="K1140" t="inlineStr"/>
      <c r="L1140" t="inlineStr"/>
      <c r="M1140" t="inlineStr"/>
      <c r="N1140" t="inlineStr"/>
      <c r="O1140">
        <f>(1-Summary!$B$11)*T1140+Summary!$B$11*V1140</f>
        <v/>
      </c>
      <c r="P1140">
        <f>IF(B1160=0,0,O1140/B1160)</f>
        <v/>
      </c>
      <c r="Q1140" t="n">
        <v>0</v>
      </c>
      <c r="R1140" t="n">
        <v>0</v>
      </c>
      <c r="S1140">
        <f>IFERROR(O1140/N1140,0)</f>
        <v/>
      </c>
      <c r="T1140" t="n">
        <v>0</v>
      </c>
      <c r="V1140" t="n">
        <v>0</v>
      </c>
    </row>
    <row r="1141">
      <c r="A1141">
        <f>Skills!A17</f>
        <v/>
      </c>
      <c r="B1141">
        <f>Skills!B17</f>
        <v/>
      </c>
      <c r="C1141">
        <f>Inputs!$B$3&gt;=10</f>
        <v/>
      </c>
      <c r="D1141">
        <f>IF(Skills!C17=1,60+Inputs!$B$25+Inputs!$B$29,IF(Skills!C17=2,90+Inputs!$B$26+Inputs!$B$29,IF(Skills!C17=3,120+Inputs!$B$27+Inputs!$B$29,MAX(0,(Inputs!$B$3-100)*3)+Inputs!$B$28+Inputs!$B$29)))</f>
        <v/>
      </c>
      <c r="E1141">
        <f>INDEX(FactorTable!$B$2:$Y$301, MATCH(ROUND(MIN(300,MAX(1,D1141)),0), FactorTable!$A$2:$A$301,0), Skills!M17+1)</f>
        <v/>
      </c>
      <c r="F1141">
        <f>IF(Skills!N17=TRUE,(Skills!L17/10)*(E1141/1000),Skills!L17/10)+Skills!O17</f>
        <v/>
      </c>
      <c r="G1141">
        <f>Skills!G17*IF(Skills!H17&gt;0,Skills!I17/Skills!H17,1)</f>
        <v/>
      </c>
      <c r="H1141">
        <f>1-(1-Skills!J17/100)^Skills!K17</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Skills!A18</f>
        <v/>
      </c>
      <c r="B1142">
        <f>Skills!B18</f>
        <v/>
      </c>
      <c r="C1142">
        <f>Inputs!$B$3&gt;=33</f>
        <v/>
      </c>
      <c r="D1142">
        <f>IF(Skills!C18=1,60+Inputs!$B$25+Inputs!$B$29,IF(Skills!C18=2,90+Inputs!$B$26+Inputs!$B$29,IF(Skills!C18=3,120+Inputs!$B$27+Inputs!$B$29,MAX(0,(Inputs!$B$3-100)*3)+Inputs!$B$28+Inputs!$B$29)))</f>
        <v/>
      </c>
      <c r="E1142">
        <f>INDEX(FactorTable!$B$2:$Y$301, MATCH(ROUND(MIN(300,MAX(1,D1142)),0), FactorTable!$A$2:$A$301,0), Skills!M18+1)</f>
        <v/>
      </c>
      <c r="F1142">
        <f>IF(Skills!N18=TRUE,(Skills!L18/10)*(E1142/1000),Skills!L18/10)+Skills!O18</f>
        <v/>
      </c>
      <c r="G1142">
        <f>Skills!G18*IF(Skills!H18&gt;0,Skills!I18/Skills!H18,1)</f>
        <v/>
      </c>
      <c r="H1142">
        <f>1-(1-Skills!J18/100)^Skills!K18</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Skills!A19</f>
        <v/>
      </c>
      <c r="B1143">
        <f>Skills!B19</f>
        <v/>
      </c>
      <c r="C1143">
        <f>Inputs!$B$3&gt;=40</f>
        <v/>
      </c>
      <c r="D1143">
        <f>IF(Skills!C19=1,60+Inputs!$B$25+Inputs!$B$29,IF(Skills!C19=2,90+Inputs!$B$26+Inputs!$B$29,IF(Skills!C19=3,120+Inputs!$B$27+Inputs!$B$29,MAX(0,(Inputs!$B$3-100)*3)+Inputs!$B$28+Inputs!$B$29)))</f>
        <v/>
      </c>
      <c r="E1143">
        <f>INDEX(FactorTable!$B$2:$Y$301, MATCH(ROUND(MIN(300,MAX(1,D1143)),0), FactorTable!$A$2:$A$301,0), Skills!M19+1)</f>
        <v/>
      </c>
      <c r="F1143">
        <f>IF(Skills!N19=TRUE,(Skills!L19/10)*(E1143/1000),Skills!L19/10)+Skills!O19</f>
        <v/>
      </c>
      <c r="G1143">
        <f>Skills!G19*IF(Skills!H19&gt;0,Skills!I19/Skills!H19,1)</f>
        <v/>
      </c>
      <c r="H1143">
        <f>1-(1-Skills!J19/100)^Skills!K19</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Skills!A20</f>
        <v/>
      </c>
      <c r="B1144">
        <f>Skills!B20</f>
        <v/>
      </c>
      <c r="C1144">
        <f>Inputs!$B$3&gt;=43</f>
        <v/>
      </c>
      <c r="D1144">
        <f>IF(Skills!C20=1,60+Inputs!$B$25+Inputs!$B$29,IF(Skills!C20=2,90+Inputs!$B$26+Inputs!$B$29,IF(Skills!C20=3,120+Inputs!$B$27+Inputs!$B$29,MAX(0,(Inputs!$B$3-100)*3)+Inputs!$B$28+Inputs!$B$29)))</f>
        <v/>
      </c>
      <c r="E1144">
        <f>INDEX(FactorTable!$B$2:$Y$301, MATCH(ROUND(MIN(300,MAX(1,D1144)),0), FactorTable!$A$2:$A$301,0), Skills!M20+1)</f>
        <v/>
      </c>
      <c r="F1144">
        <f>IF(Skills!N20=TRUE,(Skills!L20/10)*(E1144/1000),Skills!L20/10)+Skills!O20</f>
        <v/>
      </c>
      <c r="G1144">
        <f>Skills!G20*IF(Skills!H20&gt;0,Skills!I20/Skills!H20,1)</f>
        <v/>
      </c>
      <c r="H1144">
        <f>1-(1-Skills!J20/100)^Skills!K20</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Skills!A21</f>
        <v/>
      </c>
      <c r="B1145">
        <f>Skills!B21</f>
        <v/>
      </c>
      <c r="C1145">
        <f>Inputs!$B$3&gt;=38</f>
        <v/>
      </c>
      <c r="D1145">
        <f>IF(Skills!C21=1,60+Inputs!$B$25+Inputs!$B$29,IF(Skills!C21=2,90+Inputs!$B$26+Inputs!$B$29,IF(Skills!C21=3,120+Inputs!$B$27+Inputs!$B$29,MAX(0,(Inputs!$B$3-100)*3)+Inputs!$B$28+Inputs!$B$29)))</f>
        <v/>
      </c>
      <c r="E1145">
        <f>INDEX(FactorTable!$B$2:$Y$301, MATCH(ROUND(MIN(300,MAX(1,D1145)),0), FactorTable!$A$2:$A$301,0), Skills!M21+1)</f>
        <v/>
      </c>
      <c r="F1145">
        <f>IF(Skills!N21=TRUE,(Skills!L21/10)*(E1145/1000),Skills!L21/10)+Skills!O21</f>
        <v/>
      </c>
      <c r="G1145">
        <f>Skills!G21*IF(Skills!H21&gt;0,Skills!I21/Skills!H21,1)</f>
        <v/>
      </c>
      <c r="H1145">
        <f>1-(1-Skills!J21/100)^Skills!K21</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Skills!A22</f>
        <v/>
      </c>
      <c r="B1146">
        <f>Skills!B22</f>
        <v/>
      </c>
      <c r="C1146">
        <f>Inputs!$B$3&gt;=75</f>
        <v/>
      </c>
      <c r="D1146">
        <f>IF(Skills!C22=1,60+Inputs!$B$25+Inputs!$B$29,IF(Skills!C22=2,90+Inputs!$B$26+Inputs!$B$29,IF(Skills!C22=3,120+Inputs!$B$27+Inputs!$B$29,MAX(0,(Inputs!$B$3-100)*3)+Inputs!$B$28+Inputs!$B$29)))</f>
        <v/>
      </c>
      <c r="E1146">
        <f>INDEX(FactorTable!$B$2:$Y$301, MATCH(ROUND(MIN(300,MAX(1,D1146)),0), FactorTable!$A$2:$A$301,0), Skills!M22+1)</f>
        <v/>
      </c>
      <c r="F1146">
        <f>IF(Skills!N22=TRUE,(Skills!L22/10)*(E1146/1000),Skills!L22/10)+Skills!O22</f>
        <v/>
      </c>
      <c r="G1146">
        <f>Skills!G22*IF(Skills!H22&gt;0,Skills!I22/Skills!H22,1)</f>
        <v/>
      </c>
      <c r="H1146">
        <f>1-(1-Skills!J22/100)^Skills!K22</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Skills!A23</f>
        <v/>
      </c>
      <c r="B1147">
        <f>Skills!B23</f>
        <v/>
      </c>
      <c r="C1147">
        <f>TRUE</f>
        <v/>
      </c>
      <c r="D1147">
        <f>IF(Skills!C23=1,60+Inputs!$B$25+Inputs!$B$29,IF(Skills!C23=2,90+Inputs!$B$26+Inputs!$B$29,IF(Skills!C23=3,120+Inputs!$B$27+Inputs!$B$29,MAX(0,(Inputs!$B$3-100)*3)+Inputs!$B$28+Inputs!$B$29)))</f>
        <v/>
      </c>
      <c r="E1147">
        <f>INDEX(FactorTable!$B$2:$Y$301, MATCH(ROUND(MIN(300,MAX(1,D1147)),0), FactorTable!$A$2:$A$301,0), Skills!M23+1)</f>
        <v/>
      </c>
      <c r="F1147">
        <f>IF(Skills!N23=TRUE,(Skills!L23/10)*(E1147/1000),Skills!L23/10)+Skills!O23</f>
        <v/>
      </c>
      <c r="G1147">
        <f>Skills!G23*IF(Skills!H23&gt;0,Skills!I23/Skills!H23,1)</f>
        <v/>
      </c>
      <c r="H1147">
        <f>1-(1-Skills!J23/100)^Skills!K23</f>
        <v/>
      </c>
      <c r="I1147" t="inlineStr">
        <is>
          <t>1</t>
        </is>
      </c>
      <c r="J1147" t="inlineStr"/>
      <c r="K1147" t="inlineStr"/>
      <c r="L1147" t="inlineStr"/>
      <c r="M1147" t="inlineStr"/>
      <c r="N1147" t="inlineStr"/>
      <c r="O1147">
        <f>(1-Summary!$B$11)*T1147+Summary!$B$11*V1147</f>
        <v/>
      </c>
      <c r="P1147">
        <f>IF(B1160=0,0,O1147/B1160)</f>
        <v/>
      </c>
      <c r="Q1147">
        <f>IFERROR(1/(IF(Inputs!$B$38="pvp",15,MAX(0.1,Skills!D23-IF(Skills!E23=TRUE,Inputs!$B$32,0)))*(1-IF(AND(ArtifactsInput!$M$27,Inputs!$B$4="Chapter Hunt"),CHOOSE(ArtifactsInput!$N$27+1,20,24,28,32,36,40),0)/100)),0)</f>
        <v/>
      </c>
      <c r="R1147">
        <f>IF(AND(Inputs!$B$38&lt;&gt;"pvp",Inputs!$B$43&gt;0),IF(Inputs!$B$43&lt;=0,0,(INT(Inputs!$B$43/(IF(Inputs!$B$38="pvp",15,MAX(0.1,Skills!D23-IF(Skills!E23=TRUE,Inputs!$B$32,0)))*(1-IF(AND(ArtifactsInput!$M$27,Inputs!$B$4="Chapter Hunt"),CHOOSE(ArtifactsInput!$N$27+1,20,24,28,32,36,40),0)/100)))+1)),0)</f>
        <v/>
      </c>
      <c r="S1147">
        <f>IFERROR(O1147/N1147,0)</f>
        <v/>
      </c>
      <c r="T1147" t="n">
        <v>0</v>
      </c>
      <c r="V1147" t="n">
        <v>0</v>
      </c>
    </row>
    <row r="1149">
      <c r="A1149" t="inlineStr">
        <is>
          <t>Attack% Bucket Multiplier</t>
        </is>
      </c>
      <c r="B1149">
        <f>(1+(((C1137=TRUE)*F1137*5/7)+((C1143=TRUE)*(F1143-Calc!F19))+(IF(ArtifactsInput!$M$21,CHOOSE(ArtifactsInput!$N$21+1,25,30,35,40,45,50)*(IF(OR(Inputs!$B$4="Chapter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 (Nimble Feet, duty-cycle averaged)</t>
        </is>
      </c>
      <c r="B1151">
        <f>((C1147=TRUE)*F1147*IF(AND(Inputs!$B$38&lt;&gt;"pvp",Inputs!$B$43&gt;0),(((R1147-1)*(Skills!T23*(1+Inputs!$B$34/100))+MIN((Skills!T23*(1+Inputs!$B$34/100)),MAX(0,Inputs!$B$43-((R1147-1)*Skills!D23))))/Inputs!$B$43),IF(Inputs!$B$38="pvp",MIN((Skills!T23*(1+Inputs!$B$34/100)),15)/15,(Skills!T23*(1+Inputs!$B$34/100))/Skills!D23)))</f>
        <v/>
      </c>
    </row>
    <row r="1152">
      <c r="A1152" t="inlineStr">
        <is>
          <t>Actions Per Second</t>
        </is>
      </c>
      <c r="B1152">
        <f>1+MIN(150,150*(1-(1-(Inputs!$B$11+((C1141=TRUE)*(F1141-Calc!F17))+((C1142=TRUE)*(F1142-Calc!F18)))/150)*(1-B1151/150)))/100</f>
        <v/>
      </c>
    </row>
    <row r="1153">
      <c r="A1153" t="inlineStr">
        <is>
          <t>Skill + Buff Cast Rate</t>
        </is>
      </c>
      <c r="B1153">
        <f>IF(AND(Inputs!$B$38&lt;&gt;"pvp",Inputs!$B$43&gt;0),SUMPRODUCT((Skills!E2:E23=TRUE)*(C1126:C1147=TRUE)*R1126:R1147*Skills!F2:F23)/Inputs!$B$43,SUMPRODUCT((Skills!E2:E23=TRUE)*(C1126:C1147=TRUE)*Q1126:Q1147*Skills!F2:F23))</f>
        <v/>
      </c>
    </row>
    <row r="1154">
      <c r="A1154" t="inlineStr">
        <is>
          <t>Hook Bomber Casts Per Second</t>
        </is>
      </c>
      <c r="B1154">
        <f>MAX(0,B1152-B1153)</f>
        <v/>
      </c>
    </row>
    <row r="1155">
      <c r="A1155" t="inlineStr">
        <is>
          <t>Global Critical Damage Bonus % (unused)</t>
        </is>
      </c>
      <c r="B1155" t="n">
        <v>0</v>
      </c>
    </row>
    <row r="1156">
      <c r="A1156" t="inlineStr">
        <is>
          <t>Global Final Damage Bonus % (Serpent Scale + Crossbones + Time Leap + Speed Infusion)</t>
        </is>
      </c>
      <c r="B1156">
        <f>((C1129=TRUE)*F1129*((10+IF(Inputs!$B$3&gt;=94,5,0))/((10+IF(Inputs!$B$3&gt;=94,5,0))+5/(B1154*(1+IF(Inputs!$B$3&gt;=104,1,0))))))+((C1138=TRUE)*F1138)+((C1139=TRUE)*F1139)+((Inputs!$B$3&gt;=110)*20*(B1152-1))</f>
        <v/>
      </c>
    </row>
    <row r="1157">
      <c r="A1157" t="inlineStr">
        <is>
          <t>Buff-Casting Startup Delay (s, fixed-duration only)</t>
        </is>
      </c>
      <c r="B1157">
        <f>IF(AND(Inputs!$B$38&lt;&gt;"pvp",Inputs!$B$43&gt;0),SUMPRODUCT((Skills!T2:T23&gt;0)*(Skills!E2:E23=TRUE)*(C1126:C1147=TRUE))/B1152,0)</f>
        <v/>
      </c>
    </row>
    <row r="1158">
      <c r="A1158" t="inlineStr">
        <is>
          <t>Boss-Only Total DPS (this block's swept value)</t>
        </is>
      </c>
      <c r="B1158">
        <f>SUM(T1126:T1147)</f>
        <v/>
      </c>
    </row>
    <row r="1159">
      <c r="A1159" t="inlineStr">
        <is>
          <t>Normal-Only Total DPS (this block's swept value)</t>
        </is>
      </c>
      <c r="B1159">
        <f>SUM(V1126:V1147)</f>
        <v/>
      </c>
    </row>
    <row r="1160">
      <c r="A1160" s="6" t="inlineStr">
        <is>
          <t>TOTAL DPS</t>
        </is>
      </c>
      <c r="B1160" s="6">
        <f>SUM(O1126:O1147)</f>
        <v/>
      </c>
    </row>
    <row r="1163">
      <c r="A1163" s="6" t="inlineStr">
        <is>
          <t>Stat: Shamaness Marble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1183=TRUE)*(F1183-Calc!F20)),(Inputs!$B$23+0+(IF(ArtifactsInput!$M$15,CHOOSE(ArtifactsInput!$N$15+1,25,30,35,40,45,50)/100*(Inputs!$B$11-Inputs!$B$11),0))))/100+(Inputs!$B$23+0+(IF(ArtifactsInput!$M$15,CHOOSE(ArtifactsInput!$N$15+1,25,30,35,40,45,50)/100*(Inputs!$B$11-Inputs!$B$11),0)))/100)/2</f>
        <v/>
      </c>
      <c r="M1165">
        <f>L1165*(1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IF(B1199=0,0,O1165/B1199)</f>
        <v/>
      </c>
      <c r="Q1165" t="n">
        <v>0</v>
      </c>
      <c r="R1165" t="n">
        <v>0</v>
      </c>
      <c r="S1165">
        <f>IFERROR(O1165/N1165,0)</f>
        <v/>
      </c>
      <c r="T1165">
        <f>IF(C1165,(Skills!G2*N1165*B1193)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IF(C1165,(Skills!G2*N1165*B1193)*IF(Inputs!$B$38="pvp",1,(1+(Inputs!$B$21+Skills!Q2+(IF(ArtifactsInput!$M$33,CHOOSE(ArtifactsInput!$N$33+1,30,36,42,48,54,60),0))+(IF(AND(ArtifactsInput!$M$35,Inputs!$B$4&lt;&gt;"Chapter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Inputs!$B$3&gt;=35</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f>Skills!G3*IF(Skills!H3&gt;0,Skills!I3/Skills!H3,1)</f>
        <v/>
      </c>
      <c r="H1166">
        <f>1-(1-Skills!J3/100)^Skills!K3</f>
        <v/>
      </c>
      <c r="I1166" t="inlineStr">
        <is>
          <t>1</t>
        </is>
      </c>
      <c r="J1166">
        <f>((Inputs!$B$6*(1+Inputs!$B$7/100))+(((Inputs!$B$12*(1+Inputs!$B$13/100))-(Inputs!$B$12*(1+Inputs!$B$13/100)))+0.25*(Inputs!$B$14-Inputs!$B$14))*(1+Inputs!$B$7/100))*(F1166/100)</f>
        <v/>
      </c>
      <c r="K1166">
        <f>J1166*(1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1166)</f>
        <v/>
      </c>
      <c r="L1166">
        <f>K1166*(MIN(Inputs!$B$22+((C1183=TRUE)*(F1183-Calc!F20)),(Inputs!$B$23+0+(IF(ArtifactsInput!$M$15,CHOOSE(ArtifactsInput!$N$15+1,25,30,35,40,45,50)/100*(Inputs!$B$11-Inputs!$B$11),0))))/100+(Inputs!$B$23+0+(IF(ArtifactsInput!$M$15,CHOOSE(ArtifactsInput!$N$15+1,25,30,35,40,45,50)/100*(Inputs!$B$11-Inputs!$B$11),0)))/100)/2</f>
        <v/>
      </c>
      <c r="M1166">
        <f>L1166*(1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6">
        <f>L1166*(1-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1166*(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6">
        <f>(1-Summary!$B$11)*T1166+Summary!$B$11*V1166</f>
        <v/>
      </c>
      <c r="P1166">
        <f>IF(B1199=0,0,O1166/B1199)</f>
        <v/>
      </c>
      <c r="Q1166" t="n">
        <v>0</v>
      </c>
      <c r="R1166" t="n">
        <v>0</v>
      </c>
      <c r="S1166">
        <f>IFERROR(O1166/N1166,0)</f>
        <v/>
      </c>
      <c r="T1166">
        <f>IF(C1166,(Skills!G3*H1166*N1166*B1193)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6">
        <f>INDEX(FactorTable!$B$2:$Y$301, MATCH(ROUND(MIN(300,MAX(1,U1165)),0), FactorTable!$A$2:$A$301,0), 22)</f>
        <v/>
      </c>
      <c r="V1166">
        <f>IF(C1166,(Skills!G3*H1166*N1166*B1193)*IF(Inputs!$B$38="pvp",1,(1+(Inputs!$B$21+Skills!Q3+(IF(ArtifactsInput!$M$33,CHOOSE(ArtifactsInput!$N$33+1,30,36,42,48,54,60),0))+(IF(AND(ArtifactsInput!$M$35,Inputs!$B$4&lt;&gt;"Chapter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7">
      <c r="A1167">
        <f>Skills!A4</f>
        <v/>
      </c>
      <c r="B1167">
        <f>Skills!B4</f>
        <v/>
      </c>
      <c r="C1167">
        <f>Inputs!$B$3&gt;=60</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4="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1183=TRUE)*(F1183-Calc!F20)),(Inputs!$B$23+0+(IF(ArtifactsInput!$M$15,CHOOSE(ArtifactsInput!$N$15+1,25,30,35,40,45,50)/100*(Inputs!$B$11-Inputs!$B$11),0))))/100+(Inputs!$B$23+0+(IF(ArtifactsInput!$M$15,CHOOSE(ArtifactsInput!$N$15+1,25,30,35,40,45,50)/100*(Inputs!$B$11-Inputs!$B$11),0)))/100)/2</f>
        <v/>
      </c>
      <c r="M1167">
        <f>L1167*(1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IF(B1199=0,0,O1167/B1199)</f>
        <v/>
      </c>
      <c r="Q1167" t="n">
        <v>0</v>
      </c>
      <c r="R1167" t="n">
        <v>0</v>
      </c>
      <c r="S1167">
        <f>IFERROR(O1167/N1167,0)</f>
        <v/>
      </c>
      <c r="T1167">
        <f>IF(C1167,(Skills!G4*H1167*N1167*B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IF(C1167,(Skills!G4*H1167*N1167*B1193)*IF(Inputs!$B$38="pvp",1,(1+(Inputs!$B$21+Skills!Q4+(IF(ArtifactsInput!$M$33,CHOOSE(ArtifactsInput!$N$33+1,30,36,42,48,54,60),0))+(IF(AND(ArtifactsInput!$M$35,Inputs!$B$4&lt;&gt;"Chapter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Inputs!$B$3&gt;=60</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t="inlineStr"/>
      <c r="K1168" t="inlineStr"/>
      <c r="L1168" t="inlineStr"/>
      <c r="M1168" t="inlineStr"/>
      <c r="N1168" t="inlineStr"/>
      <c r="O1168">
        <f>(1-Summary!$B$11)*T1168+Summary!$B$11*V1168</f>
        <v/>
      </c>
      <c r="P1168">
        <f>IF(B1199=0,0,O1168/B1199)</f>
        <v/>
      </c>
      <c r="Q1168" t="n">
        <v>0</v>
      </c>
      <c r="R1168" t="n">
        <v>0</v>
      </c>
      <c r="S1168">
        <f>IFERROR(O1168/N1168,0)</f>
        <v/>
      </c>
      <c r="T1168" t="n">
        <v>0</v>
      </c>
      <c r="V1168" t="n">
        <v>0</v>
      </c>
    </row>
    <row r="1169">
      <c r="A1169">
        <f>Skills!A6</f>
        <v/>
      </c>
      <c r="B1169">
        <f>Skills!B6</f>
        <v/>
      </c>
      <c r="C1169">
        <f>Inputs!$B$3&gt;=63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1183=TRUE)*(F1183-Calc!F20)),(Inputs!$B$23+0+(IF(ArtifactsInput!$M$15,CHOOSE(ArtifactsInput!$N$15+1,25,30,35,40,45,50)/100*(Inputs!$B$11-Inputs!$B$11),0))))/100+(Inputs!$B$23+0+(IF(ArtifactsInput!$M$15,CHOOSE(ArtifactsInput!$N$15+1,25,30,35,40,45,50)/100*(Inputs!$B$11-Inputs!$B$11),0)))/100)/2</f>
        <v/>
      </c>
      <c r="M1169">
        <f>L1169*(1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IF(B1199=0,0,O1169/B1199)</f>
        <v/>
      </c>
      <c r="Q1169">
        <f>IFERROR(1/(IF(Inputs!$B$38="pvp",15,MAX(0.1,Skills!D6-IF(Skills!E6=TRUE,Inputs!$B$32,0)))*(1-IF(AND(ArtifactsInput!$M$27,Inputs!$B$4="Chapter Hunt"),CHOOSE(ArtifactsInput!$N$27+1,20,24,28,32,36,40),0)/100)),0)</f>
        <v/>
      </c>
      <c r="R1169">
        <f>IF(AND(Inputs!$B$38&lt;&gt;"pvp",Inputs!$B$43&gt;0),IF(MAX(0,Inputs!$B$43-B1196)&lt;=0,0,(INT(MAX(0,Inputs!$B$43-B1196)/(IF(Inputs!$B$38="pvp",15,MAX(0.1,Skills!D6-IF(Skills!E6=TRUE,Inputs!$B$32,0)))*(1-IF(AND(ArtifactsInput!$M$27,Inputs!$B$4="Chapter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Inputs!$B$3&gt;=100</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1183=TRUE)*(F1183-Calc!F20)),(Inputs!$B$23+0+(IF(ArtifactsInput!$M$15,CHOOSE(ArtifactsInput!$N$15+1,25,30,35,40,45,50)/100*(Inputs!$B$11-Inputs!$B$11),0))))/100+(Inputs!$B$23+0+(IF(ArtifactsInput!$M$15,CHOOSE(ArtifactsInput!$N$15+1,25,30,35,40,45,50)/100*(Inputs!$B$11-Inputs!$B$11),0)))/100)/2</f>
        <v/>
      </c>
      <c r="M1170">
        <f>L1170*(1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IF(B1199=0,0,O1170/B1199)</f>
        <v/>
      </c>
      <c r="Q1170">
        <f>IFERROR(1/(IF(Inputs!$B$38="pvp",15,MAX(0.1,Skills!D7-IF(Skills!E7=TRUE,Inputs!$B$32,0)))*(1-IF(AND(ArtifactsInput!$M$27,Inputs!$B$4="Chapter Hunt"),CHOOSE(ArtifactsInput!$N$27+1,20,24,28,32,36,40),0)/100)),0)</f>
        <v/>
      </c>
      <c r="R1170">
        <f>IF(AND(Inputs!$B$38&lt;&gt;"pvp",Inputs!$B$43&gt;0),IF(MAX(0,Inputs!$B$43-B1196)&lt;=0,0,(INT(MAX(0,Inputs!$B$43-B1196)/(IF(Inputs!$B$38="pvp",15,MAX(0.1,Skills!D7-IF(Skills!E7=TRUE,Inputs!$B$32,0)))*(1-IF(AND(ArtifactsInput!$M$27,Inputs!$B$4="Chapter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Inputs!$B$3&gt;=110</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1183=TRUE)*(F1183-Calc!F20)),(Inputs!$B$23+0+(IF(ArtifactsInput!$M$15,CHOOSE(ArtifactsInput!$N$15+1,25,30,35,40,45,50)/100*(Inputs!$B$11-Inputs!$B$11),0))))/100+(Inputs!$B$23+0+(IF(ArtifactsInput!$M$15,CHOOSE(ArtifactsInput!$N$15+1,25,30,35,40,45,50)/100*(Inputs!$B$11-Inputs!$B$11),0)))/100)/2</f>
        <v/>
      </c>
      <c r="M1171">
        <f>L1171*(1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IF(B1199=0,0,O1171/B1199)</f>
        <v/>
      </c>
      <c r="Q1171">
        <f>IFERROR(1/(IF(Inputs!$B$38="pvp",15,MAX(0.1,Skills!D8-IF(Skills!E8=TRUE,Inputs!$B$32,0)))*(1-IF(AND(ArtifactsInput!$M$27,Inputs!$B$4="Chapter Hunt"),CHOOSE(ArtifactsInput!$N$27+1,20,24,28,32,36,40),0)/100)),0)</f>
        <v/>
      </c>
      <c r="R1171">
        <f>IF(AND(Inputs!$B$38&lt;&gt;"pvp",Inputs!$B$43&gt;0),IF(MAX(0,Inputs!$B$43-B1196)&lt;=0,0,(INT(MAX(0,Inputs!$B$43-B1196)/(IF(Inputs!$B$38="pvp",15,MAX(0.1,Skills!D8-IF(Skills!E8=TRUE,Inputs!$B$32,0)))*(1-IF(AND(ArtifactsInput!$M$27,Inputs!$B$4="Chapter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Inputs!$B$3&gt;=110</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1183=TRUE)*(F1183-Calc!F20)),(Inputs!$B$23+0+(IF(ArtifactsInput!$M$15,CHOOSE(ArtifactsInput!$N$15+1,25,30,35,40,45,50)/100*(Inputs!$B$11-Inputs!$B$11),0))))/100+(Inputs!$B$23+0+(IF(ArtifactsInput!$M$15,CHOOSE(ArtifactsInput!$N$15+1,25,30,35,40,45,50)/100*(Inputs!$B$11-Inputs!$B$11),0)))/100)/2</f>
        <v/>
      </c>
      <c r="M1172">
        <f>L1172*(1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IF(B1199=0,0,O1172/B1199)</f>
        <v/>
      </c>
      <c r="Q1172">
        <f>IFERROR(1/(IF(Inputs!$B$38="pvp",15,MAX(0.1,Skills!D9-IF(Skills!E9=TRUE,Inputs!$B$32,0)))*(1-IF(AND(ArtifactsInput!$M$27,Inputs!$B$4="Chapter Hunt"),CHOOSE(ArtifactsInput!$N$27+1,20,24,28,32,36,40),0)/100)),0)</f>
        <v/>
      </c>
      <c r="R1172">
        <f>IF(AND(Inputs!$B$38&lt;&gt;"pvp",Inputs!$B$43&gt;0),IF(MAX(0,Inputs!$B$43-B1196)&lt;=0,0,(INT(MAX(0,Inputs!$B$43-B1196)/(IF(Inputs!$B$38="pvp",15,MAX(0.1,Skills!D9-IF(Skills!E9=TRUE,Inputs!$B$32,0)))*(1-IF(AND(ArtifactsInput!$M$27,Inputs!$B$4="Chapter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Inputs!$B$3&gt;=103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1183=TRUE)*(F1183-Calc!F20)),(Inputs!$B$23+0+(IF(ArtifactsInput!$M$15,CHOOSE(ArtifactsInput!$N$15+1,25,30,35,40,45,50)/100*(Inputs!$B$11-Inputs!$B$11),0))))/100+(Inputs!$B$23+0+(IF(ArtifactsInput!$M$15,CHOOSE(ArtifactsInput!$N$15+1,25,30,35,40,45,50)/100*(Inputs!$B$11-Inputs!$B$11),0)))/100)/2</f>
        <v/>
      </c>
      <c r="M1173">
        <f>L1173*(1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IF(B1199=0,0,O1173/B1199)</f>
        <v/>
      </c>
      <c r="Q1173">
        <f>IFERROR(1/(IF(Inputs!$B$38="pvp",15,MAX(0.1,Skills!D10-IF(Skills!E10=TRUE,Inputs!$B$32,0)))*(1-IF(AND(ArtifactsInput!$M$27,Inputs!$B$4="Chapter Hunt"),CHOOSE(ArtifactsInput!$N$27+1,20,24,28,32,36,40),0)/100)),0)</f>
        <v/>
      </c>
      <c r="R1173">
        <f>IF(AND(Inputs!$B$38&lt;&gt;"pvp",Inputs!$B$43&gt;0),IF(MAX(0,Inputs!$B$43-B1196)&lt;=0,0,(INT(MAX(0,Inputs!$B$43-B1196)/(IF(Inputs!$B$38="pvp",15,MAX(0.1,Skills!D10-IF(Skills!E10=TRUE,Inputs!$B$32,0)))*(1-IF(AND(ArtifactsInput!$M$27,Inputs!$B$4="Chapter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Inputs!$B$3&gt;=113</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1183=TRUE)*(F1183-Calc!F20)),(Inputs!$B$23+0+(IF(ArtifactsInput!$M$15,CHOOSE(ArtifactsInput!$N$15+1,25,30,35,40,45,50)/100*(Inputs!$B$11-Inputs!$B$11),0))))/100+(Inputs!$B$23+0+(IF(ArtifactsInput!$M$15,CHOOSE(ArtifactsInput!$N$15+1,25,30,35,40,45,50)/100*(Inputs!$B$11-Inputs!$B$11),0)))/100)/2</f>
        <v/>
      </c>
      <c r="M1174">
        <f>L1174*(1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IF(B1199=0,0,O1174/B1199)</f>
        <v/>
      </c>
      <c r="Q1174">
        <f>IFERROR(1/(IF(Inputs!$B$38="pvp",15,MAX(0.1,Skills!D11-IF(Skills!E11=TRUE,Inputs!$B$32,0)))*(1-IF(AND(ArtifactsInput!$M$27,Inputs!$B$4="Chapter Hunt"),CHOOSE(ArtifactsInput!$N$27+1,20,24,28,32,36,40),0)/100)),0)</f>
        <v/>
      </c>
      <c r="R1174">
        <f>IF(AND(Inputs!$B$38&lt;&gt;"pvp",Inputs!$B$43&gt;0),IF(MAX(0,Inputs!$B$43-B1196)&lt;=0,0,(INT(MAX(0,Inputs!$B$43-B1196)/(IF(Inputs!$B$38="pvp",15,MAX(0.1,Skills!D11-IF(Skills!E11=TRUE,Inputs!$B$32,0)))*(1-IF(AND(ArtifactsInput!$M$27,Inputs!$B$4="Chapter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c r="T1175" t="inlineStr"/>
      <c r="V1175" t="inlineStr"/>
    </row>
    <row r="1176">
      <c r="A1176">
        <f>Skills!A13</f>
        <v/>
      </c>
      <c r="B1176">
        <f>Skills!B13</f>
        <v/>
      </c>
      <c r="C1176">
        <f>Inputs!$B$3&gt;=66</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IF(B1199=0,0,O1176/B1199)</f>
        <v/>
      </c>
      <c r="Q1176" t="n">
        <v>0</v>
      </c>
      <c r="R1176" t="n">
        <v>0</v>
      </c>
      <c r="S1176">
        <f>IFERROR(O1176/N1176,0)</f>
        <v/>
      </c>
      <c r="T1176" t="n">
        <v>0</v>
      </c>
      <c r="V1176" t="n">
        <v>0</v>
      </c>
    </row>
    <row r="1177">
      <c r="A1177">
        <f>Skills!A14</f>
        <v/>
      </c>
      <c r="B1177">
        <f>Skills!B14</f>
        <v/>
      </c>
      <c r="C1177">
        <f>Inputs!$B$3&gt;=107</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IF(B1199=0,0,O1177/B1199)</f>
        <v/>
      </c>
      <c r="Q1177" t="n">
        <v>0</v>
      </c>
      <c r="R1177" t="n">
        <v>0</v>
      </c>
      <c r="S1177">
        <f>IFERROR(O1177/N1177,0)</f>
        <v/>
      </c>
      <c r="T1177" t="n">
        <v>0</v>
      </c>
      <c r="V1177" t="n">
        <v>0</v>
      </c>
    </row>
    <row r="1178">
      <c r="A1178">
        <f>Skills!A15</f>
        <v/>
      </c>
      <c r="B1178">
        <f>Skills!B15</f>
        <v/>
      </c>
      <c r="C1178">
        <f>Inputs!$B$3&gt;=115</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IF(B1199=0,0,O1178/B1199)</f>
        <v/>
      </c>
      <c r="Q1178" t="n">
        <v>0</v>
      </c>
      <c r="R1178" t="n">
        <v>0</v>
      </c>
      <c r="S1178">
        <f>IFERROR(O1178/N1178,0)</f>
        <v/>
      </c>
      <c r="T1178" t="n">
        <v>0</v>
      </c>
      <c r="V1178" t="n">
        <v>0</v>
      </c>
    </row>
    <row r="1179">
      <c r="A1179">
        <f>Skills!A16</f>
        <v/>
      </c>
      <c r="B1179">
        <f>Skills!B16</f>
        <v/>
      </c>
      <c r="C1179">
        <f>Inputs!$B$3&gt;=15</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IF(B1199=0,0,O1179/B1199)</f>
        <v/>
      </c>
      <c r="Q1179" t="n">
        <v>0</v>
      </c>
      <c r="R1179" t="n">
        <v>0</v>
      </c>
      <c r="S1179">
        <f>IFERROR(O1179/N1179,0)</f>
        <v/>
      </c>
      <c r="T1179" t="n">
        <v>0</v>
      </c>
      <c r="V1179" t="n">
        <v>0</v>
      </c>
    </row>
    <row r="1180">
      <c r="A1180">
        <f>Skills!A17</f>
        <v/>
      </c>
      <c r="B1180">
        <f>Skills!B17</f>
        <v/>
      </c>
      <c r="C1180">
        <f>Inputs!$B$3&gt;=10</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IF(B1199=0,0,O1180/B1199)</f>
        <v/>
      </c>
      <c r="Q1180" t="n">
        <v>0</v>
      </c>
      <c r="R1180" t="n">
        <v>0</v>
      </c>
      <c r="S1180">
        <f>IFERROR(O1180/N1180,0)</f>
        <v/>
      </c>
      <c r="T1180" t="n">
        <v>0</v>
      </c>
      <c r="V1180" t="n">
        <v>0</v>
      </c>
    </row>
    <row r="1181">
      <c r="A1181">
        <f>Skills!A18</f>
        <v/>
      </c>
      <c r="B1181">
        <f>Skills!B18</f>
        <v/>
      </c>
      <c r="C1181">
        <f>Inputs!$B$3&gt;=33</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IF(B1199=0,0,O1181/B1199)</f>
        <v/>
      </c>
      <c r="Q1181" t="n">
        <v>0</v>
      </c>
      <c r="R1181" t="n">
        <v>0</v>
      </c>
      <c r="S1181">
        <f>IFERROR(O1181/N1181,0)</f>
        <v/>
      </c>
      <c r="T1181" t="n">
        <v>0</v>
      </c>
      <c r="V1181" t="n">
        <v>0</v>
      </c>
    </row>
    <row r="1182">
      <c r="A1182">
        <f>Skills!A19</f>
        <v/>
      </c>
      <c r="B1182">
        <f>Skills!B19</f>
        <v/>
      </c>
      <c r="C1182">
        <f>Inputs!$B$3&gt;=40</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IF(B1199=0,0,O1182/B1199)</f>
        <v/>
      </c>
      <c r="Q1182" t="n">
        <v>0</v>
      </c>
      <c r="R1182" t="n">
        <v>0</v>
      </c>
      <c r="S1182">
        <f>IFERROR(O1182/N1182,0)</f>
        <v/>
      </c>
      <c r="T1182" t="n">
        <v>0</v>
      </c>
      <c r="V1182" t="n">
        <v>0</v>
      </c>
    </row>
    <row r="1183">
      <c r="A1183">
        <f>Skills!A20</f>
        <v/>
      </c>
      <c r="B1183">
        <f>Skills!B20</f>
        <v/>
      </c>
      <c r="C1183">
        <f>Inputs!$B$3&gt;=43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IF(B1199=0,0,O1183/B1199)</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IF(B1199=0,0,O1184/B1199)</f>
        <v/>
      </c>
      <c r="Q1184" t="n">
        <v>0</v>
      </c>
      <c r="R1184" t="n">
        <v>0</v>
      </c>
      <c r="S1184">
        <f>IFERROR(O1184/N1184,0)</f>
        <v/>
      </c>
      <c r="T1184" t="n">
        <v>0</v>
      </c>
      <c r="V1184" t="n">
        <v>0</v>
      </c>
    </row>
    <row r="1185">
      <c r="A1185">
        <f>Skills!A22</f>
        <v/>
      </c>
      <c r="B1185">
        <f>Skills!B22</f>
        <v/>
      </c>
      <c r="C1185">
        <f>Inputs!$B$3&gt;=75</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IF(B1199=0,0,O1185/B1199)</f>
        <v/>
      </c>
      <c r="Q1185" t="n">
        <v>0</v>
      </c>
      <c r="R1185" t="n">
        <v>0</v>
      </c>
      <c r="S1185">
        <f>IFERROR(O1185/N1185,0)</f>
        <v/>
      </c>
      <c r="T1185" t="n">
        <v>0</v>
      </c>
      <c r="V1185" t="n">
        <v>0</v>
      </c>
    </row>
    <row r="1186">
      <c r="A1186">
        <f>Skills!A23</f>
        <v/>
      </c>
      <c r="B1186">
        <f>Skills!B23</f>
        <v/>
      </c>
      <c r="C1186">
        <f>TRUE</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IF(B1199=0,0,O1186/B1199)</f>
        <v/>
      </c>
      <c r="Q1186">
        <f>IFERROR(1/(IF(Inputs!$B$38="pvp",15,MAX(0.1,Skills!D23-IF(Skills!E23=TRUE,Inputs!$B$32,0)))*(1-IF(AND(ArtifactsInput!$M$27,Inputs!$B$4="Chapter Hunt"),CHOOSE(ArtifactsInput!$N$27+1,20,24,28,32,36,40),0)/100)),0)</f>
        <v/>
      </c>
      <c r="R1186">
        <f>IF(AND(Inputs!$B$38&lt;&gt;"pvp",Inputs!$B$43&gt;0),IF(Inputs!$B$43&lt;=0,0,(INT(Inputs!$B$43/(IF(Inputs!$B$38="pvp",15,MAX(0.1,Skills!D23-IF(Skills!E23=TRUE,Inputs!$B$32,0)))*(1-IF(AND(ArtifactsInput!$M$27,Inputs!$B$4="Chapter Hunt"),CHOOSE(ArtifactsInput!$N$27+1,20,24,28,32,36,40),0)/100)))+1)),0)</f>
        <v/>
      </c>
      <c r="S1186">
        <f>IFERROR(O1186/N1186,0)</f>
        <v/>
      </c>
      <c r="T1186" t="n">
        <v>0</v>
      </c>
      <c r="V1186" t="n">
        <v>0</v>
      </c>
    </row>
    <row r="1188">
      <c r="A1188" t="inlineStr">
        <is>
          <t>Attack% Bucket Multiplier</t>
        </is>
      </c>
      <c r="B1188">
        <f>(1+(((C1176=TRUE)*F1176*5/7)+((C1182=TRUE)*(F1182-Calc!F19))+(IF(ArtifactsInput!$M$21,CHOOSE(ArtifactsInput!$N$21+1,25,30,35,40,45,50)*(IF(OR(Inputs!$B$4="Chapter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9">
      <c r="A1189" t="inlineStr">
        <is>
          <t>Global Crit Rate Bonus %</t>
        </is>
      </c>
      <c r="B1189" t="n">
        <v>0</v>
      </c>
    </row>
    <row r="1190">
      <c r="A1190" t="inlineStr">
        <is>
          <t>Attack Speed Buff Bonus % (Nimble Feet, duty-cycle averaged)</t>
        </is>
      </c>
      <c r="B1190">
        <f>((C1186=TRUE)*F1186*IF(AND(Inputs!$B$38&lt;&gt;"pvp",Inputs!$B$43&gt;0),(((R1186-1)*(Skills!T23*(1+Inputs!$B$34/100))+MIN((Skills!T23*(1+Inputs!$B$34/100)),MAX(0,Inputs!$B$43-((R1186-1)*Skills!D23))))/Inputs!$B$43),IF(Inputs!$B$38="pvp",MIN((Skills!T23*(1+Inputs!$B$34/100)),15)/15,(Skills!T23*(1+Inputs!$B$34/100))/Skills!D23)))</f>
        <v/>
      </c>
    </row>
    <row r="1191">
      <c r="A1191" t="inlineStr">
        <is>
          <t>Actions Per Second</t>
        </is>
      </c>
      <c r="B1191">
        <f>1+MIN(150,150*(1-(1-(Inputs!$B$11+((C1180=TRUE)*(F1180-Calc!F17))+((C1181=TRUE)*(F1181-Calc!F18)))/150)*(1-B1190/150)))/100</f>
        <v/>
      </c>
    </row>
    <row r="1192">
      <c r="A1192" t="inlineStr">
        <is>
          <t>Skill + Buff Cast Rate</t>
        </is>
      </c>
      <c r="B1192">
        <f>IF(AND(Inputs!$B$38&lt;&gt;"pvp",Inputs!$B$43&gt;0),SUMPRODUCT((Skills!E2:E23=TRUE)*(C1165:C1186=TRUE)*R1165:R1186*Skills!F2:F23)/Inputs!$B$43,SUMPRODUCT((Skills!E2:E23=TRUE)*(C1165:C1186=TRUE)*Q1165:Q1186*Skills!F2:F23))</f>
        <v/>
      </c>
    </row>
    <row r="1193">
      <c r="A1193" t="inlineStr">
        <is>
          <t>Hook Bomber Casts Per Second</t>
        </is>
      </c>
      <c r="B1193">
        <f>MAX(0,B1191-B1192)</f>
        <v/>
      </c>
    </row>
    <row r="1194">
      <c r="A1194" t="inlineStr">
        <is>
          <t>Global Critical Damage Bonus % (unused)</t>
        </is>
      </c>
      <c r="B1194" t="n">
        <v>0</v>
      </c>
    </row>
    <row r="1195">
      <c r="A1195" t="inlineStr">
        <is>
          <t>Global Final Damage Bonus % (Serpent Scale + Crossbones + Time Leap + Speed Infusion)</t>
        </is>
      </c>
      <c r="B1195">
        <f>((C1168=TRUE)*F1168*((10+IF(Inputs!$B$3&gt;=94,5,0))/((10+IF(Inputs!$B$3&gt;=94,5,0))+5/(B1193*(1+IF(Inputs!$B$3&gt;=104,1,0))))))+((C1177=TRUE)*F1177)+((C1178=TRUE)*F1178)+((Inputs!$B$3&gt;=110)*20*(B1191-1))</f>
        <v/>
      </c>
    </row>
    <row r="1196">
      <c r="A1196" t="inlineStr">
        <is>
          <t>Buff-Casting Startup Delay (s, fixed-duration only)</t>
        </is>
      </c>
      <c r="B1196">
        <f>IF(AND(Inputs!$B$38&lt;&gt;"pvp",Inputs!$B$43&gt;0),SUMPRODUCT((Skills!T2:T23&gt;0)*(Skills!E2:E23=TRUE)*(C1165:C1186=TRUE))/B1191,0)</f>
        <v/>
      </c>
    </row>
    <row r="1197">
      <c r="A1197" t="inlineStr">
        <is>
          <t>Boss-Only Total DPS (this block's swept value)</t>
        </is>
      </c>
      <c r="B1197">
        <f>SUM(T1165:T1186)</f>
        <v/>
      </c>
    </row>
    <row r="1198">
      <c r="A1198" t="inlineStr">
        <is>
          <t>Normal-Only Total DPS (this block's swept value)</t>
        </is>
      </c>
      <c r="B1198">
        <f>SUM(V1165:V1186)</f>
        <v/>
      </c>
    </row>
    <row r="1199">
      <c r="A1199" s="6" t="inlineStr">
        <is>
          <t>TOTAL DPS</t>
        </is>
      </c>
      <c r="B1199" s="6">
        <f>SUM(O1165:O1186)</f>
        <v/>
      </c>
    </row>
    <row r="1202">
      <c r="A1202" s="6" t="inlineStr">
        <is>
          <t>Stat: The Contract of Darkness (Equip)</t>
        </is>
      </c>
    </row>
    <row r="1203">
      <c r="A1203" s="5" t="inlineStr">
        <is>
          <t>Key</t>
        </is>
      </c>
      <c r="B1203" s="5" t="inlineStr">
        <is>
          <t>Name</t>
        </is>
      </c>
      <c r="C1203" s="5" t="inlineStr">
        <is>
          <t>Unlocked</t>
        </is>
      </c>
      <c r="D1203" s="5" t="inlineStr">
        <is>
          <t>InputLevel</t>
        </is>
      </c>
      <c r="E1203" s="5" t="inlineStr">
        <is>
          <t>Factor</t>
        </is>
      </c>
      <c r="F1203" s="5" t="inlineStr">
        <is>
          <t>CoefficientPercent</t>
        </is>
      </c>
      <c r="G1203" s="5" t="inlineStr">
        <is>
          <t>EffectiveHits</t>
        </is>
      </c>
      <c r="H1203" s="5" t="inlineStr">
        <is>
          <t>ProcProbability</t>
        </is>
      </c>
      <c r="I1203" s="5" t="inlineStr">
        <is>
          <t>MapleHeroMultiplier</t>
        </is>
      </c>
      <c r="J1203" s="5" t="inlineStr">
        <is>
          <t>BaseDamage</t>
        </is>
      </c>
      <c r="K1203" s="5" t="inlineStr">
        <is>
          <t>BaseHitDamage</t>
        </is>
      </c>
      <c r="L1203" s="5" t="inlineStr">
        <is>
          <t>NonCritAvg</t>
        </is>
      </c>
      <c r="M1203" s="5" t="inlineStr">
        <is>
          <t>CritAvg</t>
        </is>
      </c>
      <c r="N1203" s="5" t="inlineStr">
        <is>
          <t>ExpectedDamage(perHit)</t>
        </is>
      </c>
      <c r="O1203" s="5" t="inlineStr">
        <is>
          <t>DPS</t>
        </is>
      </c>
      <c r="P1203" s="5" t="inlineStr">
        <is>
          <t>% of Total</t>
        </is>
      </c>
      <c r="Q1203" s="5" t="inlineStr">
        <is>
          <t>InvCooldown</t>
        </is>
      </c>
      <c r="R1203" s="5" t="inlineStr">
        <is>
          <t>CastsInFight</t>
        </is>
      </c>
      <c r="S1203" s="5" t="inlineStr">
        <is>
          <t>HitRate(perSec)</t>
        </is>
      </c>
      <c r="U1203" t="inlineStr">
        <is>
          <t>helpers</t>
        </is>
      </c>
    </row>
    <row r="1204">
      <c r="A1204">
        <f>Skills!A2</f>
        <v/>
      </c>
      <c r="B1204">
        <f>Skills!B2</f>
        <v/>
      </c>
      <c r="C1204">
        <f>Inputs!$B$3&gt;=100</f>
        <v/>
      </c>
      <c r="D1204" t="inlineStr"/>
      <c r="E1204" t="inlineStr"/>
      <c r="F1204">
        <f>U1206+Skills!O2</f>
        <v/>
      </c>
      <c r="G1204">
        <f>Skills!G2*IF(Skills!H2&gt;0,Skills!I2/Skills!H2,1)</f>
        <v/>
      </c>
      <c r="H1204">
        <f>1-(1-Skills!J2/100)^Skills!K2</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1222=TRUE)*(F1222-Calc!F20)),(Inputs!$B$23+0+(IF(ArtifactsInput!$M$15,CHOOSE(ArtifactsInput!$N$15+1,25,30,35,40,45,50)/100*(Inputs!$B$11-Inputs!$B$11),0))))/100+(Inputs!$B$23+0+(IF(ArtifactsInput!$M$15,CHOOSE(ArtifactsInput!$N$15+1,25,30,35,40,45,50)/100*(Inputs!$B$11-Inputs!$B$11),0)))/100)/2</f>
        <v/>
      </c>
      <c r="M1204">
        <f>L1204*(1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IF(B1238=0,0,O1204/B1238)</f>
        <v/>
      </c>
      <c r="Q1204" t="n">
        <v>0</v>
      </c>
      <c r="R1204" t="n">
        <v>0</v>
      </c>
      <c r="S1204">
        <f>IFERROR(O1204/N1204,0)</f>
        <v/>
      </c>
      <c r="T1204">
        <f>IF(C1204,(Skills!G2*N1204*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4">
        <f>MAX(0,(Inputs!$B$3-100)*3)+Inputs!$B$28+Inputs!$B$29</f>
        <v/>
      </c>
      <c r="V1204">
        <f>IF(C1204,(Skills!G2*N1204*B1232)*IF(Inputs!$B$38="pvp",1,(1+(Inputs!$B$21+Skills!Q2+(IF(ArtifactsInput!$M$33,CHOOSE(ArtifactsInput!$N$33+1,30,36,42,48,54,60),0))+(IF(AND(ArtifactsInput!$M$35,Inputs!$B$4&lt;&gt;"Chapter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Skills!A3</f>
        <v/>
      </c>
      <c r="B1205">
        <f>Skills!B3</f>
        <v/>
      </c>
      <c r="C1205">
        <f>Inputs!$B$3&gt;=35</f>
        <v/>
      </c>
      <c r="D1205">
        <f>IF(Skills!C3=1,60+Inputs!$B$25+Inputs!$B$29,IF(Skills!C3=2,90+Inputs!$B$26+Inputs!$B$29,IF(Skills!C3=3,120+Inputs!$B$27+Inputs!$B$29,MAX(0,(Inputs!$B$3-100)*3)+Inputs!$B$28+Inputs!$B$29)))</f>
        <v/>
      </c>
      <c r="E1205">
        <f>INDEX(FactorTable!$B$2:$Y$301, MATCH(ROUND(MIN(300,MAX(1,D1205)),0), FactorTable!$A$2:$A$301,0), Skills!M3+1)</f>
        <v/>
      </c>
      <c r="F1205">
        <f>IF(Skills!N3=TRUE,(Skills!L3/10)*(E1205/1000),Skills!L3/10)+Skills!O3</f>
        <v/>
      </c>
      <c r="G1205">
        <f>Skills!G3*IF(Skills!H3&gt;0,Skills!I3/Skills!H3,1)</f>
        <v/>
      </c>
      <c r="H1205">
        <f>1-(1-Skills!J3/100)^Skills!K3</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1222=TRUE)*(F1222-Calc!F20)),(Inputs!$B$23+0+(IF(ArtifactsInput!$M$15,CHOOSE(ArtifactsInput!$N$15+1,25,30,35,40,45,50)/100*(Inputs!$B$11-Inputs!$B$11),0))))/100+(Inputs!$B$23+0+(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t="n">
        <v>0</v>
      </c>
      <c r="R1205" t="n">
        <v>0</v>
      </c>
      <c r="S1205">
        <f>IFERROR(O1205/N1205,0)</f>
        <v/>
      </c>
      <c r="T1205">
        <f>IF(C1205,(Skills!G3*H1205*N1205*B1232)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5">
        <f>INDEX(FactorTable!$B$2:$Y$301, MATCH(ROUND(MIN(300,MAX(1,U1204)),0), FactorTable!$A$2:$A$301,0), 22)</f>
        <v/>
      </c>
      <c r="V1205">
        <f>IF(C1205,(Skills!G3*H1205*N1205*B1232)*IF(Inputs!$B$38="pvp",1,(1+(Inputs!$B$21+Skills!Q3+(IF(ArtifactsInput!$M$33,CHOOSE(ArtifactsInput!$N$33+1,30,36,42,48,54,60),0))+(IF(AND(ArtifactsInput!$M$35,Inputs!$B$4&lt;&gt;"Chapter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Skills!A4</f>
        <v/>
      </c>
      <c r="B1206">
        <f>Skills!B4</f>
        <v/>
      </c>
      <c r="C1206">
        <f>Inputs!$B$3&gt;=60</f>
        <v/>
      </c>
      <c r="D1206">
        <f>IF(Skills!C4=1,60+Inputs!$B$25+Inputs!$B$29,IF(Skills!C4=2,90+Inputs!$B$26+Inputs!$B$29,IF(Skills!C4=3,120+Inputs!$B$27+Inputs!$B$29,MAX(0,(Inputs!$B$3-100)*3)+Inputs!$B$28+Inputs!$B$29)))</f>
        <v/>
      </c>
      <c r="E1206">
        <f>INDEX(FactorTable!$B$2:$Y$301, MATCH(ROUND(MIN(300,MAX(1,D1206)),0), FactorTable!$A$2:$A$301,0), Skills!M4+1)</f>
        <v/>
      </c>
      <c r="F1206">
        <f>IF(Skills!N4=TRUE,(Skills!L4/10)*(E1206/1000),Skills!L4/10)+Skills!O4</f>
        <v/>
      </c>
      <c r="G1206">
        <f>Skills!G4*IF(Skills!H4&gt;0,Skills!I4/Skills!H4,1)</f>
        <v/>
      </c>
      <c r="H1206">
        <f>1-(1-Skills!J4/100)^Skills!K4</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1214=TRUE,F1214,0)/100)*(1+(IF(Skills!A4="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1222=TRUE)*(F1222-Calc!F20)),(Inputs!$B$23+0+(IF(ArtifactsInput!$M$15,CHOOSE(ArtifactsInput!$N$15+1,25,30,35,40,45,50)/100*(Inputs!$B$11-Inputs!$B$11),0))))/100+(Inputs!$B$23+0+(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f>IFERROR(O1206/N1206,0)</f>
        <v/>
      </c>
      <c r="T1206">
        <f>IF(C1206,(Skills!G4*H1206*N1206*B1232)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290*U1205/1000</f>
        <v/>
      </c>
      <c r="V1206">
        <f>IF(C1206,(Skills!G4*H1206*N1206*B1232)*IF(Inputs!$B$38="pvp",1,(1+(Inputs!$B$21+Skills!Q4+(IF(ArtifactsInput!$M$33,CHOOSE(ArtifactsInput!$N$33+1,30,36,42,48,54,60),0))+(IF(AND(ArtifactsInput!$M$35,Inputs!$B$4&lt;&gt;"Chapter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Skills!A5</f>
        <v/>
      </c>
      <c r="B1207">
        <f>Skills!B5</f>
        <v/>
      </c>
      <c r="C1207">
        <f>Inputs!$B$3&gt;=60</f>
        <v/>
      </c>
      <c r="D1207">
        <f>IF(Skills!C5=1,60+Inputs!$B$25+Inputs!$B$29,IF(Skills!C5=2,90+Inputs!$B$26+Inputs!$B$29,IF(Skills!C5=3,120+Inputs!$B$27+Inputs!$B$29,MAX(0,(Inputs!$B$3-100)*3)+Inputs!$B$28+Inputs!$B$29)))</f>
        <v/>
      </c>
      <c r="E1207">
        <f>INDEX(FactorTable!$B$2:$Y$301, MATCH(ROUND(MIN(300,MAX(1,D1207)),0), FactorTable!$A$2:$A$301,0), Skills!M5+1)</f>
        <v/>
      </c>
      <c r="F1207">
        <f>IF(Skills!N5=TRUE,(Skills!L5/10)*(E1207/1000),Skills!L5/10)+Skills!O5</f>
        <v/>
      </c>
      <c r="G1207">
        <f>Skills!G5*IF(Skills!H5&gt;0,Skills!I5/Skills!H5,1)</f>
        <v/>
      </c>
      <c r="H1207">
        <f>1-(1-Skills!J5/100)^Skills!K5</f>
        <v/>
      </c>
      <c r="I1207" t="inlineStr">
        <is>
          <t>1</t>
        </is>
      </c>
      <c r="J1207" t="inlineStr"/>
      <c r="K1207" t="inlineStr"/>
      <c r="L1207" t="inlineStr"/>
      <c r="M1207" t="inlineStr"/>
      <c r="N1207" t="inlineStr"/>
      <c r="O1207">
        <f>(1-Summary!$B$11)*T1207+Summary!$B$11*V1207</f>
        <v/>
      </c>
      <c r="P1207">
        <f>IF(B1238=0,0,O1207/B1238)</f>
        <v/>
      </c>
      <c r="Q1207" t="n">
        <v>0</v>
      </c>
      <c r="R1207" t="n">
        <v>0</v>
      </c>
      <c r="S1207">
        <f>IFERROR(O1207/N1207,0)</f>
        <v/>
      </c>
      <c r="T1207" t="n">
        <v>0</v>
      </c>
      <c r="V1207" t="n">
        <v>0</v>
      </c>
    </row>
    <row r="1208">
      <c r="A1208">
        <f>Skills!A6</f>
        <v/>
      </c>
      <c r="B1208">
        <f>Skills!B6</f>
        <v/>
      </c>
      <c r="C1208">
        <f>Inputs!$B$3&gt;=63</f>
        <v/>
      </c>
      <c r="D1208">
        <f>IF(Skills!C6=1,60+Inputs!$B$25+Inputs!$B$29,IF(Skills!C6=2,90+Inputs!$B$26+Inputs!$B$29,IF(Skills!C6=3,120+Inputs!$B$27+Inputs!$B$29,MAX(0,(Inputs!$B$3-100)*3)+Inputs!$B$28+Inputs!$B$29)))</f>
        <v/>
      </c>
      <c r="E1208">
        <f>INDEX(FactorTable!$B$2:$Y$301, MATCH(ROUND(MIN(300,MAX(1,D1208)),0), FactorTable!$A$2:$A$301,0), Skills!M6+1)</f>
        <v/>
      </c>
      <c r="F1208">
        <f>IF(Skills!N6=TRUE,(Skills!L6/10)*(E1208/1000),Skills!L6/10)+Skills!O6</f>
        <v/>
      </c>
      <c r="G1208">
        <f>Skills!G6*IF(Skills!H6&gt;0,Skills!I6/Skills!H6,1)</f>
        <v/>
      </c>
      <c r="H1208">
        <f>1-(1-Skills!J6/100)^Skills!K6</f>
        <v/>
      </c>
      <c r="I1208" t="inlineStr">
        <is>
          <t>1</t>
        </is>
      </c>
      <c r="J1208">
        <f>((Inputs!$B$6*(1+Inputs!$B$7/100))+(((Inputs!$B$12*(1+Inputs!$B$13/100))-(Inputs!$B$12*(1+Inputs!$B$13/100)))+0.25*(Inputs!$B$14-Inputs!$B$14))*(1+Inputs!$B$7/100))*(F1208/100)</f>
        <v/>
      </c>
      <c r="K1208">
        <f>J1208*(1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1222=TRUE)*(F1222-Calc!F20)),(Inputs!$B$23+0+(IF(ArtifactsInput!$M$15,CHOOSE(ArtifactsInput!$N$15+1,25,30,35,40,45,50)/100*(Inputs!$B$11-Inputs!$B$11),0))))/100+(Inputs!$B$23+0+(IF(ArtifactsInput!$M$15,CHOOSE(ArtifactsInput!$N$15+1,25,30,35,40,45,50)/100*(Inputs!$B$11-Inputs!$B$11),0)))/100)/2</f>
        <v/>
      </c>
      <c r="M1208">
        <f>L1208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IF(B1238=0,0,O1208/B1238)</f>
        <v/>
      </c>
      <c r="Q1208">
        <f>IFERROR(1/(IF(Inputs!$B$38="pvp",15,MAX(0.1,Skills!D6-IF(Skills!E6=TRUE,Inputs!$B$32,0)))*(1-IF(AND(ArtifactsInput!$M$27,Inputs!$B$4="Chapter Hunt"),CHOOSE(ArtifactsInput!$N$27+1,20,24,28,32,36,40),0)/100)),0)</f>
        <v/>
      </c>
      <c r="R1208">
        <f>IF(AND(Inputs!$B$38&lt;&gt;"pvp",Inputs!$B$43&gt;0),IF(MAX(0,Inputs!$B$43-B1235)&lt;=0,0,(INT(MAX(0,Inputs!$B$43-B1235)/(IF(Inputs!$B$38="pvp",15,MAX(0.1,Skills!D6-IF(Skills!E6=TRUE,Inputs!$B$32,0)))*(1-IF(AND(ArtifactsInput!$M$27,Inputs!$B$4="Chapter Hunt"),CHOOSE(ArtifactsInput!$N$27+1,20,24,28,32,36,40),0)/100)))+1)),0)</f>
        <v/>
      </c>
      <c r="S1208">
        <f>IFERROR(O1208/N1208,0)</f>
        <v/>
      </c>
      <c r="T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Skills!A7</f>
        <v/>
      </c>
      <c r="B1209">
        <f>Skills!B7</f>
        <v/>
      </c>
      <c r="C1209">
        <f>Inputs!$B$3&gt;=100</f>
        <v/>
      </c>
      <c r="D1209">
        <f>IF(Skills!C7=1,60+Inputs!$B$25+Inputs!$B$29,IF(Skills!C7=2,90+Inputs!$B$26+Inputs!$B$29,IF(Skills!C7=3,120+Inputs!$B$27+Inputs!$B$29,MAX(0,(Inputs!$B$3-100)*3)+Inputs!$B$28+Inputs!$B$29)))</f>
        <v/>
      </c>
      <c r="E1209">
        <f>INDEX(FactorTable!$B$2:$Y$301, MATCH(ROUND(MIN(300,MAX(1,D1209)),0), FactorTable!$A$2:$A$301,0), Skills!M7+1)</f>
        <v/>
      </c>
      <c r="F1209">
        <f>IF(Skills!N7=TRUE,(Skills!L7/10)*(E1209/1000),Skills!L7/10)+Skills!O7</f>
        <v/>
      </c>
      <c r="G1209">
        <f>Skills!G7*IF(Skills!H7&gt;0,Skills!I7/Skills!H7,1)</f>
        <v/>
      </c>
      <c r="H1209">
        <f>1-(1-Skills!J7/100)^Skills!K7</f>
        <v/>
      </c>
      <c r="I1209" t="inlineStr">
        <is>
          <t>1</t>
        </is>
      </c>
      <c r="J1209">
        <f>((Inputs!$B$6*(1+Inputs!$B$7/100))+(((Inputs!$B$12*(1+Inputs!$B$13/100))-(Inputs!$B$12*(1+Inputs!$B$13/100)))+0.25*(Inputs!$B$14-Inputs!$B$14))*(1+Inputs!$B$7/100))*(F1209/100)</f>
        <v/>
      </c>
      <c r="K1209">
        <f>J1209*(1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1222=TRUE)*(F1222-Calc!F20)),(Inputs!$B$23+0+(IF(ArtifactsInput!$M$15,CHOOSE(ArtifactsInput!$N$15+1,25,30,35,40,45,50)/100*(Inputs!$B$11-Inputs!$B$11),0))))/100+(Inputs!$B$23+0+(IF(ArtifactsInput!$M$15,CHOOSE(ArtifactsInput!$N$15+1,25,30,35,40,45,50)/100*(Inputs!$B$11-Inputs!$B$11),0)))/100)/2</f>
        <v/>
      </c>
      <c r="M1209">
        <f>L1209*(1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IF(B1238=0,0,O1209/B1238)</f>
        <v/>
      </c>
      <c r="Q1209">
        <f>IFERROR(1/(IF(Inputs!$B$38="pvp",15,MAX(0.1,Skills!D7-IF(Skills!E7=TRUE,Inputs!$B$32,0)))*(1-IF(AND(ArtifactsInput!$M$27,Inputs!$B$4="Chapter Hunt"),CHOOSE(ArtifactsInput!$N$27+1,20,24,28,32,36,40),0)/100)),0)</f>
        <v/>
      </c>
      <c r="R1209">
        <f>IF(AND(Inputs!$B$38&lt;&gt;"pvp",Inputs!$B$43&gt;0),IF(MAX(0,Inputs!$B$43-B1235)&lt;=0,0,(INT(MAX(0,Inputs!$B$43-B1235)/(IF(Inputs!$B$38="pvp",15,MAX(0.1,Skills!D7-IF(Skills!E7=TRUE,Inputs!$B$32,0)))*(1-IF(AND(ArtifactsInput!$M$27,Inputs!$B$4="Chapter Hunt"),CHOOSE(ArtifactsInput!$N$27+1,20,24,28,32,36,40),0)/100)))+1)),0)</f>
        <v/>
      </c>
      <c r="S1209">
        <f>IFERROR(O1209/N1209,0)</f>
        <v/>
      </c>
      <c r="T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Skills!A8</f>
        <v/>
      </c>
      <c r="B1210">
        <f>Skills!B8</f>
        <v/>
      </c>
      <c r="C1210">
        <f>Inputs!$B$3&gt;=110</f>
        <v/>
      </c>
      <c r="D1210">
        <f>IF(Skills!C8=1,60+Inputs!$B$25+Inputs!$B$29,IF(Skills!C8=2,90+Inputs!$B$26+Inputs!$B$29,IF(Skills!C8=3,120+Inputs!$B$27+Inputs!$B$29,MAX(0,(Inputs!$B$3-100)*3)+Inputs!$B$28+Inputs!$B$29)))</f>
        <v/>
      </c>
      <c r="E1210">
        <f>INDEX(FactorTable!$B$2:$Y$301, MATCH(ROUND(MIN(300,MAX(1,D1210)),0), FactorTable!$A$2:$A$301,0), Skills!M8+1)</f>
        <v/>
      </c>
      <c r="F1210">
        <f>IF(Skills!N8=TRUE,(Skills!L8/10)*(E1210/1000),Skills!L8/10)+Skills!O8</f>
        <v/>
      </c>
      <c r="G1210">
        <f>Skills!G8*IF(Skills!H8&gt;0,Skills!I8/Skills!H8,1)</f>
        <v/>
      </c>
      <c r="H1210">
        <f>1-(1-Skills!J8/100)^Skills!K8</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1222=TRUE)*(F1222-Calc!F20)),(Inputs!$B$23+0+(IF(ArtifactsInput!$M$15,CHOOSE(ArtifactsInput!$N$15+1,25,30,35,40,45,50)/100*(Inputs!$B$11-Inputs!$B$11),0))))/100+(Inputs!$B$23+0+(IF(ArtifactsInput!$M$15,CHOOSE(ArtifactsInput!$N$15+1,25,30,35,40,45,50)/100*(Inputs!$B$11-Inputs!$B$11),0)))/100)/2</f>
        <v/>
      </c>
      <c r="M1210">
        <f>L1210*(1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IF(B1238=0,0,O1210/B1238)</f>
        <v/>
      </c>
      <c r="Q1210">
        <f>IFERROR(1/(IF(Inputs!$B$38="pvp",15,MAX(0.1,Skills!D8-IF(Skills!E8=TRUE,Inputs!$B$32,0)))*(1-IF(AND(ArtifactsInput!$M$27,Inputs!$B$4="Chapter Hunt"),CHOOSE(ArtifactsInput!$N$27+1,20,24,28,32,36,40),0)/100)),0)</f>
        <v/>
      </c>
      <c r="R1210">
        <f>IF(AND(Inputs!$B$38&lt;&gt;"pvp",Inputs!$B$43&gt;0),IF(MAX(0,Inputs!$B$43-B1235)&lt;=0,0,(INT(MAX(0,Inputs!$B$43-B1235)/(IF(Inputs!$B$38="pvp",15,MAX(0.1,Skills!D8-IF(Skills!E8=TRUE,Inputs!$B$32,0)))*(1-IF(AND(ArtifactsInput!$M$27,Inputs!$B$4="Chapter Hunt"),CHOOSE(ArtifactsInput!$N$27+1,20,24,28,32,36,40),0)/100)))+1)),0)</f>
        <v/>
      </c>
      <c r="S1210">
        <f>IFERROR(O1210/N1210,0)</f>
        <v/>
      </c>
      <c r="T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$21+Skills!Q8+(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Skills!A9</f>
        <v/>
      </c>
      <c r="B1211">
        <f>Skills!B9</f>
        <v/>
      </c>
      <c r="C1211">
        <f>Inputs!$B$3&gt;=110</f>
        <v/>
      </c>
      <c r="D1211">
        <f>IF(Skills!C9=1,60+Inputs!$B$25+Inputs!$B$29,IF(Skills!C9=2,90+Inputs!$B$26+Inputs!$B$29,IF(Skills!C9=3,120+Inputs!$B$27+Inputs!$B$29,MAX(0,(Inputs!$B$3-100)*3)+Inputs!$B$28+Inputs!$B$29)))</f>
        <v/>
      </c>
      <c r="E1211">
        <f>INDEX(FactorTable!$B$2:$Y$301, MATCH(ROUND(MIN(300,MAX(1,D1211)),0), FactorTable!$A$2:$A$301,0), Skills!M9+1)</f>
        <v/>
      </c>
      <c r="F1211">
        <f>IF(Skills!N9=TRUE,(Skills!L9/10)*(E1211/1000),Skills!L9/10)+Skills!O9</f>
        <v/>
      </c>
      <c r="G1211">
        <f>Skills!G9*IF(Skills!H9&gt;0,Skills!I9/Skills!H9,1)</f>
        <v/>
      </c>
      <c r="H1211">
        <f>1-(1-Skills!J9/100)^Skills!K9</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1222=TRUE)*(F1222-Calc!F20)),(Inputs!$B$23+0+(IF(ArtifactsInput!$M$15,CHOOSE(ArtifactsInput!$N$15+1,25,30,35,40,45,50)/100*(Inputs!$B$11-Inputs!$B$11),0))))/100+(Inputs!$B$23+0+(IF(ArtifactsInput!$M$15,CHOOSE(ArtifactsInput!$N$15+1,25,30,35,40,45,50)/100*(Inputs!$B$11-Inputs!$B$11),0)))/100)/2</f>
        <v/>
      </c>
      <c r="M1211">
        <f>L1211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IF(B1238=0,0,O1211/B1238)</f>
        <v/>
      </c>
      <c r="Q1211">
        <f>IFERROR(1/(IF(Inputs!$B$38="pvp",15,MAX(0.1,Skills!D9-IF(Skills!E9=TRUE,Inputs!$B$32,0)))*(1-IF(AND(ArtifactsInput!$M$27,Inputs!$B$4="Chapter Hunt"),CHOOSE(ArtifactsInput!$N$27+1,20,24,28,32,36,40),0)/100)),0)</f>
        <v/>
      </c>
      <c r="R1211">
        <f>IF(AND(Inputs!$B$38&lt;&gt;"pvp",Inputs!$B$43&gt;0),IF(MAX(0,Inputs!$B$43-B1235)&lt;=0,0,(INT(MAX(0,Inputs!$B$43-B1235)/(IF(Inputs!$B$38="pvp",15,MAX(0.1,Skills!D9-IF(Skills!E9=TRUE,Inputs!$B$32,0)))*(1-IF(AND(ArtifactsInput!$M$27,Inputs!$B$4="Chapter Hunt"),CHOOSE(ArtifactsInput!$N$27+1,20,24,28,32,36,40),0)/100)))+1)),0)</f>
        <v/>
      </c>
      <c r="S1211">
        <f>IFERROR(O1211/N1211,0)</f>
        <v/>
      </c>
      <c r="T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Skills!A10</f>
        <v/>
      </c>
      <c r="B1212">
        <f>Skills!B10</f>
        <v/>
      </c>
      <c r="C1212">
        <f>Inputs!$B$3&gt;=103</f>
        <v/>
      </c>
      <c r="D1212">
        <f>IF(Skills!C10=1,60+Inputs!$B$25+Inputs!$B$29,IF(Skills!C10=2,90+Inputs!$B$26+Inputs!$B$29,IF(Skills!C10=3,120+Inputs!$B$27+Inputs!$B$29,MAX(0,(Inputs!$B$3-100)*3)+Inputs!$B$28+Inputs!$B$29)))</f>
        <v/>
      </c>
      <c r="E1212">
        <f>INDEX(FactorTable!$B$2:$Y$301, MATCH(ROUND(MIN(300,MAX(1,D1212)),0), FactorTable!$A$2:$A$301,0), Skills!M10+1)</f>
        <v/>
      </c>
      <c r="F1212">
        <f>IF(Skills!N10=TRUE,(Skills!L10/10)*(E1212/1000),Skills!L10/10)+Skills!O10</f>
        <v/>
      </c>
      <c r="G1212">
        <f>Skills!G10*IF(Skills!H10&gt;0,Skills!I10/Skills!H10,1)</f>
        <v/>
      </c>
      <c r="H1212">
        <f>1-(1-Skills!J10/100)^Skills!K10</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1222=TRUE)*(F1222-Calc!F20)),(Inputs!$B$23+0+(IF(ArtifactsInput!$M$15,CHOOSE(ArtifactsInput!$N$15+1,25,30,35,40,45,50)/100*(Inputs!$B$11-Inputs!$B$11),0))))/100+(Inputs!$B$23+0+(IF(ArtifactsInput!$M$15,CHOOSE(ArtifactsInput!$N$15+1,25,30,35,40,45,50)/100*(Inputs!$B$11-Inputs!$B$11),0)))/100)/2</f>
        <v/>
      </c>
      <c r="M1212">
        <f>L1212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IF(B1238=0,0,O1212/B1238)</f>
        <v/>
      </c>
      <c r="Q1212">
        <f>IFERROR(1/(IF(Inputs!$B$38="pvp",15,MAX(0.1,Skills!D10-IF(Skills!E10=TRUE,Inputs!$B$32,0)))*(1-IF(AND(ArtifactsInput!$M$27,Inputs!$B$4="Chapter Hunt"),CHOOSE(ArtifactsInput!$N$27+1,20,24,28,32,36,40),0)/100)),0)</f>
        <v/>
      </c>
      <c r="R1212">
        <f>IF(AND(Inputs!$B$38&lt;&gt;"pvp",Inputs!$B$43&gt;0),IF(MAX(0,Inputs!$B$43-B1235)&lt;=0,0,(INT(MAX(0,Inputs!$B$43-B1235)/(IF(Inputs!$B$38="pvp",15,MAX(0.1,Skills!D10-IF(Skills!E10=TRUE,Inputs!$B$32,0)))*(1-IF(AND(ArtifactsInput!$M$27,Inputs!$B$4="Chapter Hunt"),CHOOSE(ArtifactsInput!$N$27+1,20,24,28,32,36,40),0)/100)))+1)),0)</f>
        <v/>
      </c>
      <c r="S1212">
        <f>IFERROR(O1212/N1212,0)</f>
        <v/>
      </c>
      <c r="T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Skills!A11</f>
        <v/>
      </c>
      <c r="B1213">
        <f>Skills!B11</f>
        <v/>
      </c>
      <c r="C1213">
        <f>Inputs!$B$3&gt;=113</f>
        <v/>
      </c>
      <c r="D1213">
        <f>IF(Skills!C11=1,60+Inputs!$B$25+Inputs!$B$29,IF(Skills!C11=2,90+Inputs!$B$26+Inputs!$B$29,IF(Skills!C11=3,120+Inputs!$B$27+Inputs!$B$29,MAX(0,(Inputs!$B$3-100)*3)+Inputs!$B$28+Inputs!$B$29)))</f>
        <v/>
      </c>
      <c r="E1213">
        <f>INDEX(FactorTable!$B$2:$Y$301, MATCH(ROUND(MIN(300,MAX(1,D1213)),0), FactorTable!$A$2:$A$301,0), Skills!M11+1)</f>
        <v/>
      </c>
      <c r="F1213">
        <f>IF(Skills!N11=TRUE,(Skills!L11/10)*(E1213/1000),Skills!L11/10)+Skills!O11</f>
        <v/>
      </c>
      <c r="G1213">
        <f>Skills!G11*IF(Skills!H11&gt;0,Skills!I11/Skills!H11,1)</f>
        <v/>
      </c>
      <c r="H1213">
        <f>1-(1-Skills!J11/100)^Skills!K11</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1222=TRUE)*(F1222-Calc!F20)),(Inputs!$B$23+0+(IF(ArtifactsInput!$M$15,CHOOSE(ArtifactsInput!$N$15+1,25,30,35,40,45,50)/100*(Inputs!$B$11-Inputs!$B$11),0))))/100+(Inputs!$B$23+0+(IF(ArtifactsInput!$M$15,CHOOSE(ArtifactsInput!$N$15+1,25,30,35,40,45,50)/100*(Inputs!$B$11-Inputs!$B$11),0)))/100)/2</f>
        <v/>
      </c>
      <c r="M1213">
        <f>L1213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IF(B1238=0,0,O1213/B1238)</f>
        <v/>
      </c>
      <c r="Q1213">
        <f>IFERROR(1/(IF(Inputs!$B$38="pvp",15,MAX(0.1,Skills!D11-IF(Skills!E11=TRUE,Inputs!$B$32,0)))*(1-IF(AND(ArtifactsInput!$M$27,Inputs!$B$4="Chapter Hunt"),CHOOSE(ArtifactsInput!$N$27+1,20,24,28,32,36,40),0)/100)),0)</f>
        <v/>
      </c>
      <c r="R1213">
        <f>IF(AND(Inputs!$B$38&lt;&gt;"pvp",Inputs!$B$43&gt;0),IF(MAX(0,Inputs!$B$43-B1235)&lt;=0,0,(INT(MAX(0,Inputs!$B$43-B1235)/(IF(Inputs!$B$38="pvp",15,MAX(0.1,Skills!D11-IF(Skills!E11=TRUE,Inputs!$B$32,0)))*(1-IF(AND(ArtifactsInput!$M$27,Inputs!$B$4="Chapter Hunt"),CHOOSE(ArtifactsInput!$N$27+1,20,24,28,32,36,40),0)/100)))+1)),0)</f>
        <v/>
      </c>
      <c r="S1213">
        <f>IFERROR(O1213/N1213,0)</f>
        <v/>
      </c>
      <c r="T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Skills!A12</f>
        <v/>
      </c>
      <c r="B1214">
        <f>Skills!B12</f>
        <v/>
      </c>
      <c r="C1214">
        <f>Inputs!$B$3&gt;=100</f>
        <v/>
      </c>
      <c r="D1214">
        <f>IF(Skills!C12=1,60+Inputs!$B$25+Inputs!$B$29,IF(Skills!C12=2,90+Inputs!$B$26+Inputs!$B$29,IF(Skills!C12=3,120+Inputs!$B$27+Inputs!$B$29,MAX(0,(Inputs!$B$3-100)*3)+Inputs!$B$28+Inputs!$B$29)))</f>
        <v/>
      </c>
      <c r="E1214">
        <f>INDEX(FactorTable!$B$2:$Y$301, MATCH(ROUND(MIN(300,MAX(1,D1214)),0), FactorTable!$A$2:$A$301,0), Skills!M12+1)</f>
        <v/>
      </c>
      <c r="F1214">
        <f>IF(Skills!N12=TRUE,(Skills!L12/10)*(E1214/1000),Skills!L12/10)+Skills!O12</f>
        <v/>
      </c>
      <c r="G1214" t="inlineStr"/>
      <c r="H1214" t="inlineStr"/>
      <c r="I1214" t="inlineStr">
        <is>
          <t>1</t>
        </is>
      </c>
      <c r="J1214" t="inlineStr"/>
      <c r="K1214" t="inlineStr"/>
      <c r="L1214" t="inlineStr"/>
      <c r="M1214" t="inlineStr"/>
      <c r="N1214" t="inlineStr"/>
      <c r="O1214" t="inlineStr"/>
      <c r="P1214" t="inlineStr"/>
      <c r="Q1214" t="inlineStr"/>
      <c r="R1214" t="inlineStr"/>
      <c r="S1214" t="inlineStr"/>
      <c r="T1214" t="inlineStr"/>
      <c r="V1214" t="inlineStr"/>
    </row>
    <row r="1215">
      <c r="A1215">
        <f>Skills!A13</f>
        <v/>
      </c>
      <c r="B1215">
        <f>Skills!B13</f>
        <v/>
      </c>
      <c r="C1215">
        <f>Inputs!$B$3&gt;=66</f>
        <v/>
      </c>
      <c r="D1215">
        <f>IF(Skills!C13=1,60+Inputs!$B$25+Inputs!$B$29,IF(Skills!C13=2,90+Inputs!$B$26+Inputs!$B$29,IF(Skills!C13=3,120+Inputs!$B$27+Inputs!$B$29,MAX(0,(Inputs!$B$3-100)*3)+Inputs!$B$28+Inputs!$B$29)))</f>
        <v/>
      </c>
      <c r="E1215">
        <f>INDEX(FactorTable!$B$2:$Y$301, MATCH(ROUND(MIN(300,MAX(1,D1215)),0), FactorTable!$A$2:$A$301,0), Skills!M13+1)</f>
        <v/>
      </c>
      <c r="F1215">
        <f>IF(Skills!N13=TRUE,(Skills!L13/10)*(E1215/1000),Skills!L13/10)+Skills!O13</f>
        <v/>
      </c>
      <c r="G1215">
        <f>Skills!G13*IF(Skills!H13&gt;0,Skills!I13/Skills!H13,1)</f>
        <v/>
      </c>
      <c r="H1215">
        <f>1-(1-Skills!J13/100)^Skills!K13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Skills!A14</f>
        <v/>
      </c>
      <c r="B1216">
        <f>Skills!B14</f>
        <v/>
      </c>
      <c r="C1216">
        <f>Inputs!$B$3&gt;=107</f>
        <v/>
      </c>
      <c r="D1216">
        <f>IF(Skills!C14=1,60+Inputs!$B$25+Inputs!$B$29,IF(Skills!C14=2,90+Inputs!$B$26+Inputs!$B$29,IF(Skills!C14=3,120+Inputs!$B$27+Inputs!$B$29,MAX(0,(Inputs!$B$3-100)*3)+Inputs!$B$28+Inputs!$B$29)))</f>
        <v/>
      </c>
      <c r="E1216">
        <f>INDEX(FactorTable!$B$2:$Y$301, MATCH(ROUND(MIN(300,MAX(1,D1216)),0), FactorTable!$A$2:$A$301,0), Skills!M14+1)</f>
        <v/>
      </c>
      <c r="F1216">
        <f>IF(Skills!N14=TRUE,(Skills!L14/10)*(E1216/1000),Skills!L14/10)+Skills!O14</f>
        <v/>
      </c>
      <c r="G1216">
        <f>Skills!G14*IF(Skills!H14&gt;0,Skills!I14/Skills!H14,1)</f>
        <v/>
      </c>
      <c r="H1216">
        <f>1-(1-Skills!J14/100)^Skills!K14</f>
        <v/>
      </c>
      <c r="I1216" t="inlineStr">
        <is>
          <t>1</t>
        </is>
      </c>
      <c r="J1216" t="inlineStr"/>
      <c r="K1216" t="inlineStr"/>
      <c r="L1216" t="inlineStr"/>
      <c r="M1216" t="inlineStr"/>
      <c r="N1216" t="inlineStr"/>
      <c r="O1216">
        <f>(1-Summary!$B$11)*T1216+Summary!$B$11*V1216</f>
        <v/>
      </c>
      <c r="P1216">
        <f>IF(B1238=0,0,O1216/B1238)</f>
        <v/>
      </c>
      <c r="Q1216" t="n">
        <v>0</v>
      </c>
      <c r="R1216" t="n">
        <v>0</v>
      </c>
      <c r="S1216">
        <f>IFERROR(O1216/N1216,0)</f>
        <v/>
      </c>
      <c r="T1216" t="n">
        <v>0</v>
      </c>
      <c r="V1216" t="n">
        <v>0</v>
      </c>
    </row>
    <row r="1217">
      <c r="A1217">
        <f>Skills!A15</f>
        <v/>
      </c>
      <c r="B1217">
        <f>Skills!B15</f>
        <v/>
      </c>
      <c r="C1217">
        <f>Inputs!$B$3&gt;=115</f>
        <v/>
      </c>
      <c r="D1217">
        <f>IF(Skills!C15=1,60+Inputs!$B$25+Inputs!$B$29,IF(Skills!C15=2,90+Inputs!$B$26+Inputs!$B$29,IF(Skills!C15=3,120+Inputs!$B$27+Inputs!$B$29,MAX(0,(Inputs!$B$3-100)*3)+Inputs!$B$28+Inputs!$B$29)))</f>
        <v/>
      </c>
      <c r="E1217">
        <f>INDEX(FactorTable!$B$2:$Y$301, MATCH(ROUND(MIN(300,MAX(1,D1217)),0), FactorTable!$A$2:$A$301,0), Skills!M15+1)</f>
        <v/>
      </c>
      <c r="F1217">
        <f>IF(Skills!N15=TRUE,(Skills!L15/10)*(E1217/1000),Skills!L15/10)+Skills!O15</f>
        <v/>
      </c>
      <c r="G1217">
        <f>Skills!G15*IF(Skills!H15&gt;0,Skills!I15/Skills!H15,1)</f>
        <v/>
      </c>
      <c r="H1217">
        <f>1-(1-Skills!J15/100)^Skills!K15</f>
        <v/>
      </c>
      <c r="I1217" t="inlineStr">
        <is>
          <t>1</t>
        </is>
      </c>
      <c r="J1217" t="inlineStr"/>
      <c r="K1217" t="inlineStr"/>
      <c r="L1217" t="inlineStr"/>
      <c r="M1217" t="inlineStr"/>
      <c r="N1217" t="inlineStr"/>
      <c r="O1217">
        <f>(1-Summary!$B$11)*T1217+Summary!$B$11*V1217</f>
        <v/>
      </c>
      <c r="P1217">
        <f>IF(B1238=0,0,O1217/B1238)</f>
        <v/>
      </c>
      <c r="Q1217" t="n">
        <v>0</v>
      </c>
      <c r="R1217" t="n">
        <v>0</v>
      </c>
      <c r="S1217">
        <f>IFERROR(O1217/N1217,0)</f>
        <v/>
      </c>
      <c r="T1217" t="n">
        <v>0</v>
      </c>
      <c r="V1217" t="n">
        <v>0</v>
      </c>
    </row>
    <row r="1218">
      <c r="A1218">
        <f>Skills!A16</f>
        <v/>
      </c>
      <c r="B1218">
        <f>Skills!B16</f>
        <v/>
      </c>
      <c r="C1218">
        <f>Inputs!$B$3&gt;=15</f>
        <v/>
      </c>
      <c r="D1218">
        <f>IF(Skills!C16=1,60+Inputs!$B$25+Inputs!$B$29,IF(Skills!C16=2,90+Inputs!$B$26+Inputs!$B$29,IF(Skills!C16=3,120+Inputs!$B$27+Inputs!$B$29,MAX(0,(Inputs!$B$3-100)*3)+Inputs!$B$28+Inputs!$B$29)))</f>
        <v/>
      </c>
      <c r="E1218">
        <f>INDEX(FactorTable!$B$2:$Y$301, MATCH(ROUND(MIN(300,MAX(1,D1218)),0), FactorTable!$A$2:$A$301,0), Skills!M16+1)</f>
        <v/>
      </c>
      <c r="F1218">
        <f>IF(Skills!N16=TRUE,(Skills!L16/10)*(E1218/1000),Skills!L16/10)+Skills!O16</f>
        <v/>
      </c>
      <c r="G1218">
        <f>Skills!G16*IF(Skills!H16&gt;0,Skills!I16/Skills!H16,1)</f>
        <v/>
      </c>
      <c r="H1218">
        <f>1-(1-Skills!J16/100)^Skills!K16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Skills!A17</f>
        <v/>
      </c>
      <c r="B1219">
        <f>Skills!B17</f>
        <v/>
      </c>
      <c r="C1219">
        <f>Inputs!$B$3&gt;=10</f>
        <v/>
      </c>
      <c r="D1219">
        <f>IF(Skills!C17=1,60+Inputs!$B$25+Inputs!$B$29,IF(Skills!C17=2,90+Inputs!$B$26+Inputs!$B$29,IF(Skills!C17=3,120+Inputs!$B$27+Inputs!$B$29,MAX(0,(Inputs!$B$3-100)*3)+Inputs!$B$28+Inputs!$B$29)))</f>
        <v/>
      </c>
      <c r="E1219">
        <f>INDEX(FactorTable!$B$2:$Y$301, MATCH(ROUND(MIN(300,MAX(1,D1219)),0), FactorTable!$A$2:$A$301,0), Skills!M17+1)</f>
        <v/>
      </c>
      <c r="F1219">
        <f>IF(Skills!N17=TRUE,(Skills!L17/10)*(E1219/1000),Skills!L17/10)+Skills!O17</f>
        <v/>
      </c>
      <c r="G1219">
        <f>Skills!G17*IF(Skills!H17&gt;0,Skills!I17/Skills!H17,1)</f>
        <v/>
      </c>
      <c r="H1219">
        <f>1-(1-Skills!J17/100)^Skills!K17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Skills!A18</f>
        <v/>
      </c>
      <c r="B1220">
        <f>Skills!B18</f>
        <v/>
      </c>
      <c r="C1220">
        <f>Inputs!$B$3&gt;=33</f>
        <v/>
      </c>
      <c r="D1220">
        <f>IF(Skills!C18=1,60+Inputs!$B$25+Inputs!$B$29,IF(Skills!C18=2,90+Inputs!$B$26+Inputs!$B$29,IF(Skills!C18=3,120+Inputs!$B$27+Inputs!$B$29,MAX(0,(Inputs!$B$3-100)*3)+Inputs!$B$28+Inputs!$B$29)))</f>
        <v/>
      </c>
      <c r="E1220">
        <f>INDEX(FactorTable!$B$2:$Y$301, MATCH(ROUND(MIN(300,MAX(1,D1220)),0), FactorTable!$A$2:$A$301,0), Skills!M18+1)</f>
        <v/>
      </c>
      <c r="F1220">
        <f>IF(Skills!N18=TRUE,(Skills!L18/10)*(E1220/1000),Skills!L18/10)+Skills!O18</f>
        <v/>
      </c>
      <c r="G1220">
        <f>Skills!G18*IF(Skills!H18&gt;0,Skills!I18/Skills!H18,1)</f>
        <v/>
      </c>
      <c r="H1220">
        <f>1-(1-Skills!J18/100)^Skills!K18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Skills!A19</f>
        <v/>
      </c>
      <c r="B1221">
        <f>Skills!B19</f>
        <v/>
      </c>
      <c r="C1221">
        <f>Inputs!$B$3&gt;=40</f>
        <v/>
      </c>
      <c r="D1221">
        <f>IF(Skills!C19=1,60+Inputs!$B$25+Inputs!$B$29,IF(Skills!C19=2,90+Inputs!$B$26+Inputs!$B$29,IF(Skills!C19=3,120+Inputs!$B$27+Inputs!$B$29,MAX(0,(Inputs!$B$3-100)*3)+Inputs!$B$28+Inputs!$B$29)))</f>
        <v/>
      </c>
      <c r="E1221">
        <f>INDEX(FactorTable!$B$2:$Y$301, MATCH(ROUND(MIN(300,MAX(1,D1221)),0), FactorTable!$A$2:$A$301,0), Skills!M19+1)</f>
        <v/>
      </c>
      <c r="F1221">
        <f>IF(Skills!N19=TRUE,(Skills!L19/10)*(E1221/1000),Skills!L19/10)+Skills!O19</f>
        <v/>
      </c>
      <c r="G1221">
        <f>Skills!G19*IF(Skills!H19&gt;0,Skills!I19/Skills!H19,1)</f>
        <v/>
      </c>
      <c r="H1221">
        <f>1-(1-Skills!J19/100)^Skills!K19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Skills!A20</f>
        <v/>
      </c>
      <c r="B1222">
        <f>Skills!B20</f>
        <v/>
      </c>
      <c r="C1222">
        <f>Inputs!$B$3&gt;=43</f>
        <v/>
      </c>
      <c r="D1222">
        <f>IF(Skills!C20=1,60+Inputs!$B$25+Inputs!$B$29,IF(Skills!C20=2,90+Inputs!$B$26+Inputs!$B$29,IF(Skills!C20=3,120+Inputs!$B$27+Inputs!$B$29,MAX(0,(Inputs!$B$3-100)*3)+Inputs!$B$28+Inputs!$B$29)))</f>
        <v/>
      </c>
      <c r="E1222">
        <f>INDEX(FactorTable!$B$2:$Y$301, MATCH(ROUND(MIN(300,MAX(1,D1222)),0), FactorTable!$A$2:$A$301,0), Skills!M20+1)</f>
        <v/>
      </c>
      <c r="F1222">
        <f>IF(Skills!N20=TRUE,(Skills!L20/10)*(E1222/1000),Skills!L20/10)+Skills!O20</f>
        <v/>
      </c>
      <c r="G1222">
        <f>Skills!G20*IF(Skills!H20&gt;0,Skills!I20/Skills!H20,1)</f>
        <v/>
      </c>
      <c r="H1222">
        <f>1-(1-Skills!J20/100)^Skills!K20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Skills!A21</f>
        <v/>
      </c>
      <c r="B1223">
        <f>Skills!B21</f>
        <v/>
      </c>
      <c r="C1223">
        <f>Inputs!$B$3&gt;=38</f>
        <v/>
      </c>
      <c r="D1223">
        <f>IF(Skills!C21=1,60+Inputs!$B$25+Inputs!$B$29,IF(Skills!C21=2,90+Inputs!$B$26+Inputs!$B$29,IF(Skills!C21=3,120+Inputs!$B$27+Inputs!$B$29,MAX(0,(Inputs!$B$3-100)*3)+Inputs!$B$28+Inputs!$B$29)))</f>
        <v/>
      </c>
      <c r="E1223">
        <f>INDEX(FactorTable!$B$2:$Y$301, MATCH(ROUND(MIN(300,MAX(1,D1223)),0), FactorTable!$A$2:$A$301,0), Skills!M21+1)</f>
        <v/>
      </c>
      <c r="F1223">
        <f>IF(Skills!N21=TRUE,(Skills!L21/10)*(E1223/1000),Skills!L21/10)+Skills!O21</f>
        <v/>
      </c>
      <c r="G1223">
        <f>Skills!G21*IF(Skills!H21&gt;0,Skills!I21/Skills!H21,1)</f>
        <v/>
      </c>
      <c r="H1223">
        <f>1-(1-Skills!J21/100)^Skills!K21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4">
      <c r="A1224">
        <f>Skills!A22</f>
        <v/>
      </c>
      <c r="B1224">
        <f>Skills!B22</f>
        <v/>
      </c>
      <c r="C1224">
        <f>Inputs!$B$3&gt;=75</f>
        <v/>
      </c>
      <c r="D1224">
        <f>IF(Skills!C22=1,60+Inputs!$B$25+Inputs!$B$29,IF(Skills!C22=2,90+Inputs!$B$26+Inputs!$B$29,IF(Skills!C22=3,120+Inputs!$B$27+Inputs!$B$29,MAX(0,(Inputs!$B$3-100)*3)+Inputs!$B$28+Inputs!$B$29)))</f>
        <v/>
      </c>
      <c r="E1224">
        <f>INDEX(FactorTable!$B$2:$Y$301, MATCH(ROUND(MIN(300,MAX(1,D1224)),0), FactorTable!$A$2:$A$301,0), Skills!M22+1)</f>
        <v/>
      </c>
      <c r="F1224">
        <f>IF(Skills!N22=TRUE,(Skills!L22/10)*(E1224/1000),Skills!L22/10)+Skills!O22</f>
        <v/>
      </c>
      <c r="G1224">
        <f>Skills!G22*IF(Skills!H22&gt;0,Skills!I22/Skills!H22,1)</f>
        <v/>
      </c>
      <c r="H1224">
        <f>1-(1-Skills!J22/100)^Skills!K22</f>
        <v/>
      </c>
      <c r="I1224" t="inlineStr">
        <is>
          <t>1</t>
        </is>
      </c>
      <c r="J1224" t="inlineStr"/>
      <c r="K1224" t="inlineStr"/>
      <c r="L1224" t="inlineStr"/>
      <c r="M1224" t="inlineStr"/>
      <c r="N1224" t="inlineStr"/>
      <c r="O1224">
        <f>(1-Summary!$B$11)*T1224+Summary!$B$11*V1224</f>
        <v/>
      </c>
      <c r="P1224">
        <f>IF(B1238=0,0,O1224/B1238)</f>
        <v/>
      </c>
      <c r="Q1224" t="n">
        <v>0</v>
      </c>
      <c r="R1224" t="n">
        <v>0</v>
      </c>
      <c r="S1224">
        <f>IFERROR(O1224/N1224,0)</f>
        <v/>
      </c>
      <c r="T1224" t="n">
        <v>0</v>
      </c>
      <c r="V1224" t="n">
        <v>0</v>
      </c>
    </row>
    <row r="1225">
      <c r="A1225">
        <f>Skills!A23</f>
        <v/>
      </c>
      <c r="B1225">
        <f>Skills!B23</f>
        <v/>
      </c>
      <c r="C1225">
        <f>TRUE</f>
        <v/>
      </c>
      <c r="D1225">
        <f>IF(Skills!C23=1,60+Inputs!$B$25+Inputs!$B$29,IF(Skills!C23=2,90+Inputs!$B$26+Inputs!$B$29,IF(Skills!C23=3,120+Inputs!$B$27+Inputs!$B$29,MAX(0,(Inputs!$B$3-100)*3)+Inputs!$B$28+Inputs!$B$29)))</f>
        <v/>
      </c>
      <c r="E1225">
        <f>INDEX(FactorTable!$B$2:$Y$301, MATCH(ROUND(MIN(300,MAX(1,D1225)),0), FactorTable!$A$2:$A$301,0), Skills!M23+1)</f>
        <v/>
      </c>
      <c r="F1225">
        <f>IF(Skills!N23=TRUE,(Skills!L23/10)*(E1225/1000),Skills!L23/10)+Skills!O23</f>
        <v/>
      </c>
      <c r="G1225">
        <f>Skills!G23*IF(Skills!H23&gt;0,Skills!I23/Skills!H23,1)</f>
        <v/>
      </c>
      <c r="H1225">
        <f>1-(1-Skills!J23/100)^Skills!K23</f>
        <v/>
      </c>
      <c r="I1225" t="inlineStr">
        <is>
          <t>1</t>
        </is>
      </c>
      <c r="J1225" t="inlineStr"/>
      <c r="K1225" t="inlineStr"/>
      <c r="L1225" t="inlineStr"/>
      <c r="M1225" t="inlineStr"/>
      <c r="N1225" t="inlineStr"/>
      <c r="O1225">
        <f>(1-Summary!$B$11)*T1225+Summary!$B$11*V1225</f>
        <v/>
      </c>
      <c r="P1225">
        <f>IF(B1238=0,0,O1225/B1238)</f>
        <v/>
      </c>
      <c r="Q1225">
        <f>IFERROR(1/(IF(Inputs!$B$38="pvp",15,MAX(0.1,Skills!D23-IF(Skills!E23=TRUE,Inputs!$B$32,0)))*(1-IF(AND(ArtifactsInput!$M$27,Inputs!$B$4="Chapter Hunt"),CHOOSE(ArtifactsInput!$N$27+1,20,24,28,32,36,40),0)/100)),0)</f>
        <v/>
      </c>
      <c r="R1225">
        <f>IF(AND(Inputs!$B$38&lt;&gt;"pvp",Inputs!$B$43&gt;0),IF(Inputs!$B$43&lt;=0,0,(INT(Inputs!$B$43/(IF(Inputs!$B$38="pvp",15,MAX(0.1,Skills!D23-IF(Skills!E23=TRUE,Inputs!$B$32,0)))*(1-IF(AND(ArtifactsInput!$M$27,Inputs!$B$4="Chapter Hunt"),CHOOSE(ArtifactsInput!$N$27+1,20,24,28,32,36,40),0)/100)))+1)),0)</f>
        <v/>
      </c>
      <c r="S1225">
        <f>IFERROR(O1225/N1225,0)</f>
        <v/>
      </c>
      <c r="T1225" t="n">
        <v>0</v>
      </c>
      <c r="V1225" t="n">
        <v>0</v>
      </c>
    </row>
    <row r="1227">
      <c r="A1227" t="inlineStr">
        <is>
          <t>Attack% Bucket Multiplier</t>
        </is>
      </c>
      <c r="B1227">
        <f>(1+(((C1215=TRUE)*F1215*5/7)+((C1221=TRUE)*(F1221-Calc!F19))+(IF(ArtifactsInput!$M$21,CHOOSE(ArtifactsInput!$N$21+1,25,30,35,40,45,50)*(IF(OR(Inputs!$B$4="Chapter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 (Nimble Feet, duty-cycle averaged)</t>
        </is>
      </c>
      <c r="B1229">
        <f>((C1225=TRUE)*F1225*IF(AND(Inputs!$B$38&lt;&gt;"pvp",Inputs!$B$43&gt;0),(((R1225-1)*(Skills!T23*(1+Inputs!$B$34/100))+MIN((Skills!T23*(1+Inputs!$B$34/100)),MAX(0,Inputs!$B$43-((R1225-1)*Skills!D23))))/Inputs!$B$43),IF(Inputs!$B$38="pvp",MIN((Skills!T23*(1+Inputs!$B$34/100)),15)/15,(Skills!T23*(1+Inputs!$B$34/100))/Skills!D23)))</f>
        <v/>
      </c>
    </row>
    <row r="1230">
      <c r="A1230" t="inlineStr">
        <is>
          <t>Actions Per Second</t>
        </is>
      </c>
      <c r="B1230">
        <f>1+MIN(150,150*(1-(1-(Inputs!$B$11+((C1219=TRUE)*(F1219-Calc!F17))+((C1220=TRUE)*(F1220-Calc!F18)))/150)*(1-B1229/150)))/100</f>
        <v/>
      </c>
    </row>
    <row r="1231">
      <c r="A1231" t="inlineStr">
        <is>
          <t>Skill + Buff Cast Rate</t>
        </is>
      </c>
      <c r="B1231">
        <f>IF(AND(Inputs!$B$38&lt;&gt;"pvp",Inputs!$B$43&gt;0),SUMPRODUCT((Skills!E2:E23=TRUE)*(C1204:C1225=TRUE)*R1204:R1225*Skills!F2:F23)/Inputs!$B$43,SUMPRODUCT((Skills!E2:E23=TRUE)*(C1204:C1225=TRUE)*Q1204:Q1225*Skills!F2:F23))</f>
        <v/>
      </c>
    </row>
    <row r="1232">
      <c r="A1232" t="inlineStr">
        <is>
          <t>Hook Bomber Casts Per Second</t>
        </is>
      </c>
      <c r="B1232">
        <f>MAX(0,B1230-B1231)</f>
        <v/>
      </c>
    </row>
    <row r="1233">
      <c r="A1233" t="inlineStr">
        <is>
          <t>Global Critical Damage Bonus % (unused)</t>
        </is>
      </c>
      <c r="B1233" t="n">
        <v>0</v>
      </c>
    </row>
    <row r="1234">
      <c r="A1234" t="inlineStr">
        <is>
          <t>Global Final Damage Bonus % (Serpent Scale + Crossbones + Time Leap + Speed Infusion)</t>
        </is>
      </c>
      <c r="B1234">
        <f>((C1207=TRUE)*F1207*((10+IF(Inputs!$B$3&gt;=94,5,0))/((10+IF(Inputs!$B$3&gt;=94,5,0))+5/(B1232*(1+IF(Inputs!$B$3&gt;=104,1,0))))))+((C1216=TRUE)*F1216)+((C1217=TRUE)*F1217)+((Inputs!$B$3&gt;=110)*20*(B1230-1))</f>
        <v/>
      </c>
    </row>
    <row r="1235">
      <c r="A1235" t="inlineStr">
        <is>
          <t>Buff-Casting Startup Delay (s, fixed-duration only)</t>
        </is>
      </c>
      <c r="B1235">
        <f>IF(AND(Inputs!$B$38&lt;&gt;"pvp",Inputs!$B$43&gt;0),SUMPRODUCT((Skills!T2:T23&gt;0)*(Skills!E2:E23=TRUE)*(C1204:C1225=TRUE))/B1230,0)</f>
        <v/>
      </c>
    </row>
    <row r="1236">
      <c r="A1236" t="inlineStr">
        <is>
          <t>Boss-Only Total DPS (this block's swept value)</t>
        </is>
      </c>
      <c r="B1236">
        <f>SUM(T1204:T1225)</f>
        <v/>
      </c>
    </row>
    <row r="1237">
      <c r="A1237" t="inlineStr">
        <is>
          <t>Normal-Only Total DPS (this block's swept value)</t>
        </is>
      </c>
      <c r="B1237">
        <f>SUM(V1204:V1225)</f>
        <v/>
      </c>
    </row>
    <row r="1238">
      <c r="A1238" s="6" t="inlineStr">
        <is>
          <t>TOTAL DPS</t>
        </is>
      </c>
      <c r="B1238" s="6">
        <f>SUM(O1204:O1225)</f>
        <v/>
      </c>
    </row>
    <row r="1241">
      <c r="A1241" s="6" t="inlineStr">
        <is>
          <t>Stat: Rainbow-colored Snail Shell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3">
        <f>L1243*(1-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1243*(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3">
        <f>(1-Summary!$B$11)*T1243+Summary!$B$11*V1243</f>
        <v/>
      </c>
      <c r="P1243">
        <f>IF(B1277=0,0,O1243/B1277)</f>
        <v/>
      </c>
      <c r="Q1243" t="n">
        <v>0</v>
      </c>
      <c r="R1243" t="n">
        <v>0</v>
      </c>
      <c r="S1243">
        <f>IFERROR(O1243/N1243,0)</f>
        <v/>
      </c>
      <c r="T1243">
        <f>IF(C1243,(Skills!G2*N1243*B1271)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IF(C1243,(Skills!G2*N1243*B1271)*IF(Inputs!$B$38="pvp",1,(1+(Inputs!$B$21+Skills!Q2+(IF(ArtifactsInput!$M$33,CHOOSE(ArtifactsInput!$N$33+1,30,36,42,48,54,60),0))+(IF(AND(ArtifactsInput!$M$35,Inputs!$B$4&lt;&gt;"Chapter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Skills!G3*IF(Skills!H3&gt;0,Skills!I3/Skills!H3,1)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4">
        <f>L1244*(1-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1244*(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4">
        <f>(1-Summary!$B$11)*T1244+Summary!$B$11*V1244</f>
        <v/>
      </c>
      <c r="P1244">
        <f>IF(B1277=0,0,O1244/B1277)</f>
        <v/>
      </c>
      <c r="Q1244" t="n">
        <v>0</v>
      </c>
      <c r="R1244" t="n">
        <v>0</v>
      </c>
      <c r="S1244">
        <f>IFERROR(O1244/N1244,0)</f>
        <v/>
      </c>
      <c r="T1244">
        <f>IF(C1244,(Skills!G3*H1244*N1244*B1271)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IF(C1244,(Skills!G3*H1244*N1244*B1271)*IF(Inputs!$B$38="pvp",1,(1+(Inputs!$B$21+Skills!Q3+(IF(ArtifactsInput!$M$33,CHOOSE(ArtifactsInput!$N$33+1,30,36,42,48,54,60),0))+(IF(AND(ArtifactsInput!$M$35,Inputs!$B$4&lt;&gt;"Chapter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Inputs!$B$3&gt;=60</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Skills!G4*IF(Skills!H4&gt;0,Skills!I4/Skills!H4,1)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5">
        <f>L1245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1245*(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5">
        <f>(1-Summary!$B$11)*T1245+Summary!$B$11*V1245</f>
        <v/>
      </c>
      <c r="P1245">
        <f>IF(B1277=0,0,O1245/B1277)</f>
        <v/>
      </c>
      <c r="Q1245" t="n">
        <v>0</v>
      </c>
      <c r="R1245" t="n">
        <v>0</v>
      </c>
      <c r="S1245">
        <f>IFERROR(O1245/N1245,0)</f>
        <v/>
      </c>
      <c r="T1245">
        <f>IF(C1245,(Skills!G4*H1245*N1245*B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IF(C1245,(Skills!G4*H1245*N1245*B1271)*IF(Inputs!$B$38="pvp",1,(1+(Inputs!$B$21+Skills!Q4+(IF(ArtifactsInput!$M$33,CHOOSE(ArtifactsInput!$N$33+1,30,36,42,48,54,60),0))+(IF(AND(ArtifactsInput!$M$35,Inputs!$B$4&lt;&gt;"Chapter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Inputs!$B$3&gt;=60</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t="inlineStr"/>
      <c r="K1246" t="inlineStr"/>
      <c r="L1246" t="inlineStr"/>
      <c r="M1246" t="inlineStr"/>
      <c r="N1246" t="inlineStr"/>
      <c r="O1246">
        <f>(1-Summary!$B$11)*T1246+Summary!$B$11*V1246</f>
        <v/>
      </c>
      <c r="P1246">
        <f>IF(B1277=0,0,O1246/B1277)</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7">
        <f>L1247*(1-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1247*(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7">
        <f>(1-Summary!$B$11)*T1247+Summary!$B$11*V1247</f>
        <v/>
      </c>
      <c r="P1247">
        <f>IF(B1277=0,0,O1247/B1277)</f>
        <v/>
      </c>
      <c r="Q1247">
        <f>IFERROR(1/(IF(Inputs!$B$38="pvp",15,MAX(0.1,Skills!D6-IF(Skills!E6=TRUE,Inputs!$B$32,0)))*(1-IF(AND(ArtifactsInput!$M$27,Inputs!$B$4="Chapter Hunt"),CHOOSE(ArtifactsInput!$N$27+1,20,24,28,32,36,40),0)/100)),0)</f>
        <v/>
      </c>
      <c r="R1247">
        <f>IF(AND(Inputs!$B$38&lt;&gt;"pvp",Inputs!$B$43&gt;0),IF(MAX(0,Inputs!$B$43-B1274)&lt;=0,0,(INT(MAX(0,Inputs!$B$43-B1274)/(IF(Inputs!$B$38="pvp",15,MAX(0.1,Skills!D6-IF(Skills!E6=TRUE,Inputs!$B$32,0)))*(1-IF(AND(ArtifactsInput!$M$27,Inputs!$B$4="Chapter Hunt"),CHOOSE(ArtifactsInput!$N$27+1,20,24,28,32,36,40),0)/100)))+1)),0)</f>
        <v/>
      </c>
      <c r="S1247">
        <f>IFERROR(O1247/N1247,0)</f>
        <v/>
      </c>
      <c r="T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$21+Skills!Q6+(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Inputs!$B$3&gt;=100</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8">
        <f>L1248*(1-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1248*(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8">
        <f>(1-Summary!$B$11)*T1248+Summary!$B$11*V1248</f>
        <v/>
      </c>
      <c r="P1248">
        <f>IF(B1277=0,0,O1248/B1277)</f>
        <v/>
      </c>
      <c r="Q1248">
        <f>IFERROR(1/(IF(Inputs!$B$38="pvp",15,MAX(0.1,Skills!D7-IF(Skills!E7=TRUE,Inputs!$B$32,0)))*(1-IF(AND(ArtifactsInput!$M$27,Inputs!$B$4="Chapter Hunt"),CHOOSE(ArtifactsInput!$N$27+1,20,24,28,32,36,40),0)/100)),0)</f>
        <v/>
      </c>
      <c r="R1248">
        <f>IF(AND(Inputs!$B$38&lt;&gt;"pvp",Inputs!$B$43&gt;0),IF(MAX(0,Inputs!$B$43-B1274)&lt;=0,0,(INT(MAX(0,Inputs!$B$43-B1274)/(IF(Inputs!$B$38="pvp",15,MAX(0.1,Skills!D7-IF(Skills!E7=TRUE,Inputs!$B$32,0)))*(1-IF(AND(ArtifactsInput!$M$27,Inputs!$B$4="Chapter Hunt"),CHOOSE(ArtifactsInput!$N$27+1,20,24,28,32,36,40),0)/100)))+1)),0)</f>
        <v/>
      </c>
      <c r="S1248">
        <f>IFERROR(O1248/N1248,0)</f>
        <v/>
      </c>
      <c r="T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$21+Skills!Q7+(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Skills!G8*IF(Skills!H8&gt;0,Skills!I8/Skills!H8,1)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9">
        <f>L1249*(1-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1249*(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9">
        <f>(1-Summary!$B$11)*T1249+Summary!$B$11*V1249</f>
        <v/>
      </c>
      <c r="P1249">
        <f>IF(B1277=0,0,O1249/B1277)</f>
        <v/>
      </c>
      <c r="Q1249">
        <f>IFERROR(1/(IF(Inputs!$B$38="pvp",15,MAX(0.1,Skills!D8-IF(Skills!E8=TRUE,Inputs!$B$32,0)))*(1-IF(AND(ArtifactsInput!$M$27,Inputs!$B$4="Chapter Hunt"),CHOOSE(ArtifactsInput!$N$27+1,20,24,28,32,36,40),0)/100)),0)</f>
        <v/>
      </c>
      <c r="R1249">
        <f>IF(AND(Inputs!$B$38&lt;&gt;"pvp",Inputs!$B$43&gt;0),IF(MAX(0,Inputs!$B$43-B1274)&lt;=0,0,(INT(MAX(0,Inputs!$B$43-B1274)/(IF(Inputs!$B$38="pvp",15,MAX(0.1,Skills!D8-IF(Skills!E8=TRUE,Inputs!$B$32,0)))*(1-IF(AND(ArtifactsInput!$M$27,Inputs!$B$4="Chapter Hunt"),CHOOSE(ArtifactsInput!$N$27+1,20,24,28,32,36,40),0)/100)))+1)),0)</f>
        <v/>
      </c>
      <c r="S1249">
        <f>IFERROR(O1249/N1249,0)</f>
        <v/>
      </c>
      <c r="T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$21+Skills!Q8+(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Inputs!$B$3&gt;=110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0">
        <f>L1250*(1-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1250*(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0">
        <f>(1-Summary!$B$11)*T1250+Summary!$B$11*V1250</f>
        <v/>
      </c>
      <c r="P1250">
        <f>IF(B1277=0,0,O1250/B1277)</f>
        <v/>
      </c>
      <c r="Q1250">
        <f>IFERROR(1/(IF(Inputs!$B$38="pvp",15,MAX(0.1,Skills!D9-IF(Skills!E9=TRUE,Inputs!$B$32,0)))*(1-IF(AND(ArtifactsInput!$M$27,Inputs!$B$4="Chapter Hunt"),CHOOSE(ArtifactsInput!$N$27+1,20,24,28,32,36,40),0)/100)),0)</f>
        <v/>
      </c>
      <c r="R1250">
        <f>IF(AND(Inputs!$B$38&lt;&gt;"pvp",Inputs!$B$43&gt;0),IF(MAX(0,Inputs!$B$43-B1274)&lt;=0,0,(INT(MAX(0,Inputs!$B$43-B1274)/(IF(Inputs!$B$38="pvp",15,MAX(0.1,Skills!D9-IF(Skills!E9=TRUE,Inputs!$B$32,0)))*(1-IF(AND(ArtifactsInput!$M$27,Inputs!$B$4="Chapter Hunt"),CHOOSE(ArtifactsInput!$N$27+1,20,24,28,32,36,40),0)/100)))+1)),0)</f>
        <v/>
      </c>
      <c r="S1250">
        <f>IFERROR(O1250/N1250,0)</f>
        <v/>
      </c>
      <c r="T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$21+Skills!Q9+(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Inputs!$B$3&gt;=103</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1">
        <f>L1251*(1-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1">
        <f>(1-Summary!$B$11)*T1251+Summary!$B$11*V1251</f>
        <v/>
      </c>
      <c r="P1251">
        <f>IF(B1277=0,0,O1251/B1277)</f>
        <v/>
      </c>
      <c r="Q1251">
        <f>IFERROR(1/(IF(Inputs!$B$38="pvp",15,MAX(0.1,Skills!D10-IF(Skills!E10=TRUE,Inputs!$B$32,0)))*(1-IF(AND(ArtifactsInput!$M$27,Inputs!$B$4="Chapter Hunt"),CHOOSE(ArtifactsInput!$N$27+1,20,24,28,32,36,40),0)/100)),0)</f>
        <v/>
      </c>
      <c r="R1251">
        <f>IF(AND(Inputs!$B$38&lt;&gt;"pvp",Inputs!$B$43&gt;0),IF(MAX(0,Inputs!$B$43-B1274)&lt;=0,0,(INT(MAX(0,Inputs!$B$43-B1274)/(IF(Inputs!$B$38="pvp",15,MAX(0.1,Skills!D10-IF(Skills!E10=TRUE,Inputs!$B$32,0)))*(1-IF(AND(ArtifactsInput!$M$27,Inputs!$B$4="Chapter Hunt"),CHOOSE(ArtifactsInput!$N$27+1,20,24,28,32,36,40),0)/100)))+1)),0)</f>
        <v/>
      </c>
      <c r="S1251">
        <f>IFERROR(O1251/N1251,0)</f>
        <v/>
      </c>
      <c r="T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$21+Skills!Q10+(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2">
        <f>L1252*(1-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1252*(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2">
        <f>(1-Summary!$B$11)*T1252+Summary!$B$11*V1252</f>
        <v/>
      </c>
      <c r="P1252">
        <f>IF(B1277=0,0,O1252/B1277)</f>
        <v/>
      </c>
      <c r="Q1252">
        <f>IFERROR(1/(IF(Inputs!$B$38="pvp",15,MAX(0.1,Skills!D11-IF(Skills!E11=TRUE,Inputs!$B$32,0)))*(1-IF(AND(ArtifactsInput!$M$27,Inputs!$B$4="Chapter Hunt"),CHOOSE(ArtifactsInput!$N$27+1,20,24,28,32,36,40),0)/100)),0)</f>
        <v/>
      </c>
      <c r="R1252">
        <f>IF(AND(Inputs!$B$38&lt;&gt;"pvp",Inputs!$B$43&gt;0),IF(MAX(0,Inputs!$B$43-B1274)&lt;=0,0,(INT(MAX(0,Inputs!$B$43-B1274)/(IF(Inputs!$B$38="pvp",15,MAX(0.1,Skills!D11-IF(Skills!E11=TRUE,Inputs!$B$32,0)))*(1-IF(AND(ArtifactsInput!$M$27,Inputs!$B$4="Chapter Hunt"),CHOOSE(ArtifactsInput!$N$27+1,20,24,28,32,36,40),0)/100)))+1)),0)</f>
        <v/>
      </c>
      <c r="S1252">
        <f>IFERROR(O1252/N1252,0)</f>
        <v/>
      </c>
      <c r="T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$21+Skills!Q11+(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Inputs!$B$3&gt;=66</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IF(B1277=0,0,O1254/B1277)</f>
        <v/>
      </c>
      <c r="Q1254" t="n">
        <v>0</v>
      </c>
      <c r="R1254" t="n">
        <v>0</v>
      </c>
      <c r="S1254">
        <f>IFERROR(O1254/N1254,0)</f>
        <v/>
      </c>
      <c r="T1254" t="n">
        <v>0</v>
      </c>
      <c r="V1254" t="n">
        <v>0</v>
      </c>
    </row>
    <row r="1255">
      <c r="A1255">
        <f>Skills!A14</f>
        <v/>
      </c>
      <c r="B1255">
        <f>Skills!B14</f>
        <v/>
      </c>
      <c r="C1255">
        <f>Inputs!$B$3&gt;=107</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IF(B1277=0,0,O1255/B1277)</f>
        <v/>
      </c>
      <c r="Q1255" t="n">
        <v>0</v>
      </c>
      <c r="R1255" t="n">
        <v>0</v>
      </c>
      <c r="S1255">
        <f>IFERROR(O1255/N1255,0)</f>
        <v/>
      </c>
      <c r="T1255" t="n">
        <v>0</v>
      </c>
      <c r="V1255" t="n">
        <v>0</v>
      </c>
    </row>
    <row r="1256">
      <c r="A1256">
        <f>Skills!A15</f>
        <v/>
      </c>
      <c r="B1256">
        <f>Skills!B15</f>
        <v/>
      </c>
      <c r="C1256">
        <f>Inputs!$B$3&gt;=115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IF(B1277=0,0,O1256/B1277)</f>
        <v/>
      </c>
      <c r="Q1256" t="n">
        <v>0</v>
      </c>
      <c r="R1256" t="n">
        <v>0</v>
      </c>
      <c r="S1256">
        <f>IFERROR(O1256/N1256,0)</f>
        <v/>
      </c>
      <c r="T1256" t="n">
        <v>0</v>
      </c>
      <c r="V1256" t="n">
        <v>0</v>
      </c>
    </row>
    <row r="1257">
      <c r="A1257">
        <f>Skills!A16</f>
        <v/>
      </c>
      <c r="B1257">
        <f>Skills!B16</f>
        <v/>
      </c>
      <c r="C1257">
        <f>Inputs!$B$3&gt;=15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IF(B1277=0,0,O1257/B1277)</f>
        <v/>
      </c>
      <c r="Q1257" t="n">
        <v>0</v>
      </c>
      <c r="R1257" t="n">
        <v>0</v>
      </c>
      <c r="S1257">
        <f>IFERROR(O1257/N1257,0)</f>
        <v/>
      </c>
      <c r="T1257" t="n">
        <v>0</v>
      </c>
      <c r="V1257" t="n">
        <v>0</v>
      </c>
    </row>
    <row r="1258">
      <c r="A1258">
        <f>Skills!A17</f>
        <v/>
      </c>
      <c r="B1258">
        <f>Skills!B17</f>
        <v/>
      </c>
      <c r="C1258">
        <f>Inputs!$B$3&gt;=10</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IF(B1277=0,0,O1258/B1277)</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IF(B1277=0,0,O1259/B1277)</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IF(B1277=0,0,O1260/B1277)</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IF(B1277=0,0,O1261/B1277)</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IF(B1277=0,0,O1262/B1277)</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IF(B1277=0,0,O1263/B1277)</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IF(B1277=0,0,O1264/B1277)</f>
        <v/>
      </c>
      <c r="Q1264">
        <f>IFERROR(1/(IF(Inputs!$B$38="pvp",15,MAX(0.1,Skills!D23-IF(Skills!E23=TRUE,Inputs!$B$32,0)))*(1-IF(AND(ArtifactsInput!$M$27,Inputs!$B$4="Chapter Hunt"),CHOOSE(ArtifactsInput!$N$27+1,20,24,28,32,36,40),0)/100)),0)</f>
        <v/>
      </c>
      <c r="R1264">
        <f>IF(AND(Inputs!$B$38&lt;&gt;"pvp",Inputs!$B$43&gt;0),IF(Inputs!$B$43&lt;=0,0,(INT(Inputs!$B$43/(IF(Inputs!$B$38="pvp",15,MAX(0.1,Skills!D23-IF(Skills!E23=TRUE,Inputs!$B$32,0)))*(1-IF(AND(ArtifactsInput!$M$27,Inputs!$B$4="Chapter Hunt"),CHOOSE(ArtifactsInput!$N$27+1,20,24,28,32,36,40),0)/100)))+1)),0)</f>
        <v/>
      </c>
      <c r="S1264">
        <f>IFERROR(O1264/N1264,0)</f>
        <v/>
      </c>
      <c r="T1264" t="n">
        <v>0</v>
      </c>
      <c r="V1264" t="n">
        <v>0</v>
      </c>
    </row>
    <row r="1266">
      <c r="A1266" t="inlineStr">
        <is>
          <t>Attack% Bucket Multiplier</t>
        </is>
      </c>
      <c r="B1266">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7">
      <c r="A1267" t="inlineStr">
        <is>
          <t>Global Crit Rate Bonus %</t>
        </is>
      </c>
      <c r="B1267" t="n">
        <v>0</v>
      </c>
    </row>
    <row r="1268">
      <c r="A1268" t="inlineStr">
        <is>
          <t>Attack Speed Buff Bonus % (Nimble Feet, duty-cycle averaged)</t>
        </is>
      </c>
      <c r="B1268">
        <f>((C1264=TRUE)*F1264*IF(AND(Inputs!$B$38&lt;&gt;"pvp",Inputs!$B$43&gt;0),(((R1264-1)*(Skills!T23*(1+Inputs!$B$34/100))+MIN((Skills!T23*(1+Inputs!$B$34/100)),MAX(0,Inputs!$B$43-((R1264-1)*Skills!D23))))/Inputs!$B$43),IF(Inputs!$B$38="pvp",MIN((Skills!T23*(1+Inputs!$B$34/100)),15)/15,(Skills!T23*(1+Inputs!$B$34/100))/Skills!D23)))</f>
        <v/>
      </c>
    </row>
    <row r="1269">
      <c r="A1269" t="inlineStr">
        <is>
          <t>Actions Per Second</t>
        </is>
      </c>
      <c r="B1269">
        <f>1+MIN(150,150*(1-(1-(Inputs!$B$11+((C1258=TRUE)*(F1258-Calc!F17))+((C1259=TRUE)*(F1259-Calc!F18)))/150)*(1-B1268/150)))/100</f>
        <v/>
      </c>
    </row>
    <row r="1270">
      <c r="A1270" t="inlineStr">
        <is>
          <t>Skill + Buff Cast Rate</t>
        </is>
      </c>
      <c r="B1270">
        <f>IF(AND(Inputs!$B$38&lt;&gt;"pvp",Inputs!$B$43&gt;0),SUMPRODUCT((Skills!E2:E23=TRUE)*(C1243:C1264=TRUE)*R1243:R1264*Skills!F2:F23)/Inputs!$B$43,SUMPRODUCT((Skills!E2:E23=TRUE)*(C1243:C1264=TRUE)*Q1243:Q1264*Skills!F2:F23))</f>
        <v/>
      </c>
    </row>
    <row r="1271">
      <c r="A1271" t="inlineStr">
        <is>
          <t>Hook Bomber Casts Per Second</t>
        </is>
      </c>
      <c r="B1271">
        <f>MAX(0,B1269-B1270)</f>
        <v/>
      </c>
    </row>
    <row r="1272">
      <c r="A1272" t="inlineStr">
        <is>
          <t>Global Critical Damage Bonus % (unused)</t>
        </is>
      </c>
      <c r="B1272" t="n">
        <v>0</v>
      </c>
    </row>
    <row r="1273">
      <c r="A1273" t="inlineStr">
        <is>
          <t>Global Final Damage Bonus % (Serpent Scale + Crossbones + Time Leap + Speed Infusion)</t>
        </is>
      </c>
      <c r="B1273">
        <f>((C1246=TRUE)*F1246*((10+IF(Inputs!$B$3&gt;=94,5,0))/((10+IF(Inputs!$B$3&gt;=94,5,0))+5/(B1271*(1+IF(Inputs!$B$3&gt;=104,1,0))))))+((C1255=TRUE)*F1255)+((C1256=TRUE)*F1256)+((Inputs!$B$3&gt;=110)*20*(B1269-1))</f>
        <v/>
      </c>
    </row>
    <row r="1274">
      <c r="A1274" t="inlineStr">
        <is>
          <t>Buff-Casting Startup Delay (s, fixed-duration only)</t>
        </is>
      </c>
      <c r="B1274">
        <f>IF(AND(Inputs!$B$38&lt;&gt;"pvp",Inputs!$B$43&gt;0),SUMPRODUCT((Skills!T2:T23&gt;0)*(Skills!E2:E23=TRUE)*(C1243:C1264=TRUE))/B1269,0)</f>
        <v/>
      </c>
    </row>
    <row r="1275">
      <c r="A1275" t="inlineStr">
        <is>
          <t>Boss-Only Total DPS (this block's swept value)</t>
        </is>
      </c>
      <c r="B1275">
        <f>SUM(T1243:T1264)</f>
        <v/>
      </c>
    </row>
    <row r="1276">
      <c r="A1276" t="inlineStr">
        <is>
          <t>Normal-Only Total DPS (this block's swept value)</t>
        </is>
      </c>
      <c r="B1276">
        <f>SUM(V1243:V1264)</f>
        <v/>
      </c>
    </row>
    <row r="1277">
      <c r="A1277" s="6" t="inlineStr">
        <is>
          <t>TOTAL DPS</t>
        </is>
      </c>
      <c r="B1277" s="6">
        <f>SUM(O1243:O1264)</f>
        <v/>
      </c>
    </row>
    <row r="1280">
      <c r="A1280" s="6" t="inlineStr">
        <is>
          <t>Stat: Hexagon Necklace (Equip)</t>
        </is>
      </c>
    </row>
    <row r="1281">
      <c r="A1281" s="5" t="inlineStr">
        <is>
          <t>Key</t>
        </is>
      </c>
      <c r="B1281" s="5" t="inlineStr">
        <is>
          <t>Name</t>
        </is>
      </c>
      <c r="C1281" s="5" t="inlineStr">
        <is>
          <t>Unlocked</t>
        </is>
      </c>
      <c r="D1281" s="5" t="inlineStr">
        <is>
          <t>InputLevel</t>
        </is>
      </c>
      <c r="E1281" s="5" t="inlineStr">
        <is>
          <t>Factor</t>
        </is>
      </c>
      <c r="F1281" s="5" t="inlineStr">
        <is>
          <t>CoefficientPercent</t>
        </is>
      </c>
      <c r="G1281" s="5" t="inlineStr">
        <is>
          <t>EffectiveHits</t>
        </is>
      </c>
      <c r="H1281" s="5" t="inlineStr">
        <is>
          <t>ProcProbability</t>
        </is>
      </c>
      <c r="I1281" s="5" t="inlineStr">
        <is>
          <t>MapleHeroMultiplier</t>
        </is>
      </c>
      <c r="J1281" s="5" t="inlineStr">
        <is>
          <t>BaseDamage</t>
        </is>
      </c>
      <c r="K1281" s="5" t="inlineStr">
        <is>
          <t>BaseHitDamage</t>
        </is>
      </c>
      <c r="L1281" s="5" t="inlineStr">
        <is>
          <t>NonCritAvg</t>
        </is>
      </c>
      <c r="M1281" s="5" t="inlineStr">
        <is>
          <t>CritAvg</t>
        </is>
      </c>
      <c r="N1281" s="5" t="inlineStr">
        <is>
          <t>ExpectedDamage(perHit)</t>
        </is>
      </c>
      <c r="O1281" s="5" t="inlineStr">
        <is>
          <t>DPS</t>
        </is>
      </c>
      <c r="P1281" s="5" t="inlineStr">
        <is>
          <t>% of Total</t>
        </is>
      </c>
      <c r="Q1281" s="5" t="inlineStr">
        <is>
          <t>InvCooldown</t>
        </is>
      </c>
      <c r="R1281" s="5" t="inlineStr">
        <is>
          <t>CastsInFight</t>
        </is>
      </c>
      <c r="S1281" s="5" t="inlineStr">
        <is>
          <t>HitRate(perSec)</t>
        </is>
      </c>
      <c r="U1281" t="inlineStr">
        <is>
          <t>helpers</t>
        </is>
      </c>
    </row>
    <row r="1282">
      <c r="A1282">
        <f>Skills!A2</f>
        <v/>
      </c>
      <c r="B1282">
        <f>Skills!B2</f>
        <v/>
      </c>
      <c r="C1282">
        <f>Inputs!$B$3&gt;=100</f>
        <v/>
      </c>
      <c r="D1282" t="inlineStr"/>
      <c r="E1282" t="inlineStr"/>
      <c r="F1282">
        <f>U1284+Skills!O2</f>
        <v/>
      </c>
      <c r="G1282">
        <f>Skills!G2*IF(Skills!H2&gt;0,Skills!I2/Skills!H2,1)</f>
        <v/>
      </c>
      <c r="H1282">
        <f>1-(1-Skills!J2/100)^Skills!K2</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1300=TRUE)*(F1300-Calc!F20)),(Inputs!$B$23+0+(IF(ArtifactsInput!$M$15,CHOOSE(ArtifactsInput!$N$15+1,25,30,35,40,45,50)/100*(Inputs!$B$11-Inputs!$B$11),0))))/100+(Inputs!$B$23+0+(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t="n">
        <v>0</v>
      </c>
      <c r="R1282" t="n">
        <v>0</v>
      </c>
      <c r="S1282">
        <f>IFERROR(O1282/N1282,0)</f>
        <v/>
      </c>
      <c r="T1282">
        <f>IF(C1282,(Skills!G2*N1282*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MAX(0,(Inputs!$B$3-100)*3)+Inputs!$B$28+Inputs!$B$29</f>
        <v/>
      </c>
      <c r="V1282">
        <f>IF(C1282,(Skills!G2*N1282*B1310)*IF(Inputs!$B$38="pvp",1,(1+(Inputs!$B$21+Skills!Q2+(IF(ArtifactsInput!$M$33,CHOOSE(ArtifactsInput!$N$33+1,30,36,42,48,54,60),0))+(IF(AND(ArtifactsInput!$M$35,Inputs!$B$4&lt;&gt;"Chapter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Skills!A3</f>
        <v/>
      </c>
      <c r="B1283">
        <f>Skills!B3</f>
        <v/>
      </c>
      <c r="C1283">
        <f>Inputs!$B$3&gt;=35</f>
        <v/>
      </c>
      <c r="D1283">
        <f>IF(Skills!C3=1,60+Inputs!$B$25+Inputs!$B$29,IF(Skills!C3=2,90+Inputs!$B$26+Inputs!$B$29,IF(Skills!C3=3,120+Inputs!$B$27+Inputs!$B$29,MAX(0,(Inputs!$B$3-100)*3)+Inputs!$B$28+Inputs!$B$29)))</f>
        <v/>
      </c>
      <c r="E1283">
        <f>INDEX(FactorTable!$B$2:$Y$301, MATCH(ROUND(MIN(300,MAX(1,D1283)),0), FactorTable!$A$2:$A$301,0), Skills!M3+1)</f>
        <v/>
      </c>
      <c r="F1283">
        <f>IF(Skills!N3=TRUE,(Skills!L3/10)*(E1283/1000),Skills!L3/10)+Skills!O3</f>
        <v/>
      </c>
      <c r="G1283">
        <f>Skills!G3*IF(Skills!H3&gt;0,Skills!I3/Skills!H3,1)</f>
        <v/>
      </c>
      <c r="H1283">
        <f>1-(1-Skills!J3/100)^Skills!K3</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1300=TRUE)*(F1300-Calc!F20)),(Inputs!$B$23+0+(IF(ArtifactsInput!$M$15,CHOOSE(ArtifactsInput!$N$15+1,25,30,35,40,45,50)/100*(Inputs!$B$11-Inputs!$B$11),0))))/100+(Inputs!$B$23+0+(IF(ArtifactsInput!$M$15,CHOOSE(ArtifactsInput!$N$15+1,25,30,35,40,45,50)/100*(Inputs!$B$11-Inputs!$B$11),0)))/100)/2</f>
        <v/>
      </c>
      <c r="M1283">
        <f>L1283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IF(B1316=0,0,O1283/B1316)</f>
        <v/>
      </c>
      <c r="Q1283" t="n">
        <v>0</v>
      </c>
      <c r="R1283" t="n">
        <v>0</v>
      </c>
      <c r="S1283">
        <f>IFERROR(O1283/N1283,0)</f>
        <v/>
      </c>
      <c r="T1283">
        <f>IF(C1283,(Skills!G3*H1283*N1283*B1310)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3">
        <f>INDEX(FactorTable!$B$2:$Y$301, MATCH(ROUND(MIN(300,MAX(1,U1282)),0), FactorTable!$A$2:$A$301,0), 22)</f>
        <v/>
      </c>
      <c r="V1283">
        <f>IF(C1283,(Skills!G3*H1283*N1283*B1310)*IF(Inputs!$B$38="pvp",1,(1+(Inputs!$B$21+Skills!Q3+(IF(ArtifactsInput!$M$33,CHOOSE(ArtifactsInput!$N$33+1,30,36,42,48,54,60),0))+(IF(AND(ArtifactsInput!$M$35,Inputs!$B$4&lt;&gt;"Chapter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Skills!A4</f>
        <v/>
      </c>
      <c r="B1284">
        <f>Skills!B4</f>
        <v/>
      </c>
      <c r="C1284">
        <f>Inputs!$B$3&gt;=60</f>
        <v/>
      </c>
      <c r="D1284">
        <f>IF(Skills!C4=1,60+Inputs!$B$25+Inputs!$B$29,IF(Skills!C4=2,90+Inputs!$B$26+Inputs!$B$29,IF(Skills!C4=3,120+Inputs!$B$27+Inputs!$B$29,MAX(0,(Inputs!$B$3-100)*3)+Inputs!$B$28+Inputs!$B$29)))</f>
        <v/>
      </c>
      <c r="E1284">
        <f>INDEX(FactorTable!$B$2:$Y$301, MATCH(ROUND(MIN(300,MAX(1,D1284)),0), FactorTable!$A$2:$A$301,0), Skills!M4+1)</f>
        <v/>
      </c>
      <c r="F1284">
        <f>IF(Skills!N4=TRUE,(Skills!L4/10)*(E1284/1000),Skills!L4/10)+Skills!O4</f>
        <v/>
      </c>
      <c r="G1284">
        <f>Skills!G4*IF(Skills!H4&gt;0,Skills!I4/Skills!H4,1)</f>
        <v/>
      </c>
      <c r="H1284">
        <f>1-(1-Skills!J4/100)^Skills!K4</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1292=TRUE,F1292,0)/100)*(1+(IF(Skills!A4="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1300=TRUE)*(F1300-Calc!F20)),(Inputs!$B$23+0+(IF(ArtifactsInput!$M$15,CHOOSE(ArtifactsInput!$N$15+1,25,30,35,40,45,50)/100*(Inputs!$B$11-Inputs!$B$11),0))))/100+(Inputs!$B$23+0+(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t="n">
        <v>0</v>
      </c>
      <c r="R1284" t="n">
        <v>0</v>
      </c>
      <c r="S1284">
        <f>IFERROR(O1284/N1284,0)</f>
        <v/>
      </c>
      <c r="T1284">
        <f>IF(C1284,(Skills!G4*H1284*N1284*B1310)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290*U1283/1000</f>
        <v/>
      </c>
      <c r="V1284">
        <f>IF(C1284,(Skills!G4*H1284*N1284*B1310)*IF(Inputs!$B$38="pvp",1,(1+(Inputs!$B$21+Skills!Q4+(IF(ArtifactsInput!$M$33,CHOOSE(ArtifactsInput!$N$33+1,30,36,42,48,54,60),0))+(IF(AND(ArtifactsInput!$M$35,Inputs!$B$4&lt;&gt;"Chapter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Skills!A5</f>
        <v/>
      </c>
      <c r="B1285">
        <f>Skills!B5</f>
        <v/>
      </c>
      <c r="C1285">
        <f>Inputs!$B$3&gt;=60</f>
        <v/>
      </c>
      <c r="D1285">
        <f>IF(Skills!C5=1,60+Inputs!$B$25+Inputs!$B$29,IF(Skills!C5=2,90+Inputs!$B$26+Inputs!$B$29,IF(Skills!C5=3,120+Inputs!$B$27+Inputs!$B$29,MAX(0,(Inputs!$B$3-100)*3)+Inputs!$B$28+Inputs!$B$29)))</f>
        <v/>
      </c>
      <c r="E1285">
        <f>INDEX(FactorTable!$B$2:$Y$301, MATCH(ROUND(MIN(300,MAX(1,D1285)),0), FactorTable!$A$2:$A$301,0), Skills!M5+1)</f>
        <v/>
      </c>
      <c r="F1285">
        <f>IF(Skills!N5=TRUE,(Skills!L5/10)*(E1285/1000),Skills!L5/10)+Skills!O5</f>
        <v/>
      </c>
      <c r="G1285">
        <f>Skills!G5*IF(Skills!H5&gt;0,Skills!I5/Skills!H5,1)</f>
        <v/>
      </c>
      <c r="H1285">
        <f>1-(1-Skills!J5/100)^Skills!K5</f>
        <v/>
      </c>
      <c r="I1285" t="inlineStr">
        <is>
          <t>1</t>
        </is>
      </c>
      <c r="J1285" t="inlineStr"/>
      <c r="K1285" t="inlineStr"/>
      <c r="L1285" t="inlineStr"/>
      <c r="M1285" t="inlineStr"/>
      <c r="N1285" t="inlineStr"/>
      <c r="O1285">
        <f>(1-Summary!$B$11)*T1285+Summary!$B$11*V1285</f>
        <v/>
      </c>
      <c r="P1285">
        <f>IF(B1316=0,0,O1285/B1316)</f>
        <v/>
      </c>
      <c r="Q1285" t="n">
        <v>0</v>
      </c>
      <c r="R1285" t="n">
        <v>0</v>
      </c>
      <c r="S1285">
        <f>IFERROR(O1285/N1285,0)</f>
        <v/>
      </c>
      <c r="T1285" t="n">
        <v>0</v>
      </c>
      <c r="V1285" t="n">
        <v>0</v>
      </c>
    </row>
    <row r="1286">
      <c r="A1286">
        <f>Skills!A6</f>
        <v/>
      </c>
      <c r="B1286">
        <f>Skills!B6</f>
        <v/>
      </c>
      <c r="C1286">
        <f>Inputs!$B$3&gt;=63</f>
        <v/>
      </c>
      <c r="D1286">
        <f>IF(Skills!C6=1,60+Inputs!$B$25+Inputs!$B$29,IF(Skills!C6=2,90+Inputs!$B$26+Inputs!$B$29,IF(Skills!C6=3,120+Inputs!$B$27+Inputs!$B$29,MAX(0,(Inputs!$B$3-100)*3)+Inputs!$B$28+Inputs!$B$29)))</f>
        <v/>
      </c>
      <c r="E1286">
        <f>INDEX(FactorTable!$B$2:$Y$301, MATCH(ROUND(MIN(300,MAX(1,D1286)),0), FactorTable!$A$2:$A$301,0), Skills!M6+1)</f>
        <v/>
      </c>
      <c r="F1286">
        <f>IF(Skills!N6=TRUE,(Skills!L6/10)*(E1286/1000),Skills!L6/10)+Skills!O6</f>
        <v/>
      </c>
      <c r="G1286">
        <f>Skills!G6*IF(Skills!H6&gt;0,Skills!I6/Skills!H6,1)</f>
        <v/>
      </c>
      <c r="H1286">
        <f>1-(1-Skills!J6/100)^Skills!K6</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1300=TRUE)*(F1300-Calc!F20)),(Inputs!$B$23+0+(IF(ArtifactsInput!$M$15,CHOOSE(ArtifactsInput!$N$15+1,25,30,35,40,45,50)/100*(Inputs!$B$11-Inputs!$B$11),0))))/100+(Inputs!$B$23+0+(IF(ArtifactsInput!$M$15,CHOOSE(ArtifactsInput!$N$15+1,25,30,35,40,45,50)/100*(Inputs!$B$11-Inputs!$B$11),0)))/100)/2</f>
        <v/>
      </c>
      <c r="M1286">
        <f>L1286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IF(B1316=0,0,O1286/B1316)</f>
        <v/>
      </c>
      <c r="Q1286">
        <f>IFERROR(1/(IF(Inputs!$B$38="pvp",15,MAX(0.1,Skills!D6-IF(Skills!E6=TRUE,Inputs!$B$32,0)))*(1-IF(AND(ArtifactsInput!$M$27,Inputs!$B$4="Chapter Hunt"),CHOOSE(ArtifactsInput!$N$27+1,20,24,28,32,36,40),0)/100)),0)</f>
        <v/>
      </c>
      <c r="R1286">
        <f>IF(AND(Inputs!$B$38&lt;&gt;"pvp",Inputs!$B$43&gt;0),IF(MAX(0,Inputs!$B$43-B1313)&lt;=0,0,(INT(MAX(0,Inputs!$B$43-B1313)/(IF(Inputs!$B$38="pvp",15,MAX(0.1,Skills!D6-IF(Skills!E6=TRUE,Inputs!$B$32,0)))*(1-IF(AND(ArtifactsInput!$M$27,Inputs!$B$4="Chapter Hunt"),CHOOSE(ArtifactsInput!$N$27+1,20,24,28,32,36,40),0)/100)))+1)),0)</f>
        <v/>
      </c>
      <c r="S1286">
        <f>IFERROR(O1286/N1286,0)</f>
        <v/>
      </c>
      <c r="T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Skills!A7</f>
        <v/>
      </c>
      <c r="B1287">
        <f>Skills!B7</f>
        <v/>
      </c>
      <c r="C1287">
        <f>Inputs!$B$3&gt;=100</f>
        <v/>
      </c>
      <c r="D1287">
        <f>IF(Skills!C7=1,60+Inputs!$B$25+Inputs!$B$29,IF(Skills!C7=2,90+Inputs!$B$26+Inputs!$B$29,IF(Skills!C7=3,120+Inputs!$B$27+Inputs!$B$29,MAX(0,(Inputs!$B$3-100)*3)+Inputs!$B$28+Inputs!$B$29)))</f>
        <v/>
      </c>
      <c r="E1287">
        <f>INDEX(FactorTable!$B$2:$Y$301, MATCH(ROUND(MIN(300,MAX(1,D1287)),0), FactorTable!$A$2:$A$301,0), Skills!M7+1)</f>
        <v/>
      </c>
      <c r="F1287">
        <f>IF(Skills!N7=TRUE,(Skills!L7/10)*(E1287/1000),Skills!L7/10)+Skills!O7</f>
        <v/>
      </c>
      <c r="G1287">
        <f>Skills!G7*IF(Skills!H7&gt;0,Skills!I7/Skills!H7,1)</f>
        <v/>
      </c>
      <c r="H1287">
        <f>1-(1-Skills!J7/100)^Skills!K7</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1300=TRUE)*(F1300-Calc!F20)),(Inputs!$B$23+0+(IF(ArtifactsInput!$M$15,CHOOSE(ArtifactsInput!$N$15+1,25,30,35,40,45,50)/100*(Inputs!$B$11-Inputs!$B$11),0))))/100+(Inputs!$B$23+0+(IF(ArtifactsInput!$M$15,CHOOSE(ArtifactsInput!$N$15+1,25,30,35,40,45,50)/100*(Inputs!$B$11-Inputs!$B$11),0)))/100)/2</f>
        <v/>
      </c>
      <c r="M1287">
        <f>L1287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IF(B1316=0,0,O1287/B1316)</f>
        <v/>
      </c>
      <c r="Q1287">
        <f>IFERROR(1/(IF(Inputs!$B$38="pvp",15,MAX(0.1,Skills!D7-IF(Skills!E7=TRUE,Inputs!$B$32,0)))*(1-IF(AND(ArtifactsInput!$M$27,Inputs!$B$4="Chapter Hunt"),CHOOSE(ArtifactsInput!$N$27+1,20,24,28,32,36,40),0)/100)),0)</f>
        <v/>
      </c>
      <c r="R1287">
        <f>IF(AND(Inputs!$B$38&lt;&gt;"pvp",Inputs!$B$43&gt;0),IF(MAX(0,Inputs!$B$43-B1313)&lt;=0,0,(INT(MAX(0,Inputs!$B$43-B1313)/(IF(Inputs!$B$38="pvp",15,MAX(0.1,Skills!D7-IF(Skills!E7=TRUE,Inputs!$B$32,0)))*(1-IF(AND(ArtifactsInput!$M$27,Inputs!$B$4="Chapter Hunt"),CHOOSE(ArtifactsInput!$N$27+1,20,24,28,32,36,40),0)/100)))+1)),0)</f>
        <v/>
      </c>
      <c r="S1287">
        <f>IFERROR(O1287/N1287,0)</f>
        <v/>
      </c>
      <c r="T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$21+Skills!Q7+(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Skills!A8</f>
        <v/>
      </c>
      <c r="B1288">
        <f>Skills!B8</f>
        <v/>
      </c>
      <c r="C1288">
        <f>Inputs!$B$3&gt;=110</f>
        <v/>
      </c>
      <c r="D1288">
        <f>IF(Skills!C8=1,60+Inputs!$B$25+Inputs!$B$29,IF(Skills!C8=2,90+Inputs!$B$26+Inputs!$B$29,IF(Skills!C8=3,120+Inputs!$B$27+Inputs!$B$29,MAX(0,(Inputs!$B$3-100)*3)+Inputs!$B$28+Inputs!$B$29)))</f>
        <v/>
      </c>
      <c r="E1288">
        <f>INDEX(FactorTable!$B$2:$Y$301, MATCH(ROUND(MIN(300,MAX(1,D1288)),0), FactorTable!$A$2:$A$301,0), Skills!M8+1)</f>
        <v/>
      </c>
      <c r="F1288">
        <f>IF(Skills!N8=TRUE,(Skills!L8/10)*(E1288/1000),Skills!L8/10)+Skills!O8</f>
        <v/>
      </c>
      <c r="G1288">
        <f>Skills!G8*IF(Skills!H8&gt;0,Skills!I8/Skills!H8,1)</f>
        <v/>
      </c>
      <c r="H1288">
        <f>1-(1-Skills!J8/100)^Skills!K8</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1300=TRUE)*(F1300-Calc!F20)),(Inputs!$B$23+0+(IF(ArtifactsInput!$M$15,CHOOSE(ArtifactsInput!$N$15+1,25,30,35,40,45,50)/100*(Inputs!$B$11-Inputs!$B$11),0))))/100+(Inputs!$B$23+0+(IF(ArtifactsInput!$M$15,CHOOSE(ArtifactsInput!$N$15+1,25,30,35,40,45,50)/100*(Inputs!$B$11-Inputs!$B$11),0)))/100)/2</f>
        <v/>
      </c>
      <c r="M1288">
        <f>L1288*(1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IF(B1316=0,0,O1288/B1316)</f>
        <v/>
      </c>
      <c r="Q1288">
        <f>IFERROR(1/(IF(Inputs!$B$38="pvp",15,MAX(0.1,Skills!D8-IF(Skills!E8=TRUE,Inputs!$B$32,0)))*(1-IF(AND(ArtifactsInput!$M$27,Inputs!$B$4="Chapter Hunt"),CHOOSE(ArtifactsInput!$N$27+1,20,24,28,32,36,40),0)/100)),0)</f>
        <v/>
      </c>
      <c r="R1288">
        <f>IF(AND(Inputs!$B$38&lt;&gt;"pvp",Inputs!$B$43&gt;0),IF(MAX(0,Inputs!$B$43-B1313)&lt;=0,0,(INT(MAX(0,Inputs!$B$43-B1313)/(IF(Inputs!$B$38="pvp",15,MAX(0.1,Skills!D8-IF(Skills!E8=TRUE,Inputs!$B$32,0)))*(1-IF(AND(ArtifactsInput!$M$27,Inputs!$B$4="Chapter Hunt"),CHOOSE(ArtifactsInput!$N$27+1,20,24,28,32,36,40),0)/100)))+1)),0)</f>
        <v/>
      </c>
      <c r="S1288">
        <f>IFERROR(O1288/N1288,0)</f>
        <v/>
      </c>
      <c r="T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Skills!A9</f>
        <v/>
      </c>
      <c r="B1289">
        <f>Skills!B9</f>
        <v/>
      </c>
      <c r="C1289">
        <f>Inputs!$B$3&gt;=110</f>
        <v/>
      </c>
      <c r="D1289">
        <f>IF(Skills!C9=1,60+Inputs!$B$25+Inputs!$B$29,IF(Skills!C9=2,90+Inputs!$B$26+Inputs!$B$29,IF(Skills!C9=3,120+Inputs!$B$27+Inputs!$B$29,MAX(0,(Inputs!$B$3-100)*3)+Inputs!$B$28+Inputs!$B$29)))</f>
        <v/>
      </c>
      <c r="E1289">
        <f>INDEX(FactorTable!$B$2:$Y$301, MATCH(ROUND(MIN(300,MAX(1,D1289)),0), FactorTable!$A$2:$A$301,0), Skills!M9+1)</f>
        <v/>
      </c>
      <c r="F1289">
        <f>IF(Skills!N9=TRUE,(Skills!L9/10)*(E1289/1000),Skills!L9/10)+Skills!O9</f>
        <v/>
      </c>
      <c r="G1289">
        <f>Skills!G9*IF(Skills!H9&gt;0,Skills!I9/Skills!H9,1)</f>
        <v/>
      </c>
      <c r="H1289">
        <f>1-(1-Skills!J9/100)^Skills!K9</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1300=TRUE)*(F1300-Calc!F20)),(Inputs!$B$23+0+(IF(ArtifactsInput!$M$15,CHOOSE(ArtifactsInput!$N$15+1,25,30,35,40,45,50)/100*(Inputs!$B$11-Inputs!$B$11),0))))/100+(Inputs!$B$23+0+(IF(ArtifactsInput!$M$15,CHOOSE(ArtifactsInput!$N$15+1,25,30,35,40,45,50)/100*(Inputs!$B$11-Inputs!$B$11),0)))/100)/2</f>
        <v/>
      </c>
      <c r="M1289">
        <f>L1289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IF(B1316=0,0,O1289/B1316)</f>
        <v/>
      </c>
      <c r="Q1289">
        <f>IFERROR(1/(IF(Inputs!$B$38="pvp",15,MAX(0.1,Skills!D9-IF(Skills!E9=TRUE,Inputs!$B$32,0)))*(1-IF(AND(ArtifactsInput!$M$27,Inputs!$B$4="Chapter Hunt"),CHOOSE(ArtifactsInput!$N$27+1,20,24,28,32,36,40),0)/100)),0)</f>
        <v/>
      </c>
      <c r="R1289">
        <f>IF(AND(Inputs!$B$38&lt;&gt;"pvp",Inputs!$B$43&gt;0),IF(MAX(0,Inputs!$B$43-B1313)&lt;=0,0,(INT(MAX(0,Inputs!$B$43-B1313)/(IF(Inputs!$B$38="pvp",15,MAX(0.1,Skills!D9-IF(Skills!E9=TRUE,Inputs!$B$32,0)))*(1-IF(AND(ArtifactsInput!$M$27,Inputs!$B$4="Chapter Hunt"),CHOOSE(ArtifactsInput!$N$27+1,20,24,28,32,36,40),0)/100)))+1)),0)</f>
        <v/>
      </c>
      <c r="S1289">
        <f>IFERROR(O1289/N1289,0)</f>
        <v/>
      </c>
      <c r="T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Skills!A10</f>
        <v/>
      </c>
      <c r="B1290">
        <f>Skills!B10</f>
        <v/>
      </c>
      <c r="C1290">
        <f>Inputs!$B$3&gt;=103</f>
        <v/>
      </c>
      <c r="D1290">
        <f>IF(Skills!C10=1,60+Inputs!$B$25+Inputs!$B$29,IF(Skills!C10=2,90+Inputs!$B$26+Inputs!$B$29,IF(Skills!C10=3,120+Inputs!$B$27+Inputs!$B$29,MAX(0,(Inputs!$B$3-100)*3)+Inputs!$B$28+Inputs!$B$29)))</f>
        <v/>
      </c>
      <c r="E1290">
        <f>INDEX(FactorTable!$B$2:$Y$301, MATCH(ROUND(MIN(300,MAX(1,D1290)),0), FactorTable!$A$2:$A$301,0), Skills!M10+1)</f>
        <v/>
      </c>
      <c r="F1290">
        <f>IF(Skills!N10=TRUE,(Skills!L10/10)*(E1290/1000),Skills!L10/10)+Skills!O10</f>
        <v/>
      </c>
      <c r="G1290">
        <f>Skills!G10*IF(Skills!H10&gt;0,Skills!I10/Skills!H10,1)</f>
        <v/>
      </c>
      <c r="H1290">
        <f>1-(1-Skills!J10/100)^Skills!K10</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1300=TRUE)*(F1300-Calc!F20)),(Inputs!$B$23+0+(IF(ArtifactsInput!$M$15,CHOOSE(ArtifactsInput!$N$15+1,25,30,35,40,45,50)/100*(Inputs!$B$11-Inputs!$B$11),0))))/100+(Inputs!$B$23+0+(IF(ArtifactsInput!$M$15,CHOOSE(ArtifactsInput!$N$15+1,25,30,35,40,45,50)/100*(Inputs!$B$11-Inputs!$B$11),0)))/100)/2</f>
        <v/>
      </c>
      <c r="M1290">
        <f>L1290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IF(B1316=0,0,O1290/B1316)</f>
        <v/>
      </c>
      <c r="Q1290">
        <f>IFERROR(1/(IF(Inputs!$B$38="pvp",15,MAX(0.1,Skills!D10-IF(Skills!E10=TRUE,Inputs!$B$32,0)))*(1-IF(AND(ArtifactsInput!$M$27,Inputs!$B$4="Chapter Hunt"),CHOOSE(ArtifactsInput!$N$27+1,20,24,28,32,36,40),0)/100)),0)</f>
        <v/>
      </c>
      <c r="R1290">
        <f>IF(AND(Inputs!$B$38&lt;&gt;"pvp",Inputs!$B$43&gt;0),IF(MAX(0,Inputs!$B$43-B1313)&lt;=0,0,(INT(MAX(0,Inputs!$B$43-B1313)/(IF(Inputs!$B$38="pvp",15,MAX(0.1,Skills!D10-IF(Skills!E10=TRUE,Inputs!$B$32,0)))*(1-IF(AND(ArtifactsInput!$M$27,Inputs!$B$4="Chapter Hunt"),CHOOSE(ArtifactsInput!$N$27+1,20,24,28,32,36,40),0)/100)))+1)),0)</f>
        <v/>
      </c>
      <c r="S1290">
        <f>IFERROR(O1290/N1290,0)</f>
        <v/>
      </c>
      <c r="T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Skills!A11</f>
        <v/>
      </c>
      <c r="B1291">
        <f>Skills!B11</f>
        <v/>
      </c>
      <c r="C1291">
        <f>Inputs!$B$3&gt;=113</f>
        <v/>
      </c>
      <c r="D1291">
        <f>IF(Skills!C11=1,60+Inputs!$B$25+Inputs!$B$29,IF(Skills!C11=2,90+Inputs!$B$26+Inputs!$B$29,IF(Skills!C11=3,120+Inputs!$B$27+Inputs!$B$29,MAX(0,(Inputs!$B$3-100)*3)+Inputs!$B$28+Inputs!$B$29)))</f>
        <v/>
      </c>
      <c r="E1291">
        <f>INDEX(FactorTable!$B$2:$Y$301, MATCH(ROUND(MIN(300,MAX(1,D1291)),0), FactorTable!$A$2:$A$301,0), Skills!M11+1)</f>
        <v/>
      </c>
      <c r="F1291">
        <f>IF(Skills!N11=TRUE,(Skills!L11/10)*(E1291/1000),Skills!L11/10)+Skills!O11</f>
        <v/>
      </c>
      <c r="G1291">
        <f>Skills!G11*IF(Skills!H11&gt;0,Skills!I11/Skills!H11,1)</f>
        <v/>
      </c>
      <c r="H1291">
        <f>1-(1-Skills!J11/100)^Skills!K11</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1300=TRUE)*(F1300-Calc!F20)),(Inputs!$B$23+0+(IF(ArtifactsInput!$M$15,CHOOSE(ArtifactsInput!$N$15+1,25,30,35,40,45,50)/100*(Inputs!$B$11-Inputs!$B$11),0))))/100+(Inputs!$B$23+0+(IF(ArtifactsInput!$M$15,CHOOSE(ArtifactsInput!$N$15+1,25,30,35,40,45,50)/100*(Inputs!$B$11-Inputs!$B$11),0)))/100)/2</f>
        <v/>
      </c>
      <c r="M1291">
        <f>L1291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IF(B1316=0,0,O1291/B1316)</f>
        <v/>
      </c>
      <c r="Q1291">
        <f>IFERROR(1/(IF(Inputs!$B$38="pvp",15,MAX(0.1,Skills!D11-IF(Skills!E11=TRUE,Inputs!$B$32,0)))*(1-IF(AND(ArtifactsInput!$M$27,Inputs!$B$4="Chapter Hunt"),CHOOSE(ArtifactsInput!$N$27+1,20,24,28,32,36,40),0)/100)),0)</f>
        <v/>
      </c>
      <c r="R1291">
        <f>IF(AND(Inputs!$B$38&lt;&gt;"pvp",Inputs!$B$43&gt;0),IF(MAX(0,Inputs!$B$43-B1313)&lt;=0,0,(INT(MAX(0,Inputs!$B$43-B1313)/(IF(Inputs!$B$38="pvp",15,MAX(0.1,Skills!D11-IF(Skills!E11=TRUE,Inputs!$B$32,0)))*(1-IF(AND(ArtifactsInput!$M$27,Inputs!$B$4="Chapter Hunt"),CHOOSE(ArtifactsInput!$N$27+1,20,24,28,32,36,40),0)/100)))+1)),0)</f>
        <v/>
      </c>
      <c r="S1291">
        <f>IFERROR(O1291/N1291,0)</f>
        <v/>
      </c>
      <c r="T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Skills!A12</f>
        <v/>
      </c>
      <c r="B1292">
        <f>Skills!B12</f>
        <v/>
      </c>
      <c r="C1292">
        <f>Inputs!$B$3&gt;=100</f>
        <v/>
      </c>
      <c r="D1292">
        <f>IF(Skills!C12=1,60+Inputs!$B$25+Inputs!$B$29,IF(Skills!C12=2,90+Inputs!$B$26+Inputs!$B$29,IF(Skills!C12=3,120+Inputs!$B$27+Inputs!$B$29,MAX(0,(Inputs!$B$3-100)*3)+Inputs!$B$28+Inputs!$B$29)))</f>
        <v/>
      </c>
      <c r="E1292">
        <f>INDEX(FactorTable!$B$2:$Y$301, MATCH(ROUND(MIN(300,MAX(1,D1292)),0), FactorTable!$A$2:$A$301,0), Skills!M12+1)</f>
        <v/>
      </c>
      <c r="F1292">
        <f>IF(Skills!N12=TRUE,(Skills!L12/10)*(E1292/1000),Skills!L12/10)+Skills!O12</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T1292" t="inlineStr"/>
      <c r="V1292" t="inlineStr"/>
    </row>
    <row r="1293">
      <c r="A1293">
        <f>Skills!A13</f>
        <v/>
      </c>
      <c r="B1293">
        <f>Skills!B13</f>
        <v/>
      </c>
      <c r="C1293">
        <f>Inputs!$B$3&gt;=66</f>
        <v/>
      </c>
      <c r="D1293">
        <f>IF(Skills!C13=1,60+Inputs!$B$25+Inputs!$B$29,IF(Skills!C13=2,90+Inputs!$B$26+Inputs!$B$29,IF(Skills!C13=3,120+Inputs!$B$27+Inputs!$B$29,MAX(0,(Inputs!$B$3-100)*3)+Inputs!$B$28+Inputs!$B$29)))</f>
        <v/>
      </c>
      <c r="E1293">
        <f>INDEX(FactorTable!$B$2:$Y$301, MATCH(ROUND(MIN(300,MAX(1,D1293)),0), FactorTable!$A$2:$A$301,0), Skills!M13+1)</f>
        <v/>
      </c>
      <c r="F1293">
        <f>IF(Skills!N13=TRUE,(Skills!L13/10)*(E1293/1000),Skills!L13/10)+Skills!O13</f>
        <v/>
      </c>
      <c r="G1293">
        <f>Skills!G13*IF(Skills!H13&gt;0,Skills!I13/Skills!H13,1)</f>
        <v/>
      </c>
      <c r="H1293">
        <f>1-(1-Skills!J13/100)^Skills!K13</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Skills!A14</f>
        <v/>
      </c>
      <c r="B1294">
        <f>Skills!B14</f>
        <v/>
      </c>
      <c r="C1294">
        <f>Inputs!$B$3&gt;=107</f>
        <v/>
      </c>
      <c r="D1294">
        <f>IF(Skills!C14=1,60+Inputs!$B$25+Inputs!$B$29,IF(Skills!C14=2,90+Inputs!$B$26+Inputs!$B$29,IF(Skills!C14=3,120+Inputs!$B$27+Inputs!$B$29,MAX(0,(Inputs!$B$3-100)*3)+Inputs!$B$28+Inputs!$B$29)))</f>
        <v/>
      </c>
      <c r="E1294">
        <f>INDEX(FactorTable!$B$2:$Y$301, MATCH(ROUND(MIN(300,MAX(1,D1294)),0), FactorTable!$A$2:$A$301,0), Skills!M14+1)</f>
        <v/>
      </c>
      <c r="F1294">
        <f>IF(Skills!N14=TRUE,(Skills!L14/10)*(E1294/1000),Skills!L14/10)+Skills!O14</f>
        <v/>
      </c>
      <c r="G1294">
        <f>Skills!G14*IF(Skills!H14&gt;0,Skills!I14/Skills!H14,1)</f>
        <v/>
      </c>
      <c r="H1294">
        <f>1-(1-Skills!J14/100)^Skills!K14</f>
        <v/>
      </c>
      <c r="I1294" t="inlineStr">
        <is>
          <t>1</t>
        </is>
      </c>
      <c r="J1294" t="inlineStr"/>
      <c r="K1294" t="inlineStr"/>
      <c r="L1294" t="inlineStr"/>
      <c r="M1294" t="inlineStr"/>
      <c r="N1294" t="inlineStr"/>
      <c r="O1294">
        <f>(1-Summary!$B$11)*T1294+Summary!$B$11*V1294</f>
        <v/>
      </c>
      <c r="P1294">
        <f>IF(B1316=0,0,O1294/B1316)</f>
        <v/>
      </c>
      <c r="Q1294" t="n">
        <v>0</v>
      </c>
      <c r="R1294" t="n">
        <v>0</v>
      </c>
      <c r="S1294">
        <f>IFERROR(O1294/N1294,0)</f>
        <v/>
      </c>
      <c r="T1294" t="n">
        <v>0</v>
      </c>
      <c r="V1294" t="n">
        <v>0</v>
      </c>
    </row>
    <row r="1295">
      <c r="A1295">
        <f>Skills!A15</f>
        <v/>
      </c>
      <c r="B1295">
        <f>Skills!B15</f>
        <v/>
      </c>
      <c r="C1295">
        <f>Inputs!$B$3&gt;=115</f>
        <v/>
      </c>
      <c r="D1295">
        <f>IF(Skills!C15=1,60+Inputs!$B$25+Inputs!$B$29,IF(Skills!C15=2,90+Inputs!$B$26+Inputs!$B$29,IF(Skills!C15=3,120+Inputs!$B$27+Inputs!$B$29,MAX(0,(Inputs!$B$3-100)*3)+Inputs!$B$28+Inputs!$B$29)))</f>
        <v/>
      </c>
      <c r="E1295">
        <f>INDEX(FactorTable!$B$2:$Y$301, MATCH(ROUND(MIN(300,MAX(1,D1295)),0), FactorTable!$A$2:$A$301,0), Skills!M15+1)</f>
        <v/>
      </c>
      <c r="F1295">
        <f>IF(Skills!N15=TRUE,(Skills!L15/10)*(E1295/1000),Skills!L15/10)+Skills!O15</f>
        <v/>
      </c>
      <c r="G1295">
        <f>Skills!G15*IF(Skills!H15&gt;0,Skills!I15/Skills!H15,1)</f>
        <v/>
      </c>
      <c r="H1295">
        <f>1-(1-Skills!J15/100)^Skills!K15</f>
        <v/>
      </c>
      <c r="I1295" t="inlineStr">
        <is>
          <t>1</t>
        </is>
      </c>
      <c r="J1295" t="inlineStr"/>
      <c r="K1295" t="inlineStr"/>
      <c r="L1295" t="inlineStr"/>
      <c r="M1295" t="inlineStr"/>
      <c r="N1295" t="inlineStr"/>
      <c r="O1295">
        <f>(1-Summary!$B$11)*T1295+Summary!$B$11*V1295</f>
        <v/>
      </c>
      <c r="P1295">
        <f>IF(B1316=0,0,O1295/B1316)</f>
        <v/>
      </c>
      <c r="Q1295" t="n">
        <v>0</v>
      </c>
      <c r="R1295" t="n">
        <v>0</v>
      </c>
      <c r="S1295">
        <f>IFERROR(O1295/N1295,0)</f>
        <v/>
      </c>
      <c r="T1295" t="n">
        <v>0</v>
      </c>
      <c r="V1295" t="n">
        <v>0</v>
      </c>
    </row>
    <row r="1296">
      <c r="A1296">
        <f>Skills!A16</f>
        <v/>
      </c>
      <c r="B1296">
        <f>Skills!B16</f>
        <v/>
      </c>
      <c r="C1296">
        <f>Inputs!$B$3&gt;=15</f>
        <v/>
      </c>
      <c r="D1296">
        <f>IF(Skills!C16=1,60+Inputs!$B$25+Inputs!$B$29,IF(Skills!C16=2,90+Inputs!$B$26+Inputs!$B$29,IF(Skills!C16=3,120+Inputs!$B$27+Inputs!$B$29,MAX(0,(Inputs!$B$3-100)*3)+Inputs!$B$28+Inputs!$B$29)))</f>
        <v/>
      </c>
      <c r="E1296">
        <f>INDEX(FactorTable!$B$2:$Y$301, MATCH(ROUND(MIN(300,MAX(1,D1296)),0), FactorTable!$A$2:$A$301,0), Skills!M16+1)</f>
        <v/>
      </c>
      <c r="F1296">
        <f>IF(Skills!N16=TRUE,(Skills!L16/10)*(E1296/1000),Skills!L16/10)+Skills!O16</f>
        <v/>
      </c>
      <c r="G1296">
        <f>Skills!G16*IF(Skills!H16&gt;0,Skills!I16/Skills!H16,1)</f>
        <v/>
      </c>
      <c r="H1296">
        <f>1-(1-Skills!J16/100)^Skills!K16</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Skills!A17</f>
        <v/>
      </c>
      <c r="B1297">
        <f>Skills!B17</f>
        <v/>
      </c>
      <c r="C1297">
        <f>Inputs!$B$3&gt;=10</f>
        <v/>
      </c>
      <c r="D1297">
        <f>IF(Skills!C17=1,60+Inputs!$B$25+Inputs!$B$29,IF(Skills!C17=2,90+Inputs!$B$26+Inputs!$B$29,IF(Skills!C17=3,120+Inputs!$B$27+Inputs!$B$29,MAX(0,(Inputs!$B$3-100)*3)+Inputs!$B$28+Inputs!$B$29)))</f>
        <v/>
      </c>
      <c r="E1297">
        <f>INDEX(FactorTable!$B$2:$Y$301, MATCH(ROUND(MIN(300,MAX(1,D1297)),0), FactorTable!$A$2:$A$301,0), Skills!M17+1)</f>
        <v/>
      </c>
      <c r="F1297">
        <f>IF(Skills!N17=TRUE,(Skills!L17/10)*(E1297/1000),Skills!L17/10)+Skills!O17</f>
        <v/>
      </c>
      <c r="G1297">
        <f>Skills!G17*IF(Skills!H17&gt;0,Skills!I17/Skills!H17,1)</f>
        <v/>
      </c>
      <c r="H1297">
        <f>1-(1-Skills!J17/100)^Skills!K17</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Skills!A18</f>
        <v/>
      </c>
      <c r="B1298">
        <f>Skills!B18</f>
        <v/>
      </c>
      <c r="C1298">
        <f>Inputs!$B$3&gt;=33</f>
        <v/>
      </c>
      <c r="D1298">
        <f>IF(Skills!C18=1,60+Inputs!$B$25+Inputs!$B$29,IF(Skills!C18=2,90+Inputs!$B$26+Inputs!$B$29,IF(Skills!C18=3,120+Inputs!$B$27+Inputs!$B$29,MAX(0,(Inputs!$B$3-100)*3)+Inputs!$B$28+Inputs!$B$29)))</f>
        <v/>
      </c>
      <c r="E1298">
        <f>INDEX(FactorTable!$B$2:$Y$301, MATCH(ROUND(MIN(300,MAX(1,D1298)),0), FactorTable!$A$2:$A$301,0), Skills!M18+1)</f>
        <v/>
      </c>
      <c r="F1298">
        <f>IF(Skills!N18=TRUE,(Skills!L18/10)*(E1298/1000),Skills!L18/10)+Skills!O18</f>
        <v/>
      </c>
      <c r="G1298">
        <f>Skills!G18*IF(Skills!H18&gt;0,Skills!I18/Skills!H18,1)</f>
        <v/>
      </c>
      <c r="H1298">
        <f>1-(1-Skills!J18/100)^Skills!K18</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Skills!A19</f>
        <v/>
      </c>
      <c r="B1299">
        <f>Skills!B19</f>
        <v/>
      </c>
      <c r="C1299">
        <f>Inputs!$B$3&gt;=40</f>
        <v/>
      </c>
      <c r="D1299">
        <f>IF(Skills!C19=1,60+Inputs!$B$25+Inputs!$B$29,IF(Skills!C19=2,90+Inputs!$B$26+Inputs!$B$29,IF(Skills!C19=3,120+Inputs!$B$27+Inputs!$B$29,MAX(0,(Inputs!$B$3-100)*3)+Inputs!$B$28+Inputs!$B$29)))</f>
        <v/>
      </c>
      <c r="E1299">
        <f>INDEX(FactorTable!$B$2:$Y$301, MATCH(ROUND(MIN(300,MAX(1,D1299)),0), FactorTable!$A$2:$A$301,0), Skills!M19+1)</f>
        <v/>
      </c>
      <c r="F1299">
        <f>IF(Skills!N19=TRUE,(Skills!L19/10)*(E1299/1000),Skills!L19/10)+Skills!O19</f>
        <v/>
      </c>
      <c r="G1299">
        <f>Skills!G19*IF(Skills!H19&gt;0,Skills!I19/Skills!H19,1)</f>
        <v/>
      </c>
      <c r="H1299">
        <f>1-(1-Skills!J19/100)^Skills!K19</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Skills!A20</f>
        <v/>
      </c>
      <c r="B1300">
        <f>Skills!B20</f>
        <v/>
      </c>
      <c r="C1300">
        <f>Inputs!$B$3&gt;=43</f>
        <v/>
      </c>
      <c r="D1300">
        <f>IF(Skills!C20=1,60+Inputs!$B$25+Inputs!$B$29,IF(Skills!C20=2,90+Inputs!$B$26+Inputs!$B$29,IF(Skills!C20=3,120+Inputs!$B$27+Inputs!$B$29,MAX(0,(Inputs!$B$3-100)*3)+Inputs!$B$28+Inputs!$B$29)))</f>
        <v/>
      </c>
      <c r="E1300">
        <f>INDEX(FactorTable!$B$2:$Y$301, MATCH(ROUND(MIN(300,MAX(1,D1300)),0), FactorTable!$A$2:$A$301,0), Skills!M20+1)</f>
        <v/>
      </c>
      <c r="F1300">
        <f>IF(Skills!N20=TRUE,(Skills!L20/10)*(E1300/1000),Skills!L20/10)+Skills!O20</f>
        <v/>
      </c>
      <c r="G1300">
        <f>Skills!G20*IF(Skills!H20&gt;0,Skills!I20/Skills!H20,1)</f>
        <v/>
      </c>
      <c r="H1300">
        <f>1-(1-Skills!J20/100)^Skills!K20</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Skills!A21</f>
        <v/>
      </c>
      <c r="B1301">
        <f>Skills!B21</f>
        <v/>
      </c>
      <c r="C1301">
        <f>Inputs!$B$3&gt;=38</f>
        <v/>
      </c>
      <c r="D1301">
        <f>IF(Skills!C21=1,60+Inputs!$B$25+Inputs!$B$29,IF(Skills!C21=2,90+Inputs!$B$26+Inputs!$B$29,IF(Skills!C21=3,120+Inputs!$B$27+Inputs!$B$29,MAX(0,(Inputs!$B$3-100)*3)+Inputs!$B$28+Inputs!$B$29)))</f>
        <v/>
      </c>
      <c r="E1301">
        <f>INDEX(FactorTable!$B$2:$Y$301, MATCH(ROUND(MIN(300,MAX(1,D1301)),0), FactorTable!$A$2:$A$301,0), Skills!M21+1)</f>
        <v/>
      </c>
      <c r="F1301">
        <f>IF(Skills!N21=TRUE,(Skills!L21/10)*(E1301/1000),Skills!L21/10)+Skills!O21</f>
        <v/>
      </c>
      <c r="G1301">
        <f>Skills!G21*IF(Skills!H21&gt;0,Skills!I21/Skills!H21,1)</f>
        <v/>
      </c>
      <c r="H1301">
        <f>1-(1-Skills!J21/100)^Skills!K21</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Skills!A22</f>
        <v/>
      </c>
      <c r="B1302">
        <f>Skills!B22</f>
        <v/>
      </c>
      <c r="C1302">
        <f>Inputs!$B$3&gt;=75</f>
        <v/>
      </c>
      <c r="D1302">
        <f>IF(Skills!C22=1,60+Inputs!$B$25+Inputs!$B$29,IF(Skills!C22=2,90+Inputs!$B$26+Inputs!$B$29,IF(Skills!C22=3,120+Inputs!$B$27+Inputs!$B$29,MAX(0,(Inputs!$B$3-100)*3)+Inputs!$B$28+Inputs!$B$29)))</f>
        <v/>
      </c>
      <c r="E1302">
        <f>INDEX(FactorTable!$B$2:$Y$301, MATCH(ROUND(MIN(300,MAX(1,D1302)),0), FactorTable!$A$2:$A$301,0), Skills!M22+1)</f>
        <v/>
      </c>
      <c r="F1302">
        <f>IF(Skills!N22=TRUE,(Skills!L22/10)*(E1302/1000),Skills!L22/10)+Skills!O22</f>
        <v/>
      </c>
      <c r="G1302">
        <f>Skills!G22*IF(Skills!H22&gt;0,Skills!I22/Skills!H22,1)</f>
        <v/>
      </c>
      <c r="H1302">
        <f>1-(1-Skills!J22/100)^Skills!K22</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Skills!A23</f>
        <v/>
      </c>
      <c r="B1303">
        <f>Skills!B23</f>
        <v/>
      </c>
      <c r="C1303">
        <f>TRUE</f>
        <v/>
      </c>
      <c r="D1303">
        <f>IF(Skills!C23=1,60+Inputs!$B$25+Inputs!$B$29,IF(Skills!C23=2,90+Inputs!$B$26+Inputs!$B$29,IF(Skills!C23=3,120+Inputs!$B$27+Inputs!$B$29,MAX(0,(Inputs!$B$3-100)*3)+Inputs!$B$28+Inputs!$B$29)))</f>
        <v/>
      </c>
      <c r="E1303">
        <f>INDEX(FactorTable!$B$2:$Y$301, MATCH(ROUND(MIN(300,MAX(1,D1303)),0), FactorTable!$A$2:$A$301,0), Skills!M23+1)</f>
        <v/>
      </c>
      <c r="F1303">
        <f>IF(Skills!N23=TRUE,(Skills!L23/10)*(E1303/1000),Skills!L23/10)+Skills!O23</f>
        <v/>
      </c>
      <c r="G1303">
        <f>Skills!G23*IF(Skills!H23&gt;0,Skills!I23/Skills!H23,1)</f>
        <v/>
      </c>
      <c r="H1303">
        <f>1-(1-Skills!J23/100)^Skills!K23</f>
        <v/>
      </c>
      <c r="I1303" t="inlineStr">
        <is>
          <t>1</t>
        </is>
      </c>
      <c r="J1303" t="inlineStr"/>
      <c r="K1303" t="inlineStr"/>
      <c r="L1303" t="inlineStr"/>
      <c r="M1303" t="inlineStr"/>
      <c r="N1303" t="inlineStr"/>
      <c r="O1303">
        <f>(1-Summary!$B$11)*T1303+Summary!$B$11*V1303</f>
        <v/>
      </c>
      <c r="P1303">
        <f>IF(B1316=0,0,O1303/B1316)</f>
        <v/>
      </c>
      <c r="Q1303">
        <f>IFERROR(1/(IF(Inputs!$B$38="pvp",15,MAX(0.1,Skills!D23-IF(Skills!E23=TRUE,Inputs!$B$32,0)))*(1-IF(AND(ArtifactsInput!$M$27,Inputs!$B$4="Chapter Hunt"),CHOOSE(ArtifactsInput!$N$27+1,20,24,28,32,36,40),0)/100)),0)</f>
        <v/>
      </c>
      <c r="R1303">
        <f>IF(AND(Inputs!$B$38&lt;&gt;"pvp",Inputs!$B$43&gt;0),IF(Inputs!$B$43&lt;=0,0,(INT(Inputs!$B$43/(IF(Inputs!$B$38="pvp",15,MAX(0.1,Skills!D23-IF(Skills!E23=TRUE,Inputs!$B$32,0)))*(1-IF(AND(ArtifactsInput!$M$27,Inputs!$B$4="Chapter Hunt"),CHOOSE(ArtifactsInput!$N$27+1,20,24,28,32,36,40),0)/100)))+1)),0)</f>
        <v/>
      </c>
      <c r="S1303">
        <f>IFERROR(O1303/N1303,0)</f>
        <v/>
      </c>
      <c r="T1303" t="n">
        <v>0</v>
      </c>
      <c r="V1303" t="n">
        <v>0</v>
      </c>
    </row>
    <row r="1305">
      <c r="A1305" t="inlineStr">
        <is>
          <t>Attack% Bucket Multiplier</t>
        </is>
      </c>
      <c r="B1305">
        <f>(1+(((C1293=TRUE)*F1293*5/7)+((C1299=TRUE)*(F1299-Calc!F19))+(IF(ArtifactsInput!$M$21,CHOOSE(ArtifactsInput!$N$21+1,25,30,35,40,45,50)*(IF(OR(Inputs!$B$4="Chapter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 (Nimble Feet, duty-cycle averaged)</t>
        </is>
      </c>
      <c r="B1307">
        <f>((C1303=TRUE)*F1303*IF(AND(Inputs!$B$38&lt;&gt;"pvp",Inputs!$B$43&gt;0),(((R1303-1)*(Skills!T23*(1+Inputs!$B$34/100))+MIN((Skills!T23*(1+Inputs!$B$34/100)),MAX(0,Inputs!$B$43-((R1303-1)*Skills!D23))))/Inputs!$B$43),IF(Inputs!$B$38="pvp",MIN((Skills!T23*(1+Inputs!$B$34/100)),15)/15,(Skills!T23*(1+Inputs!$B$34/100))/Skills!D23)))</f>
        <v/>
      </c>
    </row>
    <row r="1308">
      <c r="A1308" t="inlineStr">
        <is>
          <t>Actions Per Second</t>
        </is>
      </c>
      <c r="B1308">
        <f>1+MIN(150,150*(1-(1-(Inputs!$B$11+((C1297=TRUE)*(F1297-Calc!F17))+((C1298=TRUE)*(F1298-Calc!F18)))/150)*(1-B1307/150)))/100</f>
        <v/>
      </c>
    </row>
    <row r="1309">
      <c r="A1309" t="inlineStr">
        <is>
          <t>Skill + Buff Cast Rate</t>
        </is>
      </c>
      <c r="B1309">
        <f>IF(AND(Inputs!$B$38&lt;&gt;"pvp",Inputs!$B$43&gt;0),SUMPRODUCT((Skills!E2:E23=TRUE)*(C1282:C1303=TRUE)*R1282:R1303*Skills!F2:F23)/Inputs!$B$43,SUMPRODUCT((Skills!E2:E23=TRUE)*(C1282:C1303=TRUE)*Q1282:Q1303*Skills!F2:F23))</f>
        <v/>
      </c>
    </row>
    <row r="1310">
      <c r="A1310" t="inlineStr">
        <is>
          <t>Hook Bomber Casts Per Second</t>
        </is>
      </c>
      <c r="B1310">
        <f>MAX(0,B1308-B1309)</f>
        <v/>
      </c>
    </row>
    <row r="1311">
      <c r="A1311" t="inlineStr">
        <is>
          <t>Global Critical Damage Bonus % (unused)</t>
        </is>
      </c>
      <c r="B1311" t="n">
        <v>0</v>
      </c>
    </row>
    <row r="1312">
      <c r="A1312" t="inlineStr">
        <is>
          <t>Global Final Damage Bonus % (Serpent Scale + Crossbones + Time Leap + Speed Infusion)</t>
        </is>
      </c>
      <c r="B1312">
        <f>((C1285=TRUE)*F1285*((10+IF(Inputs!$B$3&gt;=94,5,0))/((10+IF(Inputs!$B$3&gt;=94,5,0))+5/(B1310*(1+IF(Inputs!$B$3&gt;=104,1,0))))))+((C1294=TRUE)*F1294)+((C1295=TRUE)*F1295)+((Inputs!$B$3&gt;=110)*20*(B1308-1))</f>
        <v/>
      </c>
    </row>
    <row r="1313">
      <c r="A1313" t="inlineStr">
        <is>
          <t>Buff-Casting Startup Delay (s, fixed-duration only)</t>
        </is>
      </c>
      <c r="B1313">
        <f>IF(AND(Inputs!$B$38&lt;&gt;"pvp",Inputs!$B$43&gt;0),SUMPRODUCT((Skills!T2:T23&gt;0)*(Skills!E2:E23=TRUE)*(C1282:C1303=TRUE))/B1308,0)</f>
        <v/>
      </c>
    </row>
    <row r="1314">
      <c r="A1314" t="inlineStr">
        <is>
          <t>Boss-Only Total DPS (this block's swept value)</t>
        </is>
      </c>
      <c r="B1314">
        <f>SUM(T1282:T1303)</f>
        <v/>
      </c>
    </row>
    <row r="1315">
      <c r="A1315" t="inlineStr">
        <is>
          <t>Normal-Only Total DPS (this block's swept value)</t>
        </is>
      </c>
      <c r="B1315">
        <f>SUM(V1282:V1303)</f>
        <v/>
      </c>
    </row>
    <row r="1316">
      <c r="A1316" s="6" t="inlineStr">
        <is>
          <t>TOTAL DPS</t>
        </is>
      </c>
      <c r="B1316" s="6">
        <f>SUM(O1282:O1303)</f>
        <v/>
      </c>
    </row>
    <row r="1319">
      <c r="A1319" s="6" t="inlineStr">
        <is>
          <t>Stat: Arwen's Glass Shoes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1339=TRUE)*(F1339-Calc!F20)),(Inputs!$B$23+0+(IF(ArtifactsInput!$M$15,CHOOSE(ArtifactsInput!$N$15+1,25,30,35,40,45,50)/100*(Inputs!$B$11-Inputs!$B$11),0))))/100+(Inputs!$B$23+0+(IF(ArtifactsInput!$M$15,CHOOSE(ArtifactsInput!$N$15+1,25,30,35,40,45,50)/100*(Inputs!$B$11-Inputs!$B$11),0)))/100)/2</f>
        <v/>
      </c>
      <c r="M1321">
        <f>L1321*(1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IF(B1355=0,0,O1321/B1355)</f>
        <v/>
      </c>
      <c r="Q1321" t="n">
        <v>0</v>
      </c>
      <c r="R1321" t="n">
        <v>0</v>
      </c>
      <c r="S1321">
        <f>IFERROR(O1321/N1321,0)</f>
        <v/>
      </c>
      <c r="T1321">
        <f>IF(C1321,(Skills!G2*N1321*B1349)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IF(C1321,(Skills!G2*N1321*B1349)*IF(Inputs!$B$38="pvp",1,(1+(Inputs!$B$21+Skills!Q2+(IF(ArtifactsInput!$M$33,CHOOSE(ArtifactsInput!$N$33+1,30,36,42,48,54,60),0))+(IF(AND(ArtifactsInput!$M$35,Inputs!$B$4&lt;&gt;"Chapter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Inputs!$B$3&gt;=35</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1339=TRUE)*(F1339-Calc!F20)),(Inputs!$B$23+0+(IF(ArtifactsInput!$M$15,CHOOSE(ArtifactsInput!$N$15+1,25,30,35,40,45,50)/100*(Inputs!$B$11-Inputs!$B$11),0))))/100+(Inputs!$B$23+0+(IF(ArtifactsInput!$M$15,CHOOSE(ArtifactsInput!$N$15+1,25,30,35,40,45,50)/100*(Inputs!$B$11-Inputs!$B$11),0)))/100)/2</f>
        <v/>
      </c>
      <c r="M1322">
        <f>L1322*(1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IF(B1355=0,0,O1322/B1355)</f>
        <v/>
      </c>
      <c r="Q1322" t="n">
        <v>0</v>
      </c>
      <c r="R1322" t="n">
        <v>0</v>
      </c>
      <c r="S1322">
        <f>IFERROR(O1322/N1322,0)</f>
        <v/>
      </c>
      <c r="T1322">
        <f>IF(C1322,(Skills!G3*H1322*N1322*B1349)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IF(C1322,(Skills!G3*H1322*N1322*B1349)*IF(Inputs!$B$38="pvp",1,(1+(Inputs!$B$21+Skills!Q3+(IF(ArtifactsInput!$M$33,CHOOSE(ArtifactsInput!$N$33+1,30,36,42,48,54,60),0))+(IF(AND(ArtifactsInput!$M$35,Inputs!$B$4&lt;&gt;"Chapter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Inputs!$B$3&gt;=60</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f>Skills!G4*IF(Skills!H4&gt;0,Skills!I4/Skills!H4,1)</f>
        <v/>
      </c>
      <c r="H1323">
        <f>1-(1-Skills!J4/100)^Skills!K4</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4="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1339=TRUE)*(F1339-Calc!F20)),(Inputs!$B$23+0+(IF(ArtifactsInput!$M$15,CHOOSE(ArtifactsInput!$N$15+1,25,30,35,40,45,50)/100*(Inputs!$B$11-Inputs!$B$11),0))))/100+(Inputs!$B$23+0+(IF(ArtifactsInput!$M$15,CHOOSE(ArtifactsInput!$N$15+1,25,30,35,40,45,50)/100*(Inputs!$B$11-Inputs!$B$11),0)))/100)/2</f>
        <v/>
      </c>
      <c r="M1323">
        <f>L1323*(1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IF(B1355=0,0,O1323/B1355)</f>
        <v/>
      </c>
      <c r="Q1323" t="n">
        <v>0</v>
      </c>
      <c r="R1323" t="n">
        <v>0</v>
      </c>
      <c r="S1323">
        <f>IFERROR(O1323/N1323,0)</f>
        <v/>
      </c>
      <c r="T1323">
        <f>IF(C1323,(Skills!G4*H1323*N1323*B1349)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290*U1322/1000</f>
        <v/>
      </c>
      <c r="V1323">
        <f>IF(C1323,(Skills!G4*H1323*N1323*B1349)*IF(Inputs!$B$38="pvp",1,(1+(Inputs!$B$21+Skills!Q4+(IF(ArtifactsInput!$M$33,CHOOSE(ArtifactsInput!$N$33+1,30,36,42,48,54,60),0))+(IF(AND(ArtifactsInput!$M$35,Inputs!$B$4&lt;&gt;"Chapter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Skills!A5</f>
        <v/>
      </c>
      <c r="B1324">
        <f>Skills!B5</f>
        <v/>
      </c>
      <c r="C1324">
        <f>Inputs!$B$3&gt;=60</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Skills!G5*IF(Skills!H5&gt;0,Skills!I5/Skills!H5,1)</f>
        <v/>
      </c>
      <c r="H1324">
        <f>1-(1-Skills!J5/100)^Skills!K5</f>
        <v/>
      </c>
      <c r="I1324" t="inlineStr">
        <is>
          <t>1</t>
        </is>
      </c>
      <c r="J1324" t="inlineStr"/>
      <c r="K1324" t="inlineStr"/>
      <c r="L1324" t="inlineStr"/>
      <c r="M1324" t="inlineStr"/>
      <c r="N1324" t="inlineStr"/>
      <c r="O1324">
        <f>(1-Summary!$B$11)*T1324+Summary!$B$11*V1324</f>
        <v/>
      </c>
      <c r="P1324">
        <f>IF(B1355=0,0,O1324/B1355)</f>
        <v/>
      </c>
      <c r="Q1324" t="n">
        <v>0</v>
      </c>
      <c r="R1324" t="n">
        <v>0</v>
      </c>
      <c r="S1324">
        <f>IFERROR(O1324/N1324,0)</f>
        <v/>
      </c>
      <c r="T1324" t="n">
        <v>0</v>
      </c>
      <c r="V1324" t="n">
        <v>0</v>
      </c>
    </row>
    <row r="1325">
      <c r="A1325">
        <f>Skills!A6</f>
        <v/>
      </c>
      <c r="B1325">
        <f>Skills!B6</f>
        <v/>
      </c>
      <c r="C1325">
        <f>Inputs!$B$3&gt;=63</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1339=TRUE)*(F1339-Calc!F20)),(Inputs!$B$23+0+(IF(ArtifactsInput!$M$15,CHOOSE(ArtifactsInput!$N$15+1,25,30,35,40,45,50)/100*(Inputs!$B$11-Inputs!$B$11),0))))/100+(Inputs!$B$23+0+(IF(ArtifactsInput!$M$15,CHOOSE(ArtifactsInput!$N$15+1,25,30,35,40,45,50)/100*(Inputs!$B$11-Inputs!$B$11),0)))/100)/2</f>
        <v/>
      </c>
      <c r="M1325">
        <f>L1325*(1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IF(B1355=0,0,O1325/B1355)</f>
        <v/>
      </c>
      <c r="Q1325">
        <f>IFERROR(1/(IF(Inputs!$B$38="pvp",15,MAX(0.1,Skills!D6-IF(Skills!E6=TRUE,Inputs!$B$32,0)))*(1-IF(AND(ArtifactsInput!$M$27,Inputs!$B$4="Chapter Hunt"),CHOOSE(ArtifactsInput!$N$27+1,20,24,28,32,36,40),0)/100)),0)</f>
        <v/>
      </c>
      <c r="R1325">
        <f>IF(AND(Inputs!$B$38&lt;&gt;"pvp",Inputs!$B$43&gt;0),IF(MAX(0,Inputs!$B$43-B1352)&lt;=0,0,(INT(MAX(0,Inputs!$B$43-B1352)/(IF(Inputs!$B$38="pvp",15,MAX(0.1,Skills!D6-IF(Skills!E6=TRUE,Inputs!$B$32,0)))*(1-IF(AND(ArtifactsInput!$M$27,Inputs!$B$4="Chapter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Inputs!$B$3&gt;=100</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f>Skills!G7*IF(Skills!H7&gt;0,Skills!I7/Skills!H7,1)</f>
        <v/>
      </c>
      <c r="H1326">
        <f>1-(1-Skills!J7/100)^Skills!K7</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1339=TRUE)*(F1339-Calc!F20)),(Inputs!$B$23+0+(IF(ArtifactsInput!$M$15,CHOOSE(ArtifactsInput!$N$15+1,25,30,35,40,45,50)/100*(Inputs!$B$11-Inputs!$B$11),0))))/100+(Inputs!$B$23+0+(IF(ArtifactsInput!$M$15,CHOOSE(ArtifactsInput!$N$15+1,25,30,35,40,45,50)/100*(Inputs!$B$11-Inputs!$B$11),0)))/100)/2</f>
        <v/>
      </c>
      <c r="M1326">
        <f>L1326*(1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IF(B1355=0,0,O1326/B1355)</f>
        <v/>
      </c>
      <c r="Q1326">
        <f>IFERROR(1/(IF(Inputs!$B$38="pvp",15,MAX(0.1,Skills!D7-IF(Skills!E7=TRUE,Inputs!$B$32,0)))*(1-IF(AND(ArtifactsInput!$M$27,Inputs!$B$4="Chapter Hunt"),CHOOSE(ArtifactsInput!$N$27+1,20,24,28,32,36,40),0)/100)),0)</f>
        <v/>
      </c>
      <c r="R1326">
        <f>IF(AND(Inputs!$B$38&lt;&gt;"pvp",Inputs!$B$43&gt;0),IF(MAX(0,Inputs!$B$43-B1352)&lt;=0,0,(INT(MAX(0,Inputs!$B$43-B1352)/(IF(Inputs!$B$38="pvp",15,MAX(0.1,Skills!D7-IF(Skills!E7=TRUE,Inputs!$B$32,0)))*(1-IF(AND(ArtifactsInput!$M$27,Inputs!$B$4="Chapter Hunt"),CHOOSE(ArtifactsInput!$N$27+1,20,24,28,32,36,40),0)/100)))+1)),0)</f>
        <v/>
      </c>
      <c r="S1326">
        <f>IFERROR(O1326/N1326,0)</f>
        <v/>
      </c>
      <c r="T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$21+Skills!Q7+(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Skills!A8</f>
        <v/>
      </c>
      <c r="B1327">
        <f>Skills!B8</f>
        <v/>
      </c>
      <c r="C1327">
        <f>Inputs!$B$3&gt;=110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1339=TRUE)*(F1339-Calc!F20)),(Inputs!$B$23+0+(IF(ArtifactsInput!$M$15,CHOOSE(ArtifactsInput!$N$15+1,25,30,35,40,45,50)/100*(Inputs!$B$11-Inputs!$B$11),0))))/100+(Inputs!$B$23+0+(IF(ArtifactsInput!$M$15,CHOOSE(ArtifactsInput!$N$15+1,25,30,35,40,45,50)/100*(Inputs!$B$11-Inputs!$B$11),0)))/100)/2</f>
        <v/>
      </c>
      <c r="M1327">
        <f>L1327*(1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IF(B1355=0,0,O1327/B1355)</f>
        <v/>
      </c>
      <c r="Q1327">
        <f>IFERROR(1/(IF(Inputs!$B$38="pvp",15,MAX(0.1,Skills!D8-IF(Skills!E8=TRUE,Inputs!$B$32,0)))*(1-IF(AND(ArtifactsInput!$M$27,Inputs!$B$4="Chapter Hunt"),CHOOSE(ArtifactsInput!$N$27+1,20,24,28,32,36,40),0)/100)),0)</f>
        <v/>
      </c>
      <c r="R1327">
        <f>IF(AND(Inputs!$B$38&lt;&gt;"pvp",Inputs!$B$43&gt;0),IF(MAX(0,Inputs!$B$43-B1352)&lt;=0,0,(INT(MAX(0,Inputs!$B$43-B1352)/(IF(Inputs!$B$38="pvp",15,MAX(0.1,Skills!D8-IF(Skills!E8=TRUE,Inputs!$B$32,0)))*(1-IF(AND(ArtifactsInput!$M$27,Inputs!$B$4="Chapter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Inputs!$B$3&gt;=110</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1339=TRUE)*(F1339-Calc!F20)),(Inputs!$B$23+0+(IF(ArtifactsInput!$M$15,CHOOSE(ArtifactsInput!$N$15+1,25,30,35,40,45,50)/100*(Inputs!$B$11-Inputs!$B$11),0))))/100+(Inputs!$B$23+0+(IF(ArtifactsInput!$M$15,CHOOSE(ArtifactsInput!$N$15+1,25,30,35,40,45,50)/100*(Inputs!$B$11-Inputs!$B$11),0)))/100)/2</f>
        <v/>
      </c>
      <c r="M1328">
        <f>L1328*(1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IF(B1355=0,0,O1328/B1355)</f>
        <v/>
      </c>
      <c r="Q1328">
        <f>IFERROR(1/(IF(Inputs!$B$38="pvp",15,MAX(0.1,Skills!D9-IF(Skills!E9=TRUE,Inputs!$B$32,0)))*(1-IF(AND(ArtifactsInput!$M$27,Inputs!$B$4="Chapter Hunt"),CHOOSE(ArtifactsInput!$N$27+1,20,24,28,32,36,40),0)/100)),0)</f>
        <v/>
      </c>
      <c r="R1328">
        <f>IF(AND(Inputs!$B$38&lt;&gt;"pvp",Inputs!$B$43&gt;0),IF(MAX(0,Inputs!$B$43-B1352)&lt;=0,0,(INT(MAX(0,Inputs!$B$43-B1352)/(IF(Inputs!$B$38="pvp",15,MAX(0.1,Skills!D9-IF(Skills!E9=TRUE,Inputs!$B$32,0)))*(1-IF(AND(ArtifactsInput!$M$27,Inputs!$B$4="Chapter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Inputs!$B$3&gt;=103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1339=TRUE)*(F1339-Calc!F20)),(Inputs!$B$23+0+(IF(ArtifactsInput!$M$15,CHOOSE(ArtifactsInput!$N$15+1,25,30,35,40,45,50)/100*(Inputs!$B$11-Inputs!$B$11),0))))/100+(Inputs!$B$23+0+(IF(ArtifactsInput!$M$15,CHOOSE(ArtifactsInput!$N$15+1,25,30,35,40,45,50)/100*(Inputs!$B$11-Inputs!$B$11),0)))/100)/2</f>
        <v/>
      </c>
      <c r="M1329">
        <f>L1329*(1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IF(B1355=0,0,O1329/B1355)</f>
        <v/>
      </c>
      <c r="Q1329">
        <f>IFERROR(1/(IF(Inputs!$B$38="pvp",15,MAX(0.1,Skills!D10-IF(Skills!E10=TRUE,Inputs!$B$32,0)))*(1-IF(AND(ArtifactsInput!$M$27,Inputs!$B$4="Chapter Hunt"),CHOOSE(ArtifactsInput!$N$27+1,20,24,28,32,36,40),0)/100)),0)</f>
        <v/>
      </c>
      <c r="R1329">
        <f>IF(AND(Inputs!$B$38&lt;&gt;"pvp",Inputs!$B$43&gt;0),IF(MAX(0,Inputs!$B$43-B1352)&lt;=0,0,(INT(MAX(0,Inputs!$B$43-B1352)/(IF(Inputs!$B$38="pvp",15,MAX(0.1,Skills!D10-IF(Skills!E10=TRUE,Inputs!$B$32,0)))*(1-IF(AND(ArtifactsInput!$M$27,Inputs!$B$4="Chapter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Inputs!$B$3&gt;=113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1339=TRUE)*(F1339-Calc!F20)),(Inputs!$B$23+0+(IF(ArtifactsInput!$M$15,CHOOSE(ArtifactsInput!$N$15+1,25,30,35,40,45,50)/100*(Inputs!$B$11-Inputs!$B$11),0))))/100+(Inputs!$B$23+0+(IF(ArtifactsInput!$M$15,CHOOSE(ArtifactsInput!$N$15+1,25,30,35,40,45,50)/100*(Inputs!$B$11-Inputs!$B$11),0)))/100)/2</f>
        <v/>
      </c>
      <c r="M1330">
        <f>L1330*(1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IF(B1355=0,0,O1330/B1355)</f>
        <v/>
      </c>
      <c r="Q1330">
        <f>IFERROR(1/(IF(Inputs!$B$38="pvp",15,MAX(0.1,Skills!D11-IF(Skills!E11=TRUE,Inputs!$B$32,0)))*(1-IF(AND(ArtifactsInput!$M$27,Inputs!$B$4="Chapter Hunt"),CHOOSE(ArtifactsInput!$N$27+1,20,24,28,32,36,40),0)/100)),0)</f>
        <v/>
      </c>
      <c r="R1330">
        <f>IF(AND(Inputs!$B$38&lt;&gt;"pvp",Inputs!$B$43&gt;0),IF(MAX(0,Inputs!$B$43-B1352)&lt;=0,0,(INT(MAX(0,Inputs!$B$43-B1352)/(IF(Inputs!$B$38="pvp",15,MAX(0.1,Skills!D11-IF(Skills!E11=TRUE,Inputs!$B$32,0)))*(1-IF(AND(ArtifactsInput!$M$27,Inputs!$B$4="Chapter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Inputs!$B$3&gt;=66</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Skills!G13*IF(Skills!H13&gt;0,Skills!I13/Skills!H13,1)</f>
        <v/>
      </c>
      <c r="H1332">
        <f>1-(1-Skills!J13/100)^Skills!K13</f>
        <v/>
      </c>
      <c r="I1332" t="inlineStr">
        <is>
          <t>1</t>
        </is>
      </c>
      <c r="J1332" t="inlineStr"/>
      <c r="K1332" t="inlineStr"/>
      <c r="L1332" t="inlineStr"/>
      <c r="M1332" t="inlineStr"/>
      <c r="N1332" t="inlineStr"/>
      <c r="O1332">
        <f>(1-Summary!$B$11)*T1332+Summary!$B$11*V1332</f>
        <v/>
      </c>
      <c r="P1332">
        <f>IF(B1355=0,0,O1332/B1355)</f>
        <v/>
      </c>
      <c r="Q1332" t="n">
        <v>0</v>
      </c>
      <c r="R1332" t="n">
        <v>0</v>
      </c>
      <c r="S1332">
        <f>IFERROR(O1332/N1332,0)</f>
        <v/>
      </c>
      <c r="T1332" t="n">
        <v>0</v>
      </c>
      <c r="V1332" t="n">
        <v>0</v>
      </c>
    </row>
    <row r="1333">
      <c r="A1333">
        <f>Skills!A14</f>
        <v/>
      </c>
      <c r="B1333">
        <f>Skills!B14</f>
        <v/>
      </c>
      <c r="C1333">
        <f>Inputs!$B$3&gt;=107</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f>Skills!G14*IF(Skills!H14&gt;0,Skills!I14/Skills!H14,1)</f>
        <v/>
      </c>
      <c r="H1333">
        <f>1-(1-Skills!J14/100)^Skills!K14</f>
        <v/>
      </c>
      <c r="I1333" t="inlineStr">
        <is>
          <t>1</t>
        </is>
      </c>
      <c r="J1333" t="inlineStr"/>
      <c r="K1333" t="inlineStr"/>
      <c r="L1333" t="inlineStr"/>
      <c r="M1333" t="inlineStr"/>
      <c r="N1333" t="inlineStr"/>
      <c r="O1333">
        <f>(1-Summary!$B$11)*T1333+Summary!$B$11*V1333</f>
        <v/>
      </c>
      <c r="P1333">
        <f>IF(B1355=0,0,O1333/B1355)</f>
        <v/>
      </c>
      <c r="Q1333" t="n">
        <v>0</v>
      </c>
      <c r="R1333" t="n">
        <v>0</v>
      </c>
      <c r="S1333">
        <f>IFERROR(O1333/N1333,0)</f>
        <v/>
      </c>
      <c r="T1333" t="n">
        <v>0</v>
      </c>
      <c r="V1333" t="n">
        <v>0</v>
      </c>
    </row>
    <row r="1334">
      <c r="A1334">
        <f>Skills!A15</f>
        <v/>
      </c>
      <c r="B1334">
        <f>Skills!B15</f>
        <v/>
      </c>
      <c r="C1334">
        <f>Inputs!$B$3&gt;=115</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Skills!G15*IF(Skills!H15&gt;0,Skills!I15/Skills!H15,1)</f>
        <v/>
      </c>
      <c r="H1334">
        <f>1-(1-Skills!J15/100)^Skills!K15</f>
        <v/>
      </c>
      <c r="I1334" t="inlineStr">
        <is>
          <t>1</t>
        </is>
      </c>
      <c r="J1334" t="inlineStr"/>
      <c r="K1334" t="inlineStr"/>
      <c r="L1334" t="inlineStr"/>
      <c r="M1334" t="inlineStr"/>
      <c r="N1334" t="inlineStr"/>
      <c r="O1334">
        <f>(1-Summary!$B$11)*T1334+Summary!$B$11*V1334</f>
        <v/>
      </c>
      <c r="P1334">
        <f>IF(B1355=0,0,O1334/B1355)</f>
        <v/>
      </c>
      <c r="Q1334" t="n">
        <v>0</v>
      </c>
      <c r="R1334" t="n">
        <v>0</v>
      </c>
      <c r="S1334">
        <f>IFERROR(O1334/N1334,0)</f>
        <v/>
      </c>
      <c r="T1334" t="n">
        <v>0</v>
      </c>
      <c r="V1334" t="n">
        <v>0</v>
      </c>
    </row>
    <row r="1335">
      <c r="A1335">
        <f>Skills!A16</f>
        <v/>
      </c>
      <c r="B1335">
        <f>Skills!B16</f>
        <v/>
      </c>
      <c r="C1335">
        <f>Inputs!$B$3&gt;=15</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Skills!G16*IF(Skills!H16&gt;0,Skills!I16/Skills!H16,1)</f>
        <v/>
      </c>
      <c r="H1335">
        <f>1-(1-Skills!J16/100)^Skills!K16</f>
        <v/>
      </c>
      <c r="I1335" t="inlineStr">
        <is>
          <t>1</t>
        </is>
      </c>
      <c r="J1335" t="inlineStr"/>
      <c r="K1335" t="inlineStr"/>
      <c r="L1335" t="inlineStr"/>
      <c r="M1335" t="inlineStr"/>
      <c r="N1335" t="inlineStr"/>
      <c r="O1335">
        <f>(1-Summary!$B$11)*T1335+Summary!$B$11*V1335</f>
        <v/>
      </c>
      <c r="P1335">
        <f>IF(B1355=0,0,O1335/B1355)</f>
        <v/>
      </c>
      <c r="Q1335" t="n">
        <v>0</v>
      </c>
      <c r="R1335" t="n">
        <v>0</v>
      </c>
      <c r="S1335">
        <f>IFERROR(O1335/N1335,0)</f>
        <v/>
      </c>
      <c r="T1335" t="n">
        <v>0</v>
      </c>
      <c r="V1335" t="n">
        <v>0</v>
      </c>
    </row>
    <row r="1336">
      <c r="A1336">
        <f>Skills!A17</f>
        <v/>
      </c>
      <c r="B1336">
        <f>Skills!B17</f>
        <v/>
      </c>
      <c r="C1336">
        <f>Inputs!$B$3&gt;=10</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Skills!G17*IF(Skills!H17&gt;0,Skills!I17/Skills!H17,1)</f>
        <v/>
      </c>
      <c r="H1336">
        <f>1-(1-Skills!J17/100)^Skills!K17</f>
        <v/>
      </c>
      <c r="I1336" t="inlineStr">
        <is>
          <t>1</t>
        </is>
      </c>
      <c r="J1336" t="inlineStr"/>
      <c r="K1336" t="inlineStr"/>
      <c r="L1336" t="inlineStr"/>
      <c r="M1336" t="inlineStr"/>
      <c r="N1336" t="inlineStr"/>
      <c r="O1336">
        <f>(1-Summary!$B$11)*T1336+Summary!$B$11*V1336</f>
        <v/>
      </c>
      <c r="P1336">
        <f>IF(B1355=0,0,O1336/B1355)</f>
        <v/>
      </c>
      <c r="Q1336" t="n">
        <v>0</v>
      </c>
      <c r="R1336" t="n">
        <v>0</v>
      </c>
      <c r="S1336">
        <f>IFERROR(O1336/N1336,0)</f>
        <v/>
      </c>
      <c r="T1336" t="n">
        <v>0</v>
      </c>
      <c r="V1336" t="n">
        <v>0</v>
      </c>
    </row>
    <row r="1337">
      <c r="A1337">
        <f>Skills!A18</f>
        <v/>
      </c>
      <c r="B1337">
        <f>Skills!B18</f>
        <v/>
      </c>
      <c r="C1337">
        <f>Inputs!$B$3&gt;=33</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Skills!G18*IF(Skills!H18&gt;0,Skills!I18/Skills!H18,1)</f>
        <v/>
      </c>
      <c r="H1337">
        <f>1-(1-Skills!J18/100)^Skills!K18</f>
        <v/>
      </c>
      <c r="I1337" t="inlineStr">
        <is>
          <t>1</t>
        </is>
      </c>
      <c r="J1337" t="inlineStr"/>
      <c r="K1337" t="inlineStr"/>
      <c r="L1337" t="inlineStr"/>
      <c r="M1337" t="inlineStr"/>
      <c r="N1337" t="inlineStr"/>
      <c r="O1337">
        <f>(1-Summary!$B$11)*T1337+Summary!$B$11*V1337</f>
        <v/>
      </c>
      <c r="P1337">
        <f>IF(B1355=0,0,O1337/B1355)</f>
        <v/>
      </c>
      <c r="Q1337" t="n">
        <v>0</v>
      </c>
      <c r="R1337" t="n">
        <v>0</v>
      </c>
      <c r="S1337">
        <f>IFERROR(O1337/N1337,0)</f>
        <v/>
      </c>
      <c r="T1337" t="n">
        <v>0</v>
      </c>
      <c r="V1337" t="n">
        <v>0</v>
      </c>
    </row>
    <row r="1338">
      <c r="A1338">
        <f>Skills!A19</f>
        <v/>
      </c>
      <c r="B1338">
        <f>Skills!B19</f>
        <v/>
      </c>
      <c r="C1338">
        <f>Inputs!$B$3&gt;=40</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Skills!G19*IF(Skills!H19&gt;0,Skills!I19/Skills!H19,1)</f>
        <v/>
      </c>
      <c r="H1338">
        <f>1-(1-Skills!J19/100)^Skills!K19</f>
        <v/>
      </c>
      <c r="I1338" t="inlineStr">
        <is>
          <t>1</t>
        </is>
      </c>
      <c r="J1338" t="inlineStr"/>
      <c r="K1338" t="inlineStr"/>
      <c r="L1338" t="inlineStr"/>
      <c r="M1338" t="inlineStr"/>
      <c r="N1338" t="inlineStr"/>
      <c r="O1338">
        <f>(1-Summary!$B$11)*T1338+Summary!$B$11*V1338</f>
        <v/>
      </c>
      <c r="P1338">
        <f>IF(B1355=0,0,O1338/B1355)</f>
        <v/>
      </c>
      <c r="Q1338" t="n">
        <v>0</v>
      </c>
      <c r="R1338" t="n">
        <v>0</v>
      </c>
      <c r="S1338">
        <f>IFERROR(O1338/N1338,0)</f>
        <v/>
      </c>
      <c r="T1338" t="n">
        <v>0</v>
      </c>
      <c r="V1338" t="n">
        <v>0</v>
      </c>
    </row>
    <row r="1339">
      <c r="A1339">
        <f>Skills!A20</f>
        <v/>
      </c>
      <c r="B1339">
        <f>Skills!B20</f>
        <v/>
      </c>
      <c r="C1339">
        <f>Inputs!$B$3&gt;=43</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Skills!G20*IF(Skills!H20&gt;0,Skills!I20/Skills!H20,1)</f>
        <v/>
      </c>
      <c r="H1339">
        <f>1-(1-Skills!J20/100)^Skills!K20</f>
        <v/>
      </c>
      <c r="I1339" t="inlineStr">
        <is>
          <t>1</t>
        </is>
      </c>
      <c r="J1339" t="inlineStr"/>
      <c r="K1339" t="inlineStr"/>
      <c r="L1339" t="inlineStr"/>
      <c r="M1339" t="inlineStr"/>
      <c r="N1339" t="inlineStr"/>
      <c r="O1339">
        <f>(1-Summary!$B$11)*T1339+Summary!$B$11*V1339</f>
        <v/>
      </c>
      <c r="P1339">
        <f>IF(B1355=0,0,O1339/B1355)</f>
        <v/>
      </c>
      <c r="Q1339" t="n">
        <v>0</v>
      </c>
      <c r="R1339" t="n">
        <v>0</v>
      </c>
      <c r="S1339">
        <f>IFERROR(O1339/N1339,0)</f>
        <v/>
      </c>
      <c r="T1339" t="n">
        <v>0</v>
      </c>
      <c r="V1339" t="n">
        <v>0</v>
      </c>
    </row>
    <row r="1340">
      <c r="A1340">
        <f>Skills!A21</f>
        <v/>
      </c>
      <c r="B1340">
        <f>Skills!B21</f>
        <v/>
      </c>
      <c r="C1340">
        <f>Inputs!$B$3&gt;=38</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Skills!G21*IF(Skills!H21&gt;0,Skills!I21/Skills!H21,1)</f>
        <v/>
      </c>
      <c r="H1340">
        <f>1-(1-Skills!J21/100)^Skills!K21</f>
        <v/>
      </c>
      <c r="I1340" t="inlineStr">
        <is>
          <t>1</t>
        </is>
      </c>
      <c r="J1340" t="inlineStr"/>
      <c r="K1340" t="inlineStr"/>
      <c r="L1340" t="inlineStr"/>
      <c r="M1340" t="inlineStr"/>
      <c r="N1340" t="inlineStr"/>
      <c r="O1340">
        <f>(1-Summary!$B$11)*T1340+Summary!$B$11*V1340</f>
        <v/>
      </c>
      <c r="P1340">
        <f>IF(B1355=0,0,O1340/B1355)</f>
        <v/>
      </c>
      <c r="Q1340" t="n">
        <v>0</v>
      </c>
      <c r="R1340" t="n">
        <v>0</v>
      </c>
      <c r="S1340">
        <f>IFERROR(O1340/N1340,0)</f>
        <v/>
      </c>
      <c r="T1340" t="n">
        <v>0</v>
      </c>
      <c r="V1340" t="n">
        <v>0</v>
      </c>
    </row>
    <row r="1341">
      <c r="A1341">
        <f>Skills!A22</f>
        <v/>
      </c>
      <c r="B1341">
        <f>Skills!B22</f>
        <v/>
      </c>
      <c r="C1341">
        <f>Inputs!$B$3&gt;=75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Skills!G22*IF(Skills!H22&gt;0,Skills!I22/Skills!H22,1)</f>
        <v/>
      </c>
      <c r="H1341">
        <f>1-(1-Skills!J22/100)^Skills!K22</f>
        <v/>
      </c>
      <c r="I1341" t="inlineStr">
        <is>
          <t>1</t>
        </is>
      </c>
      <c r="J1341" t="inlineStr"/>
      <c r="K1341" t="inlineStr"/>
      <c r="L1341" t="inlineStr"/>
      <c r="M1341" t="inlineStr"/>
      <c r="N1341" t="inlineStr"/>
      <c r="O1341">
        <f>(1-Summary!$B$11)*T1341+Summary!$B$11*V1341</f>
        <v/>
      </c>
      <c r="P1341">
        <f>IF(B1355=0,0,O1341/B1355)</f>
        <v/>
      </c>
      <c r="Q1341" t="n">
        <v>0</v>
      </c>
      <c r="R1341" t="n">
        <v>0</v>
      </c>
      <c r="S1341">
        <f>IFERROR(O1341/N1341,0)</f>
        <v/>
      </c>
      <c r="T1341" t="n">
        <v>0</v>
      </c>
      <c r="V1341" t="n">
        <v>0</v>
      </c>
    </row>
    <row r="1342">
      <c r="A1342">
        <f>Skills!A23</f>
        <v/>
      </c>
      <c r="B1342">
        <f>Skills!B23</f>
        <v/>
      </c>
      <c r="C1342">
        <f>TRUE</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Skills!G23*IF(Skills!H23&gt;0,Skills!I23/Skills!H23,1)</f>
        <v/>
      </c>
      <c r="H1342">
        <f>1-(1-Skills!J23/100)^Skills!K23</f>
        <v/>
      </c>
      <c r="I1342" t="inlineStr">
        <is>
          <t>1</t>
        </is>
      </c>
      <c r="J1342" t="inlineStr"/>
      <c r="K1342" t="inlineStr"/>
      <c r="L1342" t="inlineStr"/>
      <c r="M1342" t="inlineStr"/>
      <c r="N1342" t="inlineStr"/>
      <c r="O1342">
        <f>(1-Summary!$B$11)*T1342+Summary!$B$11*V1342</f>
        <v/>
      </c>
      <c r="P1342">
        <f>IF(B1355=0,0,O1342/B1355)</f>
        <v/>
      </c>
      <c r="Q1342">
        <f>IFERROR(1/(IF(Inputs!$B$38="pvp",15,MAX(0.1,Skills!D23-IF(Skills!E23=TRUE,Inputs!$B$32,0)))*(1-IF(AND(ArtifactsInput!$M$27,Inputs!$B$4="Chapter Hunt"),CHOOSE(ArtifactsInput!$N$27+1,20,24,28,32,36,40),0)/100)),0)</f>
        <v/>
      </c>
      <c r="R1342">
        <f>IF(AND(Inputs!$B$38&lt;&gt;"pvp",Inputs!$B$43&gt;0),IF(Inputs!$B$43&lt;=0,0,(INT(Inputs!$B$43/(IF(Inputs!$B$38="pvp",15,MAX(0.1,Skills!D23-IF(Skills!E23=TRUE,Inputs!$B$32,0)))*(1-IF(AND(ArtifactsInput!$M$27,Inputs!$B$4="Chapter Hunt"),CHOOSE(ArtifactsInput!$N$27+1,20,24,28,32,36,40),0)/100)))+1)),0)</f>
        <v/>
      </c>
      <c r="S1342">
        <f>IFERROR(O1342/N1342,0)</f>
        <v/>
      </c>
      <c r="T1342" t="n">
        <v>0</v>
      </c>
      <c r="V1342" t="n">
        <v>0</v>
      </c>
    </row>
    <row r="1344">
      <c r="A1344" t="inlineStr">
        <is>
          <t>Attack% Bucket Multiplier</t>
        </is>
      </c>
      <c r="B1344">
        <f>(1+(((C1332=TRUE)*F1332*5/7)+((C1338=TRUE)*(F1338-Calc!F19))+(IF(ArtifactsInput!$M$21,CHOOSE(ArtifactsInput!$N$21+1,25,30,35,40,45,50)*(IF(OR(Inputs!$B$4="Chapter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5">
      <c r="A1345" t="inlineStr">
        <is>
          <t>Global Crit Rate Bonus %</t>
        </is>
      </c>
      <c r="B1345" t="n">
        <v>0</v>
      </c>
    </row>
    <row r="1346">
      <c r="A1346" t="inlineStr">
        <is>
          <t>Attack Speed Buff Bonus % (Nimble Feet, duty-cycle averaged)</t>
        </is>
      </c>
      <c r="B1346">
        <f>((C1342=TRUE)*F1342*IF(AND(Inputs!$B$38&lt;&gt;"pvp",Inputs!$B$43&gt;0),(((R1342-1)*(Skills!T23*(1+Inputs!$B$34/100))+MIN((Skills!T23*(1+Inputs!$B$34/100)),MAX(0,Inputs!$B$43-((R1342-1)*Skills!D23))))/Inputs!$B$43),IF(Inputs!$B$38="pvp",MIN((Skills!T23*(1+Inputs!$B$34/100)),15)/15,(Skills!T23*(1+Inputs!$B$34/100))/Skills!D23)))</f>
        <v/>
      </c>
    </row>
    <row r="1347">
      <c r="A1347" t="inlineStr">
        <is>
          <t>Actions Per Second</t>
        </is>
      </c>
      <c r="B1347">
        <f>1+MIN(150,150*(1-(1-(Inputs!$B$11+((C1336=TRUE)*(F1336-Calc!F17))+((C1337=TRUE)*(F1337-Calc!F18)))/150)*(1-B1346/150)))/100</f>
        <v/>
      </c>
    </row>
    <row r="1348">
      <c r="A1348" t="inlineStr">
        <is>
          <t>Skill + Buff Cast Rate</t>
        </is>
      </c>
      <c r="B1348">
        <f>IF(AND(Inputs!$B$38&lt;&gt;"pvp",Inputs!$B$43&gt;0),SUMPRODUCT((Skills!E2:E23=TRUE)*(C1321:C1342=TRUE)*R1321:R1342*Skills!F2:F23)/Inputs!$B$43,SUMPRODUCT((Skills!E2:E23=TRUE)*(C1321:C1342=TRUE)*Q1321:Q1342*Skills!F2:F23))</f>
        <v/>
      </c>
    </row>
    <row r="1349">
      <c r="A1349" t="inlineStr">
        <is>
          <t>Hook Bomber Casts Per Second</t>
        </is>
      </c>
      <c r="B1349">
        <f>MAX(0,B1347-B1348)</f>
        <v/>
      </c>
    </row>
    <row r="1350">
      <c r="A1350" t="inlineStr">
        <is>
          <t>Global Critical Damage Bonus % (unused)</t>
        </is>
      </c>
      <c r="B1350" t="n">
        <v>0</v>
      </c>
    </row>
    <row r="1351">
      <c r="A1351" t="inlineStr">
        <is>
          <t>Global Final Damage Bonus % (Serpent Scale + Crossbones + Time Leap + Speed Infusion)</t>
        </is>
      </c>
      <c r="B1351">
        <f>((C1324=TRUE)*F1324*((10+IF(Inputs!$B$3&gt;=94,5,0))/((10+IF(Inputs!$B$3&gt;=94,5,0))+5/(B1349*(1+IF(Inputs!$B$3&gt;=104,1,0))))))+((C1333=TRUE)*F1333)+((C1334=TRUE)*F1334)+((Inputs!$B$3&gt;=110)*20*(B1347-1))</f>
        <v/>
      </c>
    </row>
    <row r="1352">
      <c r="A1352" t="inlineStr">
        <is>
          <t>Buff-Casting Startup Delay (s, fixed-duration only)</t>
        </is>
      </c>
      <c r="B1352">
        <f>IF(AND(Inputs!$B$38&lt;&gt;"pvp",Inputs!$B$43&gt;0),SUMPRODUCT((Skills!T2:T23&gt;0)*(Skills!E2:E23=TRUE)*(C1321:C1342=TRUE))/B1347,0)</f>
        <v/>
      </c>
    </row>
    <row r="1353">
      <c r="A1353" t="inlineStr">
        <is>
          <t>Boss-Only Total DPS (this block's swept value)</t>
        </is>
      </c>
      <c r="B1353">
        <f>SUM(T1321:T1342)</f>
        <v/>
      </c>
    </row>
    <row r="1354">
      <c r="A1354" t="inlineStr">
        <is>
          <t>Normal-Only Total DPS (this block's swept value)</t>
        </is>
      </c>
      <c r="B1354">
        <f>SUM(V1321:V1342)</f>
        <v/>
      </c>
    </row>
    <row r="1355">
      <c r="A1355" s="6" t="inlineStr">
        <is>
          <t>TOTAL DPS</t>
        </is>
      </c>
      <c r="B1355" s="6">
        <f>SUM(O1321:O1342)</f>
        <v/>
      </c>
    </row>
    <row r="1358">
      <c r="A1358" s="6" t="inlineStr">
        <is>
          <t>Stat: Mushmom's Cap (Equip)</t>
        </is>
      </c>
    </row>
    <row r="1359">
      <c r="A1359" s="5" t="inlineStr">
        <is>
          <t>Key</t>
        </is>
      </c>
      <c r="B1359" s="5" t="inlineStr">
        <is>
          <t>Name</t>
        </is>
      </c>
      <c r="C1359" s="5" t="inlineStr">
        <is>
          <t>Unlocked</t>
        </is>
      </c>
      <c r="D1359" s="5" t="inlineStr">
        <is>
          <t>InputLevel</t>
        </is>
      </c>
      <c r="E1359" s="5" t="inlineStr">
        <is>
          <t>Factor</t>
        </is>
      </c>
      <c r="F1359" s="5" t="inlineStr">
        <is>
          <t>CoefficientPercent</t>
        </is>
      </c>
      <c r="G1359" s="5" t="inlineStr">
        <is>
          <t>EffectiveHits</t>
        </is>
      </c>
      <c r="H1359" s="5" t="inlineStr">
        <is>
          <t>ProcProbability</t>
        </is>
      </c>
      <c r="I1359" s="5" t="inlineStr">
        <is>
          <t>MapleHeroMultiplier</t>
        </is>
      </c>
      <c r="J1359" s="5" t="inlineStr">
        <is>
          <t>BaseDamage</t>
        </is>
      </c>
      <c r="K1359" s="5" t="inlineStr">
        <is>
          <t>BaseHitDamage</t>
        </is>
      </c>
      <c r="L1359" s="5" t="inlineStr">
        <is>
          <t>NonCritAvg</t>
        </is>
      </c>
      <c r="M1359" s="5" t="inlineStr">
        <is>
          <t>CritAvg</t>
        </is>
      </c>
      <c r="N1359" s="5" t="inlineStr">
        <is>
          <t>ExpectedDamage(perHit)</t>
        </is>
      </c>
      <c r="O1359" s="5" t="inlineStr">
        <is>
          <t>DPS</t>
        </is>
      </c>
      <c r="P1359" s="5" t="inlineStr">
        <is>
          <t>% of Total</t>
        </is>
      </c>
      <c r="Q1359" s="5" t="inlineStr">
        <is>
          <t>InvCooldown</t>
        </is>
      </c>
      <c r="R1359" s="5" t="inlineStr">
        <is>
          <t>CastsInFight</t>
        </is>
      </c>
      <c r="S1359" s="5" t="inlineStr">
        <is>
          <t>HitRate(perSec)</t>
        </is>
      </c>
      <c r="U1359" t="inlineStr">
        <is>
          <t>helpers</t>
        </is>
      </c>
    </row>
    <row r="1360">
      <c r="A1360">
        <f>Skills!A2</f>
        <v/>
      </c>
      <c r="B1360">
        <f>Skills!B2</f>
        <v/>
      </c>
      <c r="C1360">
        <f>Inputs!$B$3&gt;=100</f>
        <v/>
      </c>
      <c r="D1360" t="inlineStr"/>
      <c r="E1360" t="inlineStr"/>
      <c r="F1360">
        <f>U1362+Skills!O2</f>
        <v/>
      </c>
      <c r="G1360">
        <f>Skills!G2*IF(Skills!H2&gt;0,Skills!I2/Skills!H2,1)</f>
        <v/>
      </c>
      <c r="H1360">
        <f>1-(1-Skills!J2/100)^Skills!K2</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1378=TRUE)*(F1378-Calc!F20)),(Inputs!$B$23+0+(IF(ArtifactsInput!$M$15,CHOOSE(ArtifactsInput!$N$15+1,25,30,35,40,45,50)/100*(Inputs!$B$11-Inputs!$B$11),0))))/100+(Inputs!$B$23+0+(IF(ArtifactsInput!$M$15,CHOOSE(ArtifactsInput!$N$15+1,25,30,35,40,45,50)/100*(Inputs!$B$11-Inputs!$B$11),0)))/100)/2</f>
        <v/>
      </c>
      <c r="M1360">
        <f>L1360*(1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IF(B1394=0,0,O1360/B1394)</f>
        <v/>
      </c>
      <c r="Q1360" t="n">
        <v>0</v>
      </c>
      <c r="R1360" t="n">
        <v>0</v>
      </c>
      <c r="S1360">
        <f>IFERROR(O1360/N1360,0)</f>
        <v/>
      </c>
      <c r="T1360">
        <f>IF(C1360,(Skills!G2*N1360*B1388)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MAX(0,(Inputs!$B$3-100)*3)+Inputs!$B$28+Inputs!$B$29</f>
        <v/>
      </c>
      <c r="V1360">
        <f>IF(C1360,(Skills!G2*N1360*B1388)*IF(Inputs!$B$38="pvp",1,(1+(Inputs!$B$21+Skills!Q2+(IF(ArtifactsInput!$M$33,CHOOSE(ArtifactsInput!$N$33+1,30,36,42,48,54,60),0))+(IF(AND(ArtifactsInput!$M$35,Inputs!$B$4&lt;&gt;"Chapter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Skills!A3</f>
        <v/>
      </c>
      <c r="B1361">
        <f>Skills!B3</f>
        <v/>
      </c>
      <c r="C1361">
        <f>Inputs!$B$3&gt;=35</f>
        <v/>
      </c>
      <c r="D1361">
        <f>IF(Skills!C3=1,60+Inputs!$B$25+Inputs!$B$29,IF(Skills!C3=2,90+Inputs!$B$26+Inputs!$B$29,IF(Skills!C3=3,120+Inputs!$B$27+Inputs!$B$29,MAX(0,(Inputs!$B$3-100)*3)+Inputs!$B$28+Inputs!$B$29)))</f>
        <v/>
      </c>
      <c r="E1361">
        <f>INDEX(FactorTable!$B$2:$Y$301, MATCH(ROUND(MIN(300,MAX(1,D1361)),0), FactorTable!$A$2:$A$301,0), Skills!M3+1)</f>
        <v/>
      </c>
      <c r="F1361">
        <f>IF(Skills!N3=TRUE,(Skills!L3/10)*(E1361/1000),Skills!L3/10)+Skills!O3</f>
        <v/>
      </c>
      <c r="G1361">
        <f>Skills!G3*IF(Skills!H3&gt;0,Skills!I3/Skills!H3,1)</f>
        <v/>
      </c>
      <c r="H1361">
        <f>1-(1-Skills!J3/100)^Skills!K3</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1378=TRUE)*(F1378-Calc!F20)),(Inputs!$B$23+0+(IF(ArtifactsInput!$M$15,CHOOSE(ArtifactsInput!$N$15+1,25,30,35,40,45,50)/100*(Inputs!$B$11-Inputs!$B$11),0))))/100+(Inputs!$B$23+0+(IF(ArtifactsInput!$M$15,CHOOSE(ArtifactsInput!$N$15+1,25,30,35,40,45,50)/100*(Inputs!$B$11-Inputs!$B$11),0)))/100)/2</f>
        <v/>
      </c>
      <c r="M1361">
        <f>L1361*(1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IF(B1394=0,0,O1361/B1394)</f>
        <v/>
      </c>
      <c r="Q1361" t="n">
        <v>0</v>
      </c>
      <c r="R1361" t="n">
        <v>0</v>
      </c>
      <c r="S1361">
        <f>IFERROR(O1361/N1361,0)</f>
        <v/>
      </c>
      <c r="T1361">
        <f>IF(C1361,(Skills!G3*H1361*N1361*B1388)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INDEX(FactorTable!$B$2:$Y$301, MATCH(ROUND(MIN(300,MAX(1,U1360)),0), FactorTable!$A$2:$A$301,0), 22)</f>
        <v/>
      </c>
      <c r="V1361">
        <f>IF(C1361,(Skills!G3*H1361*N1361*B1388)*IF(Inputs!$B$38="pvp",1,(1+(Inputs!$B$21+Skills!Q3+(IF(ArtifactsInput!$M$33,CHOOSE(ArtifactsInput!$N$33+1,30,36,42,48,54,60),0))+(IF(AND(ArtifactsInput!$M$35,Inputs!$B$4&lt;&gt;"Chapter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Skills!A4</f>
        <v/>
      </c>
      <c r="B1362">
        <f>Skills!B4</f>
        <v/>
      </c>
      <c r="C1362">
        <f>Inputs!$B$3&gt;=60</f>
        <v/>
      </c>
      <c r="D1362">
        <f>IF(Skills!C4=1,60+Inputs!$B$25+Inputs!$B$29,IF(Skills!C4=2,90+Inputs!$B$26+Inputs!$B$29,IF(Skills!C4=3,120+Inputs!$B$27+Inputs!$B$29,MAX(0,(Inputs!$B$3-100)*3)+Inputs!$B$28+Inputs!$B$29)))</f>
        <v/>
      </c>
      <c r="E1362">
        <f>INDEX(FactorTable!$B$2:$Y$301, MATCH(ROUND(MIN(300,MAX(1,D1362)),0), FactorTable!$A$2:$A$301,0), Skills!M4+1)</f>
        <v/>
      </c>
      <c r="F1362">
        <f>IF(Skills!N4=TRUE,(Skills!L4/10)*(E1362/1000),Skills!L4/10)+Skills!O4</f>
        <v/>
      </c>
      <c r="G1362">
        <f>Skills!G4*IF(Skills!H4&gt;0,Skills!I4/Skills!H4,1)</f>
        <v/>
      </c>
      <c r="H1362">
        <f>1-(1-Skills!J4/100)^Skills!K4</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1370=TRUE,F1370,0)/100)*(1+(IF(Skills!A4="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1378=TRUE)*(F1378-Calc!F20)),(Inputs!$B$23+0+(IF(ArtifactsInput!$M$15,CHOOSE(ArtifactsInput!$N$15+1,25,30,35,40,45,50)/100*(Inputs!$B$11-Inputs!$B$11),0))))/100+(Inputs!$B$23+0+(IF(ArtifactsInput!$M$15,CHOOSE(ArtifactsInput!$N$15+1,25,30,35,40,45,50)/100*(Inputs!$B$11-Inputs!$B$11),0)))/100)/2</f>
        <v/>
      </c>
      <c r="M1362">
        <f>L1362*(1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IF(B1394=0,0,O1362/B1394)</f>
        <v/>
      </c>
      <c r="Q1362" t="n">
        <v>0</v>
      </c>
      <c r="R1362" t="n">
        <v>0</v>
      </c>
      <c r="S1362">
        <f>IFERROR(O1362/N1362,0)</f>
        <v/>
      </c>
      <c r="T1362">
        <f>IF(C1362,(Skills!G4*H1362*N1362*B1388)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290*U1361/1000</f>
        <v/>
      </c>
      <c r="V1362">
        <f>IF(C1362,(Skills!G4*H1362*N1362*B1388)*IF(Inputs!$B$38="pvp",1,(1+(Inputs!$B$21+Skills!Q4+(IF(ArtifactsInput!$M$33,CHOOSE(ArtifactsInput!$N$33+1,30,36,42,48,54,60),0))+(IF(AND(ArtifactsInput!$M$35,Inputs!$B$4&lt;&gt;"Chapter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Skills!A5</f>
        <v/>
      </c>
      <c r="B1363">
        <f>Skills!B5</f>
        <v/>
      </c>
      <c r="C1363">
        <f>Inputs!$B$3&gt;=60</f>
        <v/>
      </c>
      <c r="D1363">
        <f>IF(Skills!C5=1,60+Inputs!$B$25+Inputs!$B$29,IF(Skills!C5=2,90+Inputs!$B$26+Inputs!$B$29,IF(Skills!C5=3,120+Inputs!$B$27+Inputs!$B$29,MAX(0,(Inputs!$B$3-100)*3)+Inputs!$B$28+Inputs!$B$29)))</f>
        <v/>
      </c>
      <c r="E1363">
        <f>INDEX(FactorTable!$B$2:$Y$301, MATCH(ROUND(MIN(300,MAX(1,D1363)),0), FactorTable!$A$2:$A$301,0), Skills!M5+1)</f>
        <v/>
      </c>
      <c r="F1363">
        <f>IF(Skills!N5=TRUE,(Skills!L5/10)*(E1363/1000),Skills!L5/10)+Skills!O5</f>
        <v/>
      </c>
      <c r="G1363">
        <f>Skills!G5*IF(Skills!H5&gt;0,Skills!I5/Skills!H5,1)</f>
        <v/>
      </c>
      <c r="H1363">
        <f>1-(1-Skills!J5/100)^Skills!K5</f>
        <v/>
      </c>
      <c r="I1363" t="inlineStr">
        <is>
          <t>1</t>
        </is>
      </c>
      <c r="J1363" t="inlineStr"/>
      <c r="K1363" t="inlineStr"/>
      <c r="L1363" t="inlineStr"/>
      <c r="M1363" t="inlineStr"/>
      <c r="N1363" t="inlineStr"/>
      <c r="O1363">
        <f>(1-Summary!$B$11)*T1363+Summary!$B$11*V1363</f>
        <v/>
      </c>
      <c r="P1363">
        <f>IF(B1394=0,0,O1363/B1394)</f>
        <v/>
      </c>
      <c r="Q1363" t="n">
        <v>0</v>
      </c>
      <c r="R1363" t="n">
        <v>0</v>
      </c>
      <c r="S1363">
        <f>IFERROR(O1363/N1363,0)</f>
        <v/>
      </c>
      <c r="T1363" t="n">
        <v>0</v>
      </c>
      <c r="V1363" t="n">
        <v>0</v>
      </c>
    </row>
    <row r="1364">
      <c r="A1364">
        <f>Skills!A6</f>
        <v/>
      </c>
      <c r="B1364">
        <f>Skills!B6</f>
        <v/>
      </c>
      <c r="C1364">
        <f>Inputs!$B$3&gt;=63</f>
        <v/>
      </c>
      <c r="D1364">
        <f>IF(Skills!C6=1,60+Inputs!$B$25+Inputs!$B$29,IF(Skills!C6=2,90+Inputs!$B$26+Inputs!$B$29,IF(Skills!C6=3,120+Inputs!$B$27+Inputs!$B$29,MAX(0,(Inputs!$B$3-100)*3)+Inputs!$B$28+Inputs!$B$29)))</f>
        <v/>
      </c>
      <c r="E1364">
        <f>INDEX(FactorTable!$B$2:$Y$301, MATCH(ROUND(MIN(300,MAX(1,D1364)),0), FactorTable!$A$2:$A$301,0), Skills!M6+1)</f>
        <v/>
      </c>
      <c r="F1364">
        <f>IF(Skills!N6=TRUE,(Skills!L6/10)*(E1364/1000),Skills!L6/10)+Skills!O6</f>
        <v/>
      </c>
      <c r="G1364">
        <f>Skills!G6*IF(Skills!H6&gt;0,Skills!I6/Skills!H6,1)</f>
        <v/>
      </c>
      <c r="H1364">
        <f>1-(1-Skills!J6/100)^Skills!K6</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1378=TRUE)*(F1378-Calc!F20)),(Inputs!$B$23+0+(IF(ArtifactsInput!$M$15,CHOOSE(ArtifactsInput!$N$15+1,25,30,35,40,45,50)/100*(Inputs!$B$11-Inputs!$B$11),0))))/100+(Inputs!$B$23+0+(IF(ArtifactsInput!$M$15,CHOOSE(ArtifactsInput!$N$15+1,25,30,35,40,45,50)/100*(Inputs!$B$11-Inputs!$B$11),0)))/100)/2</f>
        <v/>
      </c>
      <c r="M1364">
        <f>L1364*(1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IF(B1394=0,0,O1364/B1394)</f>
        <v/>
      </c>
      <c r="Q1364">
        <f>IFERROR(1/(IF(Inputs!$B$38="pvp",15,MAX(0.1,Skills!D6-IF(Skills!E6=TRUE,Inputs!$B$32,0)))*(1-IF(AND(ArtifactsInput!$M$27,Inputs!$B$4="Chapter Hunt"),CHOOSE(ArtifactsInput!$N$27+1,20,24,28,32,36,40),0)/100)),0)</f>
        <v/>
      </c>
      <c r="R1364">
        <f>IF(AND(Inputs!$B$38&lt;&gt;"pvp",Inputs!$B$43&gt;0),IF(MAX(0,Inputs!$B$43-B1391)&lt;=0,0,(INT(MAX(0,Inputs!$B$43-B1391)/(IF(Inputs!$B$38="pvp",15,MAX(0.1,Skills!D6-IF(Skills!E6=TRUE,Inputs!$B$32,0)))*(1-IF(AND(ArtifactsInput!$M$27,Inputs!$B$4="Chapter Hunt"),CHOOSE(ArtifactsInput!$N$27+1,20,24,28,32,36,40),0)/100)))+1)),0)</f>
        <v/>
      </c>
      <c r="S1364">
        <f>IFERROR(O1364/N1364,0)</f>
        <v/>
      </c>
      <c r="T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$21+Skills!Q6+(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Skills!A7</f>
        <v/>
      </c>
      <c r="B1365">
        <f>Skills!B7</f>
        <v/>
      </c>
      <c r="C1365">
        <f>Inputs!$B$3&gt;=100</f>
        <v/>
      </c>
      <c r="D1365">
        <f>IF(Skills!C7=1,60+Inputs!$B$25+Inputs!$B$29,IF(Skills!C7=2,90+Inputs!$B$26+Inputs!$B$29,IF(Skills!C7=3,120+Inputs!$B$27+Inputs!$B$29,MAX(0,(Inputs!$B$3-100)*3)+Inputs!$B$28+Inputs!$B$29)))</f>
        <v/>
      </c>
      <c r="E1365">
        <f>INDEX(FactorTable!$B$2:$Y$301, MATCH(ROUND(MIN(300,MAX(1,D1365)),0), FactorTable!$A$2:$A$301,0), Skills!M7+1)</f>
        <v/>
      </c>
      <c r="F1365">
        <f>IF(Skills!N7=TRUE,(Skills!L7/10)*(E1365/1000),Skills!L7/10)+Skills!O7</f>
        <v/>
      </c>
      <c r="G1365">
        <f>Skills!G7*IF(Skills!H7&gt;0,Skills!I7/Skills!H7,1)</f>
        <v/>
      </c>
      <c r="H1365">
        <f>1-(1-Skills!J7/100)^Skills!K7</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1378=TRUE)*(F1378-Calc!F20)),(Inputs!$B$23+0+(IF(ArtifactsInput!$M$15,CHOOSE(ArtifactsInput!$N$15+1,25,30,35,40,45,50)/100*(Inputs!$B$11-Inputs!$B$11),0))))/100+(Inputs!$B$23+0+(IF(ArtifactsInput!$M$15,CHOOSE(ArtifactsInput!$N$15+1,25,30,35,40,45,50)/100*(Inputs!$B$11-Inputs!$B$11),0)))/100)/2</f>
        <v/>
      </c>
      <c r="M1365">
        <f>L1365*(1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IF(B1394=0,0,O1365/B1394)</f>
        <v/>
      </c>
      <c r="Q1365">
        <f>IFERROR(1/(IF(Inputs!$B$38="pvp",15,MAX(0.1,Skills!D7-IF(Skills!E7=TRUE,Inputs!$B$32,0)))*(1-IF(AND(ArtifactsInput!$M$27,Inputs!$B$4="Chapter Hunt"),CHOOSE(ArtifactsInput!$N$27+1,20,24,28,32,36,40),0)/100)),0)</f>
        <v/>
      </c>
      <c r="R1365">
        <f>IF(AND(Inputs!$B$38&lt;&gt;"pvp",Inputs!$B$43&gt;0),IF(MAX(0,Inputs!$B$43-B1391)&lt;=0,0,(INT(MAX(0,Inputs!$B$43-B1391)/(IF(Inputs!$B$38="pvp",15,MAX(0.1,Skills!D7-IF(Skills!E7=TRUE,Inputs!$B$32,0)))*(1-IF(AND(ArtifactsInput!$M$27,Inputs!$B$4="Chapter Hunt"),CHOOSE(ArtifactsInput!$N$27+1,20,24,28,32,36,40),0)/100)))+1)),0)</f>
        <v/>
      </c>
      <c r="S1365">
        <f>IFERROR(O1365/N1365,0)</f>
        <v/>
      </c>
      <c r="T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$21+Skills!Q7+(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Skills!A8</f>
        <v/>
      </c>
      <c r="B1366">
        <f>Skills!B8</f>
        <v/>
      </c>
      <c r="C1366">
        <f>Inputs!$B$3&gt;=110</f>
        <v/>
      </c>
      <c r="D1366">
        <f>IF(Skills!C8=1,60+Inputs!$B$25+Inputs!$B$29,IF(Skills!C8=2,90+Inputs!$B$26+Inputs!$B$29,IF(Skills!C8=3,120+Inputs!$B$27+Inputs!$B$29,MAX(0,(Inputs!$B$3-100)*3)+Inputs!$B$28+Inputs!$B$29)))</f>
        <v/>
      </c>
      <c r="E1366">
        <f>INDEX(FactorTable!$B$2:$Y$301, MATCH(ROUND(MIN(300,MAX(1,D1366)),0), FactorTable!$A$2:$A$301,0), Skills!M8+1)</f>
        <v/>
      </c>
      <c r="F1366">
        <f>IF(Skills!N8=TRUE,(Skills!L8/10)*(E1366/1000),Skills!L8/10)+Skills!O8</f>
        <v/>
      </c>
      <c r="G1366">
        <f>Skills!G8*IF(Skills!H8&gt;0,Skills!I8/Skills!H8,1)</f>
        <v/>
      </c>
      <c r="H1366">
        <f>1-(1-Skills!J8/100)^Skills!K8</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1378=TRUE)*(F1378-Calc!F20)),(Inputs!$B$23+0+(IF(ArtifactsInput!$M$15,CHOOSE(ArtifactsInput!$N$15+1,25,30,35,40,45,50)/100*(Inputs!$B$11-Inputs!$B$11),0))))/100+(Inputs!$B$23+0+(IF(ArtifactsInput!$M$15,CHOOSE(ArtifactsInput!$N$15+1,25,30,35,40,45,50)/100*(Inputs!$B$11-Inputs!$B$11),0)))/100)/2</f>
        <v/>
      </c>
      <c r="M1366">
        <f>L1366*(1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IF(B1394=0,0,O1366/B1394)</f>
        <v/>
      </c>
      <c r="Q1366">
        <f>IFERROR(1/(IF(Inputs!$B$38="pvp",15,MAX(0.1,Skills!D8-IF(Skills!E8=TRUE,Inputs!$B$32,0)))*(1-IF(AND(ArtifactsInput!$M$27,Inputs!$B$4="Chapter Hunt"),CHOOSE(ArtifactsInput!$N$27+1,20,24,28,32,36,40),0)/100)),0)</f>
        <v/>
      </c>
      <c r="R1366">
        <f>IF(AND(Inputs!$B$38&lt;&gt;"pvp",Inputs!$B$43&gt;0),IF(MAX(0,Inputs!$B$43-B1391)&lt;=0,0,(INT(MAX(0,Inputs!$B$43-B1391)/(IF(Inputs!$B$38="pvp",15,MAX(0.1,Skills!D8-IF(Skills!E8=TRUE,Inputs!$B$32,0)))*(1-IF(AND(ArtifactsInput!$M$27,Inputs!$B$4="Chapter Hunt"),CHOOSE(ArtifactsInput!$N$27+1,20,24,28,32,36,40),0)/100)))+1)),0)</f>
        <v/>
      </c>
      <c r="S1366">
        <f>IFERROR(O1366/N1366,0)</f>
        <v/>
      </c>
      <c r="T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$21+Skills!Q8+(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Skills!A9</f>
        <v/>
      </c>
      <c r="B1367">
        <f>Skills!B9</f>
        <v/>
      </c>
      <c r="C1367">
        <f>Inputs!$B$3&gt;=110</f>
        <v/>
      </c>
      <c r="D1367">
        <f>IF(Skills!C9=1,60+Inputs!$B$25+Inputs!$B$29,IF(Skills!C9=2,90+Inputs!$B$26+Inputs!$B$29,IF(Skills!C9=3,120+Inputs!$B$27+Inputs!$B$29,MAX(0,(Inputs!$B$3-100)*3)+Inputs!$B$28+Inputs!$B$29)))</f>
        <v/>
      </c>
      <c r="E1367">
        <f>INDEX(FactorTable!$B$2:$Y$301, MATCH(ROUND(MIN(300,MAX(1,D1367)),0), FactorTable!$A$2:$A$301,0), Skills!M9+1)</f>
        <v/>
      </c>
      <c r="F1367">
        <f>IF(Skills!N9=TRUE,(Skills!L9/10)*(E1367/1000),Skills!L9/10)+Skills!O9</f>
        <v/>
      </c>
      <c r="G1367">
        <f>Skills!G9*IF(Skills!H9&gt;0,Skills!I9/Skills!H9,1)</f>
        <v/>
      </c>
      <c r="H1367">
        <f>1-(1-Skills!J9/100)^Skills!K9</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1378=TRUE)*(F1378-Calc!F20)),(Inputs!$B$23+0+(IF(ArtifactsInput!$M$15,CHOOSE(ArtifactsInput!$N$15+1,25,30,35,40,45,50)/100*(Inputs!$B$11-Inputs!$B$11),0))))/100+(Inputs!$B$23+0+(IF(ArtifactsInput!$M$15,CHOOSE(ArtifactsInput!$N$15+1,25,30,35,40,45,50)/100*(Inputs!$B$11-Inputs!$B$11),0)))/100)/2</f>
        <v/>
      </c>
      <c r="M1367">
        <f>L1367*(1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IF(B1394=0,0,O1367/B1394)</f>
        <v/>
      </c>
      <c r="Q1367">
        <f>IFERROR(1/(IF(Inputs!$B$38="pvp",15,MAX(0.1,Skills!D9-IF(Skills!E9=TRUE,Inputs!$B$32,0)))*(1-IF(AND(ArtifactsInput!$M$27,Inputs!$B$4="Chapter Hunt"),CHOOSE(ArtifactsInput!$N$27+1,20,24,28,32,36,40),0)/100)),0)</f>
        <v/>
      </c>
      <c r="R1367">
        <f>IF(AND(Inputs!$B$38&lt;&gt;"pvp",Inputs!$B$43&gt;0),IF(MAX(0,Inputs!$B$43-B1391)&lt;=0,0,(INT(MAX(0,Inputs!$B$43-B1391)/(IF(Inputs!$B$38="pvp",15,MAX(0.1,Skills!D9-IF(Skills!E9=TRUE,Inputs!$B$32,0)))*(1-IF(AND(ArtifactsInput!$M$27,Inputs!$B$4="Chapter Hunt"),CHOOSE(ArtifactsInput!$N$27+1,20,24,28,32,36,40),0)/100)))+1)),0)</f>
        <v/>
      </c>
      <c r="S1367">
        <f>IFERROR(O1367/N1367,0)</f>
        <v/>
      </c>
      <c r="T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$21+Skills!Q9+(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Skills!A10</f>
        <v/>
      </c>
      <c r="B1368">
        <f>Skills!B10</f>
        <v/>
      </c>
      <c r="C1368">
        <f>Inputs!$B$3&gt;=103</f>
        <v/>
      </c>
      <c r="D1368">
        <f>IF(Skills!C10=1,60+Inputs!$B$25+Inputs!$B$29,IF(Skills!C10=2,90+Inputs!$B$26+Inputs!$B$29,IF(Skills!C10=3,120+Inputs!$B$27+Inputs!$B$29,MAX(0,(Inputs!$B$3-100)*3)+Inputs!$B$28+Inputs!$B$29)))</f>
        <v/>
      </c>
      <c r="E1368">
        <f>INDEX(FactorTable!$B$2:$Y$301, MATCH(ROUND(MIN(300,MAX(1,D1368)),0), FactorTable!$A$2:$A$301,0), Skills!M10+1)</f>
        <v/>
      </c>
      <c r="F1368">
        <f>IF(Skills!N10=TRUE,(Skills!L10/10)*(E1368/1000),Skills!L10/10)+Skills!O10</f>
        <v/>
      </c>
      <c r="G1368">
        <f>Skills!G10*IF(Skills!H10&gt;0,Skills!I10/Skills!H10,1)</f>
        <v/>
      </c>
      <c r="H1368">
        <f>1-(1-Skills!J10/100)^Skills!K10</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1378=TRUE)*(F1378-Calc!F20)),(Inputs!$B$23+0+(IF(ArtifactsInput!$M$15,CHOOSE(ArtifactsInput!$N$15+1,25,30,35,40,45,50)/100*(Inputs!$B$11-Inputs!$B$11),0))))/100+(Inputs!$B$23+0+(IF(ArtifactsInput!$M$15,CHOOSE(ArtifactsInput!$N$15+1,25,30,35,40,45,50)/100*(Inputs!$B$11-Inputs!$B$11),0)))/100)/2</f>
        <v/>
      </c>
      <c r="M1368">
        <f>L1368*(1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IF(B1394=0,0,O1368/B1394)</f>
        <v/>
      </c>
      <c r="Q1368">
        <f>IFERROR(1/(IF(Inputs!$B$38="pvp",15,MAX(0.1,Skills!D10-IF(Skills!E10=TRUE,Inputs!$B$32,0)))*(1-IF(AND(ArtifactsInput!$M$27,Inputs!$B$4="Chapter Hunt"),CHOOSE(ArtifactsInput!$N$27+1,20,24,28,32,36,40),0)/100)),0)</f>
        <v/>
      </c>
      <c r="R1368">
        <f>IF(AND(Inputs!$B$38&lt;&gt;"pvp",Inputs!$B$43&gt;0),IF(MAX(0,Inputs!$B$43-B1391)&lt;=0,0,(INT(MAX(0,Inputs!$B$43-B1391)/(IF(Inputs!$B$38="pvp",15,MAX(0.1,Skills!D10-IF(Skills!E10=TRUE,Inputs!$B$32,0)))*(1-IF(AND(ArtifactsInput!$M$27,Inputs!$B$4="Chapter Hunt"),CHOOSE(ArtifactsInput!$N$27+1,20,24,28,32,36,40),0)/100)))+1)),0)</f>
        <v/>
      </c>
      <c r="S1368">
        <f>IFERROR(O1368/N1368,0)</f>
        <v/>
      </c>
      <c r="T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$21+Skills!Q10+(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Skills!A11</f>
        <v/>
      </c>
      <c r="B1369">
        <f>Skills!B11</f>
        <v/>
      </c>
      <c r="C1369">
        <f>Inputs!$B$3&gt;=113</f>
        <v/>
      </c>
      <c r="D1369">
        <f>IF(Skills!C11=1,60+Inputs!$B$25+Inputs!$B$29,IF(Skills!C11=2,90+Inputs!$B$26+Inputs!$B$29,IF(Skills!C11=3,120+Inputs!$B$27+Inputs!$B$29,MAX(0,(Inputs!$B$3-100)*3)+Inputs!$B$28+Inputs!$B$29)))</f>
        <v/>
      </c>
      <c r="E1369">
        <f>INDEX(FactorTable!$B$2:$Y$301, MATCH(ROUND(MIN(300,MAX(1,D1369)),0), FactorTable!$A$2:$A$301,0), Skills!M11+1)</f>
        <v/>
      </c>
      <c r="F1369">
        <f>IF(Skills!N11=TRUE,(Skills!L11/10)*(E1369/1000),Skills!L11/10)+Skills!O11</f>
        <v/>
      </c>
      <c r="G1369">
        <f>Skills!G11*IF(Skills!H11&gt;0,Skills!I11/Skills!H11,1)</f>
        <v/>
      </c>
      <c r="H1369">
        <f>1-(1-Skills!J11/100)^Skills!K11</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1378=TRUE)*(F1378-Calc!F20)),(Inputs!$B$23+0+(IF(ArtifactsInput!$M$15,CHOOSE(ArtifactsInput!$N$15+1,25,30,35,40,45,50)/100*(Inputs!$B$11-Inputs!$B$11),0))))/100+(Inputs!$B$23+0+(IF(ArtifactsInput!$M$15,CHOOSE(ArtifactsInput!$N$15+1,25,30,35,40,45,50)/100*(Inputs!$B$11-Inputs!$B$11),0)))/100)/2</f>
        <v/>
      </c>
      <c r="M1369">
        <f>L1369*(1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IF(B1394=0,0,O1369/B1394)</f>
        <v/>
      </c>
      <c r="Q1369">
        <f>IFERROR(1/(IF(Inputs!$B$38="pvp",15,MAX(0.1,Skills!D11-IF(Skills!E11=TRUE,Inputs!$B$32,0)))*(1-IF(AND(ArtifactsInput!$M$27,Inputs!$B$4="Chapter Hunt"),CHOOSE(ArtifactsInput!$N$27+1,20,24,28,32,36,40),0)/100)),0)</f>
        <v/>
      </c>
      <c r="R1369">
        <f>IF(AND(Inputs!$B$38&lt;&gt;"pvp",Inputs!$B$43&gt;0),IF(MAX(0,Inputs!$B$43-B1391)&lt;=0,0,(INT(MAX(0,Inputs!$B$43-B1391)/(IF(Inputs!$B$38="pvp",15,MAX(0.1,Skills!D11-IF(Skills!E11=TRUE,Inputs!$B$32,0)))*(1-IF(AND(ArtifactsInput!$M$27,Inputs!$B$4="Chapter Hunt"),CHOOSE(ArtifactsInput!$N$27+1,20,24,28,32,36,40),0)/100)))+1)),0)</f>
        <v/>
      </c>
      <c r="S1369">
        <f>IFERROR(O1369/N1369,0)</f>
        <v/>
      </c>
      <c r="T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$21+Skills!Q11+(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Skills!A12</f>
        <v/>
      </c>
      <c r="B1370">
        <f>Skills!B12</f>
        <v/>
      </c>
      <c r="C1370">
        <f>Inputs!$B$3&gt;=100</f>
        <v/>
      </c>
      <c r="D1370">
        <f>IF(Skills!C12=1,60+Inputs!$B$25+Inputs!$B$29,IF(Skills!C12=2,90+Inputs!$B$26+Inputs!$B$29,IF(Skills!C12=3,120+Inputs!$B$27+Inputs!$B$29,MAX(0,(Inputs!$B$3-100)*3)+Inputs!$B$28+Inputs!$B$29)))</f>
        <v/>
      </c>
      <c r="E1370">
        <f>INDEX(FactorTable!$B$2:$Y$301, MATCH(ROUND(MIN(300,MAX(1,D1370)),0), FactorTable!$A$2:$A$301,0), Skills!M12+1)</f>
        <v/>
      </c>
      <c r="F1370">
        <f>IF(Skills!N12=TRUE,(Skills!L12/10)*(E1370/1000),Skills!L12/10)+Skills!O12</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T1370" t="inlineStr"/>
      <c r="V1370" t="inlineStr"/>
    </row>
    <row r="1371">
      <c r="A1371">
        <f>Skills!A13</f>
        <v/>
      </c>
      <c r="B1371">
        <f>Skills!B13</f>
        <v/>
      </c>
      <c r="C1371">
        <f>Inputs!$B$3&gt;=66</f>
        <v/>
      </c>
      <c r="D1371">
        <f>IF(Skills!C13=1,60+Inputs!$B$25+Inputs!$B$29,IF(Skills!C13=2,90+Inputs!$B$26+Inputs!$B$29,IF(Skills!C13=3,120+Inputs!$B$27+Inputs!$B$29,MAX(0,(Inputs!$B$3-100)*3)+Inputs!$B$28+Inputs!$B$29)))</f>
        <v/>
      </c>
      <c r="E1371">
        <f>INDEX(FactorTable!$B$2:$Y$301, MATCH(ROUND(MIN(300,MAX(1,D1371)),0), FactorTable!$A$2:$A$301,0), Skills!M13+1)</f>
        <v/>
      </c>
      <c r="F1371">
        <f>IF(Skills!N13=TRUE,(Skills!L13/10)*(E1371/1000),Skills!L13/10)+Skills!O13</f>
        <v/>
      </c>
      <c r="G1371">
        <f>Skills!G13*IF(Skills!H13&gt;0,Skills!I13/Skills!H13,1)</f>
        <v/>
      </c>
      <c r="H1371">
        <f>1-(1-Skills!J13/100)^Skills!K13</f>
        <v/>
      </c>
      <c r="I1371" t="inlineStr">
        <is>
          <t>1</t>
        </is>
      </c>
      <c r="J1371" t="inlineStr"/>
      <c r="K1371" t="inlineStr"/>
      <c r="L1371" t="inlineStr"/>
      <c r="M1371" t="inlineStr"/>
      <c r="N1371" t="inlineStr"/>
      <c r="O1371">
        <f>(1-Summary!$B$11)*T1371+Summary!$B$11*V1371</f>
        <v/>
      </c>
      <c r="P1371">
        <f>IF(B1394=0,0,O1371/B1394)</f>
        <v/>
      </c>
      <c r="Q1371" t="n">
        <v>0</v>
      </c>
      <c r="R1371" t="n">
        <v>0</v>
      </c>
      <c r="S1371">
        <f>IFERROR(O1371/N1371,0)</f>
        <v/>
      </c>
      <c r="T1371" t="n">
        <v>0</v>
      </c>
      <c r="V1371" t="n">
        <v>0</v>
      </c>
    </row>
    <row r="1372">
      <c r="A1372">
        <f>Skills!A14</f>
        <v/>
      </c>
      <c r="B1372">
        <f>Skills!B14</f>
        <v/>
      </c>
      <c r="C1372">
        <f>Inputs!$B$3&gt;=107</f>
        <v/>
      </c>
      <c r="D1372">
        <f>IF(Skills!C14=1,60+Inputs!$B$25+Inputs!$B$29,IF(Skills!C14=2,90+Inputs!$B$26+Inputs!$B$29,IF(Skills!C14=3,120+Inputs!$B$27+Inputs!$B$29,MAX(0,(Inputs!$B$3-100)*3)+Inputs!$B$28+Inputs!$B$29)))</f>
        <v/>
      </c>
      <c r="E1372">
        <f>INDEX(FactorTable!$B$2:$Y$301, MATCH(ROUND(MIN(300,MAX(1,D1372)),0), FactorTable!$A$2:$A$301,0), Skills!M14+1)</f>
        <v/>
      </c>
      <c r="F1372">
        <f>IF(Skills!N14=TRUE,(Skills!L14/10)*(E1372/1000),Skills!L14/10)+Skills!O14</f>
        <v/>
      </c>
      <c r="G1372">
        <f>Skills!G14*IF(Skills!H14&gt;0,Skills!I14/Skills!H14,1)</f>
        <v/>
      </c>
      <c r="H1372">
        <f>1-(1-Skills!J14/100)^Skills!K14</f>
        <v/>
      </c>
      <c r="I1372" t="inlineStr">
        <is>
          <t>1</t>
        </is>
      </c>
      <c r="J1372" t="inlineStr"/>
      <c r="K1372" t="inlineStr"/>
      <c r="L1372" t="inlineStr"/>
      <c r="M1372" t="inlineStr"/>
      <c r="N1372" t="inlineStr"/>
      <c r="O1372">
        <f>(1-Summary!$B$11)*T1372+Summary!$B$11*V1372</f>
        <v/>
      </c>
      <c r="P1372">
        <f>IF(B1394=0,0,O1372/B1394)</f>
        <v/>
      </c>
      <c r="Q1372" t="n">
        <v>0</v>
      </c>
      <c r="R1372" t="n">
        <v>0</v>
      </c>
      <c r="S1372">
        <f>IFERROR(O1372/N1372,0)</f>
        <v/>
      </c>
      <c r="T1372" t="n">
        <v>0</v>
      </c>
      <c r="V1372" t="n">
        <v>0</v>
      </c>
    </row>
    <row r="1373">
      <c r="A1373">
        <f>Skills!A15</f>
        <v/>
      </c>
      <c r="B1373">
        <f>Skills!B15</f>
        <v/>
      </c>
      <c r="C1373">
        <f>Inputs!$B$3&gt;=115</f>
        <v/>
      </c>
      <c r="D1373">
        <f>IF(Skills!C15=1,60+Inputs!$B$25+Inputs!$B$29,IF(Skills!C15=2,90+Inputs!$B$26+Inputs!$B$29,IF(Skills!C15=3,120+Inputs!$B$27+Inputs!$B$29,MAX(0,(Inputs!$B$3-100)*3)+Inputs!$B$28+Inputs!$B$29)))</f>
        <v/>
      </c>
      <c r="E1373">
        <f>INDEX(FactorTable!$B$2:$Y$301, MATCH(ROUND(MIN(300,MAX(1,D1373)),0), FactorTable!$A$2:$A$301,0), Skills!M15+1)</f>
        <v/>
      </c>
      <c r="F1373">
        <f>IF(Skills!N15=TRUE,(Skills!L15/10)*(E1373/1000),Skills!L15/10)+Skills!O15</f>
        <v/>
      </c>
      <c r="G1373">
        <f>Skills!G15*IF(Skills!H15&gt;0,Skills!I15/Skills!H15,1)</f>
        <v/>
      </c>
      <c r="H1373">
        <f>1-(1-Skills!J15/100)^Skills!K15</f>
        <v/>
      </c>
      <c r="I1373" t="inlineStr">
        <is>
          <t>1</t>
        </is>
      </c>
      <c r="J1373" t="inlineStr"/>
      <c r="K1373" t="inlineStr"/>
      <c r="L1373" t="inlineStr"/>
      <c r="M1373" t="inlineStr"/>
      <c r="N1373" t="inlineStr"/>
      <c r="O1373">
        <f>(1-Summary!$B$11)*T1373+Summary!$B$11*V1373</f>
        <v/>
      </c>
      <c r="P1373">
        <f>IF(B1394=0,0,O1373/B1394)</f>
        <v/>
      </c>
      <c r="Q1373" t="n">
        <v>0</v>
      </c>
      <c r="R1373" t="n">
        <v>0</v>
      </c>
      <c r="S1373">
        <f>IFERROR(O1373/N1373,0)</f>
        <v/>
      </c>
      <c r="T1373" t="n">
        <v>0</v>
      </c>
      <c r="V1373" t="n">
        <v>0</v>
      </c>
    </row>
    <row r="1374">
      <c r="A1374">
        <f>Skills!A16</f>
        <v/>
      </c>
      <c r="B1374">
        <f>Skills!B16</f>
        <v/>
      </c>
      <c r="C1374">
        <f>Inputs!$B$3&gt;=15</f>
        <v/>
      </c>
      <c r="D1374">
        <f>IF(Skills!C16=1,60+Inputs!$B$25+Inputs!$B$29,IF(Skills!C16=2,90+Inputs!$B$26+Inputs!$B$29,IF(Skills!C16=3,120+Inputs!$B$27+Inputs!$B$29,MAX(0,(Inputs!$B$3-100)*3)+Inputs!$B$28+Inputs!$B$29)))</f>
        <v/>
      </c>
      <c r="E1374">
        <f>INDEX(FactorTable!$B$2:$Y$301, MATCH(ROUND(MIN(300,MAX(1,D1374)),0), FactorTable!$A$2:$A$301,0), Skills!M16+1)</f>
        <v/>
      </c>
      <c r="F1374">
        <f>IF(Skills!N16=TRUE,(Skills!L16/10)*(E1374/1000),Skills!L16/10)+Skills!O16</f>
        <v/>
      </c>
      <c r="G1374">
        <f>Skills!G16*IF(Skills!H16&gt;0,Skills!I16/Skills!H16,1)</f>
        <v/>
      </c>
      <c r="H1374">
        <f>1-(1-Skills!J16/100)^Skills!K16</f>
        <v/>
      </c>
      <c r="I1374" t="inlineStr">
        <is>
          <t>1</t>
        </is>
      </c>
      <c r="J1374" t="inlineStr"/>
      <c r="K1374" t="inlineStr"/>
      <c r="L1374" t="inlineStr"/>
      <c r="M1374" t="inlineStr"/>
      <c r="N1374" t="inlineStr"/>
      <c r="O1374">
        <f>(1-Summary!$B$11)*T1374+Summary!$B$11*V1374</f>
        <v/>
      </c>
      <c r="P1374">
        <f>IF(B1394=0,0,O1374/B1394)</f>
        <v/>
      </c>
      <c r="Q1374" t="n">
        <v>0</v>
      </c>
      <c r="R1374" t="n">
        <v>0</v>
      </c>
      <c r="S1374">
        <f>IFERROR(O1374/N1374,0)</f>
        <v/>
      </c>
      <c r="T1374" t="n">
        <v>0</v>
      </c>
      <c r="V1374" t="n">
        <v>0</v>
      </c>
    </row>
    <row r="1375">
      <c r="A1375">
        <f>Skills!A17</f>
        <v/>
      </c>
      <c r="B1375">
        <f>Skills!B17</f>
        <v/>
      </c>
      <c r="C1375">
        <f>Inputs!$B$3&gt;=10</f>
        <v/>
      </c>
      <c r="D1375">
        <f>IF(Skills!C17=1,60+Inputs!$B$25+Inputs!$B$29,IF(Skills!C17=2,90+Inputs!$B$26+Inputs!$B$29,IF(Skills!C17=3,120+Inputs!$B$27+Inputs!$B$29,MAX(0,(Inputs!$B$3-100)*3)+Inputs!$B$28+Inputs!$B$29)))</f>
        <v/>
      </c>
      <c r="E1375">
        <f>INDEX(FactorTable!$B$2:$Y$301, MATCH(ROUND(MIN(300,MAX(1,D1375)),0), FactorTable!$A$2:$A$301,0), Skills!M17+1)</f>
        <v/>
      </c>
      <c r="F1375">
        <f>IF(Skills!N17=TRUE,(Skills!L17/10)*(E1375/1000),Skills!L17/10)+Skills!O17</f>
        <v/>
      </c>
      <c r="G1375">
        <f>Skills!G17*IF(Skills!H17&gt;0,Skills!I17/Skills!H17,1)</f>
        <v/>
      </c>
      <c r="H1375">
        <f>1-(1-Skills!J17/100)^Skills!K17</f>
        <v/>
      </c>
      <c r="I1375" t="inlineStr">
        <is>
          <t>1</t>
        </is>
      </c>
      <c r="J1375" t="inlineStr"/>
      <c r="K1375" t="inlineStr"/>
      <c r="L1375" t="inlineStr"/>
      <c r="M1375" t="inlineStr"/>
      <c r="N1375" t="inlineStr"/>
      <c r="O1375">
        <f>(1-Summary!$B$11)*T1375+Summary!$B$11*V1375</f>
        <v/>
      </c>
      <c r="P1375">
        <f>IF(B1394=0,0,O1375/B1394)</f>
        <v/>
      </c>
      <c r="Q1375" t="n">
        <v>0</v>
      </c>
      <c r="R1375" t="n">
        <v>0</v>
      </c>
      <c r="S1375">
        <f>IFERROR(O1375/N1375,0)</f>
        <v/>
      </c>
      <c r="T1375" t="n">
        <v>0</v>
      </c>
      <c r="V1375" t="n">
        <v>0</v>
      </c>
    </row>
    <row r="1376">
      <c r="A1376">
        <f>Skills!A18</f>
        <v/>
      </c>
      <c r="B1376">
        <f>Skills!B18</f>
        <v/>
      </c>
      <c r="C1376">
        <f>Inputs!$B$3&gt;=33</f>
        <v/>
      </c>
      <c r="D1376">
        <f>IF(Skills!C18=1,60+Inputs!$B$25+Inputs!$B$29,IF(Skills!C18=2,90+Inputs!$B$26+Inputs!$B$29,IF(Skills!C18=3,120+Inputs!$B$27+Inputs!$B$29,MAX(0,(Inputs!$B$3-100)*3)+Inputs!$B$28+Inputs!$B$29)))</f>
        <v/>
      </c>
      <c r="E1376">
        <f>INDEX(FactorTable!$B$2:$Y$301, MATCH(ROUND(MIN(300,MAX(1,D1376)),0), FactorTable!$A$2:$A$301,0), Skills!M18+1)</f>
        <v/>
      </c>
      <c r="F1376">
        <f>IF(Skills!N18=TRUE,(Skills!L18/10)*(E1376/1000),Skills!L18/10)+Skills!O18</f>
        <v/>
      </c>
      <c r="G1376">
        <f>Skills!G18*IF(Skills!H18&gt;0,Skills!I18/Skills!H18,1)</f>
        <v/>
      </c>
      <c r="H1376">
        <f>1-(1-Skills!J18/100)^Skills!K18</f>
        <v/>
      </c>
      <c r="I1376" t="inlineStr">
        <is>
          <t>1</t>
        </is>
      </c>
      <c r="J1376" t="inlineStr"/>
      <c r="K1376" t="inlineStr"/>
      <c r="L1376" t="inlineStr"/>
      <c r="M1376" t="inlineStr"/>
      <c r="N1376" t="inlineStr"/>
      <c r="O1376">
        <f>(1-Summary!$B$11)*T1376+Summary!$B$11*V1376</f>
        <v/>
      </c>
      <c r="P1376">
        <f>IF(B1394=0,0,O1376/B1394)</f>
        <v/>
      </c>
      <c r="Q1376" t="n">
        <v>0</v>
      </c>
      <c r="R1376" t="n">
        <v>0</v>
      </c>
      <c r="S1376">
        <f>IFERROR(O1376/N1376,0)</f>
        <v/>
      </c>
      <c r="T1376" t="n">
        <v>0</v>
      </c>
      <c r="V1376" t="n">
        <v>0</v>
      </c>
    </row>
    <row r="1377">
      <c r="A1377">
        <f>Skills!A19</f>
        <v/>
      </c>
      <c r="B1377">
        <f>Skills!B19</f>
        <v/>
      </c>
      <c r="C1377">
        <f>Inputs!$B$3&gt;=40</f>
        <v/>
      </c>
      <c r="D1377">
        <f>IF(Skills!C19=1,60+Inputs!$B$25+Inputs!$B$29,IF(Skills!C19=2,90+Inputs!$B$26+Inputs!$B$29,IF(Skills!C19=3,120+Inputs!$B$27+Inputs!$B$29,MAX(0,(Inputs!$B$3-100)*3)+Inputs!$B$28+Inputs!$B$29)))</f>
        <v/>
      </c>
      <c r="E1377">
        <f>INDEX(FactorTable!$B$2:$Y$301, MATCH(ROUND(MIN(300,MAX(1,D1377)),0), FactorTable!$A$2:$A$301,0), Skills!M19+1)</f>
        <v/>
      </c>
      <c r="F1377">
        <f>IF(Skills!N19=TRUE,(Skills!L19/10)*(E1377/1000),Skills!L19/10)+Skills!O19</f>
        <v/>
      </c>
      <c r="G1377">
        <f>Skills!G19*IF(Skills!H19&gt;0,Skills!I19/Skills!H19,1)</f>
        <v/>
      </c>
      <c r="H1377">
        <f>1-(1-Skills!J19/100)^Skills!K19</f>
        <v/>
      </c>
      <c r="I1377" t="inlineStr">
        <is>
          <t>1</t>
        </is>
      </c>
      <c r="J1377" t="inlineStr"/>
      <c r="K1377" t="inlineStr"/>
      <c r="L1377" t="inlineStr"/>
      <c r="M1377" t="inlineStr"/>
      <c r="N1377" t="inlineStr"/>
      <c r="O1377">
        <f>(1-Summary!$B$11)*T1377+Summary!$B$11*V1377</f>
        <v/>
      </c>
      <c r="P1377">
        <f>IF(B1394=0,0,O1377/B1394)</f>
        <v/>
      </c>
      <c r="Q1377" t="n">
        <v>0</v>
      </c>
      <c r="R1377" t="n">
        <v>0</v>
      </c>
      <c r="S1377">
        <f>IFERROR(O1377/N1377,0)</f>
        <v/>
      </c>
      <c r="T1377" t="n">
        <v>0</v>
      </c>
      <c r="V1377" t="n">
        <v>0</v>
      </c>
    </row>
    <row r="1378">
      <c r="A1378">
        <f>Skills!A20</f>
        <v/>
      </c>
      <c r="B1378">
        <f>Skills!B20</f>
        <v/>
      </c>
      <c r="C1378">
        <f>Inputs!$B$3&gt;=43</f>
        <v/>
      </c>
      <c r="D1378">
        <f>IF(Skills!C20=1,60+Inputs!$B$25+Inputs!$B$29,IF(Skills!C20=2,90+Inputs!$B$26+Inputs!$B$29,IF(Skills!C20=3,120+Inputs!$B$27+Inputs!$B$29,MAX(0,(Inputs!$B$3-100)*3)+Inputs!$B$28+Inputs!$B$29)))</f>
        <v/>
      </c>
      <c r="E1378">
        <f>INDEX(FactorTable!$B$2:$Y$301, MATCH(ROUND(MIN(300,MAX(1,D1378)),0), FactorTable!$A$2:$A$301,0), Skills!M20+1)</f>
        <v/>
      </c>
      <c r="F1378">
        <f>IF(Skills!N20=TRUE,(Skills!L20/10)*(E1378/1000),Skills!L20/10)+Skills!O20</f>
        <v/>
      </c>
      <c r="G1378">
        <f>Skills!G20*IF(Skills!H20&gt;0,Skills!I20/Skills!H20,1)</f>
        <v/>
      </c>
      <c r="H1378">
        <f>1-(1-Skills!J20/100)^Skills!K20</f>
        <v/>
      </c>
      <c r="I1378" t="inlineStr">
        <is>
          <t>1</t>
        </is>
      </c>
      <c r="J1378" t="inlineStr"/>
      <c r="K1378" t="inlineStr"/>
      <c r="L1378" t="inlineStr"/>
      <c r="M1378" t="inlineStr"/>
      <c r="N1378" t="inlineStr"/>
      <c r="O1378">
        <f>(1-Summary!$B$11)*T1378+Summary!$B$11*V1378</f>
        <v/>
      </c>
      <c r="P1378">
        <f>IF(B1394=0,0,O1378/B1394)</f>
        <v/>
      </c>
      <c r="Q1378" t="n">
        <v>0</v>
      </c>
      <c r="R1378" t="n">
        <v>0</v>
      </c>
      <c r="S1378">
        <f>IFERROR(O1378/N1378,0)</f>
        <v/>
      </c>
      <c r="T1378" t="n">
        <v>0</v>
      </c>
      <c r="V1378" t="n">
        <v>0</v>
      </c>
    </row>
    <row r="1379">
      <c r="A1379">
        <f>Skills!A21</f>
        <v/>
      </c>
      <c r="B1379">
        <f>Skills!B21</f>
        <v/>
      </c>
      <c r="C1379">
        <f>Inputs!$B$3&gt;=38</f>
        <v/>
      </c>
      <c r="D1379">
        <f>IF(Skills!C21=1,60+Inputs!$B$25+Inputs!$B$29,IF(Skills!C21=2,90+Inputs!$B$26+Inputs!$B$29,IF(Skills!C21=3,120+Inputs!$B$27+Inputs!$B$29,MAX(0,(Inputs!$B$3-100)*3)+Inputs!$B$28+Inputs!$B$29)))</f>
        <v/>
      </c>
      <c r="E1379">
        <f>INDEX(FactorTable!$B$2:$Y$301, MATCH(ROUND(MIN(300,MAX(1,D1379)),0), FactorTable!$A$2:$A$301,0), Skills!M21+1)</f>
        <v/>
      </c>
      <c r="F1379">
        <f>IF(Skills!N21=TRUE,(Skills!L21/10)*(E1379/1000),Skills!L21/10)+Skills!O21</f>
        <v/>
      </c>
      <c r="G1379">
        <f>Skills!G21*IF(Skills!H21&gt;0,Skills!I21/Skills!H21,1)</f>
        <v/>
      </c>
      <c r="H1379">
        <f>1-(1-Skills!J21/100)^Skills!K21</f>
        <v/>
      </c>
      <c r="I1379" t="inlineStr">
        <is>
          <t>1</t>
        </is>
      </c>
      <c r="J1379" t="inlineStr"/>
      <c r="K1379" t="inlineStr"/>
      <c r="L1379" t="inlineStr"/>
      <c r="M1379" t="inlineStr"/>
      <c r="N1379" t="inlineStr"/>
      <c r="O1379">
        <f>(1-Summary!$B$11)*T1379+Summary!$B$11*V1379</f>
        <v/>
      </c>
      <c r="P1379">
        <f>IF(B1394=0,0,O1379/B1394)</f>
        <v/>
      </c>
      <c r="Q1379" t="n">
        <v>0</v>
      </c>
      <c r="R1379" t="n">
        <v>0</v>
      </c>
      <c r="S1379">
        <f>IFERROR(O1379/N1379,0)</f>
        <v/>
      </c>
      <c r="T1379" t="n">
        <v>0</v>
      </c>
      <c r="V1379" t="n">
        <v>0</v>
      </c>
    </row>
    <row r="1380">
      <c r="A1380">
        <f>Skills!A22</f>
        <v/>
      </c>
      <c r="B1380">
        <f>Skills!B22</f>
        <v/>
      </c>
      <c r="C1380">
        <f>Inputs!$B$3&gt;=75</f>
        <v/>
      </c>
      <c r="D1380">
        <f>IF(Skills!C22=1,60+Inputs!$B$25+Inputs!$B$29,IF(Skills!C22=2,90+Inputs!$B$26+Inputs!$B$29,IF(Skills!C22=3,120+Inputs!$B$27+Inputs!$B$29,MAX(0,(Inputs!$B$3-100)*3)+Inputs!$B$28+Inputs!$B$29)))</f>
        <v/>
      </c>
      <c r="E1380">
        <f>INDEX(FactorTable!$B$2:$Y$301, MATCH(ROUND(MIN(300,MAX(1,D1380)),0), FactorTable!$A$2:$A$301,0), Skills!M22+1)</f>
        <v/>
      </c>
      <c r="F1380">
        <f>IF(Skills!N22=TRUE,(Skills!L22/10)*(E1380/1000),Skills!L22/10)+Skills!O22</f>
        <v/>
      </c>
      <c r="G1380">
        <f>Skills!G22*IF(Skills!H22&gt;0,Skills!I22/Skills!H22,1)</f>
        <v/>
      </c>
      <c r="H1380">
        <f>1-(1-Skills!J22/100)^Skills!K22</f>
        <v/>
      </c>
      <c r="I1380" t="inlineStr">
        <is>
          <t>1</t>
        </is>
      </c>
      <c r="J1380" t="inlineStr"/>
      <c r="K1380" t="inlineStr"/>
      <c r="L1380" t="inlineStr"/>
      <c r="M1380" t="inlineStr"/>
      <c r="N1380" t="inlineStr"/>
      <c r="O1380">
        <f>(1-Summary!$B$11)*T1380+Summary!$B$11*V1380</f>
        <v/>
      </c>
      <c r="P1380">
        <f>IF(B1394=0,0,O1380/B1394)</f>
        <v/>
      </c>
      <c r="Q1380" t="n">
        <v>0</v>
      </c>
      <c r="R1380" t="n">
        <v>0</v>
      </c>
      <c r="S1380">
        <f>IFERROR(O1380/N1380,0)</f>
        <v/>
      </c>
      <c r="T1380" t="n">
        <v>0</v>
      </c>
      <c r="V1380" t="n">
        <v>0</v>
      </c>
    </row>
    <row r="1381">
      <c r="A1381">
        <f>Skills!A23</f>
        <v/>
      </c>
      <c r="B1381">
        <f>Skills!B23</f>
        <v/>
      </c>
      <c r="C1381">
        <f>TRUE</f>
        <v/>
      </c>
      <c r="D1381">
        <f>IF(Skills!C23=1,60+Inputs!$B$25+Inputs!$B$29,IF(Skills!C23=2,90+Inputs!$B$26+Inputs!$B$29,IF(Skills!C23=3,120+Inputs!$B$27+Inputs!$B$29,MAX(0,(Inputs!$B$3-100)*3)+Inputs!$B$28+Inputs!$B$29)))</f>
        <v/>
      </c>
      <c r="E1381">
        <f>INDEX(FactorTable!$B$2:$Y$301, MATCH(ROUND(MIN(300,MAX(1,D1381)),0), FactorTable!$A$2:$A$301,0), Skills!M23+1)</f>
        <v/>
      </c>
      <c r="F1381">
        <f>IF(Skills!N23=TRUE,(Skills!L23/10)*(E1381/1000),Skills!L23/10)+Skills!O23</f>
        <v/>
      </c>
      <c r="G1381">
        <f>Skills!G23*IF(Skills!H23&gt;0,Skills!I23/Skills!H23,1)</f>
        <v/>
      </c>
      <c r="H1381">
        <f>1-(1-Skills!J23/100)^Skills!K23</f>
        <v/>
      </c>
      <c r="I1381" t="inlineStr">
        <is>
          <t>1</t>
        </is>
      </c>
      <c r="J1381" t="inlineStr"/>
      <c r="K1381" t="inlineStr"/>
      <c r="L1381" t="inlineStr"/>
      <c r="M1381" t="inlineStr"/>
      <c r="N1381" t="inlineStr"/>
      <c r="O1381">
        <f>(1-Summary!$B$11)*T1381+Summary!$B$11*V1381</f>
        <v/>
      </c>
      <c r="P1381">
        <f>IF(B1394=0,0,O1381/B1394)</f>
        <v/>
      </c>
      <c r="Q1381">
        <f>IFERROR(1/(IF(Inputs!$B$38="pvp",15,MAX(0.1,Skills!D23-IF(Skills!E23=TRUE,Inputs!$B$32,0)))*(1-IF(AND(ArtifactsInput!$M$27,Inputs!$B$4="Chapter Hunt"),CHOOSE(ArtifactsInput!$N$27+1,20,24,28,32,36,40),0)/100)),0)</f>
        <v/>
      </c>
      <c r="R1381">
        <f>IF(AND(Inputs!$B$38&lt;&gt;"pvp",Inputs!$B$43&gt;0),IF(Inputs!$B$43&lt;=0,0,(INT(Inputs!$B$43/(IF(Inputs!$B$38="pvp",15,MAX(0.1,Skills!D23-IF(Skills!E23=TRUE,Inputs!$B$32,0)))*(1-IF(AND(ArtifactsInput!$M$27,Inputs!$B$4="Chapter Hunt"),CHOOSE(ArtifactsInput!$N$27+1,20,24,28,32,36,40),0)/100)))+1)),0)</f>
        <v/>
      </c>
      <c r="S1381">
        <f>IFERROR(O1381/N1381,0)</f>
        <v/>
      </c>
      <c r="T1381" t="n">
        <v>0</v>
      </c>
      <c r="V1381" t="n">
        <v>0</v>
      </c>
    </row>
    <row r="1383">
      <c r="A1383" t="inlineStr">
        <is>
          <t>Attack% Bucket Multiplier</t>
        </is>
      </c>
      <c r="B1383">
        <f>(1+(((C1371=TRUE)*F1371*5/7)+((C1377=TRUE)*(F1377-Calc!F19))+(IF(ArtifactsInput!$M$21,CHOOSE(ArtifactsInput!$N$21+1,25,30,35,40,45,50)*(IF(OR(Inputs!$B$4="Chapter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4">
      <c r="A1384" t="inlineStr">
        <is>
          <t>Global Crit Rate Bonus %</t>
        </is>
      </c>
      <c r="B1384" t="n">
        <v>0</v>
      </c>
    </row>
    <row r="1385">
      <c r="A1385" t="inlineStr">
        <is>
          <t>Attack Speed Buff Bonus % (Nimble Feet, duty-cycle averaged)</t>
        </is>
      </c>
      <c r="B1385">
        <f>((C1381=TRUE)*F1381*IF(AND(Inputs!$B$38&lt;&gt;"pvp",Inputs!$B$43&gt;0),(((R1381-1)*(Skills!T23*(1+Inputs!$B$34/100))+MIN((Skills!T23*(1+Inputs!$B$34/100)),MAX(0,Inputs!$B$43-((R1381-1)*Skills!D23))))/Inputs!$B$43),IF(Inputs!$B$38="pvp",MIN((Skills!T23*(1+Inputs!$B$34/100)),15)/15,(Skills!T23*(1+Inputs!$B$34/100))/Skills!D23)))</f>
        <v/>
      </c>
    </row>
    <row r="1386">
      <c r="A1386" t="inlineStr">
        <is>
          <t>Actions Per Second</t>
        </is>
      </c>
      <c r="B1386">
        <f>1+MIN(150,150*(1-(1-(Inputs!$B$11+((C1375=TRUE)*(F1375-Calc!F17))+((C1376=TRUE)*(F1376-Calc!F18)))/150)*(1-B1385/150)))/100</f>
        <v/>
      </c>
    </row>
    <row r="1387">
      <c r="A1387" t="inlineStr">
        <is>
          <t>Skill + Buff Cast Rate</t>
        </is>
      </c>
      <c r="B1387">
        <f>IF(AND(Inputs!$B$38&lt;&gt;"pvp",Inputs!$B$43&gt;0),SUMPRODUCT((Skills!E2:E23=TRUE)*(C1360:C1381=TRUE)*R1360:R1381*Skills!F2:F23)/Inputs!$B$43,SUMPRODUCT((Skills!E2:E23=TRUE)*(C1360:C1381=TRUE)*Q1360:Q1381*Skills!F2:F23))</f>
        <v/>
      </c>
    </row>
    <row r="1388">
      <c r="A1388" t="inlineStr">
        <is>
          <t>Hook Bomber Casts Per Second</t>
        </is>
      </c>
      <c r="B1388">
        <f>MAX(0,B1386-B1387)</f>
        <v/>
      </c>
    </row>
    <row r="1389">
      <c r="A1389" t="inlineStr">
        <is>
          <t>Global Critical Damage Bonus % (unused)</t>
        </is>
      </c>
      <c r="B1389" t="n">
        <v>0</v>
      </c>
    </row>
    <row r="1390">
      <c r="A1390" t="inlineStr">
        <is>
          <t>Global Final Damage Bonus % (Serpent Scale + Crossbones + Time Leap + Speed Infusion)</t>
        </is>
      </c>
      <c r="B1390">
        <f>((C1363=TRUE)*F1363*((10+IF(Inputs!$B$3&gt;=94,5,0))/((10+IF(Inputs!$B$3&gt;=94,5,0))+5/(B1388*(1+IF(Inputs!$B$3&gt;=104,1,0))))))+((C1372=TRUE)*F1372)+((C1373=TRUE)*F1373)+((Inputs!$B$3&gt;=110)*20*(B1386-1))</f>
        <v/>
      </c>
    </row>
    <row r="1391">
      <c r="A1391" t="inlineStr">
        <is>
          <t>Buff-Casting Startup Delay (s, fixed-duration only)</t>
        </is>
      </c>
      <c r="B1391">
        <f>IF(AND(Inputs!$B$38&lt;&gt;"pvp",Inputs!$B$43&gt;0),SUMPRODUCT((Skills!T2:T23&gt;0)*(Skills!E2:E23=TRUE)*(C1360:C1381=TRUE))/B1386,0)</f>
        <v/>
      </c>
    </row>
    <row r="1392">
      <c r="A1392" t="inlineStr">
        <is>
          <t>Boss-Only Total DPS (this block's swept value)</t>
        </is>
      </c>
      <c r="B1392">
        <f>SUM(T1360:T1381)</f>
        <v/>
      </c>
    </row>
    <row r="1393">
      <c r="A1393" t="inlineStr">
        <is>
          <t>Normal-Only Total DPS (this block's swept value)</t>
        </is>
      </c>
      <c r="B1393">
        <f>SUM(V1360:V1381)</f>
        <v/>
      </c>
    </row>
    <row r="1394">
      <c r="A1394" s="6" t="inlineStr">
        <is>
          <t>TOTAL DPS</t>
        </is>
      </c>
      <c r="B1394" s="6">
        <f>SUM(O1360:O1381)</f>
        <v/>
      </c>
    </row>
    <row r="1397">
      <c r="A1397" s="6" t="inlineStr">
        <is>
          <t>Stat: Clear Spring Water (Equip)</t>
        </is>
      </c>
    </row>
    <row r="1398">
      <c r="A1398" s="5" t="inlineStr">
        <is>
          <t>Key</t>
        </is>
      </c>
      <c r="B1398" s="5" t="inlineStr">
        <is>
          <t>Name</t>
        </is>
      </c>
      <c r="C1398" s="5" t="inlineStr">
        <is>
          <t>Unlocked</t>
        </is>
      </c>
      <c r="D1398" s="5" t="inlineStr">
        <is>
          <t>InputLevel</t>
        </is>
      </c>
      <c r="E1398" s="5" t="inlineStr">
        <is>
          <t>Factor</t>
        </is>
      </c>
      <c r="F1398" s="5" t="inlineStr">
        <is>
          <t>CoefficientPercent</t>
        </is>
      </c>
      <c r="G1398" s="5" t="inlineStr">
        <is>
          <t>EffectiveHits</t>
        </is>
      </c>
      <c r="H1398" s="5" t="inlineStr">
        <is>
          <t>ProcProbability</t>
        </is>
      </c>
      <c r="I1398" s="5" t="inlineStr">
        <is>
          <t>MapleHeroMultiplier</t>
        </is>
      </c>
      <c r="J1398" s="5" t="inlineStr">
        <is>
          <t>BaseDamage</t>
        </is>
      </c>
      <c r="K1398" s="5" t="inlineStr">
        <is>
          <t>BaseHitDamage</t>
        </is>
      </c>
      <c r="L1398" s="5" t="inlineStr">
        <is>
          <t>NonCritAvg</t>
        </is>
      </c>
      <c r="M1398" s="5" t="inlineStr">
        <is>
          <t>CritAvg</t>
        </is>
      </c>
      <c r="N1398" s="5" t="inlineStr">
        <is>
          <t>ExpectedDamage(perHit)</t>
        </is>
      </c>
      <c r="O1398" s="5" t="inlineStr">
        <is>
          <t>DPS</t>
        </is>
      </c>
      <c r="P1398" s="5" t="inlineStr">
        <is>
          <t>% of Total</t>
        </is>
      </c>
      <c r="Q1398" s="5" t="inlineStr">
        <is>
          <t>InvCooldown</t>
        </is>
      </c>
      <c r="R1398" s="5" t="inlineStr">
        <is>
          <t>CastsInFight</t>
        </is>
      </c>
      <c r="S1398" s="5" t="inlineStr">
        <is>
          <t>HitRate(perSec)</t>
        </is>
      </c>
      <c r="U1398" t="inlineStr">
        <is>
          <t>helpers</t>
        </is>
      </c>
    </row>
    <row r="1399">
      <c r="A1399">
        <f>Skills!A2</f>
        <v/>
      </c>
      <c r="B1399">
        <f>Skills!B2</f>
        <v/>
      </c>
      <c r="C1399">
        <f>Inputs!$B$3&gt;=100</f>
        <v/>
      </c>
      <c r="D1399" t="inlineStr"/>
      <c r="E1399" t="inlineStr"/>
      <c r="F1399">
        <f>U1401+Skills!O2</f>
        <v/>
      </c>
      <c r="G1399">
        <f>Skills!G2*IF(Skills!H2&gt;0,Skills!I2/Skills!H2,1)</f>
        <v/>
      </c>
      <c r="H1399">
        <f>1-(1-Skills!J2/100)^Skills!K2</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1417=TRUE)*(F1417-Calc!F20)),(Inputs!$B$23+0+(IF(ArtifactsInput!$M$15,CHOOSE(ArtifactsInput!$N$15+1,25,30,35,40,45,50)/100*(Inputs!$B$11-Inputs!$B$11),0))))/100+(Inputs!$B$23+0+(IF(ArtifactsInput!$M$15,CHOOSE(ArtifactsInput!$N$15+1,25,30,35,40,45,50)/100*(Inputs!$B$11-Inputs!$B$11),0)))/100)/2</f>
        <v/>
      </c>
      <c r="M1399">
        <f>L1399*(1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IF(B1433=0,0,O1399/B1433)</f>
        <v/>
      </c>
      <c r="Q1399" t="n">
        <v>0</v>
      </c>
      <c r="R1399" t="n">
        <v>0</v>
      </c>
      <c r="S1399">
        <f>IFERROR(O1399/N1399,0)</f>
        <v/>
      </c>
      <c r="T1399">
        <f>IF(C1399,(Skills!G2*N1399*B1427)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MAX(0,(Inputs!$B$3-100)*3)+Inputs!$B$28+Inputs!$B$29</f>
        <v/>
      </c>
      <c r="V1399">
        <f>IF(C1399,(Skills!G2*N1399*B1427)*IF(Inputs!$B$38="pvp",1,(1+(Inputs!$B$21+Skills!Q2+(IF(ArtifactsInput!$M$33,CHOOSE(ArtifactsInput!$N$33+1,30,36,42,48,54,60),0))+(IF(AND(ArtifactsInput!$M$35,Inputs!$B$4&lt;&gt;"Chapter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Skills!A3</f>
        <v/>
      </c>
      <c r="B1400">
        <f>Skills!B3</f>
        <v/>
      </c>
      <c r="C1400">
        <f>Inputs!$B$3&gt;=35</f>
        <v/>
      </c>
      <c r="D1400">
        <f>IF(Skills!C3=1,60+Inputs!$B$25+Inputs!$B$29,IF(Skills!C3=2,90+Inputs!$B$26+Inputs!$B$29,IF(Skills!C3=3,120+Inputs!$B$27+Inputs!$B$29,MAX(0,(Inputs!$B$3-100)*3)+Inputs!$B$28+Inputs!$B$29)))</f>
        <v/>
      </c>
      <c r="E1400">
        <f>INDEX(FactorTable!$B$2:$Y$301, MATCH(ROUND(MIN(300,MAX(1,D1400)),0), FactorTable!$A$2:$A$301,0), Skills!M3+1)</f>
        <v/>
      </c>
      <c r="F1400">
        <f>IF(Skills!N3=TRUE,(Skills!L3/10)*(E1400/1000),Skills!L3/10)+Skills!O3</f>
        <v/>
      </c>
      <c r="G1400">
        <f>Skills!G3*IF(Skills!H3&gt;0,Skills!I3/Skills!H3,1)</f>
        <v/>
      </c>
      <c r="H1400">
        <f>1-(1-Skills!J3/100)^Skills!K3</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1417=TRUE)*(F1417-Calc!F20)),(Inputs!$B$23+0+(IF(ArtifactsInput!$M$15,CHOOSE(ArtifactsInput!$N$15+1,25,30,35,40,45,50)/100*(Inputs!$B$11-Inputs!$B$11),0))))/100+(Inputs!$B$23+0+(IF(ArtifactsInput!$M$15,CHOOSE(ArtifactsInput!$N$15+1,25,30,35,40,45,50)/100*(Inputs!$B$11-Inputs!$B$11),0)))/100)/2</f>
        <v/>
      </c>
      <c r="M1400">
        <f>L1400*(1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IF(B1433=0,0,O1400/B1433)</f>
        <v/>
      </c>
      <c r="Q1400" t="n">
        <v>0</v>
      </c>
      <c r="R1400" t="n">
        <v>0</v>
      </c>
      <c r="S1400">
        <f>IFERROR(O1400/N1400,0)</f>
        <v/>
      </c>
      <c r="T1400">
        <f>IF(C1400,(Skills!G3*H1400*N1400*B1427)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INDEX(FactorTable!$B$2:$Y$301, MATCH(ROUND(MIN(300,MAX(1,U1399)),0), FactorTable!$A$2:$A$301,0), 22)</f>
        <v/>
      </c>
      <c r="V1400">
        <f>IF(C1400,(Skills!G3*H1400*N1400*B1427)*IF(Inputs!$B$38="pvp",1,(1+(Inputs!$B$21+Skills!Q3+(IF(ArtifactsInput!$M$33,CHOOSE(ArtifactsInput!$N$33+1,30,36,42,48,54,60),0))+(IF(AND(ArtifactsInput!$M$35,Inputs!$B$4&lt;&gt;"Chapter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Skills!A4</f>
        <v/>
      </c>
      <c r="B1401">
        <f>Skills!B4</f>
        <v/>
      </c>
      <c r="C1401">
        <f>Inputs!$B$3&gt;=60</f>
        <v/>
      </c>
      <c r="D1401">
        <f>IF(Skills!C4=1,60+Inputs!$B$25+Inputs!$B$29,IF(Skills!C4=2,90+Inputs!$B$26+Inputs!$B$29,IF(Skills!C4=3,120+Inputs!$B$27+Inputs!$B$29,MAX(0,(Inputs!$B$3-100)*3)+Inputs!$B$28+Inputs!$B$29)))</f>
        <v/>
      </c>
      <c r="E1401">
        <f>INDEX(FactorTable!$B$2:$Y$301, MATCH(ROUND(MIN(300,MAX(1,D1401)),0), FactorTable!$A$2:$A$301,0), Skills!M4+1)</f>
        <v/>
      </c>
      <c r="F1401">
        <f>IF(Skills!N4=TRUE,(Skills!L4/10)*(E1401/1000),Skills!L4/10)+Skills!O4</f>
        <v/>
      </c>
      <c r="G1401">
        <f>Skills!G4*IF(Skills!H4&gt;0,Skills!I4/Skills!H4,1)</f>
        <v/>
      </c>
      <c r="H1401">
        <f>1-(1-Skills!J4/100)^Skills!K4</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1409=TRUE,F1409,0)/100)*(1+(IF(Skills!A4="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1417=TRUE)*(F1417-Calc!F20)),(Inputs!$B$23+0+(IF(ArtifactsInput!$M$15,CHOOSE(ArtifactsInput!$N$15+1,25,30,35,40,45,50)/100*(Inputs!$B$11-Inputs!$B$11),0))))/100+(Inputs!$B$23+0+(IF(ArtifactsInput!$M$15,CHOOSE(ArtifactsInput!$N$15+1,25,30,35,40,45,50)/100*(Inputs!$B$11-Inputs!$B$11),0)))/100)/2</f>
        <v/>
      </c>
      <c r="M1401">
        <f>L1401*(1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IF(B1433=0,0,O1401/B1433)</f>
        <v/>
      </c>
      <c r="Q1401" t="n">
        <v>0</v>
      </c>
      <c r="R1401" t="n">
        <v>0</v>
      </c>
      <c r="S1401">
        <f>IFERROR(O1401/N1401,0)</f>
        <v/>
      </c>
      <c r="T1401">
        <f>IF(C1401,(Skills!G4*H1401*N1401*B1427)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290*U1400/1000</f>
        <v/>
      </c>
      <c r="V1401">
        <f>IF(C1401,(Skills!G4*H1401*N1401*B1427)*IF(Inputs!$B$38="pvp",1,(1+(Inputs!$B$21+Skills!Q4+(IF(ArtifactsInput!$M$33,CHOOSE(ArtifactsInput!$N$33+1,30,36,42,48,54,60),0))+(IF(AND(ArtifactsInput!$M$35,Inputs!$B$4&lt;&gt;"Chapter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Skills!A5</f>
        <v/>
      </c>
      <c r="B1402">
        <f>Skills!B5</f>
        <v/>
      </c>
      <c r="C1402">
        <f>Inputs!$B$3&gt;=60</f>
        <v/>
      </c>
      <c r="D1402">
        <f>IF(Skills!C5=1,60+Inputs!$B$25+Inputs!$B$29,IF(Skills!C5=2,90+Inputs!$B$26+Inputs!$B$29,IF(Skills!C5=3,120+Inputs!$B$27+Inputs!$B$29,MAX(0,(Inputs!$B$3-100)*3)+Inputs!$B$28+Inputs!$B$29)))</f>
        <v/>
      </c>
      <c r="E1402">
        <f>INDEX(FactorTable!$B$2:$Y$301, MATCH(ROUND(MIN(300,MAX(1,D1402)),0), FactorTable!$A$2:$A$301,0), Skills!M5+1)</f>
        <v/>
      </c>
      <c r="F1402">
        <f>IF(Skills!N5=TRUE,(Skills!L5/10)*(E1402/1000),Skills!L5/10)+Skills!O5</f>
        <v/>
      </c>
      <c r="G1402">
        <f>Skills!G5*IF(Skills!H5&gt;0,Skills!I5/Skills!H5,1)</f>
        <v/>
      </c>
      <c r="H1402">
        <f>1-(1-Skills!J5/100)^Skills!K5</f>
        <v/>
      </c>
      <c r="I1402" t="inlineStr">
        <is>
          <t>1</t>
        </is>
      </c>
      <c r="J1402" t="inlineStr"/>
      <c r="K1402" t="inlineStr"/>
      <c r="L1402" t="inlineStr"/>
      <c r="M1402" t="inlineStr"/>
      <c r="N1402" t="inlineStr"/>
      <c r="O1402">
        <f>(1-Summary!$B$11)*T1402+Summary!$B$11*V1402</f>
        <v/>
      </c>
      <c r="P1402">
        <f>IF(B1433=0,0,O1402/B1433)</f>
        <v/>
      </c>
      <c r="Q1402" t="n">
        <v>0</v>
      </c>
      <c r="R1402" t="n">
        <v>0</v>
      </c>
      <c r="S1402">
        <f>IFERROR(O1402/N1402,0)</f>
        <v/>
      </c>
      <c r="T1402" t="n">
        <v>0</v>
      </c>
      <c r="V1402" t="n">
        <v>0</v>
      </c>
    </row>
    <row r="1403">
      <c r="A1403">
        <f>Skills!A6</f>
        <v/>
      </c>
      <c r="B1403">
        <f>Skills!B6</f>
        <v/>
      </c>
      <c r="C1403">
        <f>Inputs!$B$3&gt;=63</f>
        <v/>
      </c>
      <c r="D1403">
        <f>IF(Skills!C6=1,60+Inputs!$B$25+Inputs!$B$29,IF(Skills!C6=2,90+Inputs!$B$26+Inputs!$B$29,IF(Skills!C6=3,120+Inputs!$B$27+Inputs!$B$29,MAX(0,(Inputs!$B$3-100)*3)+Inputs!$B$28+Inputs!$B$29)))</f>
        <v/>
      </c>
      <c r="E1403">
        <f>INDEX(FactorTable!$B$2:$Y$301, MATCH(ROUND(MIN(300,MAX(1,D1403)),0), FactorTable!$A$2:$A$301,0), Skills!M6+1)</f>
        <v/>
      </c>
      <c r="F1403">
        <f>IF(Skills!N6=TRUE,(Skills!L6/10)*(E1403/1000),Skills!L6/10)+Skills!O6</f>
        <v/>
      </c>
      <c r="G1403">
        <f>Skills!G6*IF(Skills!H6&gt;0,Skills!I6/Skills!H6,1)</f>
        <v/>
      </c>
      <c r="H1403">
        <f>1-(1-Skills!J6/100)^Skills!K6</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1417=TRUE)*(F1417-Calc!F20)),(Inputs!$B$23+0+(IF(ArtifactsInput!$M$15,CHOOSE(ArtifactsInput!$N$15+1,25,30,35,40,45,50)/100*(Inputs!$B$11-Inputs!$B$11),0))))/100+(Inputs!$B$23+0+(IF(ArtifactsInput!$M$15,CHOOSE(ArtifactsInput!$N$15+1,25,30,35,40,45,50)/100*(Inputs!$B$11-Inputs!$B$11),0)))/100)/2</f>
        <v/>
      </c>
      <c r="M1403">
        <f>L1403*(1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IF(B1433=0,0,O1403/B1433)</f>
        <v/>
      </c>
      <c r="Q1403">
        <f>IFERROR(1/(IF(Inputs!$B$38="pvp",15,MAX(0.1,Skills!D6-IF(Skills!E6=TRUE,Inputs!$B$32,0)))*(1-IF(AND(ArtifactsInput!$M$27,Inputs!$B$4="Chapter Hunt"),CHOOSE(ArtifactsInput!$N$27+1,20,24,28,32,36,40),0)/100)),0)</f>
        <v/>
      </c>
      <c r="R1403">
        <f>IF(AND(Inputs!$B$38&lt;&gt;"pvp",Inputs!$B$43&gt;0),IF(MAX(0,Inputs!$B$43-B1430)&lt;=0,0,(INT(MAX(0,Inputs!$B$43-B1430)/(IF(Inputs!$B$38="pvp",15,MAX(0.1,Skills!D6-IF(Skills!E6=TRUE,Inputs!$B$32,0)))*(1-IF(AND(ArtifactsInput!$M$27,Inputs!$B$4="Chapter Hunt"),CHOOSE(ArtifactsInput!$N$27+1,20,24,28,32,36,40),0)/100)))+1)),0)</f>
        <v/>
      </c>
      <c r="S1403">
        <f>IFERROR(O1403/N1403,0)</f>
        <v/>
      </c>
      <c r="T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$21+Skills!Q6+(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Skills!A7</f>
        <v/>
      </c>
      <c r="B1404">
        <f>Skills!B7</f>
        <v/>
      </c>
      <c r="C1404">
        <f>Inputs!$B$3&gt;=100</f>
        <v/>
      </c>
      <c r="D1404">
        <f>IF(Skills!C7=1,60+Inputs!$B$25+Inputs!$B$29,IF(Skills!C7=2,90+Inputs!$B$26+Inputs!$B$29,IF(Skills!C7=3,120+Inputs!$B$27+Inputs!$B$29,MAX(0,(Inputs!$B$3-100)*3)+Inputs!$B$28+Inputs!$B$29)))</f>
        <v/>
      </c>
      <c r="E1404">
        <f>INDEX(FactorTable!$B$2:$Y$301, MATCH(ROUND(MIN(300,MAX(1,D1404)),0), FactorTable!$A$2:$A$301,0), Skills!M7+1)</f>
        <v/>
      </c>
      <c r="F1404">
        <f>IF(Skills!N7=TRUE,(Skills!L7/10)*(E1404/1000),Skills!L7/10)+Skills!O7</f>
        <v/>
      </c>
      <c r="G1404">
        <f>Skills!G7*IF(Skills!H7&gt;0,Skills!I7/Skills!H7,1)</f>
        <v/>
      </c>
      <c r="H1404">
        <f>1-(1-Skills!J7/100)^Skills!K7</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1417=TRUE)*(F1417-Calc!F20)),(Inputs!$B$23+0+(IF(ArtifactsInput!$M$15,CHOOSE(ArtifactsInput!$N$15+1,25,30,35,40,45,50)/100*(Inputs!$B$11-Inputs!$B$11),0))))/100+(Inputs!$B$23+0+(IF(ArtifactsInput!$M$15,CHOOSE(ArtifactsInput!$N$15+1,25,30,35,40,45,50)/100*(Inputs!$B$11-Inputs!$B$11),0)))/100)/2</f>
        <v/>
      </c>
      <c r="M1404">
        <f>L1404*(1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IF(B1433=0,0,O1404/B1433)</f>
        <v/>
      </c>
      <c r="Q1404">
        <f>IFERROR(1/(IF(Inputs!$B$38="pvp",15,MAX(0.1,Skills!D7-IF(Skills!E7=TRUE,Inputs!$B$32,0)))*(1-IF(AND(ArtifactsInput!$M$27,Inputs!$B$4="Chapter Hunt"),CHOOSE(ArtifactsInput!$N$27+1,20,24,28,32,36,40),0)/100)),0)</f>
        <v/>
      </c>
      <c r="R1404">
        <f>IF(AND(Inputs!$B$38&lt;&gt;"pvp",Inputs!$B$43&gt;0),IF(MAX(0,Inputs!$B$43-B1430)&lt;=0,0,(INT(MAX(0,Inputs!$B$43-B1430)/(IF(Inputs!$B$38="pvp",15,MAX(0.1,Skills!D7-IF(Skills!E7=TRUE,Inputs!$B$32,0)))*(1-IF(AND(ArtifactsInput!$M$27,Inputs!$B$4="Chapter Hunt"),CHOOSE(ArtifactsInput!$N$27+1,20,24,28,32,36,40),0)/100)))+1)),0)</f>
        <v/>
      </c>
      <c r="S1404">
        <f>IFERROR(O1404/N1404,0)</f>
        <v/>
      </c>
      <c r="T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$21+Skills!Q7+(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Skills!A8</f>
        <v/>
      </c>
      <c r="B1405">
        <f>Skills!B8</f>
        <v/>
      </c>
      <c r="C1405">
        <f>Inputs!$B$3&gt;=110</f>
        <v/>
      </c>
      <c r="D1405">
        <f>IF(Skills!C8=1,60+Inputs!$B$25+Inputs!$B$29,IF(Skills!C8=2,90+Inputs!$B$26+Inputs!$B$29,IF(Skills!C8=3,120+Inputs!$B$27+Inputs!$B$29,MAX(0,(Inputs!$B$3-100)*3)+Inputs!$B$28+Inputs!$B$29)))</f>
        <v/>
      </c>
      <c r="E1405">
        <f>INDEX(FactorTable!$B$2:$Y$301, MATCH(ROUND(MIN(300,MAX(1,D1405)),0), FactorTable!$A$2:$A$301,0), Skills!M8+1)</f>
        <v/>
      </c>
      <c r="F1405">
        <f>IF(Skills!N8=TRUE,(Skills!L8/10)*(E1405/1000),Skills!L8/10)+Skills!O8</f>
        <v/>
      </c>
      <c r="G1405">
        <f>Skills!G8*IF(Skills!H8&gt;0,Skills!I8/Skills!H8,1)</f>
        <v/>
      </c>
      <c r="H1405">
        <f>1-(1-Skills!J8/100)^Skills!K8</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1417=TRUE)*(F1417-Calc!F20)),(Inputs!$B$23+0+(IF(ArtifactsInput!$M$15,CHOOSE(ArtifactsInput!$N$15+1,25,30,35,40,45,50)/100*(Inputs!$B$11-Inputs!$B$11),0))))/100+(Inputs!$B$23+0+(IF(ArtifactsInput!$M$15,CHOOSE(ArtifactsInput!$N$15+1,25,30,35,40,45,50)/100*(Inputs!$B$11-Inputs!$B$11),0)))/100)/2</f>
        <v/>
      </c>
      <c r="M1405">
        <f>L1405*(1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IF(B1433=0,0,O1405/B1433)</f>
        <v/>
      </c>
      <c r="Q1405">
        <f>IFERROR(1/(IF(Inputs!$B$38="pvp",15,MAX(0.1,Skills!D8-IF(Skills!E8=TRUE,Inputs!$B$32,0)))*(1-IF(AND(ArtifactsInput!$M$27,Inputs!$B$4="Chapter Hunt"),CHOOSE(ArtifactsInput!$N$27+1,20,24,28,32,36,40),0)/100)),0)</f>
        <v/>
      </c>
      <c r="R1405">
        <f>IF(AND(Inputs!$B$38&lt;&gt;"pvp",Inputs!$B$43&gt;0),IF(MAX(0,Inputs!$B$43-B1430)&lt;=0,0,(INT(MAX(0,Inputs!$B$43-B1430)/(IF(Inputs!$B$38="pvp",15,MAX(0.1,Skills!D8-IF(Skills!E8=TRUE,Inputs!$B$32,0)))*(1-IF(AND(ArtifactsInput!$M$27,Inputs!$B$4="Chapter Hunt"),CHOOSE(ArtifactsInput!$N$27+1,20,24,28,32,36,40),0)/100)))+1)),0)</f>
        <v/>
      </c>
      <c r="S1405">
        <f>IFERROR(O1405/N1405,0)</f>
        <v/>
      </c>
      <c r="T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$21+Skills!Q8+(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Skills!A9</f>
        <v/>
      </c>
      <c r="B1406">
        <f>Skills!B9</f>
        <v/>
      </c>
      <c r="C1406">
        <f>Inputs!$B$3&gt;=110</f>
        <v/>
      </c>
      <c r="D1406">
        <f>IF(Skills!C9=1,60+Inputs!$B$25+Inputs!$B$29,IF(Skills!C9=2,90+Inputs!$B$26+Inputs!$B$29,IF(Skills!C9=3,120+Inputs!$B$27+Inputs!$B$29,MAX(0,(Inputs!$B$3-100)*3)+Inputs!$B$28+Inputs!$B$29)))</f>
        <v/>
      </c>
      <c r="E1406">
        <f>INDEX(FactorTable!$B$2:$Y$301, MATCH(ROUND(MIN(300,MAX(1,D1406)),0), FactorTable!$A$2:$A$301,0), Skills!M9+1)</f>
        <v/>
      </c>
      <c r="F1406">
        <f>IF(Skills!N9=TRUE,(Skills!L9/10)*(E1406/1000),Skills!L9/10)+Skills!O9</f>
        <v/>
      </c>
      <c r="G1406">
        <f>Skills!G9*IF(Skills!H9&gt;0,Skills!I9/Skills!H9,1)</f>
        <v/>
      </c>
      <c r="H1406">
        <f>1-(1-Skills!J9/100)^Skills!K9</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1417=TRUE)*(F1417-Calc!F20)),(Inputs!$B$23+0+(IF(ArtifactsInput!$M$15,CHOOSE(ArtifactsInput!$N$15+1,25,30,35,40,45,50)/100*(Inputs!$B$11-Inputs!$B$11),0))))/100+(Inputs!$B$23+0+(IF(ArtifactsInput!$M$15,CHOOSE(ArtifactsInput!$N$15+1,25,30,35,40,45,50)/100*(Inputs!$B$11-Inputs!$B$11),0)))/100)/2</f>
        <v/>
      </c>
      <c r="M1406">
        <f>L1406*(1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IF(B1433=0,0,O1406/B1433)</f>
        <v/>
      </c>
      <c r="Q1406">
        <f>IFERROR(1/(IF(Inputs!$B$38="pvp",15,MAX(0.1,Skills!D9-IF(Skills!E9=TRUE,Inputs!$B$32,0)))*(1-IF(AND(ArtifactsInput!$M$27,Inputs!$B$4="Chapter Hunt"),CHOOSE(ArtifactsInput!$N$27+1,20,24,28,32,36,40),0)/100)),0)</f>
        <v/>
      </c>
      <c r="R1406">
        <f>IF(AND(Inputs!$B$38&lt;&gt;"pvp",Inputs!$B$43&gt;0),IF(MAX(0,Inputs!$B$43-B1430)&lt;=0,0,(INT(MAX(0,Inputs!$B$43-B1430)/(IF(Inputs!$B$38="pvp",15,MAX(0.1,Skills!D9-IF(Skills!E9=TRUE,Inputs!$B$32,0)))*(1-IF(AND(ArtifactsInput!$M$27,Inputs!$B$4="Chapter Hunt"),CHOOSE(ArtifactsInput!$N$27+1,20,24,28,32,36,40),0)/100)))+1)),0)</f>
        <v/>
      </c>
      <c r="S1406">
        <f>IFERROR(O1406/N1406,0)</f>
        <v/>
      </c>
      <c r="T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$21+Skills!Q9+(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Skills!A10</f>
        <v/>
      </c>
      <c r="B1407">
        <f>Skills!B10</f>
        <v/>
      </c>
      <c r="C1407">
        <f>Inputs!$B$3&gt;=103</f>
        <v/>
      </c>
      <c r="D1407">
        <f>IF(Skills!C10=1,60+Inputs!$B$25+Inputs!$B$29,IF(Skills!C10=2,90+Inputs!$B$26+Inputs!$B$29,IF(Skills!C10=3,120+Inputs!$B$27+Inputs!$B$29,MAX(0,(Inputs!$B$3-100)*3)+Inputs!$B$28+Inputs!$B$29)))</f>
        <v/>
      </c>
      <c r="E1407">
        <f>INDEX(FactorTable!$B$2:$Y$301, MATCH(ROUND(MIN(300,MAX(1,D1407)),0), FactorTable!$A$2:$A$301,0), Skills!M10+1)</f>
        <v/>
      </c>
      <c r="F1407">
        <f>IF(Skills!N10=TRUE,(Skills!L10/10)*(E1407/1000),Skills!L10/10)+Skills!O10</f>
        <v/>
      </c>
      <c r="G1407">
        <f>Skills!G10*IF(Skills!H10&gt;0,Skills!I10/Skills!H10,1)</f>
        <v/>
      </c>
      <c r="H1407">
        <f>1-(1-Skills!J10/100)^Skills!K10</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1417=TRUE)*(F1417-Calc!F20)),(Inputs!$B$23+0+(IF(ArtifactsInput!$M$15,CHOOSE(ArtifactsInput!$N$15+1,25,30,35,40,45,50)/100*(Inputs!$B$11-Inputs!$B$11),0))))/100+(Inputs!$B$23+0+(IF(ArtifactsInput!$M$15,CHOOSE(ArtifactsInput!$N$15+1,25,30,35,40,45,50)/100*(Inputs!$B$11-Inputs!$B$11),0)))/100)/2</f>
        <v/>
      </c>
      <c r="M1407">
        <f>L1407*(1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IF(B1433=0,0,O1407/B1433)</f>
        <v/>
      </c>
      <c r="Q1407">
        <f>IFERROR(1/(IF(Inputs!$B$38="pvp",15,MAX(0.1,Skills!D10-IF(Skills!E10=TRUE,Inputs!$B$32,0)))*(1-IF(AND(ArtifactsInput!$M$27,Inputs!$B$4="Chapter Hunt"),CHOOSE(ArtifactsInput!$N$27+1,20,24,28,32,36,40),0)/100)),0)</f>
        <v/>
      </c>
      <c r="R1407">
        <f>IF(AND(Inputs!$B$38&lt;&gt;"pvp",Inputs!$B$43&gt;0),IF(MAX(0,Inputs!$B$43-B1430)&lt;=0,0,(INT(MAX(0,Inputs!$B$43-B1430)/(IF(Inputs!$B$38="pvp",15,MAX(0.1,Skills!D10-IF(Skills!E10=TRUE,Inputs!$B$32,0)))*(1-IF(AND(ArtifactsInput!$M$27,Inputs!$B$4="Chapter Hunt"),CHOOSE(ArtifactsInput!$N$27+1,20,24,28,32,36,40),0)/100)))+1)),0)</f>
        <v/>
      </c>
      <c r="S1407">
        <f>IFERROR(O1407/N1407,0)</f>
        <v/>
      </c>
      <c r="T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$21+Skills!Q10+(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Skills!A11</f>
        <v/>
      </c>
      <c r="B1408">
        <f>Skills!B11</f>
        <v/>
      </c>
      <c r="C1408">
        <f>Inputs!$B$3&gt;=113</f>
        <v/>
      </c>
      <c r="D1408">
        <f>IF(Skills!C11=1,60+Inputs!$B$25+Inputs!$B$29,IF(Skills!C11=2,90+Inputs!$B$26+Inputs!$B$29,IF(Skills!C11=3,120+Inputs!$B$27+Inputs!$B$29,MAX(0,(Inputs!$B$3-100)*3)+Inputs!$B$28+Inputs!$B$29)))</f>
        <v/>
      </c>
      <c r="E1408">
        <f>INDEX(FactorTable!$B$2:$Y$301, MATCH(ROUND(MIN(300,MAX(1,D1408)),0), FactorTable!$A$2:$A$301,0), Skills!M11+1)</f>
        <v/>
      </c>
      <c r="F1408">
        <f>IF(Skills!N11=TRUE,(Skills!L11/10)*(E1408/1000),Skills!L11/10)+Skills!O11</f>
        <v/>
      </c>
      <c r="G1408">
        <f>Skills!G11*IF(Skills!H11&gt;0,Skills!I11/Skills!H11,1)</f>
        <v/>
      </c>
      <c r="H1408">
        <f>1-(1-Skills!J11/100)^Skills!K11</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1417=TRUE)*(F1417-Calc!F20)),(Inputs!$B$23+0+(IF(ArtifactsInput!$M$15,CHOOSE(ArtifactsInput!$N$15+1,25,30,35,40,45,50)/100*(Inputs!$B$11-Inputs!$B$11),0))))/100+(Inputs!$B$23+0+(IF(ArtifactsInput!$M$15,CHOOSE(ArtifactsInput!$N$15+1,25,30,35,40,45,50)/100*(Inputs!$B$11-Inputs!$B$11),0)))/100)/2</f>
        <v/>
      </c>
      <c r="M1408">
        <f>L1408*(1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IF(B1433=0,0,O1408/B1433)</f>
        <v/>
      </c>
      <c r="Q1408">
        <f>IFERROR(1/(IF(Inputs!$B$38="pvp",15,MAX(0.1,Skills!D11-IF(Skills!E11=TRUE,Inputs!$B$32,0)))*(1-IF(AND(ArtifactsInput!$M$27,Inputs!$B$4="Chapter Hunt"),CHOOSE(ArtifactsInput!$N$27+1,20,24,28,32,36,40),0)/100)),0)</f>
        <v/>
      </c>
      <c r="R1408">
        <f>IF(AND(Inputs!$B$38&lt;&gt;"pvp",Inputs!$B$43&gt;0),IF(MAX(0,Inputs!$B$43-B1430)&lt;=0,0,(INT(MAX(0,Inputs!$B$43-B1430)/(IF(Inputs!$B$38="pvp",15,MAX(0.1,Skills!D11-IF(Skills!E11=TRUE,Inputs!$B$32,0)))*(1-IF(AND(ArtifactsInput!$M$27,Inputs!$B$4="Chapter Hunt"),CHOOSE(ArtifactsInput!$N$27+1,20,24,28,32,36,40),0)/100)))+1)),0)</f>
        <v/>
      </c>
      <c r="S1408">
        <f>IFERROR(O1408/N1408,0)</f>
        <v/>
      </c>
      <c r="T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$21+Skills!Q11+(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Skills!A12</f>
        <v/>
      </c>
      <c r="B1409">
        <f>Skills!B12</f>
        <v/>
      </c>
      <c r="C1409">
        <f>Inputs!$B$3&gt;=100</f>
        <v/>
      </c>
      <c r="D1409">
        <f>IF(Skills!C12=1,60+Inputs!$B$25+Inputs!$B$29,IF(Skills!C12=2,90+Inputs!$B$26+Inputs!$B$29,IF(Skills!C12=3,120+Inputs!$B$27+Inputs!$B$29,MAX(0,(Inputs!$B$3-100)*3)+Inputs!$B$28+Inputs!$B$29)))</f>
        <v/>
      </c>
      <c r="E1409">
        <f>INDEX(FactorTable!$B$2:$Y$301, MATCH(ROUND(MIN(300,MAX(1,D1409)),0), FactorTable!$A$2:$A$301,0), Skills!M12+1)</f>
        <v/>
      </c>
      <c r="F1409">
        <f>IF(Skills!N12=TRUE,(Skills!L12/10)*(E1409/1000),Skills!L12/10)+Skills!O12</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V1409" t="inlineStr"/>
    </row>
    <row r="1410">
      <c r="A1410">
        <f>Skills!A13</f>
        <v/>
      </c>
      <c r="B1410">
        <f>Skills!B13</f>
        <v/>
      </c>
      <c r="C1410">
        <f>Inputs!$B$3&gt;=66</f>
        <v/>
      </c>
      <c r="D1410">
        <f>IF(Skills!C13=1,60+Inputs!$B$25+Inputs!$B$29,IF(Skills!C13=2,90+Inputs!$B$26+Inputs!$B$29,IF(Skills!C13=3,120+Inputs!$B$27+Inputs!$B$29,MAX(0,(Inputs!$B$3-100)*3)+Inputs!$B$28+Inputs!$B$29)))</f>
        <v/>
      </c>
      <c r="E1410">
        <f>INDEX(FactorTable!$B$2:$Y$301, MATCH(ROUND(MIN(300,MAX(1,D1410)),0), FactorTable!$A$2:$A$301,0), Skills!M13+1)</f>
        <v/>
      </c>
      <c r="F1410">
        <f>IF(Skills!N13=TRUE,(Skills!L13/10)*(E1410/1000),Skills!L13/10)+Skills!O13</f>
        <v/>
      </c>
      <c r="G1410">
        <f>Skills!G13*IF(Skills!H13&gt;0,Skills!I13/Skills!H13,1)</f>
        <v/>
      </c>
      <c r="H1410">
        <f>1-(1-Skills!J13/100)^Skills!K13</f>
        <v/>
      </c>
      <c r="I1410" t="inlineStr">
        <is>
          <t>1</t>
        </is>
      </c>
      <c r="J1410" t="inlineStr"/>
      <c r="K1410" t="inlineStr"/>
      <c r="L1410" t="inlineStr"/>
      <c r="M1410" t="inlineStr"/>
      <c r="N1410" t="inlineStr"/>
      <c r="O1410">
        <f>(1-Summary!$B$11)*T1410+Summary!$B$11*V1410</f>
        <v/>
      </c>
      <c r="P1410">
        <f>IF(B1433=0,0,O1410/B1433)</f>
        <v/>
      </c>
      <c r="Q1410" t="n">
        <v>0</v>
      </c>
      <c r="R1410" t="n">
        <v>0</v>
      </c>
      <c r="S1410">
        <f>IFERROR(O1410/N1410,0)</f>
        <v/>
      </c>
      <c r="T1410" t="n">
        <v>0</v>
      </c>
      <c r="V1410" t="n">
        <v>0</v>
      </c>
    </row>
    <row r="1411">
      <c r="A1411">
        <f>Skills!A14</f>
        <v/>
      </c>
      <c r="B1411">
        <f>Skills!B14</f>
        <v/>
      </c>
      <c r="C1411">
        <f>Inputs!$B$3&gt;=107</f>
        <v/>
      </c>
      <c r="D1411">
        <f>IF(Skills!C14=1,60+Inputs!$B$25+Inputs!$B$29,IF(Skills!C14=2,90+Inputs!$B$26+Inputs!$B$29,IF(Skills!C14=3,120+Inputs!$B$27+Inputs!$B$29,MAX(0,(Inputs!$B$3-100)*3)+Inputs!$B$28+Inputs!$B$29)))</f>
        <v/>
      </c>
      <c r="E1411">
        <f>INDEX(FactorTable!$B$2:$Y$301, MATCH(ROUND(MIN(300,MAX(1,D1411)),0), FactorTable!$A$2:$A$301,0), Skills!M14+1)</f>
        <v/>
      </c>
      <c r="F1411">
        <f>IF(Skills!N14=TRUE,(Skills!L14/10)*(E1411/1000),Skills!L14/10)+Skills!O14</f>
        <v/>
      </c>
      <c r="G1411">
        <f>Skills!G14*IF(Skills!H14&gt;0,Skills!I14/Skills!H14,1)</f>
        <v/>
      </c>
      <c r="H1411">
        <f>1-(1-Skills!J14/100)^Skills!K14</f>
        <v/>
      </c>
      <c r="I1411" t="inlineStr">
        <is>
          <t>1</t>
        </is>
      </c>
      <c r="J1411" t="inlineStr"/>
      <c r="K1411" t="inlineStr"/>
      <c r="L1411" t="inlineStr"/>
      <c r="M1411" t="inlineStr"/>
      <c r="N1411" t="inlineStr"/>
      <c r="O1411">
        <f>(1-Summary!$B$11)*T1411+Summary!$B$11*V1411</f>
        <v/>
      </c>
      <c r="P1411">
        <f>IF(B1433=0,0,O1411/B1433)</f>
        <v/>
      </c>
      <c r="Q1411" t="n">
        <v>0</v>
      </c>
      <c r="R1411" t="n">
        <v>0</v>
      </c>
      <c r="S1411">
        <f>IFERROR(O1411/N1411,0)</f>
        <v/>
      </c>
      <c r="T1411" t="n">
        <v>0</v>
      </c>
      <c r="V1411" t="n">
        <v>0</v>
      </c>
    </row>
    <row r="1412">
      <c r="A1412">
        <f>Skills!A15</f>
        <v/>
      </c>
      <c r="B1412">
        <f>Skills!B15</f>
        <v/>
      </c>
      <c r="C1412">
        <f>Inputs!$B$3&gt;=115</f>
        <v/>
      </c>
      <c r="D1412">
        <f>IF(Skills!C15=1,60+Inputs!$B$25+Inputs!$B$29,IF(Skills!C15=2,90+Inputs!$B$26+Inputs!$B$29,IF(Skills!C15=3,120+Inputs!$B$27+Inputs!$B$29,MAX(0,(Inputs!$B$3-100)*3)+Inputs!$B$28+Inputs!$B$29)))</f>
        <v/>
      </c>
      <c r="E1412">
        <f>INDEX(FactorTable!$B$2:$Y$301, MATCH(ROUND(MIN(300,MAX(1,D1412)),0), FactorTable!$A$2:$A$301,0), Skills!M15+1)</f>
        <v/>
      </c>
      <c r="F1412">
        <f>IF(Skills!N15=TRUE,(Skills!L15/10)*(E1412/1000),Skills!L15/10)+Skills!O15</f>
        <v/>
      </c>
      <c r="G1412">
        <f>Skills!G15*IF(Skills!H15&gt;0,Skills!I15/Skills!H15,1)</f>
        <v/>
      </c>
      <c r="H1412">
        <f>1-(1-Skills!J15/100)^Skills!K15</f>
        <v/>
      </c>
      <c r="I1412" t="inlineStr">
        <is>
          <t>1</t>
        </is>
      </c>
      <c r="J1412" t="inlineStr"/>
      <c r="K1412" t="inlineStr"/>
      <c r="L1412" t="inlineStr"/>
      <c r="M1412" t="inlineStr"/>
      <c r="N1412" t="inlineStr"/>
      <c r="O1412">
        <f>(1-Summary!$B$11)*T1412+Summary!$B$11*V1412</f>
        <v/>
      </c>
      <c r="P1412">
        <f>IF(B1433=0,0,O1412/B1433)</f>
        <v/>
      </c>
      <c r="Q1412" t="n">
        <v>0</v>
      </c>
      <c r="R1412" t="n">
        <v>0</v>
      </c>
      <c r="S1412">
        <f>IFERROR(O1412/N1412,0)</f>
        <v/>
      </c>
      <c r="T1412" t="n">
        <v>0</v>
      </c>
      <c r="V1412" t="n">
        <v>0</v>
      </c>
    </row>
    <row r="1413">
      <c r="A1413">
        <f>Skills!A16</f>
        <v/>
      </c>
      <c r="B1413">
        <f>Skills!B16</f>
        <v/>
      </c>
      <c r="C1413">
        <f>Inputs!$B$3&gt;=15</f>
        <v/>
      </c>
      <c r="D1413">
        <f>IF(Skills!C16=1,60+Inputs!$B$25+Inputs!$B$29,IF(Skills!C16=2,90+Inputs!$B$26+Inputs!$B$29,IF(Skills!C16=3,120+Inputs!$B$27+Inputs!$B$29,MAX(0,(Inputs!$B$3-100)*3)+Inputs!$B$28+Inputs!$B$29)))</f>
        <v/>
      </c>
      <c r="E1413">
        <f>INDEX(FactorTable!$B$2:$Y$301, MATCH(ROUND(MIN(300,MAX(1,D1413)),0), FactorTable!$A$2:$A$301,0), Skills!M16+1)</f>
        <v/>
      </c>
      <c r="F1413">
        <f>IF(Skills!N16=TRUE,(Skills!L16/10)*(E1413/1000),Skills!L16/10)+Skills!O16</f>
        <v/>
      </c>
      <c r="G1413">
        <f>Skills!G16*IF(Skills!H16&gt;0,Skills!I16/Skills!H16,1)</f>
        <v/>
      </c>
      <c r="H1413">
        <f>1-(1-Skills!J16/100)^Skills!K16</f>
        <v/>
      </c>
      <c r="I1413" t="inlineStr">
        <is>
          <t>1</t>
        </is>
      </c>
      <c r="J1413" t="inlineStr"/>
      <c r="K1413" t="inlineStr"/>
      <c r="L1413" t="inlineStr"/>
      <c r="M1413" t="inlineStr"/>
      <c r="N1413" t="inlineStr"/>
      <c r="O1413">
        <f>(1-Summary!$B$11)*T1413+Summary!$B$11*V1413</f>
        <v/>
      </c>
      <c r="P1413">
        <f>IF(B1433=0,0,O1413/B1433)</f>
        <v/>
      </c>
      <c r="Q1413" t="n">
        <v>0</v>
      </c>
      <c r="R1413" t="n">
        <v>0</v>
      </c>
      <c r="S1413">
        <f>IFERROR(O1413/N1413,0)</f>
        <v/>
      </c>
      <c r="T1413" t="n">
        <v>0</v>
      </c>
      <c r="V1413" t="n">
        <v>0</v>
      </c>
    </row>
    <row r="1414">
      <c r="A1414">
        <f>Skills!A17</f>
        <v/>
      </c>
      <c r="B1414">
        <f>Skills!B17</f>
        <v/>
      </c>
      <c r="C1414">
        <f>Inputs!$B$3&gt;=10</f>
        <v/>
      </c>
      <c r="D1414">
        <f>IF(Skills!C17=1,60+Inputs!$B$25+Inputs!$B$29,IF(Skills!C17=2,90+Inputs!$B$26+Inputs!$B$29,IF(Skills!C17=3,120+Inputs!$B$27+Inputs!$B$29,MAX(0,(Inputs!$B$3-100)*3)+Inputs!$B$28+Inputs!$B$29)))</f>
        <v/>
      </c>
      <c r="E1414">
        <f>INDEX(FactorTable!$B$2:$Y$301, MATCH(ROUND(MIN(300,MAX(1,D1414)),0), FactorTable!$A$2:$A$301,0), Skills!M17+1)</f>
        <v/>
      </c>
      <c r="F1414">
        <f>IF(Skills!N17=TRUE,(Skills!L17/10)*(E1414/1000),Skills!L17/10)+Skills!O17</f>
        <v/>
      </c>
      <c r="G1414">
        <f>Skills!G17*IF(Skills!H17&gt;0,Skills!I17/Skills!H17,1)</f>
        <v/>
      </c>
      <c r="H1414">
        <f>1-(1-Skills!J17/100)^Skills!K17</f>
        <v/>
      </c>
      <c r="I1414" t="inlineStr">
        <is>
          <t>1</t>
        </is>
      </c>
      <c r="J1414" t="inlineStr"/>
      <c r="K1414" t="inlineStr"/>
      <c r="L1414" t="inlineStr"/>
      <c r="M1414" t="inlineStr"/>
      <c r="N1414" t="inlineStr"/>
      <c r="O1414">
        <f>(1-Summary!$B$11)*T1414+Summary!$B$11*V1414</f>
        <v/>
      </c>
      <c r="P1414">
        <f>IF(B1433=0,0,O1414/B1433)</f>
        <v/>
      </c>
      <c r="Q1414" t="n">
        <v>0</v>
      </c>
      <c r="R1414" t="n">
        <v>0</v>
      </c>
      <c r="S1414">
        <f>IFERROR(O1414/N1414,0)</f>
        <v/>
      </c>
      <c r="T1414" t="n">
        <v>0</v>
      </c>
      <c r="V1414" t="n">
        <v>0</v>
      </c>
    </row>
    <row r="1415">
      <c r="A1415">
        <f>Skills!A18</f>
        <v/>
      </c>
      <c r="B1415">
        <f>Skills!B18</f>
        <v/>
      </c>
      <c r="C1415">
        <f>Inputs!$B$3&gt;=33</f>
        <v/>
      </c>
      <c r="D1415">
        <f>IF(Skills!C18=1,60+Inputs!$B$25+Inputs!$B$29,IF(Skills!C18=2,90+Inputs!$B$26+Inputs!$B$29,IF(Skills!C18=3,120+Inputs!$B$27+Inputs!$B$29,MAX(0,(Inputs!$B$3-100)*3)+Inputs!$B$28+Inputs!$B$29)))</f>
        <v/>
      </c>
      <c r="E1415">
        <f>INDEX(FactorTable!$B$2:$Y$301, MATCH(ROUND(MIN(300,MAX(1,D1415)),0), FactorTable!$A$2:$A$301,0), Skills!M18+1)</f>
        <v/>
      </c>
      <c r="F1415">
        <f>IF(Skills!N18=TRUE,(Skills!L18/10)*(E1415/1000),Skills!L18/10)+Skills!O18</f>
        <v/>
      </c>
      <c r="G1415">
        <f>Skills!G18*IF(Skills!H18&gt;0,Skills!I18/Skills!H18,1)</f>
        <v/>
      </c>
      <c r="H1415">
        <f>1-(1-Skills!J18/100)^Skills!K18</f>
        <v/>
      </c>
      <c r="I1415" t="inlineStr">
        <is>
          <t>1</t>
        </is>
      </c>
      <c r="J1415" t="inlineStr"/>
      <c r="K1415" t="inlineStr"/>
      <c r="L1415" t="inlineStr"/>
      <c r="M1415" t="inlineStr"/>
      <c r="N1415" t="inlineStr"/>
      <c r="O1415">
        <f>(1-Summary!$B$11)*T1415+Summary!$B$11*V1415</f>
        <v/>
      </c>
      <c r="P1415">
        <f>IF(B1433=0,0,O1415/B1433)</f>
        <v/>
      </c>
      <c r="Q1415" t="n">
        <v>0</v>
      </c>
      <c r="R1415" t="n">
        <v>0</v>
      </c>
      <c r="S1415">
        <f>IFERROR(O1415/N1415,0)</f>
        <v/>
      </c>
      <c r="T1415" t="n">
        <v>0</v>
      </c>
      <c r="V1415" t="n">
        <v>0</v>
      </c>
    </row>
    <row r="1416">
      <c r="A1416">
        <f>Skills!A19</f>
        <v/>
      </c>
      <c r="B1416">
        <f>Skills!B19</f>
        <v/>
      </c>
      <c r="C1416">
        <f>Inputs!$B$3&gt;=40</f>
        <v/>
      </c>
      <c r="D1416">
        <f>IF(Skills!C19=1,60+Inputs!$B$25+Inputs!$B$29,IF(Skills!C19=2,90+Inputs!$B$26+Inputs!$B$29,IF(Skills!C19=3,120+Inputs!$B$27+Inputs!$B$29,MAX(0,(Inputs!$B$3-100)*3)+Inputs!$B$28+Inputs!$B$29)))</f>
        <v/>
      </c>
      <c r="E1416">
        <f>INDEX(FactorTable!$B$2:$Y$301, MATCH(ROUND(MIN(300,MAX(1,D1416)),0), FactorTable!$A$2:$A$301,0), Skills!M19+1)</f>
        <v/>
      </c>
      <c r="F1416">
        <f>IF(Skills!N19=TRUE,(Skills!L19/10)*(E1416/1000),Skills!L19/10)+Skills!O19</f>
        <v/>
      </c>
      <c r="G1416">
        <f>Skills!G19*IF(Skills!H19&gt;0,Skills!I19/Skills!H19,1)</f>
        <v/>
      </c>
      <c r="H1416">
        <f>1-(1-Skills!J19/100)^Skills!K19</f>
        <v/>
      </c>
      <c r="I1416" t="inlineStr">
        <is>
          <t>1</t>
        </is>
      </c>
      <c r="J1416" t="inlineStr"/>
      <c r="K1416" t="inlineStr"/>
      <c r="L1416" t="inlineStr"/>
      <c r="M1416" t="inlineStr"/>
      <c r="N1416" t="inlineStr"/>
      <c r="O1416">
        <f>(1-Summary!$B$11)*T1416+Summary!$B$11*V1416</f>
        <v/>
      </c>
      <c r="P1416">
        <f>IF(B1433=0,0,O1416/B1433)</f>
        <v/>
      </c>
      <c r="Q1416" t="n">
        <v>0</v>
      </c>
      <c r="R1416" t="n">
        <v>0</v>
      </c>
      <c r="S1416">
        <f>IFERROR(O1416/N1416,0)</f>
        <v/>
      </c>
      <c r="T1416" t="n">
        <v>0</v>
      </c>
      <c r="V1416" t="n">
        <v>0</v>
      </c>
    </row>
    <row r="1417">
      <c r="A1417">
        <f>Skills!A20</f>
        <v/>
      </c>
      <c r="B1417">
        <f>Skills!B20</f>
        <v/>
      </c>
      <c r="C1417">
        <f>Inputs!$B$3&gt;=43</f>
        <v/>
      </c>
      <c r="D1417">
        <f>IF(Skills!C20=1,60+Inputs!$B$25+Inputs!$B$29,IF(Skills!C20=2,90+Inputs!$B$26+Inputs!$B$29,IF(Skills!C20=3,120+Inputs!$B$27+Inputs!$B$29,MAX(0,(Inputs!$B$3-100)*3)+Inputs!$B$28+Inputs!$B$29)))</f>
        <v/>
      </c>
      <c r="E1417">
        <f>INDEX(FactorTable!$B$2:$Y$301, MATCH(ROUND(MIN(300,MAX(1,D1417)),0), FactorTable!$A$2:$A$301,0), Skills!M20+1)</f>
        <v/>
      </c>
      <c r="F1417">
        <f>IF(Skills!N20=TRUE,(Skills!L20/10)*(E1417/1000),Skills!L20/10)+Skills!O20</f>
        <v/>
      </c>
      <c r="G1417">
        <f>Skills!G20*IF(Skills!H20&gt;0,Skills!I20/Skills!H20,1)</f>
        <v/>
      </c>
      <c r="H1417">
        <f>1-(1-Skills!J20/100)^Skills!K20</f>
        <v/>
      </c>
      <c r="I1417" t="inlineStr">
        <is>
          <t>1</t>
        </is>
      </c>
      <c r="J1417" t="inlineStr"/>
      <c r="K1417" t="inlineStr"/>
      <c r="L1417" t="inlineStr"/>
      <c r="M1417" t="inlineStr"/>
      <c r="N1417" t="inlineStr"/>
      <c r="O1417">
        <f>(1-Summary!$B$11)*T1417+Summary!$B$11*V1417</f>
        <v/>
      </c>
      <c r="P1417">
        <f>IF(B1433=0,0,O1417/B1433)</f>
        <v/>
      </c>
      <c r="Q1417" t="n">
        <v>0</v>
      </c>
      <c r="R1417" t="n">
        <v>0</v>
      </c>
      <c r="S1417">
        <f>IFERROR(O1417/N1417,0)</f>
        <v/>
      </c>
      <c r="T1417" t="n">
        <v>0</v>
      </c>
      <c r="V1417" t="n">
        <v>0</v>
      </c>
    </row>
    <row r="1418">
      <c r="A1418">
        <f>Skills!A21</f>
        <v/>
      </c>
      <c r="B1418">
        <f>Skills!B21</f>
        <v/>
      </c>
      <c r="C1418">
        <f>Inputs!$B$3&gt;=38</f>
        <v/>
      </c>
      <c r="D1418">
        <f>IF(Skills!C21=1,60+Inputs!$B$25+Inputs!$B$29,IF(Skills!C21=2,90+Inputs!$B$26+Inputs!$B$29,IF(Skills!C21=3,120+Inputs!$B$27+Inputs!$B$29,MAX(0,(Inputs!$B$3-100)*3)+Inputs!$B$28+Inputs!$B$29)))</f>
        <v/>
      </c>
      <c r="E1418">
        <f>INDEX(FactorTable!$B$2:$Y$301, MATCH(ROUND(MIN(300,MAX(1,D1418)),0), FactorTable!$A$2:$A$301,0), Skills!M21+1)</f>
        <v/>
      </c>
      <c r="F1418">
        <f>IF(Skills!N21=TRUE,(Skills!L21/10)*(E1418/1000),Skills!L21/10)+Skills!O21</f>
        <v/>
      </c>
      <c r="G1418">
        <f>Skills!G21*IF(Skills!H21&gt;0,Skills!I21/Skills!H21,1)</f>
        <v/>
      </c>
      <c r="H1418">
        <f>1-(1-Skills!J21/100)^Skills!K21</f>
        <v/>
      </c>
      <c r="I1418" t="inlineStr">
        <is>
          <t>1</t>
        </is>
      </c>
      <c r="J1418" t="inlineStr"/>
      <c r="K1418" t="inlineStr"/>
      <c r="L1418" t="inlineStr"/>
      <c r="M1418" t="inlineStr"/>
      <c r="N1418" t="inlineStr"/>
      <c r="O1418">
        <f>(1-Summary!$B$11)*T1418+Summary!$B$11*V1418</f>
        <v/>
      </c>
      <c r="P1418">
        <f>IF(B1433=0,0,O1418/B1433)</f>
        <v/>
      </c>
      <c r="Q1418" t="n">
        <v>0</v>
      </c>
      <c r="R1418" t="n">
        <v>0</v>
      </c>
      <c r="S1418">
        <f>IFERROR(O1418/N1418,0)</f>
        <v/>
      </c>
      <c r="T1418" t="n">
        <v>0</v>
      </c>
      <c r="V1418" t="n">
        <v>0</v>
      </c>
    </row>
    <row r="1419">
      <c r="A1419">
        <f>Skills!A22</f>
        <v/>
      </c>
      <c r="B1419">
        <f>Skills!B22</f>
        <v/>
      </c>
      <c r="C1419">
        <f>Inputs!$B$3&gt;=75</f>
        <v/>
      </c>
      <c r="D1419">
        <f>IF(Skills!C22=1,60+Inputs!$B$25+Inputs!$B$29,IF(Skills!C22=2,90+Inputs!$B$26+Inputs!$B$29,IF(Skills!C22=3,120+Inputs!$B$27+Inputs!$B$29,MAX(0,(Inputs!$B$3-100)*3)+Inputs!$B$28+Inputs!$B$29)))</f>
        <v/>
      </c>
      <c r="E1419">
        <f>INDEX(FactorTable!$B$2:$Y$301, MATCH(ROUND(MIN(300,MAX(1,D1419)),0), FactorTable!$A$2:$A$301,0), Skills!M22+1)</f>
        <v/>
      </c>
      <c r="F1419">
        <f>IF(Skills!N22=TRUE,(Skills!L22/10)*(E1419/1000),Skills!L22/10)+Skills!O22</f>
        <v/>
      </c>
      <c r="G1419">
        <f>Skills!G22*IF(Skills!H22&gt;0,Skills!I22/Skills!H22,1)</f>
        <v/>
      </c>
      <c r="H1419">
        <f>1-(1-Skills!J22/100)^Skills!K22</f>
        <v/>
      </c>
      <c r="I1419" t="inlineStr">
        <is>
          <t>1</t>
        </is>
      </c>
      <c r="J1419" t="inlineStr"/>
      <c r="K1419" t="inlineStr"/>
      <c r="L1419" t="inlineStr"/>
      <c r="M1419" t="inlineStr"/>
      <c r="N1419" t="inlineStr"/>
      <c r="O1419">
        <f>(1-Summary!$B$11)*T1419+Summary!$B$11*V1419</f>
        <v/>
      </c>
      <c r="P1419">
        <f>IF(B1433=0,0,O1419/B1433)</f>
        <v/>
      </c>
      <c r="Q1419" t="n">
        <v>0</v>
      </c>
      <c r="R1419" t="n">
        <v>0</v>
      </c>
      <c r="S1419">
        <f>IFERROR(O1419/N1419,0)</f>
        <v/>
      </c>
      <c r="T1419" t="n">
        <v>0</v>
      </c>
      <c r="V1419" t="n">
        <v>0</v>
      </c>
    </row>
    <row r="1420">
      <c r="A1420">
        <f>Skills!A23</f>
        <v/>
      </c>
      <c r="B1420">
        <f>Skills!B23</f>
        <v/>
      </c>
      <c r="C1420">
        <f>TRUE</f>
        <v/>
      </c>
      <c r="D1420">
        <f>IF(Skills!C23=1,60+Inputs!$B$25+Inputs!$B$29,IF(Skills!C23=2,90+Inputs!$B$26+Inputs!$B$29,IF(Skills!C23=3,120+Inputs!$B$27+Inputs!$B$29,MAX(0,(Inputs!$B$3-100)*3)+Inputs!$B$28+Inputs!$B$29)))</f>
        <v/>
      </c>
      <c r="E1420">
        <f>INDEX(FactorTable!$B$2:$Y$301, MATCH(ROUND(MIN(300,MAX(1,D1420)),0), FactorTable!$A$2:$A$301,0), Skills!M23+1)</f>
        <v/>
      </c>
      <c r="F1420">
        <f>IF(Skills!N23=TRUE,(Skills!L23/10)*(E1420/1000),Skills!L23/10)+Skills!O23</f>
        <v/>
      </c>
      <c r="G1420">
        <f>Skills!G23*IF(Skills!H23&gt;0,Skills!I23/Skills!H23,1)</f>
        <v/>
      </c>
      <c r="H1420">
        <f>1-(1-Skills!J23/100)^Skills!K23</f>
        <v/>
      </c>
      <c r="I1420" t="inlineStr">
        <is>
          <t>1</t>
        </is>
      </c>
      <c r="J1420" t="inlineStr"/>
      <c r="K1420" t="inlineStr"/>
      <c r="L1420" t="inlineStr"/>
      <c r="M1420" t="inlineStr"/>
      <c r="N1420" t="inlineStr"/>
      <c r="O1420">
        <f>(1-Summary!$B$11)*T1420+Summary!$B$11*V1420</f>
        <v/>
      </c>
      <c r="P1420">
        <f>IF(B1433=0,0,O1420/B1433)</f>
        <v/>
      </c>
      <c r="Q1420">
        <f>IFERROR(1/(IF(Inputs!$B$38="pvp",15,MAX(0.1,Skills!D23-IF(Skills!E23=TRUE,Inputs!$B$32,0)))*(1-IF(AND(ArtifactsInput!$M$27,Inputs!$B$4="Chapter Hunt"),CHOOSE(ArtifactsInput!$N$27+1,20,24,28,32,36,40),0)/100)),0)</f>
        <v/>
      </c>
      <c r="R1420">
        <f>IF(AND(Inputs!$B$38&lt;&gt;"pvp",Inputs!$B$43&gt;0),IF(Inputs!$B$43&lt;=0,0,(INT(Inputs!$B$43/(IF(Inputs!$B$38="pvp",15,MAX(0.1,Skills!D23-IF(Skills!E23=TRUE,Inputs!$B$32,0)))*(1-IF(AND(ArtifactsInput!$M$27,Inputs!$B$4="Chapter Hunt"),CHOOSE(ArtifactsInput!$N$27+1,20,24,28,32,36,40),0)/100)))+1)),0)</f>
        <v/>
      </c>
      <c r="S1420">
        <f>IFERROR(O1420/N1420,0)</f>
        <v/>
      </c>
      <c r="T1420" t="n">
        <v>0</v>
      </c>
      <c r="V1420" t="n">
        <v>0</v>
      </c>
    </row>
    <row r="1422">
      <c r="A1422" t="inlineStr">
        <is>
          <t>Attack% Bucket Multiplier</t>
        </is>
      </c>
      <c r="B1422">
        <f>(1+(((C1410=TRUE)*F1410*5/7)+((C1416=TRUE)*(F1416-Calc!F19))+(IF(ArtifactsInput!$M$21,CHOOSE(ArtifactsInput!$N$21+1,25,30,35,40,45,50)*(IF(OR(Inputs!$B$4="Chapter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3">
      <c r="A1423" t="inlineStr">
        <is>
          <t>Global Crit Rate Bonus %</t>
        </is>
      </c>
      <c r="B1423" t="n">
        <v>0</v>
      </c>
    </row>
    <row r="1424">
      <c r="A1424" t="inlineStr">
        <is>
          <t>Attack Speed Buff Bonus % (Nimble Feet, duty-cycle averaged)</t>
        </is>
      </c>
      <c r="B1424">
        <f>((C1420=TRUE)*F1420*IF(AND(Inputs!$B$38&lt;&gt;"pvp",Inputs!$B$43&gt;0),(((R1420-1)*(Skills!T23*(1+Inputs!$B$34/100))+MIN((Skills!T23*(1+Inputs!$B$34/100)),MAX(0,Inputs!$B$43-((R1420-1)*Skills!D23))))/Inputs!$B$43),IF(Inputs!$B$38="pvp",MIN((Skills!T23*(1+Inputs!$B$34/100)),15)/15,(Skills!T23*(1+Inputs!$B$34/100))/Skills!D23)))</f>
        <v/>
      </c>
    </row>
    <row r="1425">
      <c r="A1425" t="inlineStr">
        <is>
          <t>Actions Per Second</t>
        </is>
      </c>
      <c r="B1425">
        <f>1+MIN(150,150*(1-(1-(Inputs!$B$11+((C1414=TRUE)*(F1414-Calc!F17))+((C1415=TRUE)*(F1415-Calc!F18)))/150)*(1-B1424/150)))/100</f>
        <v/>
      </c>
    </row>
    <row r="1426">
      <c r="A1426" t="inlineStr">
        <is>
          <t>Skill + Buff Cast Rate</t>
        </is>
      </c>
      <c r="B1426">
        <f>IF(AND(Inputs!$B$38&lt;&gt;"pvp",Inputs!$B$43&gt;0),SUMPRODUCT((Skills!E2:E23=TRUE)*(C1399:C1420=TRUE)*R1399:R1420*Skills!F2:F23)/Inputs!$B$43,SUMPRODUCT((Skills!E2:E23=TRUE)*(C1399:C1420=TRUE)*Q1399:Q1420*Skills!F2:F23))</f>
        <v/>
      </c>
    </row>
    <row r="1427">
      <c r="A1427" t="inlineStr">
        <is>
          <t>Hook Bomber Casts Per Second</t>
        </is>
      </c>
      <c r="B1427">
        <f>MAX(0,B1425-B1426)</f>
        <v/>
      </c>
    </row>
    <row r="1428">
      <c r="A1428" t="inlineStr">
        <is>
          <t>Global Critical Damage Bonus % (unused)</t>
        </is>
      </c>
      <c r="B1428" t="n">
        <v>0</v>
      </c>
    </row>
    <row r="1429">
      <c r="A1429" t="inlineStr">
        <is>
          <t>Global Final Damage Bonus % (Serpent Scale + Crossbones + Time Leap + Speed Infusion)</t>
        </is>
      </c>
      <c r="B1429">
        <f>((C1402=TRUE)*F1402*((10+IF(Inputs!$B$3&gt;=94,5,0))/((10+IF(Inputs!$B$3&gt;=94,5,0))+5/(B1427*(1+IF(Inputs!$B$3&gt;=104,1,0))))))+((C1411=TRUE)*F1411)+((C1412=TRUE)*F1412)+((Inputs!$B$3&gt;=110)*20*(B1425-1))</f>
        <v/>
      </c>
    </row>
    <row r="1430">
      <c r="A1430" t="inlineStr">
        <is>
          <t>Buff-Casting Startup Delay (s, fixed-duration only)</t>
        </is>
      </c>
      <c r="B1430">
        <f>IF(AND(Inputs!$B$38&lt;&gt;"pvp",Inputs!$B$43&gt;0),SUMPRODUCT((Skills!T2:T23&gt;0)*(Skills!E2:E23=TRUE)*(C1399:C1420=TRUE))/B1425,0)</f>
        <v/>
      </c>
    </row>
    <row r="1431">
      <c r="A1431" t="inlineStr">
        <is>
          <t>Boss-Only Total DPS (this block's swept value)</t>
        </is>
      </c>
      <c r="B1431">
        <f>SUM(T1399:T1420)</f>
        <v/>
      </c>
    </row>
    <row r="1432">
      <c r="A1432" t="inlineStr">
        <is>
          <t>Normal-Only Total DPS (this block's swept value)</t>
        </is>
      </c>
      <c r="B1432">
        <f>SUM(V1399:V1420)</f>
        <v/>
      </c>
    </row>
    <row r="1433">
      <c r="A1433" s="6" t="inlineStr">
        <is>
          <t>TOTAL DPS</t>
        </is>
      </c>
      <c r="B1433" s="6">
        <f>SUM(O1399:O1420)</f>
        <v/>
      </c>
    </row>
    <row r="1436">
      <c r="A1436" s="6" t="inlineStr">
        <is>
          <t>Stat: Athena Pierce's Old Gloves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Q1437" s="5" t="inlineStr">
        <is>
          <t>InvCooldown</t>
        </is>
      </c>
      <c r="R1437" s="5" t="inlineStr">
        <is>
          <t>CastsInFight</t>
        </is>
      </c>
      <c r="S1437" s="5" t="inlineStr">
        <is>
          <t>HitRate(perSec)</t>
        </is>
      </c>
      <c r="U1437" t="inlineStr">
        <is>
          <t>helpers</t>
        </is>
      </c>
    </row>
    <row r="1438">
      <c r="A1438">
        <f>Skills!A2</f>
        <v/>
      </c>
      <c r="B1438">
        <f>Skills!B2</f>
        <v/>
      </c>
      <c r="C1438">
        <f>Inputs!$B$3&gt;=100</f>
        <v/>
      </c>
      <c r="D1438" t="inlineStr"/>
      <c r="E1438" t="inlineStr"/>
      <c r="F1438">
        <f>U1440+Skills!O2</f>
        <v/>
      </c>
      <c r="G1438">
        <f>Skills!G2*IF(Skills!H2&gt;0,Skills!I2/Skills!H2,1)</f>
        <v/>
      </c>
      <c r="H1438">
        <f>1-(1-Skills!J2/100)^Skills!K2</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8">
        <f>L1438*(1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IF(B1472=0,0,O1438/B1472)</f>
        <v/>
      </c>
      <c r="Q1438" t="n">
        <v>0</v>
      </c>
      <c r="R1438" t="n">
        <v>0</v>
      </c>
      <c r="S1438">
        <f>IFERROR(O1438/N1438,0)</f>
        <v/>
      </c>
      <c r="T1438">
        <f>IF(C1438,(Skills!G2*N1438*B1466)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MAX(0,(Inputs!$B$3-100)*3)+Inputs!$B$28+Inputs!$B$29</f>
        <v/>
      </c>
      <c r="V1438">
        <f>IF(C1438,(Skills!G2*N1438*B1466)*IF(Inputs!$B$38="pvp",1,(1+(Inputs!$B$21+Skills!Q2+(IF(ArtifactsInput!$M$33,CHOOSE(ArtifactsInput!$N$33+1,30,36,42,48,54,60),0))+(IF(AND(ArtifactsInput!$M$35,Inputs!$B$4&lt;&gt;"Chapter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Skills!A3</f>
        <v/>
      </c>
      <c r="B1439">
        <f>Skills!B3</f>
        <v/>
      </c>
      <c r="C1439">
        <f>Inputs!$B$3&gt;=35</f>
        <v/>
      </c>
      <c r="D1439">
        <f>IF(Skills!C3=1,60+Inputs!$B$25+Inputs!$B$29,IF(Skills!C3=2,90+Inputs!$B$26+Inputs!$B$29,IF(Skills!C3=3,120+Inputs!$B$27+Inputs!$B$29,MAX(0,(Inputs!$B$3-100)*3)+Inputs!$B$28+Inputs!$B$29)))</f>
        <v/>
      </c>
      <c r="E1439">
        <f>INDEX(FactorTable!$B$2:$Y$301, MATCH(ROUND(MIN(300,MAX(1,D1439)),0), FactorTable!$A$2:$A$301,0), Skills!M3+1)</f>
        <v/>
      </c>
      <c r="F1439">
        <f>IF(Skills!N3=TRUE,(Skills!L3/10)*(E1439/1000),Skills!L3/10)+Skills!O3</f>
        <v/>
      </c>
      <c r="G1439">
        <f>Skills!G3*IF(Skills!H3&gt;0,Skills!I3/Skills!H3,1)</f>
        <v/>
      </c>
      <c r="H1439">
        <f>1-(1-Skills!J3/100)^Skills!K3</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9">
        <f>L1439*(1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IF(B1472=0,0,O1439/B1472)</f>
        <v/>
      </c>
      <c r="Q1439" t="n">
        <v>0</v>
      </c>
      <c r="R1439" t="n">
        <v>0</v>
      </c>
      <c r="S1439">
        <f>IFERROR(O1439/N1439,0)</f>
        <v/>
      </c>
      <c r="T1439">
        <f>IF(C1439,(Skills!G3*H1439*N1439*B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INDEX(FactorTable!$B$2:$Y$301, MATCH(ROUND(MIN(300,MAX(1,U1438)),0), FactorTable!$A$2:$A$301,0), 22)</f>
        <v/>
      </c>
      <c r="V1439">
        <f>IF(C1439,(Skills!G3*H1439*N1439*B1466)*IF(Inputs!$B$38="pvp",1,(1+(Inputs!$B$21+Skills!Q3+(IF(ArtifactsInput!$M$33,CHOOSE(ArtifactsInput!$N$33+1,30,36,42,48,54,60),0))+(IF(AND(ArtifactsInput!$M$35,Inputs!$B$4&lt;&gt;"Chapter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Skills!A4</f>
        <v/>
      </c>
      <c r="B1440">
        <f>Skills!B4</f>
        <v/>
      </c>
      <c r="C1440">
        <f>Inputs!$B$3&gt;=60</f>
        <v/>
      </c>
      <c r="D1440">
        <f>IF(Skills!C4=1,60+Inputs!$B$25+Inputs!$B$29,IF(Skills!C4=2,90+Inputs!$B$26+Inputs!$B$29,IF(Skills!C4=3,120+Inputs!$B$27+Inputs!$B$29,MAX(0,(Inputs!$B$3-100)*3)+Inputs!$B$28+Inputs!$B$29)))</f>
        <v/>
      </c>
      <c r="E1440">
        <f>INDEX(FactorTable!$B$2:$Y$301, MATCH(ROUND(MIN(300,MAX(1,D1440)),0), FactorTable!$A$2:$A$301,0), Skills!M4+1)</f>
        <v/>
      </c>
      <c r="F1440">
        <f>IF(Skills!N4=TRUE,(Skills!L4/10)*(E1440/1000),Skills!L4/10)+Skills!O4</f>
        <v/>
      </c>
      <c r="G1440">
        <f>Skills!G4*IF(Skills!H4&gt;0,Skills!I4/Skills!H4,1)</f>
        <v/>
      </c>
      <c r="H1440">
        <f>1-(1-Skills!J4/100)^Skills!K4</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1448=TRUE,F1448,0)/100)*(1+(IF(Skills!A4="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0">
        <f>L1440*(1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IF(B1472=0,0,O1440/B1472)</f>
        <v/>
      </c>
      <c r="Q1440" t="n">
        <v>0</v>
      </c>
      <c r="R1440" t="n">
        <v>0</v>
      </c>
      <c r="S1440">
        <f>IFERROR(O1440/N1440,0)</f>
        <v/>
      </c>
      <c r="T1440">
        <f>IF(C1440,(Skills!G4*H1440*N1440*B1466)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290*U1439/1000</f>
        <v/>
      </c>
      <c r="V1440">
        <f>IF(C1440,(Skills!G4*H1440*N1440*B1466)*IF(Inputs!$B$38="pvp",1,(1+(Inputs!$B$21+Skills!Q4+(IF(ArtifactsInput!$M$33,CHOOSE(ArtifactsInput!$N$33+1,30,36,42,48,54,60),0))+(IF(AND(ArtifactsInput!$M$35,Inputs!$B$4&lt;&gt;"Chapter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Skills!A5</f>
        <v/>
      </c>
      <c r="B1441">
        <f>Skills!B5</f>
        <v/>
      </c>
      <c r="C1441">
        <f>Inputs!$B$3&gt;=60</f>
        <v/>
      </c>
      <c r="D1441">
        <f>IF(Skills!C5=1,60+Inputs!$B$25+Inputs!$B$29,IF(Skills!C5=2,90+Inputs!$B$26+Inputs!$B$29,IF(Skills!C5=3,120+Inputs!$B$27+Inputs!$B$29,MAX(0,(Inputs!$B$3-100)*3)+Inputs!$B$28+Inputs!$B$29)))</f>
        <v/>
      </c>
      <c r="E1441">
        <f>INDEX(FactorTable!$B$2:$Y$301, MATCH(ROUND(MIN(300,MAX(1,D1441)),0), FactorTable!$A$2:$A$301,0), Skills!M5+1)</f>
        <v/>
      </c>
      <c r="F1441">
        <f>IF(Skills!N5=TRUE,(Skills!L5/10)*(E1441/1000),Skills!L5/10)+Skills!O5</f>
        <v/>
      </c>
      <c r="G1441">
        <f>Skills!G5*IF(Skills!H5&gt;0,Skills!I5/Skills!H5,1)</f>
        <v/>
      </c>
      <c r="H1441">
        <f>1-(1-Skills!J5/100)^Skills!K5</f>
        <v/>
      </c>
      <c r="I1441" t="inlineStr">
        <is>
          <t>1</t>
        </is>
      </c>
      <c r="J1441" t="inlineStr"/>
      <c r="K1441" t="inlineStr"/>
      <c r="L1441" t="inlineStr"/>
      <c r="M1441" t="inlineStr"/>
      <c r="N1441" t="inlineStr"/>
      <c r="O1441">
        <f>(1-Summary!$B$11)*T1441+Summary!$B$11*V1441</f>
        <v/>
      </c>
      <c r="P1441">
        <f>IF(B1472=0,0,O1441/B1472)</f>
        <v/>
      </c>
      <c r="Q1441" t="n">
        <v>0</v>
      </c>
      <c r="R1441" t="n">
        <v>0</v>
      </c>
      <c r="S1441">
        <f>IFERROR(O1441/N1441,0)</f>
        <v/>
      </c>
      <c r="T1441" t="n">
        <v>0</v>
      </c>
      <c r="V1441" t="n">
        <v>0</v>
      </c>
    </row>
    <row r="1442">
      <c r="A1442">
        <f>Skills!A6</f>
        <v/>
      </c>
      <c r="B1442">
        <f>Skills!B6</f>
        <v/>
      </c>
      <c r="C1442">
        <f>Inputs!$B$3&gt;=63</f>
        <v/>
      </c>
      <c r="D1442">
        <f>IF(Skills!C6=1,60+Inputs!$B$25+Inputs!$B$29,IF(Skills!C6=2,90+Inputs!$B$26+Inputs!$B$29,IF(Skills!C6=3,120+Inputs!$B$27+Inputs!$B$29,MAX(0,(Inputs!$B$3-100)*3)+Inputs!$B$28+Inputs!$B$29)))</f>
        <v/>
      </c>
      <c r="E1442">
        <f>INDEX(FactorTable!$B$2:$Y$301, MATCH(ROUND(MIN(300,MAX(1,D1442)),0), FactorTable!$A$2:$A$301,0), Skills!M6+1)</f>
        <v/>
      </c>
      <c r="F1442">
        <f>IF(Skills!N6=TRUE,(Skills!L6/10)*(E1442/1000),Skills!L6/10)+Skills!O6</f>
        <v/>
      </c>
      <c r="G1442">
        <f>Skills!G6*IF(Skills!H6&gt;0,Skills!I6/Skills!H6,1)</f>
        <v/>
      </c>
      <c r="H1442">
        <f>1-(1-Skills!J6/100)^Skills!K6</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2">
        <f>L1442*(1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IF(B1472=0,0,O1442/B1472)</f>
        <v/>
      </c>
      <c r="Q1442">
        <f>IFERROR(1/(IF(Inputs!$B$38="pvp",15,MAX(0.1,Skills!D6-IF(Skills!E6=TRUE,Inputs!$B$32,0)))*(1-IF(AND(ArtifactsInput!$M$27,Inputs!$B$4="Chapter Hunt"),CHOOSE(ArtifactsInput!$N$27+1,20,24,28,32,36,40),0)/100)),0)</f>
        <v/>
      </c>
      <c r="R1442">
        <f>IF(AND(Inputs!$B$38&lt;&gt;"pvp",Inputs!$B$43&gt;0),IF(MAX(0,Inputs!$B$43-B1469)&lt;=0,0,(INT(MAX(0,Inputs!$B$43-B1469)/(IF(Inputs!$B$38="pvp",15,MAX(0.1,Skills!D6-IF(Skills!E6=TRUE,Inputs!$B$32,0)))*(1-IF(AND(ArtifactsInput!$M$27,Inputs!$B$4="Chapter Hunt"),CHOOSE(ArtifactsInput!$N$27+1,20,24,28,32,36,40),0)/100)))+1)),0)</f>
        <v/>
      </c>
      <c r="S1442">
        <f>IFERROR(O1442/N1442,0)</f>
        <v/>
      </c>
      <c r="T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$21+Skills!Q6+(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Skills!A7</f>
        <v/>
      </c>
      <c r="B1443">
        <f>Skills!B7</f>
        <v/>
      </c>
      <c r="C1443">
        <f>Inputs!$B$3&gt;=100</f>
        <v/>
      </c>
      <c r="D1443">
        <f>IF(Skills!C7=1,60+Inputs!$B$25+Inputs!$B$29,IF(Skills!C7=2,90+Inputs!$B$26+Inputs!$B$29,IF(Skills!C7=3,120+Inputs!$B$27+Inputs!$B$29,MAX(0,(Inputs!$B$3-100)*3)+Inputs!$B$28+Inputs!$B$29)))</f>
        <v/>
      </c>
      <c r="E1443">
        <f>INDEX(FactorTable!$B$2:$Y$301, MATCH(ROUND(MIN(300,MAX(1,D1443)),0), FactorTable!$A$2:$A$301,0), Skills!M7+1)</f>
        <v/>
      </c>
      <c r="F1443">
        <f>IF(Skills!N7=TRUE,(Skills!L7/10)*(E1443/1000),Skills!L7/10)+Skills!O7</f>
        <v/>
      </c>
      <c r="G1443">
        <f>Skills!G7*IF(Skills!H7&gt;0,Skills!I7/Skills!H7,1)</f>
        <v/>
      </c>
      <c r="H1443">
        <f>1-(1-Skills!J7/100)^Skills!K7</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3">
        <f>L1443*(1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IF(B1472=0,0,O1443/B1472)</f>
        <v/>
      </c>
      <c r="Q1443">
        <f>IFERROR(1/(IF(Inputs!$B$38="pvp",15,MAX(0.1,Skills!D7-IF(Skills!E7=TRUE,Inputs!$B$32,0)))*(1-IF(AND(ArtifactsInput!$M$27,Inputs!$B$4="Chapter Hunt"),CHOOSE(ArtifactsInput!$N$27+1,20,24,28,32,36,40),0)/100)),0)</f>
        <v/>
      </c>
      <c r="R1443">
        <f>IF(AND(Inputs!$B$38&lt;&gt;"pvp",Inputs!$B$43&gt;0),IF(MAX(0,Inputs!$B$43-B1469)&lt;=0,0,(INT(MAX(0,Inputs!$B$43-B1469)/(IF(Inputs!$B$38="pvp",15,MAX(0.1,Skills!D7-IF(Skills!E7=TRUE,Inputs!$B$32,0)))*(1-IF(AND(ArtifactsInput!$M$27,Inputs!$B$4="Chapter Hunt"),CHOOSE(ArtifactsInput!$N$27+1,20,24,28,32,36,40),0)/100)))+1)),0)</f>
        <v/>
      </c>
      <c r="S1443">
        <f>IFERROR(O1443/N1443,0)</f>
        <v/>
      </c>
      <c r="T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$21+Skills!Q7+(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Skills!A8</f>
        <v/>
      </c>
      <c r="B1444">
        <f>Skills!B8</f>
        <v/>
      </c>
      <c r="C1444">
        <f>Inputs!$B$3&gt;=110</f>
        <v/>
      </c>
      <c r="D1444">
        <f>IF(Skills!C8=1,60+Inputs!$B$25+Inputs!$B$29,IF(Skills!C8=2,90+Inputs!$B$26+Inputs!$B$29,IF(Skills!C8=3,120+Inputs!$B$27+Inputs!$B$29,MAX(0,(Inputs!$B$3-100)*3)+Inputs!$B$28+Inputs!$B$29)))</f>
        <v/>
      </c>
      <c r="E1444">
        <f>INDEX(FactorTable!$B$2:$Y$301, MATCH(ROUND(MIN(300,MAX(1,D1444)),0), FactorTable!$A$2:$A$301,0), Skills!M8+1)</f>
        <v/>
      </c>
      <c r="F1444">
        <f>IF(Skills!N8=TRUE,(Skills!L8/10)*(E1444/1000),Skills!L8/10)+Skills!O8</f>
        <v/>
      </c>
      <c r="G1444">
        <f>Skills!G8*IF(Skills!H8&gt;0,Skills!I8/Skills!H8,1)</f>
        <v/>
      </c>
      <c r="H1444">
        <f>1-(1-Skills!J8/100)^Skills!K8</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4">
        <f>L1444*(1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IF(B1472=0,0,O1444/B1472)</f>
        <v/>
      </c>
      <c r="Q1444">
        <f>IFERROR(1/(IF(Inputs!$B$38="pvp",15,MAX(0.1,Skills!D8-IF(Skills!E8=TRUE,Inputs!$B$32,0)))*(1-IF(AND(ArtifactsInput!$M$27,Inputs!$B$4="Chapter Hunt"),CHOOSE(ArtifactsInput!$N$27+1,20,24,28,32,36,40),0)/100)),0)</f>
        <v/>
      </c>
      <c r="R1444">
        <f>IF(AND(Inputs!$B$38&lt;&gt;"pvp",Inputs!$B$43&gt;0),IF(MAX(0,Inputs!$B$43-B1469)&lt;=0,0,(INT(MAX(0,Inputs!$B$43-B1469)/(IF(Inputs!$B$38="pvp",15,MAX(0.1,Skills!D8-IF(Skills!E8=TRUE,Inputs!$B$32,0)))*(1-IF(AND(ArtifactsInput!$M$27,Inputs!$B$4="Chapter Hunt"),CHOOSE(ArtifactsInput!$N$27+1,20,24,28,32,36,40),0)/100)))+1)),0)</f>
        <v/>
      </c>
      <c r="S1444">
        <f>IFERROR(O1444/N1444,0)</f>
        <v/>
      </c>
      <c r="T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$21+Skills!Q8+(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Skills!A9</f>
        <v/>
      </c>
      <c r="B1445">
        <f>Skills!B9</f>
        <v/>
      </c>
      <c r="C1445">
        <f>Inputs!$B$3&gt;=110</f>
        <v/>
      </c>
      <c r="D1445">
        <f>IF(Skills!C9=1,60+Inputs!$B$25+Inputs!$B$29,IF(Skills!C9=2,90+Inputs!$B$26+Inputs!$B$29,IF(Skills!C9=3,120+Inputs!$B$27+Inputs!$B$29,MAX(0,(Inputs!$B$3-100)*3)+Inputs!$B$28+Inputs!$B$29)))</f>
        <v/>
      </c>
      <c r="E1445">
        <f>INDEX(FactorTable!$B$2:$Y$301, MATCH(ROUND(MIN(300,MAX(1,D1445)),0), FactorTable!$A$2:$A$301,0), Skills!M9+1)</f>
        <v/>
      </c>
      <c r="F1445">
        <f>IF(Skills!N9=TRUE,(Skills!L9/10)*(E1445/1000),Skills!L9/10)+Skills!O9</f>
        <v/>
      </c>
      <c r="G1445">
        <f>Skills!G9*IF(Skills!H9&gt;0,Skills!I9/Skills!H9,1)</f>
        <v/>
      </c>
      <c r="H1445">
        <f>1-(1-Skills!J9/100)^Skills!K9</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5">
        <f>L1445*(1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IF(B1472=0,0,O1445/B1472)</f>
        <v/>
      </c>
      <c r="Q1445">
        <f>IFERROR(1/(IF(Inputs!$B$38="pvp",15,MAX(0.1,Skills!D9-IF(Skills!E9=TRUE,Inputs!$B$32,0)))*(1-IF(AND(ArtifactsInput!$M$27,Inputs!$B$4="Chapter Hunt"),CHOOSE(ArtifactsInput!$N$27+1,20,24,28,32,36,40),0)/100)),0)</f>
        <v/>
      </c>
      <c r="R1445">
        <f>IF(AND(Inputs!$B$38&lt;&gt;"pvp",Inputs!$B$43&gt;0),IF(MAX(0,Inputs!$B$43-B1469)&lt;=0,0,(INT(MAX(0,Inputs!$B$43-B1469)/(IF(Inputs!$B$38="pvp",15,MAX(0.1,Skills!D9-IF(Skills!E9=TRUE,Inputs!$B$32,0)))*(1-IF(AND(ArtifactsInput!$M$27,Inputs!$B$4="Chapter Hunt"),CHOOSE(ArtifactsInput!$N$27+1,20,24,28,32,36,40),0)/100)))+1)),0)</f>
        <v/>
      </c>
      <c r="S1445">
        <f>IFERROR(O1445/N1445,0)</f>
        <v/>
      </c>
      <c r="T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$21+Skills!Q9+(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Skills!A10</f>
        <v/>
      </c>
      <c r="B1446">
        <f>Skills!B10</f>
        <v/>
      </c>
      <c r="C1446">
        <f>Inputs!$B$3&gt;=103</f>
        <v/>
      </c>
      <c r="D1446">
        <f>IF(Skills!C10=1,60+Inputs!$B$25+Inputs!$B$29,IF(Skills!C10=2,90+Inputs!$B$26+Inputs!$B$29,IF(Skills!C10=3,120+Inputs!$B$27+Inputs!$B$29,MAX(0,(Inputs!$B$3-100)*3)+Inputs!$B$28+Inputs!$B$29)))</f>
        <v/>
      </c>
      <c r="E1446">
        <f>INDEX(FactorTable!$B$2:$Y$301, MATCH(ROUND(MIN(300,MAX(1,D1446)),0), FactorTable!$A$2:$A$301,0), Skills!M10+1)</f>
        <v/>
      </c>
      <c r="F1446">
        <f>IF(Skills!N10=TRUE,(Skills!L10/10)*(E1446/1000),Skills!L10/10)+Skills!O10</f>
        <v/>
      </c>
      <c r="G1446">
        <f>Skills!G10*IF(Skills!H10&gt;0,Skills!I10/Skills!H10,1)</f>
        <v/>
      </c>
      <c r="H1446">
        <f>1-(1-Skills!J10/100)^Skills!K10</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6">
        <f>L1446*(1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IF(B1472=0,0,O1446/B1472)</f>
        <v/>
      </c>
      <c r="Q1446">
        <f>IFERROR(1/(IF(Inputs!$B$38="pvp",15,MAX(0.1,Skills!D10-IF(Skills!E10=TRUE,Inputs!$B$32,0)))*(1-IF(AND(ArtifactsInput!$M$27,Inputs!$B$4="Chapter Hunt"),CHOOSE(ArtifactsInput!$N$27+1,20,24,28,32,36,40),0)/100)),0)</f>
        <v/>
      </c>
      <c r="R1446">
        <f>IF(AND(Inputs!$B$38&lt;&gt;"pvp",Inputs!$B$43&gt;0),IF(MAX(0,Inputs!$B$43-B1469)&lt;=0,0,(INT(MAX(0,Inputs!$B$43-B1469)/(IF(Inputs!$B$38="pvp",15,MAX(0.1,Skills!D10-IF(Skills!E10=TRUE,Inputs!$B$32,0)))*(1-IF(AND(ArtifactsInput!$M$27,Inputs!$B$4="Chapter Hunt"),CHOOSE(ArtifactsInput!$N$27+1,20,24,28,32,36,40),0)/100)))+1)),0)</f>
        <v/>
      </c>
      <c r="S1446">
        <f>IFERROR(O1446/N1446,0)</f>
        <v/>
      </c>
      <c r="T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$21+Skills!Q10+(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Skills!A11</f>
        <v/>
      </c>
      <c r="B1447">
        <f>Skills!B11</f>
        <v/>
      </c>
      <c r="C1447">
        <f>Inputs!$B$3&gt;=113</f>
        <v/>
      </c>
      <c r="D1447">
        <f>IF(Skills!C11=1,60+Inputs!$B$25+Inputs!$B$29,IF(Skills!C11=2,90+Inputs!$B$26+Inputs!$B$29,IF(Skills!C11=3,120+Inputs!$B$27+Inputs!$B$29,MAX(0,(Inputs!$B$3-100)*3)+Inputs!$B$28+Inputs!$B$29)))</f>
        <v/>
      </c>
      <c r="E1447">
        <f>INDEX(FactorTable!$B$2:$Y$301, MATCH(ROUND(MIN(300,MAX(1,D1447)),0), FactorTable!$A$2:$A$301,0), Skills!M11+1)</f>
        <v/>
      </c>
      <c r="F1447">
        <f>IF(Skills!N11=TRUE,(Skills!L11/10)*(E1447/1000),Skills!L11/10)+Skills!O11</f>
        <v/>
      </c>
      <c r="G1447">
        <f>Skills!G11*IF(Skills!H11&gt;0,Skills!I11/Skills!H11,1)</f>
        <v/>
      </c>
      <c r="H1447">
        <f>1-(1-Skills!J11/100)^Skills!K11</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7">
        <f>L1447*(1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IF(B1472=0,0,O1447/B1472)</f>
        <v/>
      </c>
      <c r="Q1447">
        <f>IFERROR(1/(IF(Inputs!$B$38="pvp",15,MAX(0.1,Skills!D11-IF(Skills!E11=TRUE,Inputs!$B$32,0)))*(1-IF(AND(ArtifactsInput!$M$27,Inputs!$B$4="Chapter Hunt"),CHOOSE(ArtifactsInput!$N$27+1,20,24,28,32,36,40),0)/100)),0)</f>
        <v/>
      </c>
      <c r="R1447">
        <f>IF(AND(Inputs!$B$38&lt;&gt;"pvp",Inputs!$B$43&gt;0),IF(MAX(0,Inputs!$B$43-B1469)&lt;=0,0,(INT(MAX(0,Inputs!$B$43-B1469)/(IF(Inputs!$B$38="pvp",15,MAX(0.1,Skills!D11-IF(Skills!E11=TRUE,Inputs!$B$32,0)))*(1-IF(AND(ArtifactsInput!$M$27,Inputs!$B$4="Chapter Hunt"),CHOOSE(ArtifactsInput!$N$27+1,20,24,28,32,36,40),0)/100)))+1)),0)</f>
        <v/>
      </c>
      <c r="S1447">
        <f>IFERROR(O1447/N1447,0)</f>
        <v/>
      </c>
      <c r="T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$21+Skills!Q11+(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Skills!A12</f>
        <v/>
      </c>
      <c r="B1448">
        <f>Skills!B12</f>
        <v/>
      </c>
      <c r="C1448">
        <f>Inputs!$B$3&gt;=100</f>
        <v/>
      </c>
      <c r="D1448">
        <f>IF(Skills!C12=1,60+Inputs!$B$25+Inputs!$B$29,IF(Skills!C12=2,90+Inputs!$B$26+Inputs!$B$29,IF(Skills!C12=3,120+Inputs!$B$27+Inputs!$B$29,MAX(0,(Inputs!$B$3-100)*3)+Inputs!$B$28+Inputs!$B$29)))</f>
        <v/>
      </c>
      <c r="E1448">
        <f>INDEX(FactorTable!$B$2:$Y$301, MATCH(ROUND(MIN(300,MAX(1,D1448)),0), FactorTable!$A$2:$A$301,0), Skills!M12+1)</f>
        <v/>
      </c>
      <c r="F1448">
        <f>IF(Skills!N12=TRUE,(Skills!L12/10)*(E1448/1000),Skills!L12/10)+Skills!O12</f>
        <v/>
      </c>
      <c r="G1448" t="inlineStr"/>
      <c r="H1448" t="inlineStr"/>
      <c r="I1448" t="inlineStr">
        <is>
          <t>1</t>
        </is>
      </c>
      <c r="J1448" t="inlineStr"/>
      <c r="K1448" t="inlineStr"/>
      <c r="L1448" t="inlineStr"/>
      <c r="M1448" t="inlineStr"/>
      <c r="N1448" t="inlineStr"/>
      <c r="O1448" t="inlineStr"/>
      <c r="P1448" t="inlineStr"/>
      <c r="Q1448" t="inlineStr"/>
      <c r="R1448" t="inlineStr"/>
      <c r="S1448" t="inlineStr"/>
      <c r="T1448" t="inlineStr"/>
      <c r="V1448" t="inlineStr"/>
    </row>
    <row r="1449">
      <c r="A1449">
        <f>Skills!A13</f>
        <v/>
      </c>
      <c r="B1449">
        <f>Skills!B13</f>
        <v/>
      </c>
      <c r="C1449">
        <f>Inputs!$B$3&gt;=66</f>
        <v/>
      </c>
      <c r="D1449">
        <f>IF(Skills!C13=1,60+Inputs!$B$25+Inputs!$B$29,IF(Skills!C13=2,90+Inputs!$B$26+Inputs!$B$29,IF(Skills!C13=3,120+Inputs!$B$27+Inputs!$B$29,MAX(0,(Inputs!$B$3-100)*3)+Inputs!$B$28+Inputs!$B$29)))</f>
        <v/>
      </c>
      <c r="E1449">
        <f>INDEX(FactorTable!$B$2:$Y$301, MATCH(ROUND(MIN(300,MAX(1,D1449)),0), FactorTable!$A$2:$A$301,0), Skills!M13+1)</f>
        <v/>
      </c>
      <c r="F1449">
        <f>IF(Skills!N13=TRUE,(Skills!L13/10)*(E1449/1000),Skills!L13/10)+Skills!O13</f>
        <v/>
      </c>
      <c r="G1449">
        <f>Skills!G13*IF(Skills!H13&gt;0,Skills!I13/Skills!H13,1)</f>
        <v/>
      </c>
      <c r="H1449">
        <f>1-(1-Skills!J13/100)^Skills!K13</f>
        <v/>
      </c>
      <c r="I1449" t="inlineStr">
        <is>
          <t>1</t>
        </is>
      </c>
      <c r="J1449" t="inlineStr"/>
      <c r="K1449" t="inlineStr"/>
      <c r="L1449" t="inlineStr"/>
      <c r="M1449" t="inlineStr"/>
      <c r="N1449" t="inlineStr"/>
      <c r="O1449">
        <f>(1-Summary!$B$11)*T1449+Summary!$B$11*V1449</f>
        <v/>
      </c>
      <c r="P1449">
        <f>IF(B1472=0,0,O1449/B1472)</f>
        <v/>
      </c>
      <c r="Q1449" t="n">
        <v>0</v>
      </c>
      <c r="R1449" t="n">
        <v>0</v>
      </c>
      <c r="S1449">
        <f>IFERROR(O1449/N1449,0)</f>
        <v/>
      </c>
      <c r="T1449" t="n">
        <v>0</v>
      </c>
      <c r="V1449" t="n">
        <v>0</v>
      </c>
    </row>
    <row r="1450">
      <c r="A1450">
        <f>Skills!A14</f>
        <v/>
      </c>
      <c r="B1450">
        <f>Skills!B14</f>
        <v/>
      </c>
      <c r="C1450">
        <f>Inputs!$B$3&gt;=107</f>
        <v/>
      </c>
      <c r="D1450">
        <f>IF(Skills!C14=1,60+Inputs!$B$25+Inputs!$B$29,IF(Skills!C14=2,90+Inputs!$B$26+Inputs!$B$29,IF(Skills!C14=3,120+Inputs!$B$27+Inputs!$B$29,MAX(0,(Inputs!$B$3-100)*3)+Inputs!$B$28+Inputs!$B$29)))</f>
        <v/>
      </c>
      <c r="E1450">
        <f>INDEX(FactorTable!$B$2:$Y$301, MATCH(ROUND(MIN(300,MAX(1,D1450)),0), FactorTable!$A$2:$A$301,0), Skills!M14+1)</f>
        <v/>
      </c>
      <c r="F1450">
        <f>IF(Skills!N14=TRUE,(Skills!L14/10)*(E1450/1000),Skills!L14/10)+Skills!O14</f>
        <v/>
      </c>
      <c r="G1450">
        <f>Skills!G14*IF(Skills!H14&gt;0,Skills!I14/Skills!H14,1)</f>
        <v/>
      </c>
      <c r="H1450">
        <f>1-(1-Skills!J14/100)^Skills!K14</f>
        <v/>
      </c>
      <c r="I1450" t="inlineStr">
        <is>
          <t>1</t>
        </is>
      </c>
      <c r="J1450" t="inlineStr"/>
      <c r="K1450" t="inlineStr"/>
      <c r="L1450" t="inlineStr"/>
      <c r="M1450" t="inlineStr"/>
      <c r="N1450" t="inlineStr"/>
      <c r="O1450">
        <f>(1-Summary!$B$11)*T1450+Summary!$B$11*V1450</f>
        <v/>
      </c>
      <c r="P1450">
        <f>IF(B1472=0,0,O1450/B1472)</f>
        <v/>
      </c>
      <c r="Q1450" t="n">
        <v>0</v>
      </c>
      <c r="R1450" t="n">
        <v>0</v>
      </c>
      <c r="S1450">
        <f>IFERROR(O1450/N1450,0)</f>
        <v/>
      </c>
      <c r="T1450" t="n">
        <v>0</v>
      </c>
      <c r="V1450" t="n">
        <v>0</v>
      </c>
    </row>
    <row r="1451">
      <c r="A1451">
        <f>Skills!A15</f>
        <v/>
      </c>
      <c r="B1451">
        <f>Skills!B15</f>
        <v/>
      </c>
      <c r="C1451">
        <f>Inputs!$B$3&gt;=115</f>
        <v/>
      </c>
      <c r="D1451">
        <f>IF(Skills!C15=1,60+Inputs!$B$25+Inputs!$B$29,IF(Skills!C15=2,90+Inputs!$B$26+Inputs!$B$29,IF(Skills!C15=3,120+Inputs!$B$27+Inputs!$B$29,MAX(0,(Inputs!$B$3-100)*3)+Inputs!$B$28+Inputs!$B$29)))</f>
        <v/>
      </c>
      <c r="E1451">
        <f>INDEX(FactorTable!$B$2:$Y$301, MATCH(ROUND(MIN(300,MAX(1,D1451)),0), FactorTable!$A$2:$A$301,0), Skills!M15+1)</f>
        <v/>
      </c>
      <c r="F1451">
        <f>IF(Skills!N15=TRUE,(Skills!L15/10)*(E1451/1000),Skills!L15/10)+Skills!O15</f>
        <v/>
      </c>
      <c r="G1451">
        <f>Skills!G15*IF(Skills!H15&gt;0,Skills!I15/Skills!H15,1)</f>
        <v/>
      </c>
      <c r="H1451">
        <f>1-(1-Skills!J15/100)^Skills!K15</f>
        <v/>
      </c>
      <c r="I1451" t="inlineStr">
        <is>
          <t>1</t>
        </is>
      </c>
      <c r="J1451" t="inlineStr"/>
      <c r="K1451" t="inlineStr"/>
      <c r="L1451" t="inlineStr"/>
      <c r="M1451" t="inlineStr"/>
      <c r="N1451" t="inlineStr"/>
      <c r="O1451">
        <f>(1-Summary!$B$11)*T1451+Summary!$B$11*V1451</f>
        <v/>
      </c>
      <c r="P1451">
        <f>IF(B1472=0,0,O1451/B1472)</f>
        <v/>
      </c>
      <c r="Q1451" t="n">
        <v>0</v>
      </c>
      <c r="R1451" t="n">
        <v>0</v>
      </c>
      <c r="S1451">
        <f>IFERROR(O1451/N1451,0)</f>
        <v/>
      </c>
      <c r="T1451" t="n">
        <v>0</v>
      </c>
      <c r="V1451" t="n">
        <v>0</v>
      </c>
    </row>
    <row r="1452">
      <c r="A1452">
        <f>Skills!A16</f>
        <v/>
      </c>
      <c r="B1452">
        <f>Skills!B16</f>
        <v/>
      </c>
      <c r="C1452">
        <f>Inputs!$B$3&gt;=15</f>
        <v/>
      </c>
      <c r="D1452">
        <f>IF(Skills!C16=1,60+Inputs!$B$25+Inputs!$B$29,IF(Skills!C16=2,90+Inputs!$B$26+Inputs!$B$29,IF(Skills!C16=3,120+Inputs!$B$27+Inputs!$B$29,MAX(0,(Inputs!$B$3-100)*3)+Inputs!$B$28+Inputs!$B$29)))</f>
        <v/>
      </c>
      <c r="E1452">
        <f>INDEX(FactorTable!$B$2:$Y$301, MATCH(ROUND(MIN(300,MAX(1,D1452)),0), FactorTable!$A$2:$A$301,0), Skills!M16+1)</f>
        <v/>
      </c>
      <c r="F1452">
        <f>IF(Skills!N16=TRUE,(Skills!L16/10)*(E1452/1000),Skills!L16/10)+Skills!O16</f>
        <v/>
      </c>
      <c r="G1452">
        <f>Skills!G16*IF(Skills!H16&gt;0,Skills!I16/Skills!H16,1)</f>
        <v/>
      </c>
      <c r="H1452">
        <f>1-(1-Skills!J16/100)^Skills!K16</f>
        <v/>
      </c>
      <c r="I1452" t="inlineStr">
        <is>
          <t>1</t>
        </is>
      </c>
      <c r="J1452" t="inlineStr"/>
      <c r="K1452" t="inlineStr"/>
      <c r="L1452" t="inlineStr"/>
      <c r="M1452" t="inlineStr"/>
      <c r="N1452" t="inlineStr"/>
      <c r="O1452">
        <f>(1-Summary!$B$11)*T1452+Summary!$B$11*V1452</f>
        <v/>
      </c>
      <c r="P1452">
        <f>IF(B1472=0,0,O1452/B1472)</f>
        <v/>
      </c>
      <c r="Q1452" t="n">
        <v>0</v>
      </c>
      <c r="R1452" t="n">
        <v>0</v>
      </c>
      <c r="S1452">
        <f>IFERROR(O1452/N1452,0)</f>
        <v/>
      </c>
      <c r="T1452" t="n">
        <v>0</v>
      </c>
      <c r="V1452" t="n">
        <v>0</v>
      </c>
    </row>
    <row r="1453">
      <c r="A1453">
        <f>Skills!A17</f>
        <v/>
      </c>
      <c r="B1453">
        <f>Skills!B17</f>
        <v/>
      </c>
      <c r="C1453">
        <f>Inputs!$B$3&gt;=10</f>
        <v/>
      </c>
      <c r="D1453">
        <f>IF(Skills!C17=1,60+Inputs!$B$25+Inputs!$B$29,IF(Skills!C17=2,90+Inputs!$B$26+Inputs!$B$29,IF(Skills!C17=3,120+Inputs!$B$27+Inputs!$B$29,MAX(0,(Inputs!$B$3-100)*3)+Inputs!$B$28+Inputs!$B$29)))</f>
        <v/>
      </c>
      <c r="E1453">
        <f>INDEX(FactorTable!$B$2:$Y$301, MATCH(ROUND(MIN(300,MAX(1,D1453)),0), FactorTable!$A$2:$A$301,0), Skills!M17+1)</f>
        <v/>
      </c>
      <c r="F1453">
        <f>IF(Skills!N17=TRUE,(Skills!L17/10)*(E1453/1000),Skills!L17/10)+Skills!O17</f>
        <v/>
      </c>
      <c r="G1453">
        <f>Skills!G17*IF(Skills!H17&gt;0,Skills!I17/Skills!H17,1)</f>
        <v/>
      </c>
      <c r="H1453">
        <f>1-(1-Skills!J17/100)^Skills!K17</f>
        <v/>
      </c>
      <c r="I1453" t="inlineStr">
        <is>
          <t>1</t>
        </is>
      </c>
      <c r="J1453" t="inlineStr"/>
      <c r="K1453" t="inlineStr"/>
      <c r="L1453" t="inlineStr"/>
      <c r="M1453" t="inlineStr"/>
      <c r="N1453" t="inlineStr"/>
      <c r="O1453">
        <f>(1-Summary!$B$11)*T1453+Summary!$B$11*V1453</f>
        <v/>
      </c>
      <c r="P1453">
        <f>IF(B1472=0,0,O1453/B1472)</f>
        <v/>
      </c>
      <c r="Q1453" t="n">
        <v>0</v>
      </c>
      <c r="R1453" t="n">
        <v>0</v>
      </c>
      <c r="S1453">
        <f>IFERROR(O1453/N1453,0)</f>
        <v/>
      </c>
      <c r="T1453" t="n">
        <v>0</v>
      </c>
      <c r="V1453" t="n">
        <v>0</v>
      </c>
    </row>
    <row r="1454">
      <c r="A1454">
        <f>Skills!A18</f>
        <v/>
      </c>
      <c r="B1454">
        <f>Skills!B18</f>
        <v/>
      </c>
      <c r="C1454">
        <f>Inputs!$B$3&gt;=33</f>
        <v/>
      </c>
      <c r="D1454">
        <f>IF(Skills!C18=1,60+Inputs!$B$25+Inputs!$B$29,IF(Skills!C18=2,90+Inputs!$B$26+Inputs!$B$29,IF(Skills!C18=3,120+Inputs!$B$27+Inputs!$B$29,MAX(0,(Inputs!$B$3-100)*3)+Inputs!$B$28+Inputs!$B$29)))</f>
        <v/>
      </c>
      <c r="E1454">
        <f>INDEX(FactorTable!$B$2:$Y$301, MATCH(ROUND(MIN(300,MAX(1,D1454)),0), FactorTable!$A$2:$A$301,0), Skills!M18+1)</f>
        <v/>
      </c>
      <c r="F1454">
        <f>IF(Skills!N18=TRUE,(Skills!L18/10)*(E1454/1000),Skills!L18/10)+Skills!O18</f>
        <v/>
      </c>
      <c r="G1454">
        <f>Skills!G18*IF(Skills!H18&gt;0,Skills!I18/Skills!H18,1)</f>
        <v/>
      </c>
      <c r="H1454">
        <f>1-(1-Skills!J18/100)^Skills!K18</f>
        <v/>
      </c>
      <c r="I1454" t="inlineStr">
        <is>
          <t>1</t>
        </is>
      </c>
      <c r="J1454" t="inlineStr"/>
      <c r="K1454" t="inlineStr"/>
      <c r="L1454" t="inlineStr"/>
      <c r="M1454" t="inlineStr"/>
      <c r="N1454" t="inlineStr"/>
      <c r="O1454">
        <f>(1-Summary!$B$11)*T1454+Summary!$B$11*V1454</f>
        <v/>
      </c>
      <c r="P1454">
        <f>IF(B1472=0,0,O1454/B1472)</f>
        <v/>
      </c>
      <c r="Q1454" t="n">
        <v>0</v>
      </c>
      <c r="R1454" t="n">
        <v>0</v>
      </c>
      <c r="S1454">
        <f>IFERROR(O1454/N1454,0)</f>
        <v/>
      </c>
      <c r="T1454" t="n">
        <v>0</v>
      </c>
      <c r="V1454" t="n">
        <v>0</v>
      </c>
    </row>
    <row r="1455">
      <c r="A1455">
        <f>Skills!A19</f>
        <v/>
      </c>
      <c r="B1455">
        <f>Skills!B19</f>
        <v/>
      </c>
      <c r="C1455">
        <f>Inputs!$B$3&gt;=40</f>
        <v/>
      </c>
      <c r="D1455">
        <f>IF(Skills!C19=1,60+Inputs!$B$25+Inputs!$B$29,IF(Skills!C19=2,90+Inputs!$B$26+Inputs!$B$29,IF(Skills!C19=3,120+Inputs!$B$27+Inputs!$B$29,MAX(0,(Inputs!$B$3-100)*3)+Inputs!$B$28+Inputs!$B$29)))</f>
        <v/>
      </c>
      <c r="E1455">
        <f>INDEX(FactorTable!$B$2:$Y$301, MATCH(ROUND(MIN(300,MAX(1,D1455)),0), FactorTable!$A$2:$A$301,0), Skills!M19+1)</f>
        <v/>
      </c>
      <c r="F1455">
        <f>IF(Skills!N19=TRUE,(Skills!L19/10)*(E1455/1000),Skills!L19/10)+Skills!O19</f>
        <v/>
      </c>
      <c r="G1455">
        <f>Skills!G19*IF(Skills!H19&gt;0,Skills!I19/Skills!H19,1)</f>
        <v/>
      </c>
      <c r="H1455">
        <f>1-(1-Skills!J19/100)^Skills!K19</f>
        <v/>
      </c>
      <c r="I1455" t="inlineStr">
        <is>
          <t>1</t>
        </is>
      </c>
      <c r="J1455" t="inlineStr"/>
      <c r="K1455" t="inlineStr"/>
      <c r="L1455" t="inlineStr"/>
      <c r="M1455" t="inlineStr"/>
      <c r="N1455" t="inlineStr"/>
      <c r="O1455">
        <f>(1-Summary!$B$11)*T1455+Summary!$B$11*V1455</f>
        <v/>
      </c>
      <c r="P1455">
        <f>IF(B1472=0,0,O1455/B1472)</f>
        <v/>
      </c>
      <c r="Q1455" t="n">
        <v>0</v>
      </c>
      <c r="R1455" t="n">
        <v>0</v>
      </c>
      <c r="S1455">
        <f>IFERROR(O1455/N1455,0)</f>
        <v/>
      </c>
      <c r="T1455" t="n">
        <v>0</v>
      </c>
      <c r="V1455" t="n">
        <v>0</v>
      </c>
    </row>
    <row r="1456">
      <c r="A1456">
        <f>Skills!A20</f>
        <v/>
      </c>
      <c r="B1456">
        <f>Skills!B20</f>
        <v/>
      </c>
      <c r="C1456">
        <f>Inputs!$B$3&gt;=43</f>
        <v/>
      </c>
      <c r="D1456">
        <f>IF(Skills!C20=1,60+Inputs!$B$25+Inputs!$B$29,IF(Skills!C20=2,90+Inputs!$B$26+Inputs!$B$29,IF(Skills!C20=3,120+Inputs!$B$27+Inputs!$B$29,MAX(0,(Inputs!$B$3-100)*3)+Inputs!$B$28+Inputs!$B$29)))</f>
        <v/>
      </c>
      <c r="E1456">
        <f>INDEX(FactorTable!$B$2:$Y$301, MATCH(ROUND(MIN(300,MAX(1,D1456)),0), FactorTable!$A$2:$A$301,0), Skills!M20+1)</f>
        <v/>
      </c>
      <c r="F1456">
        <f>IF(Skills!N20=TRUE,(Skills!L20/10)*(E1456/1000),Skills!L20/10)+Skills!O20</f>
        <v/>
      </c>
      <c r="G1456">
        <f>Skills!G20*IF(Skills!H20&gt;0,Skills!I20/Skills!H20,1)</f>
        <v/>
      </c>
      <c r="H1456">
        <f>1-(1-Skills!J20/100)^Skills!K20</f>
        <v/>
      </c>
      <c r="I1456" t="inlineStr">
        <is>
          <t>1</t>
        </is>
      </c>
      <c r="J1456" t="inlineStr"/>
      <c r="K1456" t="inlineStr"/>
      <c r="L1456" t="inlineStr"/>
      <c r="M1456" t="inlineStr"/>
      <c r="N1456" t="inlineStr"/>
      <c r="O1456">
        <f>(1-Summary!$B$11)*T1456+Summary!$B$11*V1456</f>
        <v/>
      </c>
      <c r="P1456">
        <f>IF(B1472=0,0,O1456/B1472)</f>
        <v/>
      </c>
      <c r="Q1456" t="n">
        <v>0</v>
      </c>
      <c r="R1456" t="n">
        <v>0</v>
      </c>
      <c r="S1456">
        <f>IFERROR(O1456/N1456,0)</f>
        <v/>
      </c>
      <c r="T1456" t="n">
        <v>0</v>
      </c>
      <c r="V1456" t="n">
        <v>0</v>
      </c>
    </row>
    <row r="1457">
      <c r="A1457">
        <f>Skills!A21</f>
        <v/>
      </c>
      <c r="B1457">
        <f>Skills!B21</f>
        <v/>
      </c>
      <c r="C1457">
        <f>Inputs!$B$3&gt;=38</f>
        <v/>
      </c>
      <c r="D1457">
        <f>IF(Skills!C21=1,60+Inputs!$B$25+Inputs!$B$29,IF(Skills!C21=2,90+Inputs!$B$26+Inputs!$B$29,IF(Skills!C21=3,120+Inputs!$B$27+Inputs!$B$29,MAX(0,(Inputs!$B$3-100)*3)+Inputs!$B$28+Inputs!$B$29)))</f>
        <v/>
      </c>
      <c r="E1457">
        <f>INDEX(FactorTable!$B$2:$Y$301, MATCH(ROUND(MIN(300,MAX(1,D1457)),0), FactorTable!$A$2:$A$301,0), Skills!M21+1)</f>
        <v/>
      </c>
      <c r="F1457">
        <f>IF(Skills!N21=TRUE,(Skills!L21/10)*(E1457/1000),Skills!L21/10)+Skills!O21</f>
        <v/>
      </c>
      <c r="G1457">
        <f>Skills!G21*IF(Skills!H21&gt;0,Skills!I21/Skills!H21,1)</f>
        <v/>
      </c>
      <c r="H1457">
        <f>1-(1-Skills!J21/100)^Skills!K21</f>
        <v/>
      </c>
      <c r="I1457" t="inlineStr">
        <is>
          <t>1</t>
        </is>
      </c>
      <c r="J1457" t="inlineStr"/>
      <c r="K1457" t="inlineStr"/>
      <c r="L1457" t="inlineStr"/>
      <c r="M1457" t="inlineStr"/>
      <c r="N1457" t="inlineStr"/>
      <c r="O1457">
        <f>(1-Summary!$B$11)*T1457+Summary!$B$11*V1457</f>
        <v/>
      </c>
      <c r="P1457">
        <f>IF(B1472=0,0,O1457/B1472)</f>
        <v/>
      </c>
      <c r="Q1457" t="n">
        <v>0</v>
      </c>
      <c r="R1457" t="n">
        <v>0</v>
      </c>
      <c r="S1457">
        <f>IFERROR(O1457/N1457,0)</f>
        <v/>
      </c>
      <c r="T1457" t="n">
        <v>0</v>
      </c>
      <c r="V1457" t="n">
        <v>0</v>
      </c>
    </row>
    <row r="1458">
      <c r="A1458">
        <f>Skills!A22</f>
        <v/>
      </c>
      <c r="B1458">
        <f>Skills!B22</f>
        <v/>
      </c>
      <c r="C1458">
        <f>Inputs!$B$3&gt;=75</f>
        <v/>
      </c>
      <c r="D1458">
        <f>IF(Skills!C22=1,60+Inputs!$B$25+Inputs!$B$29,IF(Skills!C22=2,90+Inputs!$B$26+Inputs!$B$29,IF(Skills!C22=3,120+Inputs!$B$27+Inputs!$B$29,MAX(0,(Inputs!$B$3-100)*3)+Inputs!$B$28+Inputs!$B$29)))</f>
        <v/>
      </c>
      <c r="E1458">
        <f>INDEX(FactorTable!$B$2:$Y$301, MATCH(ROUND(MIN(300,MAX(1,D1458)),0), FactorTable!$A$2:$A$301,0), Skills!M22+1)</f>
        <v/>
      </c>
      <c r="F1458">
        <f>IF(Skills!N22=TRUE,(Skills!L22/10)*(E1458/1000),Skills!L22/10)+Skills!O22</f>
        <v/>
      </c>
      <c r="G1458">
        <f>Skills!G22*IF(Skills!H22&gt;0,Skills!I22/Skills!H22,1)</f>
        <v/>
      </c>
      <c r="H1458">
        <f>1-(1-Skills!J22/100)^Skills!K22</f>
        <v/>
      </c>
      <c r="I1458" t="inlineStr">
        <is>
          <t>1</t>
        </is>
      </c>
      <c r="J1458" t="inlineStr"/>
      <c r="K1458" t="inlineStr"/>
      <c r="L1458" t="inlineStr"/>
      <c r="M1458" t="inlineStr"/>
      <c r="N1458" t="inlineStr"/>
      <c r="O1458">
        <f>(1-Summary!$B$11)*T1458+Summary!$B$11*V1458</f>
        <v/>
      </c>
      <c r="P1458">
        <f>IF(B1472=0,0,O1458/B1472)</f>
        <v/>
      </c>
      <c r="Q1458" t="n">
        <v>0</v>
      </c>
      <c r="R1458" t="n">
        <v>0</v>
      </c>
      <c r="S1458">
        <f>IFERROR(O1458/N1458,0)</f>
        <v/>
      </c>
      <c r="T1458" t="n">
        <v>0</v>
      </c>
      <c r="V1458" t="n">
        <v>0</v>
      </c>
    </row>
    <row r="1459">
      <c r="A1459">
        <f>Skills!A23</f>
        <v/>
      </c>
      <c r="B1459">
        <f>Skills!B23</f>
        <v/>
      </c>
      <c r="C1459">
        <f>TRUE</f>
        <v/>
      </c>
      <c r="D1459">
        <f>IF(Skills!C23=1,60+Inputs!$B$25+Inputs!$B$29,IF(Skills!C23=2,90+Inputs!$B$26+Inputs!$B$29,IF(Skills!C23=3,120+Inputs!$B$27+Inputs!$B$29,MAX(0,(Inputs!$B$3-100)*3)+Inputs!$B$28+Inputs!$B$29)))</f>
        <v/>
      </c>
      <c r="E1459">
        <f>INDEX(FactorTable!$B$2:$Y$301, MATCH(ROUND(MIN(300,MAX(1,D1459)),0), FactorTable!$A$2:$A$301,0), Skills!M23+1)</f>
        <v/>
      </c>
      <c r="F1459">
        <f>IF(Skills!N23=TRUE,(Skills!L23/10)*(E1459/1000),Skills!L23/10)+Skills!O23</f>
        <v/>
      </c>
      <c r="G1459">
        <f>Skills!G23*IF(Skills!H23&gt;0,Skills!I23/Skills!H23,1)</f>
        <v/>
      </c>
      <c r="H1459">
        <f>1-(1-Skills!J23/100)^Skills!K23</f>
        <v/>
      </c>
      <c r="I1459" t="inlineStr">
        <is>
          <t>1</t>
        </is>
      </c>
      <c r="J1459" t="inlineStr"/>
      <c r="K1459" t="inlineStr"/>
      <c r="L1459" t="inlineStr"/>
      <c r="M1459" t="inlineStr"/>
      <c r="N1459" t="inlineStr"/>
      <c r="O1459">
        <f>(1-Summary!$B$11)*T1459+Summary!$B$11*V1459</f>
        <v/>
      </c>
      <c r="P1459">
        <f>IF(B1472=0,0,O1459/B1472)</f>
        <v/>
      </c>
      <c r="Q1459">
        <f>IFERROR(1/(IF(Inputs!$B$38="pvp",15,MAX(0.1,Skills!D23-IF(Skills!E23=TRUE,Inputs!$B$32,0)))*(1-IF(AND(ArtifactsInput!$M$27,Inputs!$B$4="Chapter Hunt"),CHOOSE(ArtifactsInput!$N$27+1,20,24,28,32,36,40),0)/100)),0)</f>
        <v/>
      </c>
      <c r="R1459">
        <f>IF(AND(Inputs!$B$38&lt;&gt;"pvp",Inputs!$B$43&gt;0),IF(Inputs!$B$43&lt;=0,0,(INT(Inputs!$B$43/(IF(Inputs!$B$38="pvp",15,MAX(0.1,Skills!D23-IF(Skills!E23=TRUE,Inputs!$B$32,0)))*(1-IF(AND(ArtifactsInput!$M$27,Inputs!$B$4="Chapter Hunt"),CHOOSE(ArtifactsInput!$N$27+1,20,24,28,32,36,40),0)/100)))+1)),0)</f>
        <v/>
      </c>
      <c r="S1459">
        <f>IFERROR(O1459/N1459,0)</f>
        <v/>
      </c>
      <c r="T1459" t="n">
        <v>0</v>
      </c>
      <c r="V1459" t="n">
        <v>0</v>
      </c>
    </row>
    <row r="1461">
      <c r="A1461" t="inlineStr">
        <is>
          <t>Attack% Bucket Multiplier</t>
        </is>
      </c>
      <c r="B1461">
        <f>(1+(((C1449=TRUE)*F1449*5/7)+((C1455=TRUE)*(F1455-Calc!F19))+(IF(ArtifactsInput!$M$21,CHOOSE(ArtifactsInput!$N$21+1,25,30,35,40,45,50)*(IF(OR(Inputs!$B$4="Chapter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2">
      <c r="A1462" t="inlineStr">
        <is>
          <t>Global Crit Rate Bonus %</t>
        </is>
      </c>
      <c r="B1462" t="n">
        <v>0</v>
      </c>
    </row>
    <row r="1463">
      <c r="A1463" t="inlineStr">
        <is>
          <t>Attack Speed Buff Bonus % (Nimble Feet, duty-cycle averaged)</t>
        </is>
      </c>
      <c r="B1463">
        <f>((C1459=TRUE)*F1459*IF(AND(Inputs!$B$38&lt;&gt;"pvp",Inputs!$B$43&gt;0),(((R1459-1)*(Skills!T23*(1+Inputs!$B$34/100))+MIN((Skills!T23*(1+Inputs!$B$34/100)),MAX(0,Inputs!$B$43-((R1459-1)*Skills!D23))))/Inputs!$B$43),IF(Inputs!$B$38="pvp",MIN((Skills!T23*(1+Inputs!$B$34/100)),15)/15,(Skills!T23*(1+Inputs!$B$34/100))/Skills!D23)))</f>
        <v/>
      </c>
    </row>
    <row r="1464">
      <c r="A1464" t="inlineStr">
        <is>
          <t>Actions Per Second</t>
        </is>
      </c>
      <c r="B1464">
        <f>1+MIN(150,150*(1-(1-(Inputs!$B$11+((C1453=TRUE)*(F1453-Calc!F17))+((C1454=TRUE)*(F1454-Calc!F18)))/150)*(1-B1463/150)))/100</f>
        <v/>
      </c>
    </row>
    <row r="1465">
      <c r="A1465" t="inlineStr">
        <is>
          <t>Skill + Buff Cast Rate</t>
        </is>
      </c>
      <c r="B1465">
        <f>IF(AND(Inputs!$B$38&lt;&gt;"pvp",Inputs!$B$43&gt;0),SUMPRODUCT((Skills!E2:E23=TRUE)*(C1438:C1459=TRUE)*R1438:R1459*Skills!F2:F23)/Inputs!$B$43,SUMPRODUCT((Skills!E2:E23=TRUE)*(C1438:C1459=TRUE)*Q1438:Q1459*Skills!F2:F23))</f>
        <v/>
      </c>
    </row>
    <row r="1466">
      <c r="A1466" t="inlineStr">
        <is>
          <t>Hook Bomber Casts Per Second</t>
        </is>
      </c>
      <c r="B1466">
        <f>MAX(0,B1464-B1465)</f>
        <v/>
      </c>
    </row>
    <row r="1467">
      <c r="A1467" t="inlineStr">
        <is>
          <t>Global Critical Damage Bonus % (unused)</t>
        </is>
      </c>
      <c r="B1467" t="n">
        <v>0</v>
      </c>
    </row>
    <row r="1468">
      <c r="A1468" t="inlineStr">
        <is>
          <t>Global Final Damage Bonus % (Serpent Scale + Crossbones + Time Leap + Speed Infusion)</t>
        </is>
      </c>
      <c r="B1468">
        <f>((C1441=TRUE)*F1441*((10+IF(Inputs!$B$3&gt;=94,5,0))/((10+IF(Inputs!$B$3&gt;=94,5,0))+5/(B1466*(1+IF(Inputs!$B$3&gt;=104,1,0))))))+((C1450=TRUE)*F1450)+((C1451=TRUE)*F1451)+((Inputs!$B$3&gt;=110)*20*(B1464-1))</f>
        <v/>
      </c>
    </row>
    <row r="1469">
      <c r="A1469" t="inlineStr">
        <is>
          <t>Buff-Casting Startup Delay (s, fixed-duration only)</t>
        </is>
      </c>
      <c r="B1469">
        <f>IF(AND(Inputs!$B$38&lt;&gt;"pvp",Inputs!$B$43&gt;0),SUMPRODUCT((Skills!T2:T23&gt;0)*(Skills!E2:E23=TRUE)*(C1438:C1459=TRUE))/B1464,0)</f>
        <v/>
      </c>
    </row>
    <row r="1470">
      <c r="A1470" t="inlineStr">
        <is>
          <t>Boss-Only Total DPS (this block's swept value)</t>
        </is>
      </c>
      <c r="B1470">
        <f>SUM(T1438:T1459)</f>
        <v/>
      </c>
    </row>
    <row r="1471">
      <c r="A1471" t="inlineStr">
        <is>
          <t>Normal-Only Total DPS (this block's swept value)</t>
        </is>
      </c>
      <c r="B1471">
        <f>SUM(V1438:V1459)</f>
        <v/>
      </c>
    </row>
    <row r="1472">
      <c r="A1472" s="6" t="inlineStr">
        <is>
          <t>TOTAL DPS</t>
        </is>
      </c>
      <c r="B1472" s="6">
        <f>SUM(O1438:O1459)</f>
        <v/>
      </c>
    </row>
    <row r="1475">
      <c r="A1475" s="6" t="inlineStr">
        <is>
          <t>Stat: Zakum's Stone Piece (Equip)</t>
        </is>
      </c>
    </row>
    <row r="1476">
      <c r="A1476" s="5" t="inlineStr">
        <is>
          <t>Key</t>
        </is>
      </c>
      <c r="B1476" s="5" t="inlineStr">
        <is>
          <t>Name</t>
        </is>
      </c>
      <c r="C1476" s="5" t="inlineStr">
        <is>
          <t>Unlocked</t>
        </is>
      </c>
      <c r="D1476" s="5" t="inlineStr">
        <is>
          <t>InputLevel</t>
        </is>
      </c>
      <c r="E1476" s="5" t="inlineStr">
        <is>
          <t>Factor</t>
        </is>
      </c>
      <c r="F1476" s="5" t="inlineStr">
        <is>
          <t>CoefficientPercent</t>
        </is>
      </c>
      <c r="G1476" s="5" t="inlineStr">
        <is>
          <t>EffectiveHits</t>
        </is>
      </c>
      <c r="H1476" s="5" t="inlineStr">
        <is>
          <t>ProcProbability</t>
        </is>
      </c>
      <c r="I1476" s="5" t="inlineStr">
        <is>
          <t>MapleHeroMultiplier</t>
        </is>
      </c>
      <c r="J1476" s="5" t="inlineStr">
        <is>
          <t>BaseDamage</t>
        </is>
      </c>
      <c r="K1476" s="5" t="inlineStr">
        <is>
          <t>BaseHitDamage</t>
        </is>
      </c>
      <c r="L1476" s="5" t="inlineStr">
        <is>
          <t>NonCritAvg</t>
        </is>
      </c>
      <c r="M1476" s="5" t="inlineStr">
        <is>
          <t>CritAvg</t>
        </is>
      </c>
      <c r="N1476" s="5" t="inlineStr">
        <is>
          <t>ExpectedDamage(perHit)</t>
        </is>
      </c>
      <c r="O1476" s="5" t="inlineStr">
        <is>
          <t>DPS</t>
        </is>
      </c>
      <c r="P1476" s="5" t="inlineStr">
        <is>
          <t>% of Total</t>
        </is>
      </c>
      <c r="Q1476" s="5" t="inlineStr">
        <is>
          <t>InvCooldown</t>
        </is>
      </c>
      <c r="R1476" s="5" t="inlineStr">
        <is>
          <t>CastsInFight</t>
        </is>
      </c>
      <c r="S1476" s="5" t="inlineStr">
        <is>
          <t>HitRate(perSec)</t>
        </is>
      </c>
      <c r="U1476" t="inlineStr">
        <is>
          <t>helpers</t>
        </is>
      </c>
    </row>
    <row r="1477">
      <c r="A1477">
        <f>Skills!A2</f>
        <v/>
      </c>
      <c r="B1477">
        <f>Skills!B2</f>
        <v/>
      </c>
      <c r="C1477">
        <f>Inputs!$B$3&gt;=100</f>
        <v/>
      </c>
      <c r="D1477" t="inlineStr"/>
      <c r="E1477" t="inlineStr"/>
      <c r="F1477">
        <f>U1479+Skills!O2</f>
        <v/>
      </c>
      <c r="G1477">
        <f>Skills!G2*IF(Skills!H2&gt;0,Skills!I2/Skills!H2,1)</f>
        <v/>
      </c>
      <c r="H1477">
        <f>1-(1-Skills!J2/100)^Skills!K2</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1495=TRUE)*(F1495-Calc!F20)),(Inputs!$B$23+0+(IF(ArtifactsInput!$M$15,CHOOSE(ArtifactsInput!$N$15+1,25,30,35,40,45,50)/100*(Inputs!$B$11-Inputs!$B$11),0))))/100+(Inputs!$B$23+0+(IF(ArtifactsInput!$M$15,CHOOSE(ArtifactsInput!$N$15+1,25,30,35,40,45,50)/100*(Inputs!$B$11-Inputs!$B$11),0)))/100)/2</f>
        <v/>
      </c>
      <c r="M1477">
        <f>L1477*(1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IF(B1511=0,0,O1477/B1511)</f>
        <v/>
      </c>
      <c r="Q1477" t="n">
        <v>0</v>
      </c>
      <c r="R1477" t="n">
        <v>0</v>
      </c>
      <c r="S1477">
        <f>IFERROR(O1477/N1477,0)</f>
        <v/>
      </c>
      <c r="T1477">
        <f>IF(C1477,(Skills!G2*N1477*B1505)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MAX(0,(Inputs!$B$3-100)*3)+Inputs!$B$28+Inputs!$B$29</f>
        <v/>
      </c>
      <c r="V1477">
        <f>IF(C1477,(Skills!G2*N1477*B1505)*IF(Inputs!$B$38="pvp",1,(1+(Inputs!$B$21+Skills!Q2+(IF(ArtifactsInput!$M$33,CHOOSE(ArtifactsInput!$N$33+1,30,36,42,48,54,60),0))+(IF(AND(ArtifactsInput!$M$35,Inputs!$B$4&lt;&gt;"Chapter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Skills!A3</f>
        <v/>
      </c>
      <c r="B1478">
        <f>Skills!B3</f>
        <v/>
      </c>
      <c r="C1478">
        <f>Inputs!$B$3&gt;=35</f>
        <v/>
      </c>
      <c r="D1478">
        <f>IF(Skills!C3=1,60+Inputs!$B$25+Inputs!$B$29,IF(Skills!C3=2,90+Inputs!$B$26+Inputs!$B$29,IF(Skills!C3=3,120+Inputs!$B$27+Inputs!$B$29,MAX(0,(Inputs!$B$3-100)*3)+Inputs!$B$28+Inputs!$B$29)))</f>
        <v/>
      </c>
      <c r="E1478">
        <f>INDEX(FactorTable!$B$2:$Y$301, MATCH(ROUND(MIN(300,MAX(1,D1478)),0), FactorTable!$A$2:$A$301,0), Skills!M3+1)</f>
        <v/>
      </c>
      <c r="F1478">
        <f>IF(Skills!N3=TRUE,(Skills!L3/10)*(E1478/1000),Skills!L3/10)+Skills!O3</f>
        <v/>
      </c>
      <c r="G1478">
        <f>Skills!G3*IF(Skills!H3&gt;0,Skills!I3/Skills!H3,1)</f>
        <v/>
      </c>
      <c r="H1478">
        <f>1-(1-Skills!J3/100)^Skills!K3</f>
        <v/>
      </c>
      <c r="I1478" t="inlineStr">
        <is>
          <t>1</t>
        </is>
      </c>
      <c r="J1478">
        <f>((Inputs!$B$6*(1+Inputs!$B$7/100))+(((Inputs!$B$12*(1+Inputs!$B$13/100))-(Inputs!$B$12*(1+Inputs!$B$13/100)))+0.25*(Inputs!$B$14-Inputs!$B$14))*(1+Inputs!$B$7/100))*(F1478/100)</f>
        <v/>
      </c>
      <c r="K1478">
        <f>J1478*(1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1495=TRUE)*(F1495-Calc!F20)),(Inputs!$B$23+0+(IF(ArtifactsInput!$M$15,CHOOSE(ArtifactsInput!$N$15+1,25,30,35,40,45,50)/100*(Inputs!$B$11-Inputs!$B$11),0))))/100+(Inputs!$B$23+0+(IF(ArtifactsInput!$M$15,CHOOSE(ArtifactsInput!$N$15+1,25,30,35,40,45,50)/100*(Inputs!$B$11-Inputs!$B$11),0)))/100)/2</f>
        <v/>
      </c>
      <c r="M1478">
        <f>L1478*(1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IF(B1511=0,0,O1478/B1511)</f>
        <v/>
      </c>
      <c r="Q1478" t="n">
        <v>0</v>
      </c>
      <c r="R1478" t="n">
        <v>0</v>
      </c>
      <c r="S1478">
        <f>IFERROR(O1478/N1478,0)</f>
        <v/>
      </c>
      <c r="T1478">
        <f>IF(C1478,(Skills!G3*H1478*N1478*B1505)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INDEX(FactorTable!$B$2:$Y$301, MATCH(ROUND(MIN(300,MAX(1,U1477)),0), FactorTable!$A$2:$A$301,0), 22)</f>
        <v/>
      </c>
      <c r="V1478">
        <f>IF(C1478,(Skills!G3*H1478*N1478*B1505)*IF(Inputs!$B$38="pvp",1,(1+(Inputs!$B$21+Skills!Q3+(IF(ArtifactsInput!$M$33,CHOOSE(ArtifactsInput!$N$33+1,30,36,42,48,54,60),0))+(IF(AND(ArtifactsInput!$M$35,Inputs!$B$4&lt;&gt;"Chapter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Skills!A4</f>
        <v/>
      </c>
      <c r="B1479">
        <f>Skills!B4</f>
        <v/>
      </c>
      <c r="C1479">
        <f>Inputs!$B$3&gt;=60</f>
        <v/>
      </c>
      <c r="D1479">
        <f>IF(Skills!C4=1,60+Inputs!$B$25+Inputs!$B$29,IF(Skills!C4=2,90+Inputs!$B$26+Inputs!$B$29,IF(Skills!C4=3,120+Inputs!$B$27+Inputs!$B$29,MAX(0,(Inputs!$B$3-100)*3)+Inputs!$B$28+Inputs!$B$29)))</f>
        <v/>
      </c>
      <c r="E1479">
        <f>INDEX(FactorTable!$B$2:$Y$301, MATCH(ROUND(MIN(300,MAX(1,D1479)),0), FactorTable!$A$2:$A$301,0), Skills!M4+1)</f>
        <v/>
      </c>
      <c r="F1479">
        <f>IF(Skills!N4=TRUE,(Skills!L4/10)*(E1479/1000),Skills!L4/10)+Skills!O4</f>
        <v/>
      </c>
      <c r="G1479">
        <f>Skills!G4*IF(Skills!H4&gt;0,Skills!I4/Skills!H4,1)</f>
        <v/>
      </c>
      <c r="H1479">
        <f>1-(1-Skills!J4/100)^Skills!K4</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1487=TRUE,F1487,0)/100)*(1+(IF(Skills!A4="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1495=TRUE)*(F1495-Calc!F20)),(Inputs!$B$23+0+(IF(ArtifactsInput!$M$15,CHOOSE(ArtifactsInput!$N$15+1,25,30,35,40,45,50)/100*(Inputs!$B$11-Inputs!$B$11),0))))/100+(Inputs!$B$23+0+(IF(ArtifactsInput!$M$15,CHOOSE(ArtifactsInput!$N$15+1,25,30,35,40,45,50)/100*(Inputs!$B$11-Inputs!$B$11),0)))/100)/2</f>
        <v/>
      </c>
      <c r="M1479">
        <f>L1479*(1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IF(B1511=0,0,O1479/B1511)</f>
        <v/>
      </c>
      <c r="Q1479" t="n">
        <v>0</v>
      </c>
      <c r="R1479" t="n">
        <v>0</v>
      </c>
      <c r="S1479">
        <f>IFERROR(O1479/N1479,0)</f>
        <v/>
      </c>
      <c r="T1479">
        <f>IF(C1479,(Skills!G4*H1479*N1479*B1505)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290*U1478/1000</f>
        <v/>
      </c>
      <c r="V1479">
        <f>IF(C1479,(Skills!G4*H1479*N1479*B1505)*IF(Inputs!$B$38="pvp",1,(1+(Inputs!$B$21+Skills!Q4+(IF(ArtifactsInput!$M$33,CHOOSE(ArtifactsInput!$N$33+1,30,36,42,48,54,60),0))+(IF(AND(ArtifactsInput!$M$35,Inputs!$B$4&lt;&gt;"Chapter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Skills!A5</f>
        <v/>
      </c>
      <c r="B1480">
        <f>Skills!B5</f>
        <v/>
      </c>
      <c r="C1480">
        <f>Inputs!$B$3&gt;=60</f>
        <v/>
      </c>
      <c r="D1480">
        <f>IF(Skills!C5=1,60+Inputs!$B$25+Inputs!$B$29,IF(Skills!C5=2,90+Inputs!$B$26+Inputs!$B$29,IF(Skills!C5=3,120+Inputs!$B$27+Inputs!$B$29,MAX(0,(Inputs!$B$3-100)*3)+Inputs!$B$28+Inputs!$B$29)))</f>
        <v/>
      </c>
      <c r="E1480">
        <f>INDEX(FactorTable!$B$2:$Y$301, MATCH(ROUND(MIN(300,MAX(1,D1480)),0), FactorTable!$A$2:$A$301,0), Skills!M5+1)</f>
        <v/>
      </c>
      <c r="F1480">
        <f>IF(Skills!N5=TRUE,(Skills!L5/10)*(E1480/1000),Skills!L5/10)+Skills!O5</f>
        <v/>
      </c>
      <c r="G1480">
        <f>Skills!G5*IF(Skills!H5&gt;0,Skills!I5/Skills!H5,1)</f>
        <v/>
      </c>
      <c r="H1480">
        <f>1-(1-Skills!J5/100)^Skills!K5</f>
        <v/>
      </c>
      <c r="I1480" t="inlineStr">
        <is>
          <t>1</t>
        </is>
      </c>
      <c r="J1480" t="inlineStr"/>
      <c r="K1480" t="inlineStr"/>
      <c r="L1480" t="inlineStr"/>
      <c r="M1480" t="inlineStr"/>
      <c r="N1480" t="inlineStr"/>
      <c r="O1480">
        <f>(1-Summary!$B$11)*T1480+Summary!$B$11*V1480</f>
        <v/>
      </c>
      <c r="P1480">
        <f>IF(B1511=0,0,O1480/B1511)</f>
        <v/>
      </c>
      <c r="Q1480" t="n">
        <v>0</v>
      </c>
      <c r="R1480" t="n">
        <v>0</v>
      </c>
      <c r="S1480">
        <f>IFERROR(O1480/N1480,0)</f>
        <v/>
      </c>
      <c r="T1480" t="n">
        <v>0</v>
      </c>
      <c r="V1480" t="n">
        <v>0</v>
      </c>
    </row>
    <row r="1481">
      <c r="A1481">
        <f>Skills!A6</f>
        <v/>
      </c>
      <c r="B1481">
        <f>Skills!B6</f>
        <v/>
      </c>
      <c r="C1481">
        <f>Inputs!$B$3&gt;=63</f>
        <v/>
      </c>
      <c r="D1481">
        <f>IF(Skills!C6=1,60+Inputs!$B$25+Inputs!$B$29,IF(Skills!C6=2,90+Inputs!$B$26+Inputs!$B$29,IF(Skills!C6=3,120+Inputs!$B$27+Inputs!$B$29,MAX(0,(Inputs!$B$3-100)*3)+Inputs!$B$28+Inputs!$B$29)))</f>
        <v/>
      </c>
      <c r="E1481">
        <f>INDEX(FactorTable!$B$2:$Y$301, MATCH(ROUND(MIN(300,MAX(1,D1481)),0), FactorTable!$A$2:$A$301,0), Skills!M6+1)</f>
        <v/>
      </c>
      <c r="F1481">
        <f>IF(Skills!N6=TRUE,(Skills!L6/10)*(E1481/1000),Skills!L6/10)+Skills!O6</f>
        <v/>
      </c>
      <c r="G1481">
        <f>Skills!G6*IF(Skills!H6&gt;0,Skills!I6/Skills!H6,1)</f>
        <v/>
      </c>
      <c r="H1481">
        <f>1-(1-Skills!J6/100)^Skills!K6</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1495=TRUE)*(F1495-Calc!F20)),(Inputs!$B$23+0+(IF(ArtifactsInput!$M$15,CHOOSE(ArtifactsInput!$N$15+1,25,30,35,40,45,50)/100*(Inputs!$B$11-Inputs!$B$11),0))))/100+(Inputs!$B$23+0+(IF(ArtifactsInput!$M$15,CHOOSE(ArtifactsInput!$N$15+1,25,30,35,40,45,50)/100*(Inputs!$B$11-Inputs!$B$11),0)))/100)/2</f>
        <v/>
      </c>
      <c r="M1481">
        <f>L1481*(1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IF(B1511=0,0,O1481/B1511)</f>
        <v/>
      </c>
      <c r="Q1481">
        <f>IFERROR(1/(IF(Inputs!$B$38="pvp",15,MAX(0.1,Skills!D6-IF(Skills!E6=TRUE,Inputs!$B$32,0)))*(1-IF(AND(ArtifactsInput!$M$27,Inputs!$B$4="Chapter Hunt"),CHOOSE(ArtifactsInput!$N$27+1,20,24,28,32,36,40),0)/100)),0)</f>
        <v/>
      </c>
      <c r="R1481">
        <f>IF(AND(Inputs!$B$38&lt;&gt;"pvp",Inputs!$B$43&gt;0),IF(MAX(0,Inputs!$B$43-B1508)&lt;=0,0,(INT(MAX(0,Inputs!$B$43-B1508)/(IF(Inputs!$B$38="pvp",15,MAX(0.1,Skills!D6-IF(Skills!E6=TRUE,Inputs!$B$32,0)))*(1-IF(AND(ArtifactsInput!$M$27,Inputs!$B$4="Chapter Hunt"),CHOOSE(ArtifactsInput!$N$27+1,20,24,28,32,36,40),0)/100)))+1)),0)</f>
        <v/>
      </c>
      <c r="S1481">
        <f>IFERROR(O1481/N1481,0)</f>
        <v/>
      </c>
      <c r="T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$21+Skills!Q6+(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Skills!A7</f>
        <v/>
      </c>
      <c r="B1482">
        <f>Skills!B7</f>
        <v/>
      </c>
      <c r="C1482">
        <f>Inputs!$B$3&gt;=100</f>
        <v/>
      </c>
      <c r="D1482">
        <f>IF(Skills!C7=1,60+Inputs!$B$25+Inputs!$B$29,IF(Skills!C7=2,90+Inputs!$B$26+Inputs!$B$29,IF(Skills!C7=3,120+Inputs!$B$27+Inputs!$B$29,MAX(0,(Inputs!$B$3-100)*3)+Inputs!$B$28+Inputs!$B$29)))</f>
        <v/>
      </c>
      <c r="E1482">
        <f>INDEX(FactorTable!$B$2:$Y$301, MATCH(ROUND(MIN(300,MAX(1,D1482)),0), FactorTable!$A$2:$A$301,0), Skills!M7+1)</f>
        <v/>
      </c>
      <c r="F1482">
        <f>IF(Skills!N7=TRUE,(Skills!L7/10)*(E1482/1000),Skills!L7/10)+Skills!O7</f>
        <v/>
      </c>
      <c r="G1482">
        <f>Skills!G7*IF(Skills!H7&gt;0,Skills!I7/Skills!H7,1)</f>
        <v/>
      </c>
      <c r="H1482">
        <f>1-(1-Skills!J7/100)^Skills!K7</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1495=TRUE)*(F1495-Calc!F20)),(Inputs!$B$23+0+(IF(ArtifactsInput!$M$15,CHOOSE(ArtifactsInput!$N$15+1,25,30,35,40,45,50)/100*(Inputs!$B$11-Inputs!$B$11),0))))/100+(Inputs!$B$23+0+(IF(ArtifactsInput!$M$15,CHOOSE(ArtifactsInput!$N$15+1,25,30,35,40,45,50)/100*(Inputs!$B$11-Inputs!$B$11),0)))/100)/2</f>
        <v/>
      </c>
      <c r="M1482">
        <f>L1482*(1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IF(B1511=0,0,O1482/B1511)</f>
        <v/>
      </c>
      <c r="Q1482">
        <f>IFERROR(1/(IF(Inputs!$B$38="pvp",15,MAX(0.1,Skills!D7-IF(Skills!E7=TRUE,Inputs!$B$32,0)))*(1-IF(AND(ArtifactsInput!$M$27,Inputs!$B$4="Chapter Hunt"),CHOOSE(ArtifactsInput!$N$27+1,20,24,28,32,36,40),0)/100)),0)</f>
        <v/>
      </c>
      <c r="R1482">
        <f>IF(AND(Inputs!$B$38&lt;&gt;"pvp",Inputs!$B$43&gt;0),IF(MAX(0,Inputs!$B$43-B1508)&lt;=0,0,(INT(MAX(0,Inputs!$B$43-B1508)/(IF(Inputs!$B$38="pvp",15,MAX(0.1,Skills!D7-IF(Skills!E7=TRUE,Inputs!$B$32,0)))*(1-IF(AND(ArtifactsInput!$M$27,Inputs!$B$4="Chapter Hunt"),CHOOSE(ArtifactsInput!$N$27+1,20,24,28,32,36,40),0)/100)))+1)),0)</f>
        <v/>
      </c>
      <c r="S1482">
        <f>IFERROR(O1482/N1482,0)</f>
        <v/>
      </c>
      <c r="T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$21+Skills!Q7+(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Skills!A8</f>
        <v/>
      </c>
      <c r="B1483">
        <f>Skills!B8</f>
        <v/>
      </c>
      <c r="C1483">
        <f>Inputs!$B$3&gt;=110</f>
        <v/>
      </c>
      <c r="D1483">
        <f>IF(Skills!C8=1,60+Inputs!$B$25+Inputs!$B$29,IF(Skills!C8=2,90+Inputs!$B$26+Inputs!$B$29,IF(Skills!C8=3,120+Inputs!$B$27+Inputs!$B$29,MAX(0,(Inputs!$B$3-100)*3)+Inputs!$B$28+Inputs!$B$29)))</f>
        <v/>
      </c>
      <c r="E1483">
        <f>INDEX(FactorTable!$B$2:$Y$301, MATCH(ROUND(MIN(300,MAX(1,D1483)),0), FactorTable!$A$2:$A$301,0), Skills!M8+1)</f>
        <v/>
      </c>
      <c r="F1483">
        <f>IF(Skills!N8=TRUE,(Skills!L8/10)*(E1483/1000),Skills!L8/10)+Skills!O8</f>
        <v/>
      </c>
      <c r="G1483">
        <f>Skills!G8*IF(Skills!H8&gt;0,Skills!I8/Skills!H8,1)</f>
        <v/>
      </c>
      <c r="H1483">
        <f>1-(1-Skills!J8/100)^Skills!K8</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1495=TRUE)*(F1495-Calc!F20)),(Inputs!$B$23+0+(IF(ArtifactsInput!$M$15,CHOOSE(ArtifactsInput!$N$15+1,25,30,35,40,45,50)/100*(Inputs!$B$11-Inputs!$B$11),0))))/100+(Inputs!$B$23+0+(IF(ArtifactsInput!$M$15,CHOOSE(ArtifactsInput!$N$15+1,25,30,35,40,45,50)/100*(Inputs!$B$11-Inputs!$B$11),0)))/100)/2</f>
        <v/>
      </c>
      <c r="M1483">
        <f>L1483*(1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IF(B1511=0,0,O1483/B1511)</f>
        <v/>
      </c>
      <c r="Q1483">
        <f>IFERROR(1/(IF(Inputs!$B$38="pvp",15,MAX(0.1,Skills!D8-IF(Skills!E8=TRUE,Inputs!$B$32,0)))*(1-IF(AND(ArtifactsInput!$M$27,Inputs!$B$4="Chapter Hunt"),CHOOSE(ArtifactsInput!$N$27+1,20,24,28,32,36,40),0)/100)),0)</f>
        <v/>
      </c>
      <c r="R1483">
        <f>IF(AND(Inputs!$B$38&lt;&gt;"pvp",Inputs!$B$43&gt;0),IF(MAX(0,Inputs!$B$43-B1508)&lt;=0,0,(INT(MAX(0,Inputs!$B$43-B1508)/(IF(Inputs!$B$38="pvp",15,MAX(0.1,Skills!D8-IF(Skills!E8=TRUE,Inputs!$B$32,0)))*(1-IF(AND(ArtifactsInput!$M$27,Inputs!$B$4="Chapter Hunt"),CHOOSE(ArtifactsInput!$N$27+1,20,24,28,32,36,40),0)/100)))+1)),0)</f>
        <v/>
      </c>
      <c r="S1483">
        <f>IFERROR(O1483/N1483,0)</f>
        <v/>
      </c>
      <c r="T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$21+Skills!Q8+(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Skills!A9</f>
        <v/>
      </c>
      <c r="B1484">
        <f>Skills!B9</f>
        <v/>
      </c>
      <c r="C1484">
        <f>Inputs!$B$3&gt;=110</f>
        <v/>
      </c>
      <c r="D1484">
        <f>IF(Skills!C9=1,60+Inputs!$B$25+Inputs!$B$29,IF(Skills!C9=2,90+Inputs!$B$26+Inputs!$B$29,IF(Skills!C9=3,120+Inputs!$B$27+Inputs!$B$29,MAX(0,(Inputs!$B$3-100)*3)+Inputs!$B$28+Inputs!$B$29)))</f>
        <v/>
      </c>
      <c r="E1484">
        <f>INDEX(FactorTable!$B$2:$Y$301, MATCH(ROUND(MIN(300,MAX(1,D1484)),0), FactorTable!$A$2:$A$301,0), Skills!M9+1)</f>
        <v/>
      </c>
      <c r="F1484">
        <f>IF(Skills!N9=TRUE,(Skills!L9/10)*(E1484/1000),Skills!L9/10)+Skills!O9</f>
        <v/>
      </c>
      <c r="G1484">
        <f>Skills!G9*IF(Skills!H9&gt;0,Skills!I9/Skills!H9,1)</f>
        <v/>
      </c>
      <c r="H1484">
        <f>1-(1-Skills!J9/100)^Skills!K9</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1495=TRUE)*(F1495-Calc!F20)),(Inputs!$B$23+0+(IF(ArtifactsInput!$M$15,CHOOSE(ArtifactsInput!$N$15+1,25,30,35,40,45,50)/100*(Inputs!$B$11-Inputs!$B$11),0))))/100+(Inputs!$B$23+0+(IF(ArtifactsInput!$M$15,CHOOSE(ArtifactsInput!$N$15+1,25,30,35,40,45,50)/100*(Inputs!$B$11-Inputs!$B$11),0)))/100)/2</f>
        <v/>
      </c>
      <c r="M1484">
        <f>L1484*(1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IF(B1511=0,0,O1484/B1511)</f>
        <v/>
      </c>
      <c r="Q1484">
        <f>IFERROR(1/(IF(Inputs!$B$38="pvp",15,MAX(0.1,Skills!D9-IF(Skills!E9=TRUE,Inputs!$B$32,0)))*(1-IF(AND(ArtifactsInput!$M$27,Inputs!$B$4="Chapter Hunt"),CHOOSE(ArtifactsInput!$N$27+1,20,24,28,32,36,40),0)/100)),0)</f>
        <v/>
      </c>
      <c r="R1484">
        <f>IF(AND(Inputs!$B$38&lt;&gt;"pvp",Inputs!$B$43&gt;0),IF(MAX(0,Inputs!$B$43-B1508)&lt;=0,0,(INT(MAX(0,Inputs!$B$43-B1508)/(IF(Inputs!$B$38="pvp",15,MAX(0.1,Skills!D9-IF(Skills!E9=TRUE,Inputs!$B$32,0)))*(1-IF(AND(ArtifactsInput!$M$27,Inputs!$B$4="Chapter Hunt"),CHOOSE(ArtifactsInput!$N$27+1,20,24,28,32,36,40),0)/100)))+1)),0)</f>
        <v/>
      </c>
      <c r="S1484">
        <f>IFERROR(O1484/N1484,0)</f>
        <v/>
      </c>
      <c r="T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$21+Skills!Q9+(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Skills!A10</f>
        <v/>
      </c>
      <c r="B1485">
        <f>Skills!B10</f>
        <v/>
      </c>
      <c r="C1485">
        <f>Inputs!$B$3&gt;=103</f>
        <v/>
      </c>
      <c r="D1485">
        <f>IF(Skills!C10=1,60+Inputs!$B$25+Inputs!$B$29,IF(Skills!C10=2,90+Inputs!$B$26+Inputs!$B$29,IF(Skills!C10=3,120+Inputs!$B$27+Inputs!$B$29,MAX(0,(Inputs!$B$3-100)*3)+Inputs!$B$28+Inputs!$B$29)))</f>
        <v/>
      </c>
      <c r="E1485">
        <f>INDEX(FactorTable!$B$2:$Y$301, MATCH(ROUND(MIN(300,MAX(1,D1485)),0), FactorTable!$A$2:$A$301,0), Skills!M10+1)</f>
        <v/>
      </c>
      <c r="F1485">
        <f>IF(Skills!N10=TRUE,(Skills!L10/10)*(E1485/1000),Skills!L10/10)+Skills!O10</f>
        <v/>
      </c>
      <c r="G1485">
        <f>Skills!G10*IF(Skills!H10&gt;0,Skills!I10/Skills!H10,1)</f>
        <v/>
      </c>
      <c r="H1485">
        <f>1-(1-Skills!J10/100)^Skills!K10</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1495=TRUE)*(F1495-Calc!F20)),(Inputs!$B$23+0+(IF(ArtifactsInput!$M$15,CHOOSE(ArtifactsInput!$N$15+1,25,30,35,40,45,50)/100*(Inputs!$B$11-Inputs!$B$11),0))))/100+(Inputs!$B$23+0+(IF(ArtifactsInput!$M$15,CHOOSE(ArtifactsInput!$N$15+1,25,30,35,40,45,50)/100*(Inputs!$B$11-Inputs!$B$11),0)))/100)/2</f>
        <v/>
      </c>
      <c r="M1485">
        <f>L1485*(1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IF(B1511=0,0,O1485/B1511)</f>
        <v/>
      </c>
      <c r="Q1485">
        <f>IFERROR(1/(IF(Inputs!$B$38="pvp",15,MAX(0.1,Skills!D10-IF(Skills!E10=TRUE,Inputs!$B$32,0)))*(1-IF(AND(ArtifactsInput!$M$27,Inputs!$B$4="Chapter Hunt"),CHOOSE(ArtifactsInput!$N$27+1,20,24,28,32,36,40),0)/100)),0)</f>
        <v/>
      </c>
      <c r="R1485">
        <f>IF(AND(Inputs!$B$38&lt;&gt;"pvp",Inputs!$B$43&gt;0),IF(MAX(0,Inputs!$B$43-B1508)&lt;=0,0,(INT(MAX(0,Inputs!$B$43-B1508)/(IF(Inputs!$B$38="pvp",15,MAX(0.1,Skills!D10-IF(Skills!E10=TRUE,Inputs!$B$32,0)))*(1-IF(AND(ArtifactsInput!$M$27,Inputs!$B$4="Chapter Hunt"),CHOOSE(ArtifactsInput!$N$27+1,20,24,28,32,36,40),0)/100)))+1)),0)</f>
        <v/>
      </c>
      <c r="S1485">
        <f>IFERROR(O1485/N1485,0)</f>
        <v/>
      </c>
      <c r="T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$21+Skills!Q10+(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Skills!A11</f>
        <v/>
      </c>
      <c r="B1486">
        <f>Skills!B11</f>
        <v/>
      </c>
      <c r="C1486">
        <f>Inputs!$B$3&gt;=113</f>
        <v/>
      </c>
      <c r="D1486">
        <f>IF(Skills!C11=1,60+Inputs!$B$25+Inputs!$B$29,IF(Skills!C11=2,90+Inputs!$B$26+Inputs!$B$29,IF(Skills!C11=3,120+Inputs!$B$27+Inputs!$B$29,MAX(0,(Inputs!$B$3-100)*3)+Inputs!$B$28+Inputs!$B$29)))</f>
        <v/>
      </c>
      <c r="E1486">
        <f>INDEX(FactorTable!$B$2:$Y$301, MATCH(ROUND(MIN(300,MAX(1,D1486)),0), FactorTable!$A$2:$A$301,0), Skills!M11+1)</f>
        <v/>
      </c>
      <c r="F1486">
        <f>IF(Skills!N11=TRUE,(Skills!L11/10)*(E1486/1000),Skills!L11/10)+Skills!O11</f>
        <v/>
      </c>
      <c r="G1486">
        <f>Skills!G11*IF(Skills!H11&gt;0,Skills!I11/Skills!H11,1)</f>
        <v/>
      </c>
      <c r="H1486">
        <f>1-(1-Skills!J11/100)^Skills!K11</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1495=TRUE)*(F1495-Calc!F20)),(Inputs!$B$23+0+(IF(ArtifactsInput!$M$15,CHOOSE(ArtifactsInput!$N$15+1,25,30,35,40,45,50)/100*(Inputs!$B$11-Inputs!$B$11),0))))/100+(Inputs!$B$23+0+(IF(ArtifactsInput!$M$15,CHOOSE(ArtifactsInput!$N$15+1,25,30,35,40,45,50)/100*(Inputs!$B$11-Inputs!$B$11),0)))/100)/2</f>
        <v/>
      </c>
      <c r="M1486">
        <f>L1486*(1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IF(B1511=0,0,O1486/B1511)</f>
        <v/>
      </c>
      <c r="Q1486">
        <f>IFERROR(1/(IF(Inputs!$B$38="pvp",15,MAX(0.1,Skills!D11-IF(Skills!E11=TRUE,Inputs!$B$32,0)))*(1-IF(AND(ArtifactsInput!$M$27,Inputs!$B$4="Chapter Hunt"),CHOOSE(ArtifactsInput!$N$27+1,20,24,28,32,36,40),0)/100)),0)</f>
        <v/>
      </c>
      <c r="R1486">
        <f>IF(AND(Inputs!$B$38&lt;&gt;"pvp",Inputs!$B$43&gt;0),IF(MAX(0,Inputs!$B$43-B1508)&lt;=0,0,(INT(MAX(0,Inputs!$B$43-B1508)/(IF(Inputs!$B$38="pvp",15,MAX(0.1,Skills!D11-IF(Skills!E11=TRUE,Inputs!$B$32,0)))*(1-IF(AND(ArtifactsInput!$M$27,Inputs!$B$4="Chapter Hunt"),CHOOSE(ArtifactsInput!$N$27+1,20,24,28,32,36,40),0)/100)))+1)),0)</f>
        <v/>
      </c>
      <c r="S1486">
        <f>IFERROR(O1486/N1486,0)</f>
        <v/>
      </c>
      <c r="T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$21+Skills!Q11+(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Skills!A12</f>
        <v/>
      </c>
      <c r="B1487">
        <f>Skills!B12</f>
        <v/>
      </c>
      <c r="C1487">
        <f>Inputs!$B$3&gt;=100</f>
        <v/>
      </c>
      <c r="D1487">
        <f>IF(Skills!C12=1,60+Inputs!$B$25+Inputs!$B$29,IF(Skills!C12=2,90+Inputs!$B$26+Inputs!$B$29,IF(Skills!C12=3,120+Inputs!$B$27+Inputs!$B$29,MAX(0,(Inputs!$B$3-100)*3)+Inputs!$B$28+Inputs!$B$29)))</f>
        <v/>
      </c>
      <c r="E1487">
        <f>INDEX(FactorTable!$B$2:$Y$301, MATCH(ROUND(MIN(300,MAX(1,D1487)),0), FactorTable!$A$2:$A$301,0), Skills!M12+1)</f>
        <v/>
      </c>
      <c r="F1487">
        <f>IF(Skills!N12=TRUE,(Skills!L12/10)*(E1487/1000),Skills!L12/10)+Skills!O12</f>
        <v/>
      </c>
      <c r="G1487" t="inlineStr"/>
      <c r="H1487" t="inlineStr"/>
      <c r="I1487" t="inlineStr">
        <is>
          <t>1</t>
        </is>
      </c>
      <c r="J1487" t="inlineStr"/>
      <c r="K1487" t="inlineStr"/>
      <c r="L1487" t="inlineStr"/>
      <c r="M1487" t="inlineStr"/>
      <c r="N1487" t="inlineStr"/>
      <c r="O1487" t="inlineStr"/>
      <c r="P1487" t="inlineStr"/>
      <c r="Q1487" t="inlineStr"/>
      <c r="R1487" t="inlineStr"/>
      <c r="S1487" t="inlineStr"/>
      <c r="T1487" t="inlineStr"/>
      <c r="V1487" t="inlineStr"/>
    </row>
    <row r="1488">
      <c r="A1488">
        <f>Skills!A13</f>
        <v/>
      </c>
      <c r="B1488">
        <f>Skills!B13</f>
        <v/>
      </c>
      <c r="C1488">
        <f>Inputs!$B$3&gt;=66</f>
        <v/>
      </c>
      <c r="D1488">
        <f>IF(Skills!C13=1,60+Inputs!$B$25+Inputs!$B$29,IF(Skills!C13=2,90+Inputs!$B$26+Inputs!$B$29,IF(Skills!C13=3,120+Inputs!$B$27+Inputs!$B$29,MAX(0,(Inputs!$B$3-100)*3)+Inputs!$B$28+Inputs!$B$29)))</f>
        <v/>
      </c>
      <c r="E1488">
        <f>INDEX(FactorTable!$B$2:$Y$301, MATCH(ROUND(MIN(300,MAX(1,D1488)),0), FactorTable!$A$2:$A$301,0), Skills!M13+1)</f>
        <v/>
      </c>
      <c r="F1488">
        <f>IF(Skills!N13=TRUE,(Skills!L13/10)*(E1488/1000),Skills!L13/10)+Skills!O13</f>
        <v/>
      </c>
      <c r="G1488">
        <f>Skills!G13*IF(Skills!H13&gt;0,Skills!I13/Skills!H13,1)</f>
        <v/>
      </c>
      <c r="H1488">
        <f>1-(1-Skills!J13/100)^Skills!K13</f>
        <v/>
      </c>
      <c r="I1488" t="inlineStr">
        <is>
          <t>1</t>
        </is>
      </c>
      <c r="J1488" t="inlineStr"/>
      <c r="K1488" t="inlineStr"/>
      <c r="L1488" t="inlineStr"/>
      <c r="M1488" t="inlineStr"/>
      <c r="N1488" t="inlineStr"/>
      <c r="O1488">
        <f>(1-Summary!$B$11)*T1488+Summary!$B$11*V1488</f>
        <v/>
      </c>
      <c r="P1488">
        <f>IF(B1511=0,0,O1488/B1511)</f>
        <v/>
      </c>
      <c r="Q1488" t="n">
        <v>0</v>
      </c>
      <c r="R1488" t="n">
        <v>0</v>
      </c>
      <c r="S1488">
        <f>IFERROR(O1488/N1488,0)</f>
        <v/>
      </c>
      <c r="T1488" t="n">
        <v>0</v>
      </c>
      <c r="V1488" t="n">
        <v>0</v>
      </c>
    </row>
    <row r="1489">
      <c r="A1489">
        <f>Skills!A14</f>
        <v/>
      </c>
      <c r="B1489">
        <f>Skills!B14</f>
        <v/>
      </c>
      <c r="C1489">
        <f>Inputs!$B$3&gt;=107</f>
        <v/>
      </c>
      <c r="D1489">
        <f>IF(Skills!C14=1,60+Inputs!$B$25+Inputs!$B$29,IF(Skills!C14=2,90+Inputs!$B$26+Inputs!$B$29,IF(Skills!C14=3,120+Inputs!$B$27+Inputs!$B$29,MAX(0,(Inputs!$B$3-100)*3)+Inputs!$B$28+Inputs!$B$29)))</f>
        <v/>
      </c>
      <c r="E1489">
        <f>INDEX(FactorTable!$B$2:$Y$301, MATCH(ROUND(MIN(300,MAX(1,D1489)),0), FactorTable!$A$2:$A$301,0), Skills!M14+1)</f>
        <v/>
      </c>
      <c r="F1489">
        <f>IF(Skills!N14=TRUE,(Skills!L14/10)*(E1489/1000),Skills!L14/10)+Skills!O14</f>
        <v/>
      </c>
      <c r="G1489">
        <f>Skills!G14*IF(Skills!H14&gt;0,Skills!I14/Skills!H14,1)</f>
        <v/>
      </c>
      <c r="H1489">
        <f>1-(1-Skills!J14/100)^Skills!K14</f>
        <v/>
      </c>
      <c r="I1489" t="inlineStr">
        <is>
          <t>1</t>
        </is>
      </c>
      <c r="J1489" t="inlineStr"/>
      <c r="K1489" t="inlineStr"/>
      <c r="L1489" t="inlineStr"/>
      <c r="M1489" t="inlineStr"/>
      <c r="N1489" t="inlineStr"/>
      <c r="O1489">
        <f>(1-Summary!$B$11)*T1489+Summary!$B$11*V1489</f>
        <v/>
      </c>
      <c r="P1489">
        <f>IF(B1511=0,0,O1489/B1511)</f>
        <v/>
      </c>
      <c r="Q1489" t="n">
        <v>0</v>
      </c>
      <c r="R1489" t="n">
        <v>0</v>
      </c>
      <c r="S1489">
        <f>IFERROR(O1489/N1489,0)</f>
        <v/>
      </c>
      <c r="T1489" t="n">
        <v>0</v>
      </c>
      <c r="V1489" t="n">
        <v>0</v>
      </c>
    </row>
    <row r="1490">
      <c r="A1490">
        <f>Skills!A15</f>
        <v/>
      </c>
      <c r="B1490">
        <f>Skills!B15</f>
        <v/>
      </c>
      <c r="C1490">
        <f>Inputs!$B$3&gt;=115</f>
        <v/>
      </c>
      <c r="D1490">
        <f>IF(Skills!C15=1,60+Inputs!$B$25+Inputs!$B$29,IF(Skills!C15=2,90+Inputs!$B$26+Inputs!$B$29,IF(Skills!C15=3,120+Inputs!$B$27+Inputs!$B$29,MAX(0,(Inputs!$B$3-100)*3)+Inputs!$B$28+Inputs!$B$29)))</f>
        <v/>
      </c>
      <c r="E1490">
        <f>INDEX(FactorTable!$B$2:$Y$301, MATCH(ROUND(MIN(300,MAX(1,D1490)),0), FactorTable!$A$2:$A$301,0), Skills!M15+1)</f>
        <v/>
      </c>
      <c r="F1490">
        <f>IF(Skills!N15=TRUE,(Skills!L15/10)*(E1490/1000),Skills!L15/10)+Skills!O15</f>
        <v/>
      </c>
      <c r="G1490">
        <f>Skills!G15*IF(Skills!H15&gt;0,Skills!I15/Skills!H15,1)</f>
        <v/>
      </c>
      <c r="H1490">
        <f>1-(1-Skills!J15/100)^Skills!K15</f>
        <v/>
      </c>
      <c r="I1490" t="inlineStr">
        <is>
          <t>1</t>
        </is>
      </c>
      <c r="J1490" t="inlineStr"/>
      <c r="K1490" t="inlineStr"/>
      <c r="L1490" t="inlineStr"/>
      <c r="M1490" t="inlineStr"/>
      <c r="N1490" t="inlineStr"/>
      <c r="O1490">
        <f>(1-Summary!$B$11)*T1490+Summary!$B$11*V1490</f>
        <v/>
      </c>
      <c r="P1490">
        <f>IF(B1511=0,0,O1490/B1511)</f>
        <v/>
      </c>
      <c r="Q1490" t="n">
        <v>0</v>
      </c>
      <c r="R1490" t="n">
        <v>0</v>
      </c>
      <c r="S1490">
        <f>IFERROR(O1490/N1490,0)</f>
        <v/>
      </c>
      <c r="T1490" t="n">
        <v>0</v>
      </c>
      <c r="V1490" t="n">
        <v>0</v>
      </c>
    </row>
    <row r="1491">
      <c r="A1491">
        <f>Skills!A16</f>
        <v/>
      </c>
      <c r="B1491">
        <f>Skills!B16</f>
        <v/>
      </c>
      <c r="C1491">
        <f>Inputs!$B$3&gt;=15</f>
        <v/>
      </c>
      <c r="D1491">
        <f>IF(Skills!C16=1,60+Inputs!$B$25+Inputs!$B$29,IF(Skills!C16=2,90+Inputs!$B$26+Inputs!$B$29,IF(Skills!C16=3,120+Inputs!$B$27+Inputs!$B$29,MAX(0,(Inputs!$B$3-100)*3)+Inputs!$B$28+Inputs!$B$29)))</f>
        <v/>
      </c>
      <c r="E1491">
        <f>INDEX(FactorTable!$B$2:$Y$301, MATCH(ROUND(MIN(300,MAX(1,D1491)),0), FactorTable!$A$2:$A$301,0), Skills!M16+1)</f>
        <v/>
      </c>
      <c r="F1491">
        <f>IF(Skills!N16=TRUE,(Skills!L16/10)*(E1491/1000),Skills!L16/10)+Skills!O16</f>
        <v/>
      </c>
      <c r="G1491">
        <f>Skills!G16*IF(Skills!H16&gt;0,Skills!I16/Skills!H16,1)</f>
        <v/>
      </c>
      <c r="H1491">
        <f>1-(1-Skills!J16/100)^Skills!K16</f>
        <v/>
      </c>
      <c r="I1491" t="inlineStr">
        <is>
          <t>1</t>
        </is>
      </c>
      <c r="J1491" t="inlineStr"/>
      <c r="K1491" t="inlineStr"/>
      <c r="L1491" t="inlineStr"/>
      <c r="M1491" t="inlineStr"/>
      <c r="N1491" t="inlineStr"/>
      <c r="O1491">
        <f>(1-Summary!$B$11)*T1491+Summary!$B$11*V1491</f>
        <v/>
      </c>
      <c r="P1491">
        <f>IF(B1511=0,0,O1491/B1511)</f>
        <v/>
      </c>
      <c r="Q1491" t="n">
        <v>0</v>
      </c>
      <c r="R1491" t="n">
        <v>0</v>
      </c>
      <c r="S1491">
        <f>IFERROR(O1491/N1491,0)</f>
        <v/>
      </c>
      <c r="T1491" t="n">
        <v>0</v>
      </c>
      <c r="V1491" t="n">
        <v>0</v>
      </c>
    </row>
    <row r="1492">
      <c r="A1492">
        <f>Skills!A17</f>
        <v/>
      </c>
      <c r="B1492">
        <f>Skills!B17</f>
        <v/>
      </c>
      <c r="C1492">
        <f>Inputs!$B$3&gt;=10</f>
        <v/>
      </c>
      <c r="D1492">
        <f>IF(Skills!C17=1,60+Inputs!$B$25+Inputs!$B$29,IF(Skills!C17=2,90+Inputs!$B$26+Inputs!$B$29,IF(Skills!C17=3,120+Inputs!$B$27+Inputs!$B$29,MAX(0,(Inputs!$B$3-100)*3)+Inputs!$B$28+Inputs!$B$29)))</f>
        <v/>
      </c>
      <c r="E1492">
        <f>INDEX(FactorTable!$B$2:$Y$301, MATCH(ROUND(MIN(300,MAX(1,D1492)),0), FactorTable!$A$2:$A$301,0), Skills!M17+1)</f>
        <v/>
      </c>
      <c r="F1492">
        <f>IF(Skills!N17=TRUE,(Skills!L17/10)*(E1492/1000),Skills!L17/10)+Skills!O17</f>
        <v/>
      </c>
      <c r="G1492">
        <f>Skills!G17*IF(Skills!H17&gt;0,Skills!I17/Skills!H17,1)</f>
        <v/>
      </c>
      <c r="H1492">
        <f>1-(1-Skills!J17/100)^Skills!K17</f>
        <v/>
      </c>
      <c r="I1492" t="inlineStr">
        <is>
          <t>1</t>
        </is>
      </c>
      <c r="J1492" t="inlineStr"/>
      <c r="K1492" t="inlineStr"/>
      <c r="L1492" t="inlineStr"/>
      <c r="M1492" t="inlineStr"/>
      <c r="N1492" t="inlineStr"/>
      <c r="O1492">
        <f>(1-Summary!$B$11)*T1492+Summary!$B$11*V1492</f>
        <v/>
      </c>
      <c r="P1492">
        <f>IF(B1511=0,0,O1492/B1511)</f>
        <v/>
      </c>
      <c r="Q1492" t="n">
        <v>0</v>
      </c>
      <c r="R1492" t="n">
        <v>0</v>
      </c>
      <c r="S1492">
        <f>IFERROR(O1492/N1492,0)</f>
        <v/>
      </c>
      <c r="T1492" t="n">
        <v>0</v>
      </c>
      <c r="V1492" t="n">
        <v>0</v>
      </c>
    </row>
    <row r="1493">
      <c r="A1493">
        <f>Skills!A18</f>
        <v/>
      </c>
      <c r="B1493">
        <f>Skills!B18</f>
        <v/>
      </c>
      <c r="C1493">
        <f>Inputs!$B$3&gt;=33</f>
        <v/>
      </c>
      <c r="D1493">
        <f>IF(Skills!C18=1,60+Inputs!$B$25+Inputs!$B$29,IF(Skills!C18=2,90+Inputs!$B$26+Inputs!$B$29,IF(Skills!C18=3,120+Inputs!$B$27+Inputs!$B$29,MAX(0,(Inputs!$B$3-100)*3)+Inputs!$B$28+Inputs!$B$29)))</f>
        <v/>
      </c>
      <c r="E1493">
        <f>INDEX(FactorTable!$B$2:$Y$301, MATCH(ROUND(MIN(300,MAX(1,D1493)),0), FactorTable!$A$2:$A$301,0), Skills!M18+1)</f>
        <v/>
      </c>
      <c r="F1493">
        <f>IF(Skills!N18=TRUE,(Skills!L18/10)*(E1493/1000),Skills!L18/10)+Skills!O18</f>
        <v/>
      </c>
      <c r="G1493">
        <f>Skills!G18*IF(Skills!H18&gt;0,Skills!I18/Skills!H18,1)</f>
        <v/>
      </c>
      <c r="H1493">
        <f>1-(1-Skills!J18/100)^Skills!K18</f>
        <v/>
      </c>
      <c r="I1493" t="inlineStr">
        <is>
          <t>1</t>
        </is>
      </c>
      <c r="J1493" t="inlineStr"/>
      <c r="K1493" t="inlineStr"/>
      <c r="L1493" t="inlineStr"/>
      <c r="M1493" t="inlineStr"/>
      <c r="N1493" t="inlineStr"/>
      <c r="O1493">
        <f>(1-Summary!$B$11)*T1493+Summary!$B$11*V1493</f>
        <v/>
      </c>
      <c r="P1493">
        <f>IF(B1511=0,0,O1493/B1511)</f>
        <v/>
      </c>
      <c r="Q1493" t="n">
        <v>0</v>
      </c>
      <c r="R1493" t="n">
        <v>0</v>
      </c>
      <c r="S1493">
        <f>IFERROR(O1493/N1493,0)</f>
        <v/>
      </c>
      <c r="T1493" t="n">
        <v>0</v>
      </c>
      <c r="V1493" t="n">
        <v>0</v>
      </c>
    </row>
    <row r="1494">
      <c r="A1494">
        <f>Skills!A19</f>
        <v/>
      </c>
      <c r="B1494">
        <f>Skills!B19</f>
        <v/>
      </c>
      <c r="C1494">
        <f>Inputs!$B$3&gt;=40</f>
        <v/>
      </c>
      <c r="D1494">
        <f>IF(Skills!C19=1,60+Inputs!$B$25+Inputs!$B$29,IF(Skills!C19=2,90+Inputs!$B$26+Inputs!$B$29,IF(Skills!C19=3,120+Inputs!$B$27+Inputs!$B$29,MAX(0,(Inputs!$B$3-100)*3)+Inputs!$B$28+Inputs!$B$29)))</f>
        <v/>
      </c>
      <c r="E1494">
        <f>INDEX(FactorTable!$B$2:$Y$301, MATCH(ROUND(MIN(300,MAX(1,D1494)),0), FactorTable!$A$2:$A$301,0), Skills!M19+1)</f>
        <v/>
      </c>
      <c r="F1494">
        <f>IF(Skills!N19=TRUE,(Skills!L19/10)*(E1494/1000),Skills!L19/10)+Skills!O19</f>
        <v/>
      </c>
      <c r="G1494">
        <f>Skills!G19*IF(Skills!H19&gt;0,Skills!I19/Skills!H19,1)</f>
        <v/>
      </c>
      <c r="H1494">
        <f>1-(1-Skills!J19/100)^Skills!K19</f>
        <v/>
      </c>
      <c r="I1494" t="inlineStr">
        <is>
          <t>1</t>
        </is>
      </c>
      <c r="J1494" t="inlineStr"/>
      <c r="K1494" t="inlineStr"/>
      <c r="L1494" t="inlineStr"/>
      <c r="M1494" t="inlineStr"/>
      <c r="N1494" t="inlineStr"/>
      <c r="O1494">
        <f>(1-Summary!$B$11)*T1494+Summary!$B$11*V1494</f>
        <v/>
      </c>
      <c r="P1494">
        <f>IF(B1511=0,0,O1494/B1511)</f>
        <v/>
      </c>
      <c r="Q1494" t="n">
        <v>0</v>
      </c>
      <c r="R1494" t="n">
        <v>0</v>
      </c>
      <c r="S1494">
        <f>IFERROR(O1494/N1494,0)</f>
        <v/>
      </c>
      <c r="T1494" t="n">
        <v>0</v>
      </c>
      <c r="V1494" t="n">
        <v>0</v>
      </c>
    </row>
    <row r="1495">
      <c r="A1495">
        <f>Skills!A20</f>
        <v/>
      </c>
      <c r="B1495">
        <f>Skills!B20</f>
        <v/>
      </c>
      <c r="C1495">
        <f>Inputs!$B$3&gt;=43</f>
        <v/>
      </c>
      <c r="D1495">
        <f>IF(Skills!C20=1,60+Inputs!$B$25+Inputs!$B$29,IF(Skills!C20=2,90+Inputs!$B$26+Inputs!$B$29,IF(Skills!C20=3,120+Inputs!$B$27+Inputs!$B$29,MAX(0,(Inputs!$B$3-100)*3)+Inputs!$B$28+Inputs!$B$29)))</f>
        <v/>
      </c>
      <c r="E1495">
        <f>INDEX(FactorTable!$B$2:$Y$301, MATCH(ROUND(MIN(300,MAX(1,D1495)),0), FactorTable!$A$2:$A$301,0), Skills!M20+1)</f>
        <v/>
      </c>
      <c r="F1495">
        <f>IF(Skills!N20=TRUE,(Skills!L20/10)*(E1495/1000),Skills!L20/10)+Skills!O20</f>
        <v/>
      </c>
      <c r="G1495">
        <f>Skills!G20*IF(Skills!H20&gt;0,Skills!I20/Skills!H20,1)</f>
        <v/>
      </c>
      <c r="H1495">
        <f>1-(1-Skills!J20/100)^Skills!K20</f>
        <v/>
      </c>
      <c r="I1495" t="inlineStr">
        <is>
          <t>1</t>
        </is>
      </c>
      <c r="J1495" t="inlineStr"/>
      <c r="K1495" t="inlineStr"/>
      <c r="L1495" t="inlineStr"/>
      <c r="M1495" t="inlineStr"/>
      <c r="N1495" t="inlineStr"/>
      <c r="O1495">
        <f>(1-Summary!$B$11)*T1495+Summary!$B$11*V1495</f>
        <v/>
      </c>
      <c r="P1495">
        <f>IF(B1511=0,0,O1495/B1511)</f>
        <v/>
      </c>
      <c r="Q1495" t="n">
        <v>0</v>
      </c>
      <c r="R1495" t="n">
        <v>0</v>
      </c>
      <c r="S1495">
        <f>IFERROR(O1495/N1495,0)</f>
        <v/>
      </c>
      <c r="T1495" t="n">
        <v>0</v>
      </c>
      <c r="V1495" t="n">
        <v>0</v>
      </c>
    </row>
    <row r="1496">
      <c r="A1496">
        <f>Skills!A21</f>
        <v/>
      </c>
      <c r="B1496">
        <f>Skills!B21</f>
        <v/>
      </c>
      <c r="C1496">
        <f>Inputs!$B$3&gt;=38</f>
        <v/>
      </c>
      <c r="D1496">
        <f>IF(Skills!C21=1,60+Inputs!$B$25+Inputs!$B$29,IF(Skills!C21=2,90+Inputs!$B$26+Inputs!$B$29,IF(Skills!C21=3,120+Inputs!$B$27+Inputs!$B$29,MAX(0,(Inputs!$B$3-100)*3)+Inputs!$B$28+Inputs!$B$29)))</f>
        <v/>
      </c>
      <c r="E1496">
        <f>INDEX(FactorTable!$B$2:$Y$301, MATCH(ROUND(MIN(300,MAX(1,D1496)),0), FactorTable!$A$2:$A$301,0), Skills!M21+1)</f>
        <v/>
      </c>
      <c r="F1496">
        <f>IF(Skills!N21=TRUE,(Skills!L21/10)*(E1496/1000),Skills!L21/10)+Skills!O21</f>
        <v/>
      </c>
      <c r="G1496">
        <f>Skills!G21*IF(Skills!H21&gt;0,Skills!I21/Skills!H21,1)</f>
        <v/>
      </c>
      <c r="H1496">
        <f>1-(1-Skills!J21/100)^Skills!K21</f>
        <v/>
      </c>
      <c r="I1496" t="inlineStr">
        <is>
          <t>1</t>
        </is>
      </c>
      <c r="J1496" t="inlineStr"/>
      <c r="K1496" t="inlineStr"/>
      <c r="L1496" t="inlineStr"/>
      <c r="M1496" t="inlineStr"/>
      <c r="N1496" t="inlineStr"/>
      <c r="O1496">
        <f>(1-Summary!$B$11)*T1496+Summary!$B$11*V1496</f>
        <v/>
      </c>
      <c r="P1496">
        <f>IF(B1511=0,0,O1496/B1511)</f>
        <v/>
      </c>
      <c r="Q1496" t="n">
        <v>0</v>
      </c>
      <c r="R1496" t="n">
        <v>0</v>
      </c>
      <c r="S1496">
        <f>IFERROR(O1496/N1496,0)</f>
        <v/>
      </c>
      <c r="T1496" t="n">
        <v>0</v>
      </c>
      <c r="V1496" t="n">
        <v>0</v>
      </c>
    </row>
    <row r="1497">
      <c r="A1497">
        <f>Skills!A22</f>
        <v/>
      </c>
      <c r="B1497">
        <f>Skills!B22</f>
        <v/>
      </c>
      <c r="C1497">
        <f>Inputs!$B$3&gt;=75</f>
        <v/>
      </c>
      <c r="D1497">
        <f>IF(Skills!C22=1,60+Inputs!$B$25+Inputs!$B$29,IF(Skills!C22=2,90+Inputs!$B$26+Inputs!$B$29,IF(Skills!C22=3,120+Inputs!$B$27+Inputs!$B$29,MAX(0,(Inputs!$B$3-100)*3)+Inputs!$B$28+Inputs!$B$29)))</f>
        <v/>
      </c>
      <c r="E1497">
        <f>INDEX(FactorTable!$B$2:$Y$301, MATCH(ROUND(MIN(300,MAX(1,D1497)),0), FactorTable!$A$2:$A$301,0), Skills!M22+1)</f>
        <v/>
      </c>
      <c r="F1497">
        <f>IF(Skills!N22=TRUE,(Skills!L22/10)*(E1497/1000),Skills!L22/10)+Skills!O22</f>
        <v/>
      </c>
      <c r="G1497">
        <f>Skills!G22*IF(Skills!H22&gt;0,Skills!I22/Skills!H22,1)</f>
        <v/>
      </c>
      <c r="H1497">
        <f>1-(1-Skills!J22/100)^Skills!K22</f>
        <v/>
      </c>
      <c r="I1497" t="inlineStr">
        <is>
          <t>1</t>
        </is>
      </c>
      <c r="J1497" t="inlineStr"/>
      <c r="K1497" t="inlineStr"/>
      <c r="L1497" t="inlineStr"/>
      <c r="M1497" t="inlineStr"/>
      <c r="N1497" t="inlineStr"/>
      <c r="O1497">
        <f>(1-Summary!$B$11)*T1497+Summary!$B$11*V1497</f>
        <v/>
      </c>
      <c r="P1497">
        <f>IF(B1511=0,0,O1497/B1511)</f>
        <v/>
      </c>
      <c r="Q1497" t="n">
        <v>0</v>
      </c>
      <c r="R1497" t="n">
        <v>0</v>
      </c>
      <c r="S1497">
        <f>IFERROR(O1497/N1497,0)</f>
        <v/>
      </c>
      <c r="T1497" t="n">
        <v>0</v>
      </c>
      <c r="V1497" t="n">
        <v>0</v>
      </c>
    </row>
    <row r="1498">
      <c r="A1498">
        <f>Skills!A23</f>
        <v/>
      </c>
      <c r="B1498">
        <f>Skills!B23</f>
        <v/>
      </c>
      <c r="C1498">
        <f>TRUE</f>
        <v/>
      </c>
      <c r="D1498">
        <f>IF(Skills!C23=1,60+Inputs!$B$25+Inputs!$B$29,IF(Skills!C23=2,90+Inputs!$B$26+Inputs!$B$29,IF(Skills!C23=3,120+Inputs!$B$27+Inputs!$B$29,MAX(0,(Inputs!$B$3-100)*3)+Inputs!$B$28+Inputs!$B$29)))</f>
        <v/>
      </c>
      <c r="E1498">
        <f>INDEX(FactorTable!$B$2:$Y$301, MATCH(ROUND(MIN(300,MAX(1,D1498)),0), FactorTable!$A$2:$A$301,0), Skills!M23+1)</f>
        <v/>
      </c>
      <c r="F1498">
        <f>IF(Skills!N23=TRUE,(Skills!L23/10)*(E1498/1000),Skills!L23/10)+Skills!O23</f>
        <v/>
      </c>
      <c r="G1498">
        <f>Skills!G23*IF(Skills!H23&gt;0,Skills!I23/Skills!H23,1)</f>
        <v/>
      </c>
      <c r="H1498">
        <f>1-(1-Skills!J23/100)^Skills!K23</f>
        <v/>
      </c>
      <c r="I1498" t="inlineStr">
        <is>
          <t>1</t>
        </is>
      </c>
      <c r="J1498" t="inlineStr"/>
      <c r="K1498" t="inlineStr"/>
      <c r="L1498" t="inlineStr"/>
      <c r="M1498" t="inlineStr"/>
      <c r="N1498" t="inlineStr"/>
      <c r="O1498">
        <f>(1-Summary!$B$11)*T1498+Summary!$B$11*V1498</f>
        <v/>
      </c>
      <c r="P1498">
        <f>IF(B1511=0,0,O1498/B1511)</f>
        <v/>
      </c>
      <c r="Q1498">
        <f>IFERROR(1/(IF(Inputs!$B$38="pvp",15,MAX(0.1,Skills!D23-IF(Skills!E23=TRUE,Inputs!$B$32,0)))*(1-IF(AND(ArtifactsInput!$M$27,Inputs!$B$4="Chapter Hunt"),CHOOSE(ArtifactsInput!$N$27+1,20,24,28,32,36,40),0)/100)),0)</f>
        <v/>
      </c>
      <c r="R1498">
        <f>IF(AND(Inputs!$B$38&lt;&gt;"pvp",Inputs!$B$43&gt;0),IF(Inputs!$B$43&lt;=0,0,(INT(Inputs!$B$43/(IF(Inputs!$B$38="pvp",15,MAX(0.1,Skills!D23-IF(Skills!E23=TRUE,Inputs!$B$32,0)))*(1-IF(AND(ArtifactsInput!$M$27,Inputs!$B$4="Chapter Hunt"),CHOOSE(ArtifactsInput!$N$27+1,20,24,28,32,36,40),0)/100)))+1)),0)</f>
        <v/>
      </c>
      <c r="S1498">
        <f>IFERROR(O1498/N1498,0)</f>
        <v/>
      </c>
      <c r="T1498" t="n">
        <v>0</v>
      </c>
      <c r="V1498" t="n">
        <v>0</v>
      </c>
    </row>
    <row r="1500">
      <c r="A1500" t="inlineStr">
        <is>
          <t>Attack% Bucket Multiplier</t>
        </is>
      </c>
      <c r="B1500">
        <f>(1+(((C1488=TRUE)*F1488*5/7)+((C1494=TRUE)*(F1494-Calc!F19))+(IF(ArtifactsInput!$M$21,CHOOSE(ArtifactsInput!$N$21+1,25,30,35,40,45,50)*(IF(OR(Inputs!$B$4="Chapter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1">
      <c r="A1501" t="inlineStr">
        <is>
          <t>Global Crit Rate Bonus %</t>
        </is>
      </c>
      <c r="B1501" t="n">
        <v>0</v>
      </c>
    </row>
    <row r="1502">
      <c r="A1502" t="inlineStr">
        <is>
          <t>Attack Speed Buff Bonus % (Nimble Feet, duty-cycle averaged)</t>
        </is>
      </c>
      <c r="B1502">
        <f>((C1498=TRUE)*F1498*IF(AND(Inputs!$B$38&lt;&gt;"pvp",Inputs!$B$43&gt;0),(((R1498-1)*(Skills!T23*(1+Inputs!$B$34/100))+MIN((Skills!T23*(1+Inputs!$B$34/100)),MAX(0,Inputs!$B$43-((R1498-1)*Skills!D23))))/Inputs!$B$43),IF(Inputs!$B$38="pvp",MIN((Skills!T23*(1+Inputs!$B$34/100)),15)/15,(Skills!T23*(1+Inputs!$B$34/100))/Skills!D23)))</f>
        <v/>
      </c>
    </row>
    <row r="1503">
      <c r="A1503" t="inlineStr">
        <is>
          <t>Actions Per Second</t>
        </is>
      </c>
      <c r="B1503">
        <f>1+MIN(150,150*(1-(1-(Inputs!$B$11+((C1492=TRUE)*(F1492-Calc!F17))+((C1493=TRUE)*(F1493-Calc!F18)))/150)*(1-B1502/150)))/100</f>
        <v/>
      </c>
    </row>
    <row r="1504">
      <c r="A1504" t="inlineStr">
        <is>
          <t>Skill + Buff Cast Rate</t>
        </is>
      </c>
      <c r="B1504">
        <f>IF(AND(Inputs!$B$38&lt;&gt;"pvp",Inputs!$B$43&gt;0),SUMPRODUCT((Skills!E2:E23=TRUE)*(C1477:C1498=TRUE)*R1477:R1498*Skills!F2:F23)/Inputs!$B$43,SUMPRODUCT((Skills!E2:E23=TRUE)*(C1477:C1498=TRUE)*Q1477:Q1498*Skills!F2:F23))</f>
        <v/>
      </c>
    </row>
    <row r="1505">
      <c r="A1505" t="inlineStr">
        <is>
          <t>Hook Bomber Casts Per Second</t>
        </is>
      </c>
      <c r="B1505">
        <f>MAX(0,B1503-B1504)</f>
        <v/>
      </c>
    </row>
    <row r="1506">
      <c r="A1506" t="inlineStr">
        <is>
          <t>Global Critical Damage Bonus % (unused)</t>
        </is>
      </c>
      <c r="B1506" t="n">
        <v>0</v>
      </c>
    </row>
    <row r="1507">
      <c r="A1507" t="inlineStr">
        <is>
          <t>Global Final Damage Bonus % (Serpent Scale + Crossbones + Time Leap + Speed Infusion)</t>
        </is>
      </c>
      <c r="B1507">
        <f>((C1480=TRUE)*F1480*((10+IF(Inputs!$B$3&gt;=94,5,0))/((10+IF(Inputs!$B$3&gt;=94,5,0))+5/(B1505*(1+IF(Inputs!$B$3&gt;=104,1,0))))))+((C1489=TRUE)*F1489)+((C1490=TRUE)*F1490)+((Inputs!$B$3&gt;=110)*20*(B1503-1))</f>
        <v/>
      </c>
    </row>
    <row r="1508">
      <c r="A1508" t="inlineStr">
        <is>
          <t>Buff-Casting Startup Delay (s, fixed-duration only)</t>
        </is>
      </c>
      <c r="B1508">
        <f>IF(AND(Inputs!$B$38&lt;&gt;"pvp",Inputs!$B$43&gt;0),SUMPRODUCT((Skills!T2:T23&gt;0)*(Skills!E2:E23=TRUE)*(C1477:C1498=TRUE))/B1503,0)</f>
        <v/>
      </c>
    </row>
    <row r="1509">
      <c r="A1509" t="inlineStr">
        <is>
          <t>Boss-Only Total DPS (this block's swept value)</t>
        </is>
      </c>
      <c r="B1509">
        <f>SUM(T1477:T1498)</f>
        <v/>
      </c>
    </row>
    <row r="1510">
      <c r="A1510" t="inlineStr">
        <is>
          <t>Normal-Only Total DPS (this block's swept value)</t>
        </is>
      </c>
      <c r="B1510">
        <f>SUM(V1477:V1498)</f>
        <v/>
      </c>
    </row>
    <row r="1511">
      <c r="A1511" s="6" t="inlineStr">
        <is>
          <t>TOTAL DPS</t>
        </is>
      </c>
      <c r="B1511" s="6">
        <f>SUM(O1477:O1498)</f>
        <v/>
      </c>
    </row>
    <row r="1514">
      <c r="A1514" s="6" t="inlineStr">
        <is>
          <t>Stat: Horntail's Scale (Equip)</t>
        </is>
      </c>
    </row>
    <row r="1515">
      <c r="A1515" s="5" t="inlineStr">
        <is>
          <t>Key</t>
        </is>
      </c>
      <c r="B1515" s="5" t="inlineStr">
        <is>
          <t>Name</t>
        </is>
      </c>
      <c r="C1515" s="5" t="inlineStr">
        <is>
          <t>Unlocked</t>
        </is>
      </c>
      <c r="D1515" s="5" t="inlineStr">
        <is>
          <t>InputLevel</t>
        </is>
      </c>
      <c r="E1515" s="5" t="inlineStr">
        <is>
          <t>Factor</t>
        </is>
      </c>
      <c r="F1515" s="5" t="inlineStr">
        <is>
          <t>CoefficientPercent</t>
        </is>
      </c>
      <c r="G1515" s="5" t="inlineStr">
        <is>
          <t>EffectiveHits</t>
        </is>
      </c>
      <c r="H1515" s="5" t="inlineStr">
        <is>
          <t>ProcProbability</t>
        </is>
      </c>
      <c r="I1515" s="5" t="inlineStr">
        <is>
          <t>MapleHeroMultiplier</t>
        </is>
      </c>
      <c r="J1515" s="5" t="inlineStr">
        <is>
          <t>BaseDamage</t>
        </is>
      </c>
      <c r="K1515" s="5" t="inlineStr">
        <is>
          <t>BaseHitDamage</t>
        </is>
      </c>
      <c r="L1515" s="5" t="inlineStr">
        <is>
          <t>NonCritAvg</t>
        </is>
      </c>
      <c r="M1515" s="5" t="inlineStr">
        <is>
          <t>CritAvg</t>
        </is>
      </c>
      <c r="N1515" s="5" t="inlineStr">
        <is>
          <t>ExpectedDamage(perHit)</t>
        </is>
      </c>
      <c r="O1515" s="5" t="inlineStr">
        <is>
          <t>DPS</t>
        </is>
      </c>
      <c r="P1515" s="5" t="inlineStr">
        <is>
          <t>% of Total</t>
        </is>
      </c>
      <c r="Q1515" s="5" t="inlineStr">
        <is>
          <t>InvCooldown</t>
        </is>
      </c>
      <c r="R1515" s="5" t="inlineStr">
        <is>
          <t>CastsInFight</t>
        </is>
      </c>
      <c r="S1515" s="5" t="inlineStr">
        <is>
          <t>HitRate(perSec)</t>
        </is>
      </c>
      <c r="U1515" t="inlineStr">
        <is>
          <t>helpers</t>
        </is>
      </c>
    </row>
    <row r="1516">
      <c r="A1516">
        <f>Skills!A2</f>
        <v/>
      </c>
      <c r="B1516">
        <f>Skills!B2</f>
        <v/>
      </c>
      <c r="C1516">
        <f>Inputs!$B$3&gt;=100</f>
        <v/>
      </c>
      <c r="D1516" t="inlineStr"/>
      <c r="E1516" t="inlineStr"/>
      <c r="F1516">
        <f>U1518+Skills!O2</f>
        <v/>
      </c>
      <c r="G1516">
        <f>Skills!G2*IF(Skills!H2&gt;0,Skills!I2/Skills!H2,1)</f>
        <v/>
      </c>
      <c r="H1516">
        <f>1-(1-Skills!J2/100)^Skills!K2</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20)),(Inputs!$B$23+0+(IF(ArtifactsInput!$M$15,CHOOSE(ArtifactsInput!$N$15+1,25,30,35,40,45,50)/100*(Inputs!$B$11-Inputs!$B$11),0))))/100+(Inputs!$B$23+0+(IF(ArtifactsInput!$M$15,CHOOSE(ArtifactsInput!$N$15+1,25,30,35,40,45,50)/100*(Inputs!$B$11-Inputs!$B$11),0)))/100)/2</f>
        <v/>
      </c>
      <c r="M1516">
        <f>L1516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IF(B1550=0,0,O1516/B1550)</f>
        <v/>
      </c>
      <c r="Q1516" t="n">
        <v>0</v>
      </c>
      <c r="R1516" t="n">
        <v>0</v>
      </c>
      <c r="S1516">
        <f>IFERROR(O1516/N1516,0)</f>
        <v/>
      </c>
      <c r="T1516">
        <f>IF(C1516,(Skills!G2*N1516*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MAX(0,(Inputs!$B$3-100)*3)+Inputs!$B$28+Inputs!$B$29</f>
        <v/>
      </c>
      <c r="V1516">
        <f>IF(C1516,(Skills!G2*N1516*B1544)*IF(Inputs!$B$38="pvp",1,(1+(Inputs!$B$21+Skills!Q2+(IF(ArtifactsInput!$M$33,CHOOSE(ArtifactsInput!$N$33+1,30,36,42,48,54,60),0))+(IF(AND(ArtifactsInput!$M$35,Inputs!$B$4&lt;&gt;"Chapter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Skills!A3</f>
        <v/>
      </c>
      <c r="B1517">
        <f>Skills!B3</f>
        <v/>
      </c>
      <c r="C1517">
        <f>Inputs!$B$3&gt;=35</f>
        <v/>
      </c>
      <c r="D1517">
        <f>IF(Skills!C3=1,60+Inputs!$B$25+Inputs!$B$29,IF(Skills!C3=2,90+Inputs!$B$26+Inputs!$B$29,IF(Skills!C3=3,120+Inputs!$B$27+Inputs!$B$29,MAX(0,(Inputs!$B$3-100)*3)+Inputs!$B$28+Inputs!$B$29)))</f>
        <v/>
      </c>
      <c r="E1517">
        <f>INDEX(FactorTable!$B$2:$Y$301, MATCH(ROUND(MIN(300,MAX(1,D1517)),0), FactorTable!$A$2:$A$301,0), Skills!M3+1)</f>
        <v/>
      </c>
      <c r="F1517">
        <f>IF(Skills!N3=TRUE,(Skills!L3/10)*(E1517/1000),Skills!L3/10)+Skills!O3</f>
        <v/>
      </c>
      <c r="G1517">
        <f>Skills!G3*IF(Skills!H3&gt;0,Skills!I3/Skills!H3,1)</f>
        <v/>
      </c>
      <c r="H1517">
        <f>1-(1-Skills!J3/100)^Skills!K3</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3*H1517*N1517*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INDEX(FactorTable!$B$2:$Y$301, MATCH(ROUND(MIN(300,MAX(1,U1516)),0), FactorTable!$A$2:$A$301,0), 22)</f>
        <v/>
      </c>
      <c r="V1517">
        <f>IF(C1517,(Skills!G3*H1517*N1517*B1544)*IF(Inputs!$B$38="pvp",1,(1+(Inputs!$B$21+Skills!Q3+(IF(ArtifactsInput!$M$33,CHOOSE(ArtifactsInput!$N$33+1,30,36,42,48,54,60),0))+(IF(AND(ArtifactsInput!$M$35,Inputs!$B$4&lt;&gt;"Chapter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Skills!A4</f>
        <v/>
      </c>
      <c r="B1518">
        <f>Skills!B4</f>
        <v/>
      </c>
      <c r="C1518">
        <f>Inputs!$B$3&gt;=60</f>
        <v/>
      </c>
      <c r="D1518">
        <f>IF(Skills!C4=1,60+Inputs!$B$25+Inputs!$B$29,IF(Skills!C4=2,90+Inputs!$B$26+Inputs!$B$29,IF(Skills!C4=3,120+Inputs!$B$27+Inputs!$B$29,MAX(0,(Inputs!$B$3-100)*3)+Inputs!$B$28+Inputs!$B$29)))</f>
        <v/>
      </c>
      <c r="E1518">
        <f>INDEX(FactorTable!$B$2:$Y$301, MATCH(ROUND(MIN(300,MAX(1,D1518)),0), FactorTable!$A$2:$A$301,0), Skills!M4+1)</f>
        <v/>
      </c>
      <c r="F1518">
        <f>IF(Skills!N4=TRUE,(Skills!L4/10)*(E1518/1000),Skills!L4/10)+Skills!O4</f>
        <v/>
      </c>
      <c r="G1518">
        <f>Skills!G4*IF(Skills!H4&gt;0,Skills!I4/Skills!H4,1)</f>
        <v/>
      </c>
      <c r="H1518">
        <f>1-(1-Skills!J4/100)^Skills!K4</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1526=TRUE,F1526,0)/100)*(1+(IF(Skills!A4="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4*H1518*N1518*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290*U1517/1000</f>
        <v/>
      </c>
      <c r="V1518">
        <f>IF(C1518,(Skills!G4*H1518*N1518*B1544)*IF(Inputs!$B$38="pvp",1,(1+(Inputs!$B$21+Skills!Q4+(IF(ArtifactsInput!$M$33,CHOOSE(ArtifactsInput!$N$33+1,30,36,42,48,54,60),0))+(IF(AND(ArtifactsInput!$M$35,Inputs!$B$4&lt;&gt;"Chapter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Skills!A5</f>
        <v/>
      </c>
      <c r="B1519">
        <f>Skills!B5</f>
        <v/>
      </c>
      <c r="C1519">
        <f>Inputs!$B$3&gt;=60</f>
        <v/>
      </c>
      <c r="D1519">
        <f>IF(Skills!C5=1,60+Inputs!$B$25+Inputs!$B$29,IF(Skills!C5=2,90+Inputs!$B$26+Inputs!$B$29,IF(Skills!C5=3,120+Inputs!$B$27+Inputs!$B$29,MAX(0,(Inputs!$B$3-100)*3)+Inputs!$B$28+Inputs!$B$29)))</f>
        <v/>
      </c>
      <c r="E1519">
        <f>INDEX(FactorTable!$B$2:$Y$301, MATCH(ROUND(MIN(300,MAX(1,D1519)),0), FactorTable!$A$2:$A$301,0), Skills!M5+1)</f>
        <v/>
      </c>
      <c r="F1519">
        <f>IF(Skills!N5=TRUE,(Skills!L5/10)*(E1519/1000),Skills!L5/10)+Skills!O5</f>
        <v/>
      </c>
      <c r="G1519">
        <f>Skills!G5*IF(Skills!H5&gt;0,Skills!I5/Skills!H5,1)</f>
        <v/>
      </c>
      <c r="H1519">
        <f>1-(1-Skills!J5/100)^Skills!K5</f>
        <v/>
      </c>
      <c r="I1519" t="inlineStr">
        <is>
          <t>1</t>
        </is>
      </c>
      <c r="J1519" t="inlineStr"/>
      <c r="K1519" t="inlineStr"/>
      <c r="L1519" t="inlineStr"/>
      <c r="M1519" t="inlineStr"/>
      <c r="N1519" t="inlineStr"/>
      <c r="O1519">
        <f>(1-Summary!$B$11)*T1519+Summary!$B$11*V1519</f>
        <v/>
      </c>
      <c r="P1519">
        <f>IF(B1550=0,0,O1519/B1550)</f>
        <v/>
      </c>
      <c r="Q1519" t="n">
        <v>0</v>
      </c>
      <c r="R1519" t="n">
        <v>0</v>
      </c>
      <c r="S1519">
        <f>IFERROR(O1519/N1519,0)</f>
        <v/>
      </c>
      <c r="T1519" t="n">
        <v>0</v>
      </c>
      <c r="V1519" t="n">
        <v>0</v>
      </c>
    </row>
    <row r="1520">
      <c r="A1520">
        <f>Skills!A6</f>
        <v/>
      </c>
      <c r="B1520">
        <f>Skills!B6</f>
        <v/>
      </c>
      <c r="C1520">
        <f>Inputs!$B$3&gt;=63</f>
        <v/>
      </c>
      <c r="D1520">
        <f>IF(Skills!C6=1,60+Inputs!$B$25+Inputs!$B$29,IF(Skills!C6=2,90+Inputs!$B$26+Inputs!$B$29,IF(Skills!C6=3,120+Inputs!$B$27+Inputs!$B$29,MAX(0,(Inputs!$B$3-100)*3)+Inputs!$B$28+Inputs!$B$29)))</f>
        <v/>
      </c>
      <c r="E1520">
        <f>INDEX(FactorTable!$B$2:$Y$301, MATCH(ROUND(MIN(300,MAX(1,D1520)),0), FactorTable!$A$2:$A$301,0), Skills!M6+1)</f>
        <v/>
      </c>
      <c r="F1520">
        <f>IF(Skills!N6=TRUE,(Skills!L6/10)*(E1520/1000),Skills!L6/10)+Skills!O6</f>
        <v/>
      </c>
      <c r="G1520">
        <f>Skills!G6*IF(Skills!H6&gt;0,Skills!I6/Skills!H6,1)</f>
        <v/>
      </c>
      <c r="H1520">
        <f>1-(1-Skills!J6/100)^Skills!K6</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IFERROR(1/(IF(Inputs!$B$38="pvp",15,MAX(0.1,Skills!D6-IF(Skills!E6=TRUE,Inputs!$B$32,0)))*(1-IF(AND(ArtifactsInput!$M$27,Inputs!$B$4="Chapter Hunt"),CHOOSE(ArtifactsInput!$N$27+1,20,24,28,32,36,40),0)/100)),0)</f>
        <v/>
      </c>
      <c r="R1520">
        <f>IF(AND(Inputs!$B$38&lt;&gt;"pvp",Inputs!$B$43&gt;0),IF(MAX(0,Inputs!$B$43-B1547)&lt;=0,0,(INT(MAX(0,Inputs!$B$43-B1547)/(IF(Inputs!$B$38="pvp",15,MAX(0.1,Skills!D6-IF(Skills!E6=TRUE,Inputs!$B$32,0)))*(1-IF(AND(ArtifactsInput!$M$27,Inputs!$B$4="Chapter Hunt"),CHOOSE(ArtifactsInput!$N$27+1,20,24,28,32,36,40),0)/100)))+1)),0)</f>
        <v/>
      </c>
      <c r="S1520">
        <f>IFERROR(O1520/N1520,0)</f>
        <v/>
      </c>
      <c r="T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Skills!A7</f>
        <v/>
      </c>
      <c r="B1521">
        <f>Skills!B7</f>
        <v/>
      </c>
      <c r="C1521">
        <f>Inputs!$B$3&gt;=100</f>
        <v/>
      </c>
      <c r="D1521">
        <f>IF(Skills!C7=1,60+Inputs!$B$25+Inputs!$B$29,IF(Skills!C7=2,90+Inputs!$B$26+Inputs!$B$29,IF(Skills!C7=3,120+Inputs!$B$27+Inputs!$B$29,MAX(0,(Inputs!$B$3-100)*3)+Inputs!$B$28+Inputs!$B$29)))</f>
        <v/>
      </c>
      <c r="E1521">
        <f>INDEX(FactorTable!$B$2:$Y$301, MATCH(ROUND(MIN(300,MAX(1,D1521)),0), FactorTable!$A$2:$A$301,0), Skills!M7+1)</f>
        <v/>
      </c>
      <c r="F1521">
        <f>IF(Skills!N7=TRUE,(Skills!L7/10)*(E1521/1000),Skills!L7/10)+Skills!O7</f>
        <v/>
      </c>
      <c r="G1521">
        <f>Skills!G7*IF(Skills!H7&gt;0,Skills!I7/Skills!H7,1)</f>
        <v/>
      </c>
      <c r="H1521">
        <f>1-(1-Skills!J7/100)^Skills!K7</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IFERROR(1/(IF(Inputs!$B$38="pvp",15,MAX(0.1,Skills!D7-IF(Skills!E7=TRUE,Inputs!$B$32,0)))*(1-IF(AND(ArtifactsInput!$M$27,Inputs!$B$4="Chapter Hunt"),CHOOSE(ArtifactsInput!$N$27+1,20,24,28,32,36,40),0)/100)),0)</f>
        <v/>
      </c>
      <c r="R1521">
        <f>IF(AND(Inputs!$B$38&lt;&gt;"pvp",Inputs!$B$43&gt;0),IF(MAX(0,Inputs!$B$43-B1547)&lt;=0,0,(INT(MAX(0,Inputs!$B$43-B1547)/(IF(Inputs!$B$38="pvp",15,MAX(0.1,Skills!D7-IF(Skills!E7=TRUE,Inputs!$B$32,0)))*(1-IF(AND(ArtifactsInput!$M$27,Inputs!$B$4="Chapter Hunt"),CHOOSE(ArtifactsInput!$N$27+1,20,24,28,32,36,40),0)/100)))+1)),0)</f>
        <v/>
      </c>
      <c r="S1521">
        <f>IFERROR(O1521/N1521,0)</f>
        <v/>
      </c>
      <c r="T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Skills!A8</f>
        <v/>
      </c>
      <c r="B1522">
        <f>Skills!B8</f>
        <v/>
      </c>
      <c r="C1522">
        <f>Inputs!$B$3&gt;=110</f>
        <v/>
      </c>
      <c r="D1522">
        <f>IF(Skills!C8=1,60+Inputs!$B$25+Inputs!$B$29,IF(Skills!C8=2,90+Inputs!$B$26+Inputs!$B$29,IF(Skills!C8=3,120+Inputs!$B$27+Inputs!$B$29,MAX(0,(Inputs!$B$3-100)*3)+Inputs!$B$28+Inputs!$B$29)))</f>
        <v/>
      </c>
      <c r="E1522">
        <f>INDEX(FactorTable!$B$2:$Y$301, MATCH(ROUND(MIN(300,MAX(1,D1522)),0), FactorTable!$A$2:$A$301,0), Skills!M8+1)</f>
        <v/>
      </c>
      <c r="F1522">
        <f>IF(Skills!N8=TRUE,(Skills!L8/10)*(E1522/1000),Skills!L8/10)+Skills!O8</f>
        <v/>
      </c>
      <c r="G1522">
        <f>Skills!G8*IF(Skills!H8&gt;0,Skills!I8/Skills!H8,1)</f>
        <v/>
      </c>
      <c r="H1522">
        <f>1-(1-Skills!J8/100)^Skills!K8</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IFERROR(1/(IF(Inputs!$B$38="pvp",15,MAX(0.1,Skills!D8-IF(Skills!E8=TRUE,Inputs!$B$32,0)))*(1-IF(AND(ArtifactsInput!$M$27,Inputs!$B$4="Chapter Hunt"),CHOOSE(ArtifactsInput!$N$27+1,20,24,28,32,36,40),0)/100)),0)</f>
        <v/>
      </c>
      <c r="R1522">
        <f>IF(AND(Inputs!$B$38&lt;&gt;"pvp",Inputs!$B$43&gt;0),IF(MAX(0,Inputs!$B$43-B1547)&lt;=0,0,(INT(MAX(0,Inputs!$B$43-B1547)/(IF(Inputs!$B$38="pvp",15,MAX(0.1,Skills!D8-IF(Skills!E8=TRUE,Inputs!$B$32,0)))*(1-IF(AND(ArtifactsInput!$M$27,Inputs!$B$4="Chapter Hunt"),CHOOSE(ArtifactsInput!$N$27+1,20,24,28,32,36,40),0)/100)))+1)),0)</f>
        <v/>
      </c>
      <c r="S1522">
        <f>IFERROR(O1522/N1522,0)</f>
        <v/>
      </c>
      <c r="T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Skills!A9</f>
        <v/>
      </c>
      <c r="B1523">
        <f>Skills!B9</f>
        <v/>
      </c>
      <c r="C1523">
        <f>Inputs!$B$3&gt;=110</f>
        <v/>
      </c>
      <c r="D1523">
        <f>IF(Skills!C9=1,60+Inputs!$B$25+Inputs!$B$29,IF(Skills!C9=2,90+Inputs!$B$26+Inputs!$B$29,IF(Skills!C9=3,120+Inputs!$B$27+Inputs!$B$29,MAX(0,(Inputs!$B$3-100)*3)+Inputs!$B$28+Inputs!$B$29)))</f>
        <v/>
      </c>
      <c r="E1523">
        <f>INDEX(FactorTable!$B$2:$Y$301, MATCH(ROUND(MIN(300,MAX(1,D1523)),0), FactorTable!$A$2:$A$301,0), Skills!M9+1)</f>
        <v/>
      </c>
      <c r="F1523">
        <f>IF(Skills!N9=TRUE,(Skills!L9/10)*(E1523/1000),Skills!L9/10)+Skills!O9</f>
        <v/>
      </c>
      <c r="G1523">
        <f>Skills!G9*IF(Skills!H9&gt;0,Skills!I9/Skills!H9,1)</f>
        <v/>
      </c>
      <c r="H1523">
        <f>1-(1-Skills!J9/100)^Skills!K9</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1534=TRUE)*(F1534-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IFERROR(1/(IF(Inputs!$B$38="pvp",15,MAX(0.1,Skills!D9-IF(Skills!E9=TRUE,Inputs!$B$32,0)))*(1-IF(AND(ArtifactsInput!$M$27,Inputs!$B$4="Chapter Hunt"),CHOOSE(ArtifactsInput!$N$27+1,20,24,28,32,36,40),0)/100)),0)</f>
        <v/>
      </c>
      <c r="R1523">
        <f>IF(AND(Inputs!$B$38&lt;&gt;"pvp",Inputs!$B$43&gt;0),IF(MAX(0,Inputs!$B$43-B1547)&lt;=0,0,(INT(MAX(0,Inputs!$B$43-B1547)/(IF(Inputs!$B$38="pvp",15,MAX(0.1,Skills!D9-IF(Skills!E9=TRUE,Inputs!$B$32,0)))*(1-IF(AND(ArtifactsInput!$M$27,Inputs!$B$4="Chapter Hunt"),CHOOSE(ArtifactsInput!$N$27+1,20,24,28,32,36,40),0)/100)))+1)),0)</f>
        <v/>
      </c>
      <c r="S1523">
        <f>IFERROR(O1523/N1523,0)</f>
        <v/>
      </c>
      <c r="T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Skills!A10</f>
        <v/>
      </c>
      <c r="B1524">
        <f>Skills!B10</f>
        <v/>
      </c>
      <c r="C1524">
        <f>Inputs!$B$3&gt;=103</f>
        <v/>
      </c>
      <c r="D1524">
        <f>IF(Skills!C10=1,60+Inputs!$B$25+Inputs!$B$29,IF(Skills!C10=2,90+Inputs!$B$26+Inputs!$B$29,IF(Skills!C10=3,120+Inputs!$B$27+Inputs!$B$29,MAX(0,(Inputs!$B$3-100)*3)+Inputs!$B$28+Inputs!$B$29)))</f>
        <v/>
      </c>
      <c r="E1524">
        <f>INDEX(FactorTable!$B$2:$Y$301, MATCH(ROUND(MIN(300,MAX(1,D1524)),0), FactorTable!$A$2:$A$301,0), Skills!M10+1)</f>
        <v/>
      </c>
      <c r="F1524">
        <f>IF(Skills!N10=TRUE,(Skills!L10/10)*(E1524/1000),Skills!L10/10)+Skills!O10</f>
        <v/>
      </c>
      <c r="G1524">
        <f>Skills!G10*IF(Skills!H10&gt;0,Skills!I10/Skills!H10,1)</f>
        <v/>
      </c>
      <c r="H1524">
        <f>1-(1-Skills!J10/100)^Skills!K10</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1534=TRUE)*(F1534-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IFERROR(1/(IF(Inputs!$B$38="pvp",15,MAX(0.1,Skills!D10-IF(Skills!E10=TRUE,Inputs!$B$32,0)))*(1-IF(AND(ArtifactsInput!$M$27,Inputs!$B$4="Chapter Hunt"),CHOOSE(ArtifactsInput!$N$27+1,20,24,28,32,36,40),0)/100)),0)</f>
        <v/>
      </c>
      <c r="R1524">
        <f>IF(AND(Inputs!$B$38&lt;&gt;"pvp",Inputs!$B$43&gt;0),IF(MAX(0,Inputs!$B$43-B1547)&lt;=0,0,(INT(MAX(0,Inputs!$B$43-B1547)/(IF(Inputs!$B$38="pvp",15,MAX(0.1,Skills!D10-IF(Skills!E10=TRUE,Inputs!$B$32,0)))*(1-IF(AND(ArtifactsInput!$M$27,Inputs!$B$4="Chapter Hunt"),CHOOSE(ArtifactsInput!$N$27+1,20,24,28,32,36,40),0)/100)))+1)),0)</f>
        <v/>
      </c>
      <c r="S1524">
        <f>IFERROR(O1524/N1524,0)</f>
        <v/>
      </c>
      <c r="T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Skills!A11</f>
        <v/>
      </c>
      <c r="B1525">
        <f>Skills!B11</f>
        <v/>
      </c>
      <c r="C1525">
        <f>Inputs!$B$3&gt;=113</f>
        <v/>
      </c>
      <c r="D1525">
        <f>IF(Skills!C11=1,60+Inputs!$B$25+Inputs!$B$29,IF(Skills!C11=2,90+Inputs!$B$26+Inputs!$B$29,IF(Skills!C11=3,120+Inputs!$B$27+Inputs!$B$29,MAX(0,(Inputs!$B$3-100)*3)+Inputs!$B$28+Inputs!$B$29)))</f>
        <v/>
      </c>
      <c r="E1525">
        <f>INDEX(FactorTable!$B$2:$Y$301, MATCH(ROUND(MIN(300,MAX(1,D1525)),0), FactorTable!$A$2:$A$301,0), Skills!M11+1)</f>
        <v/>
      </c>
      <c r="F1525">
        <f>IF(Skills!N11=TRUE,(Skills!L11/10)*(E1525/1000),Skills!L11/10)+Skills!O11</f>
        <v/>
      </c>
      <c r="G1525">
        <f>Skills!G11*IF(Skills!H11&gt;0,Skills!I11/Skills!H11,1)</f>
        <v/>
      </c>
      <c r="H1525">
        <f>1-(1-Skills!J11/100)^Skills!K11</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1534=TRUE)*(F1534-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IFERROR(1/(IF(Inputs!$B$38="pvp",15,MAX(0.1,Skills!D11-IF(Skills!E11=TRUE,Inputs!$B$32,0)))*(1-IF(AND(ArtifactsInput!$M$27,Inputs!$B$4="Chapter Hunt"),CHOOSE(ArtifactsInput!$N$27+1,20,24,28,32,36,40),0)/100)),0)</f>
        <v/>
      </c>
      <c r="R1525">
        <f>IF(AND(Inputs!$B$38&lt;&gt;"pvp",Inputs!$B$43&gt;0),IF(MAX(0,Inputs!$B$43-B1547)&lt;=0,0,(INT(MAX(0,Inputs!$B$43-B1547)/(IF(Inputs!$B$38="pvp",15,MAX(0.1,Skills!D11-IF(Skills!E11=TRUE,Inputs!$B$32,0)))*(1-IF(AND(ArtifactsInput!$M$27,Inputs!$B$4="Chapter Hunt"),CHOOSE(ArtifactsInput!$N$27+1,20,24,28,32,36,40),0)/100)))+1)),0)</f>
        <v/>
      </c>
      <c r="S1525">
        <f>IFERROR(O1525/N1525,0)</f>
        <v/>
      </c>
      <c r="T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Skills!A12</f>
        <v/>
      </c>
      <c r="B1526">
        <f>Skills!B12</f>
        <v/>
      </c>
      <c r="C1526">
        <f>Inputs!$B$3&gt;=100</f>
        <v/>
      </c>
      <c r="D1526">
        <f>IF(Skills!C12=1,60+Inputs!$B$25+Inputs!$B$29,IF(Skills!C12=2,90+Inputs!$B$26+Inputs!$B$29,IF(Skills!C12=3,120+Inputs!$B$27+Inputs!$B$29,MAX(0,(Inputs!$B$3-100)*3)+Inputs!$B$28+Inputs!$B$29)))</f>
        <v/>
      </c>
      <c r="E1526">
        <f>INDEX(FactorTable!$B$2:$Y$301, MATCH(ROUND(MIN(300,MAX(1,D1526)),0), FactorTable!$A$2:$A$301,0), Skills!M12+1)</f>
        <v/>
      </c>
      <c r="F1526">
        <f>IF(Skills!N12=TRUE,(Skills!L12/10)*(E1526/1000),Skills!L12/10)+Skills!O12</f>
        <v/>
      </c>
      <c r="G1526" t="inlineStr"/>
      <c r="H1526" t="inlineStr"/>
      <c r="I1526" t="inlineStr">
        <is>
          <t>1</t>
        </is>
      </c>
      <c r="J1526" t="inlineStr"/>
      <c r="K1526" t="inlineStr"/>
      <c r="L1526" t="inlineStr"/>
      <c r="M1526" t="inlineStr"/>
      <c r="N1526" t="inlineStr"/>
      <c r="O1526" t="inlineStr"/>
      <c r="P1526" t="inlineStr"/>
      <c r="Q1526" t="inlineStr"/>
      <c r="R1526" t="inlineStr"/>
      <c r="S1526" t="inlineStr"/>
      <c r="T1526" t="inlineStr"/>
      <c r="V1526" t="inlineStr"/>
    </row>
    <row r="1527">
      <c r="A1527">
        <f>Skills!A13</f>
        <v/>
      </c>
      <c r="B1527">
        <f>Skills!B13</f>
        <v/>
      </c>
      <c r="C1527">
        <f>Inputs!$B$3&gt;=66</f>
        <v/>
      </c>
      <c r="D1527">
        <f>IF(Skills!C13=1,60+Inputs!$B$25+Inputs!$B$29,IF(Skills!C13=2,90+Inputs!$B$26+Inputs!$B$29,IF(Skills!C13=3,120+Inputs!$B$27+Inputs!$B$29,MAX(0,(Inputs!$B$3-100)*3)+Inputs!$B$28+Inputs!$B$29)))</f>
        <v/>
      </c>
      <c r="E1527">
        <f>INDEX(FactorTable!$B$2:$Y$301, MATCH(ROUND(MIN(300,MAX(1,D1527)),0), FactorTable!$A$2:$A$301,0), Skills!M13+1)</f>
        <v/>
      </c>
      <c r="F1527">
        <f>IF(Skills!N13=TRUE,(Skills!L13/10)*(E1527/1000),Skills!L13/10)+Skills!O13</f>
        <v/>
      </c>
      <c r="G1527">
        <f>Skills!G13*IF(Skills!H13&gt;0,Skills!I13/Skills!H13,1)</f>
        <v/>
      </c>
      <c r="H1527">
        <f>1-(1-Skills!J13/100)^Skills!K13</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Skills!A14</f>
        <v/>
      </c>
      <c r="B1528">
        <f>Skills!B14</f>
        <v/>
      </c>
      <c r="C1528">
        <f>Inputs!$B$3&gt;=107</f>
        <v/>
      </c>
      <c r="D1528">
        <f>IF(Skills!C14=1,60+Inputs!$B$25+Inputs!$B$29,IF(Skills!C14=2,90+Inputs!$B$26+Inputs!$B$29,IF(Skills!C14=3,120+Inputs!$B$27+Inputs!$B$29,MAX(0,(Inputs!$B$3-100)*3)+Inputs!$B$28+Inputs!$B$29)))</f>
        <v/>
      </c>
      <c r="E1528">
        <f>INDEX(FactorTable!$B$2:$Y$301, MATCH(ROUND(MIN(300,MAX(1,D1528)),0), FactorTable!$A$2:$A$301,0), Skills!M14+1)</f>
        <v/>
      </c>
      <c r="F1528">
        <f>IF(Skills!N14=TRUE,(Skills!L14/10)*(E1528/1000),Skills!L14/10)+Skills!O14</f>
        <v/>
      </c>
      <c r="G1528">
        <f>Skills!G14*IF(Skills!H14&gt;0,Skills!I14/Skills!H14,1)</f>
        <v/>
      </c>
      <c r="H1528">
        <f>1-(1-Skills!J14/100)^Skills!K14</f>
        <v/>
      </c>
      <c r="I1528" t="inlineStr">
        <is>
          <t>1</t>
        </is>
      </c>
      <c r="J1528" t="inlineStr"/>
      <c r="K1528" t="inlineStr"/>
      <c r="L1528" t="inlineStr"/>
      <c r="M1528" t="inlineStr"/>
      <c r="N1528" t="inlineStr"/>
      <c r="O1528">
        <f>(1-Summary!$B$11)*T1528+Summary!$B$11*V1528</f>
        <v/>
      </c>
      <c r="P1528">
        <f>IF(B1550=0,0,O1528/B1550)</f>
        <v/>
      </c>
      <c r="Q1528" t="n">
        <v>0</v>
      </c>
      <c r="R1528" t="n">
        <v>0</v>
      </c>
      <c r="S1528">
        <f>IFERROR(O1528/N1528,0)</f>
        <v/>
      </c>
      <c r="T1528" t="n">
        <v>0</v>
      </c>
      <c r="V1528" t="n">
        <v>0</v>
      </c>
    </row>
    <row r="1529">
      <c r="A1529">
        <f>Skills!A15</f>
        <v/>
      </c>
      <c r="B1529">
        <f>Skills!B15</f>
        <v/>
      </c>
      <c r="C1529">
        <f>Inputs!$B$3&gt;=115</f>
        <v/>
      </c>
      <c r="D1529">
        <f>IF(Skills!C15=1,60+Inputs!$B$25+Inputs!$B$29,IF(Skills!C15=2,90+Inputs!$B$26+Inputs!$B$29,IF(Skills!C15=3,120+Inputs!$B$27+Inputs!$B$29,MAX(0,(Inputs!$B$3-100)*3)+Inputs!$B$28+Inputs!$B$29)))</f>
        <v/>
      </c>
      <c r="E1529">
        <f>INDEX(FactorTable!$B$2:$Y$301, MATCH(ROUND(MIN(300,MAX(1,D1529)),0), FactorTable!$A$2:$A$301,0), Skills!M15+1)</f>
        <v/>
      </c>
      <c r="F1529">
        <f>IF(Skills!N15=TRUE,(Skills!L15/10)*(E1529/1000),Skills!L15/10)+Skills!O15</f>
        <v/>
      </c>
      <c r="G1529">
        <f>Skills!G15*IF(Skills!H15&gt;0,Skills!I15/Skills!H15,1)</f>
        <v/>
      </c>
      <c r="H1529">
        <f>1-(1-Skills!J15/100)^Skills!K15</f>
        <v/>
      </c>
      <c r="I1529" t="inlineStr">
        <is>
          <t>1</t>
        </is>
      </c>
      <c r="J1529" t="inlineStr"/>
      <c r="K1529" t="inlineStr"/>
      <c r="L1529" t="inlineStr"/>
      <c r="M1529" t="inlineStr"/>
      <c r="N1529" t="inlineStr"/>
      <c r="O1529">
        <f>(1-Summary!$B$11)*T1529+Summary!$B$11*V1529</f>
        <v/>
      </c>
      <c r="P1529">
        <f>IF(B1550=0,0,O1529/B1550)</f>
        <v/>
      </c>
      <c r="Q1529" t="n">
        <v>0</v>
      </c>
      <c r="R1529" t="n">
        <v>0</v>
      </c>
      <c r="S1529">
        <f>IFERROR(O1529/N1529,0)</f>
        <v/>
      </c>
      <c r="T1529" t="n">
        <v>0</v>
      </c>
      <c r="V1529" t="n">
        <v>0</v>
      </c>
    </row>
    <row r="1530">
      <c r="A1530">
        <f>Skills!A16</f>
        <v/>
      </c>
      <c r="B1530">
        <f>Skills!B16</f>
        <v/>
      </c>
      <c r="C1530">
        <f>Inputs!$B$3&gt;=15</f>
        <v/>
      </c>
      <c r="D1530">
        <f>IF(Skills!C16=1,60+Inputs!$B$25+Inputs!$B$29,IF(Skills!C16=2,90+Inputs!$B$26+Inputs!$B$29,IF(Skills!C16=3,120+Inputs!$B$27+Inputs!$B$29,MAX(0,(Inputs!$B$3-100)*3)+Inputs!$B$28+Inputs!$B$29)))</f>
        <v/>
      </c>
      <c r="E1530">
        <f>INDEX(FactorTable!$B$2:$Y$301, MATCH(ROUND(MIN(300,MAX(1,D1530)),0), FactorTable!$A$2:$A$301,0), Skills!M16+1)</f>
        <v/>
      </c>
      <c r="F1530">
        <f>IF(Skills!N16=TRUE,(Skills!L16/10)*(E1530/1000),Skills!L16/10)+Skills!O16</f>
        <v/>
      </c>
      <c r="G1530">
        <f>Skills!G16*IF(Skills!H16&gt;0,Skills!I16/Skills!H16,1)</f>
        <v/>
      </c>
      <c r="H1530">
        <f>1-(1-Skills!J16/100)^Skills!K16</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Skills!A17</f>
        <v/>
      </c>
      <c r="B1531">
        <f>Skills!B17</f>
        <v/>
      </c>
      <c r="C1531">
        <f>Inputs!$B$3&gt;=10</f>
        <v/>
      </c>
      <c r="D1531">
        <f>IF(Skills!C17=1,60+Inputs!$B$25+Inputs!$B$29,IF(Skills!C17=2,90+Inputs!$B$26+Inputs!$B$29,IF(Skills!C17=3,120+Inputs!$B$27+Inputs!$B$29,MAX(0,(Inputs!$B$3-100)*3)+Inputs!$B$28+Inputs!$B$29)))</f>
        <v/>
      </c>
      <c r="E1531">
        <f>INDEX(FactorTable!$B$2:$Y$301, MATCH(ROUND(MIN(300,MAX(1,D1531)),0), FactorTable!$A$2:$A$301,0), Skills!M17+1)</f>
        <v/>
      </c>
      <c r="F1531">
        <f>IF(Skills!N17=TRUE,(Skills!L17/10)*(E1531/1000),Skills!L17/10)+Skills!O17</f>
        <v/>
      </c>
      <c r="G1531">
        <f>Skills!G17*IF(Skills!H17&gt;0,Skills!I17/Skills!H17,1)</f>
        <v/>
      </c>
      <c r="H1531">
        <f>1-(1-Skills!J17/100)^Skills!K17</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Skills!A18</f>
        <v/>
      </c>
      <c r="B1532">
        <f>Skills!B18</f>
        <v/>
      </c>
      <c r="C1532">
        <f>Inputs!$B$3&gt;=33</f>
        <v/>
      </c>
      <c r="D1532">
        <f>IF(Skills!C18=1,60+Inputs!$B$25+Inputs!$B$29,IF(Skills!C18=2,90+Inputs!$B$26+Inputs!$B$29,IF(Skills!C18=3,120+Inputs!$B$27+Inputs!$B$29,MAX(0,(Inputs!$B$3-100)*3)+Inputs!$B$28+Inputs!$B$29)))</f>
        <v/>
      </c>
      <c r="E1532">
        <f>INDEX(FactorTable!$B$2:$Y$301, MATCH(ROUND(MIN(300,MAX(1,D1532)),0), FactorTable!$A$2:$A$301,0), Skills!M18+1)</f>
        <v/>
      </c>
      <c r="F1532">
        <f>IF(Skills!N18=TRUE,(Skills!L18/10)*(E1532/1000),Skills!L18/10)+Skills!O18</f>
        <v/>
      </c>
      <c r="G1532">
        <f>Skills!G18*IF(Skills!H18&gt;0,Skills!I18/Skills!H18,1)</f>
        <v/>
      </c>
      <c r="H1532">
        <f>1-(1-Skills!J18/100)^Skills!K18</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Skills!A19</f>
        <v/>
      </c>
      <c r="B1533">
        <f>Skills!B19</f>
        <v/>
      </c>
      <c r="C1533">
        <f>Inputs!$B$3&gt;=40</f>
        <v/>
      </c>
      <c r="D1533">
        <f>IF(Skills!C19=1,60+Inputs!$B$25+Inputs!$B$29,IF(Skills!C19=2,90+Inputs!$B$26+Inputs!$B$29,IF(Skills!C19=3,120+Inputs!$B$27+Inputs!$B$29,MAX(0,(Inputs!$B$3-100)*3)+Inputs!$B$28+Inputs!$B$29)))</f>
        <v/>
      </c>
      <c r="E1533">
        <f>INDEX(FactorTable!$B$2:$Y$301, MATCH(ROUND(MIN(300,MAX(1,D1533)),0), FactorTable!$A$2:$A$301,0), Skills!M19+1)</f>
        <v/>
      </c>
      <c r="F1533">
        <f>IF(Skills!N19=TRUE,(Skills!L19/10)*(E1533/1000),Skills!L19/10)+Skills!O19</f>
        <v/>
      </c>
      <c r="G1533">
        <f>Skills!G19*IF(Skills!H19&gt;0,Skills!I19/Skills!H19,1)</f>
        <v/>
      </c>
      <c r="H1533">
        <f>1-(1-Skills!J19/100)^Skills!K19</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Skills!A20</f>
        <v/>
      </c>
      <c r="B1534">
        <f>Skills!B20</f>
        <v/>
      </c>
      <c r="C1534">
        <f>Inputs!$B$3&gt;=43</f>
        <v/>
      </c>
      <c r="D1534">
        <f>IF(Skills!C20=1,60+Inputs!$B$25+Inputs!$B$29,IF(Skills!C20=2,90+Inputs!$B$26+Inputs!$B$29,IF(Skills!C20=3,120+Inputs!$B$27+Inputs!$B$29,MAX(0,(Inputs!$B$3-100)*3)+Inputs!$B$28+Inputs!$B$29)))</f>
        <v/>
      </c>
      <c r="E1534">
        <f>INDEX(FactorTable!$B$2:$Y$301, MATCH(ROUND(MIN(300,MAX(1,D1534)),0), FactorTable!$A$2:$A$301,0), Skills!M20+1)</f>
        <v/>
      </c>
      <c r="F1534">
        <f>IF(Skills!N20=TRUE,(Skills!L20/10)*(E1534/1000),Skills!L20/10)+Skills!O20</f>
        <v/>
      </c>
      <c r="G1534">
        <f>Skills!G20*IF(Skills!H20&gt;0,Skills!I20/Skills!H20,1)</f>
        <v/>
      </c>
      <c r="H1534">
        <f>1-(1-Skills!J20/100)^Skills!K20</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Skills!A21</f>
        <v/>
      </c>
      <c r="B1535">
        <f>Skills!B21</f>
        <v/>
      </c>
      <c r="C1535">
        <f>Inputs!$B$3&gt;=38</f>
        <v/>
      </c>
      <c r="D1535">
        <f>IF(Skills!C21=1,60+Inputs!$B$25+Inputs!$B$29,IF(Skills!C21=2,90+Inputs!$B$26+Inputs!$B$29,IF(Skills!C21=3,120+Inputs!$B$27+Inputs!$B$29,MAX(0,(Inputs!$B$3-100)*3)+Inputs!$B$28+Inputs!$B$29)))</f>
        <v/>
      </c>
      <c r="E1535">
        <f>INDEX(FactorTable!$B$2:$Y$301, MATCH(ROUND(MIN(300,MAX(1,D1535)),0), FactorTable!$A$2:$A$301,0), Skills!M21+1)</f>
        <v/>
      </c>
      <c r="F1535">
        <f>IF(Skills!N21=TRUE,(Skills!L21/10)*(E1535/1000),Skills!L21/10)+Skills!O21</f>
        <v/>
      </c>
      <c r="G1535">
        <f>Skills!G21*IF(Skills!H21&gt;0,Skills!I21/Skills!H21,1)</f>
        <v/>
      </c>
      <c r="H1535">
        <f>1-(1-Skills!J21/100)^Skills!K21</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Skills!A22</f>
        <v/>
      </c>
      <c r="B1536">
        <f>Skills!B22</f>
        <v/>
      </c>
      <c r="C1536">
        <f>Inputs!$B$3&gt;=75</f>
        <v/>
      </c>
      <c r="D1536">
        <f>IF(Skills!C22=1,60+Inputs!$B$25+Inputs!$B$29,IF(Skills!C22=2,90+Inputs!$B$26+Inputs!$B$29,IF(Skills!C22=3,120+Inputs!$B$27+Inputs!$B$29,MAX(0,(Inputs!$B$3-100)*3)+Inputs!$B$28+Inputs!$B$29)))</f>
        <v/>
      </c>
      <c r="E1536">
        <f>INDEX(FactorTable!$B$2:$Y$301, MATCH(ROUND(MIN(300,MAX(1,D1536)),0), FactorTable!$A$2:$A$301,0), Skills!M22+1)</f>
        <v/>
      </c>
      <c r="F1536">
        <f>IF(Skills!N22=TRUE,(Skills!L22/10)*(E1536/1000),Skills!L22/10)+Skills!O22</f>
        <v/>
      </c>
      <c r="G1536">
        <f>Skills!G22*IF(Skills!H22&gt;0,Skills!I22/Skills!H22,1)</f>
        <v/>
      </c>
      <c r="H1536">
        <f>1-(1-Skills!J22/100)^Skills!K22</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Skills!A23</f>
        <v/>
      </c>
      <c r="B1537">
        <f>Skills!B23</f>
        <v/>
      </c>
      <c r="C1537">
        <f>TRUE</f>
        <v/>
      </c>
      <c r="D1537">
        <f>IF(Skills!C23=1,60+Inputs!$B$25+Inputs!$B$29,IF(Skills!C23=2,90+Inputs!$B$26+Inputs!$B$29,IF(Skills!C23=3,120+Inputs!$B$27+Inputs!$B$29,MAX(0,(Inputs!$B$3-100)*3)+Inputs!$B$28+Inputs!$B$29)))</f>
        <v/>
      </c>
      <c r="E1537">
        <f>INDEX(FactorTable!$B$2:$Y$301, MATCH(ROUND(MIN(300,MAX(1,D1537)),0), FactorTable!$A$2:$A$301,0), Skills!M23+1)</f>
        <v/>
      </c>
      <c r="F1537">
        <f>IF(Skills!N23=TRUE,(Skills!L23/10)*(E1537/1000),Skills!L23/10)+Skills!O23</f>
        <v/>
      </c>
      <c r="G1537">
        <f>Skills!G23*IF(Skills!H23&gt;0,Skills!I23/Skills!H23,1)</f>
        <v/>
      </c>
      <c r="H1537">
        <f>1-(1-Skills!J23/100)^Skills!K23</f>
        <v/>
      </c>
      <c r="I1537" t="inlineStr">
        <is>
          <t>1</t>
        </is>
      </c>
      <c r="J1537" t="inlineStr"/>
      <c r="K1537" t="inlineStr"/>
      <c r="L1537" t="inlineStr"/>
      <c r="M1537" t="inlineStr"/>
      <c r="N1537" t="inlineStr"/>
      <c r="O1537">
        <f>(1-Summary!$B$11)*T1537+Summary!$B$11*V1537</f>
        <v/>
      </c>
      <c r="P1537">
        <f>IF(B1550=0,0,O1537/B1550)</f>
        <v/>
      </c>
      <c r="Q1537">
        <f>IFERROR(1/(IF(Inputs!$B$38="pvp",15,MAX(0.1,Skills!D23-IF(Skills!E23=TRUE,Inputs!$B$32,0)))*(1-IF(AND(ArtifactsInput!$M$27,Inputs!$B$4="Chapter Hunt"),CHOOSE(ArtifactsInput!$N$27+1,20,24,28,32,36,40),0)/100)),0)</f>
        <v/>
      </c>
      <c r="R1537">
        <f>IF(AND(Inputs!$B$38&lt;&gt;"pvp",Inputs!$B$43&gt;0),IF(Inputs!$B$43&lt;=0,0,(INT(Inputs!$B$43/(IF(Inputs!$B$38="pvp",15,MAX(0.1,Skills!D23-IF(Skills!E23=TRUE,Inputs!$B$32,0)))*(1-IF(AND(ArtifactsInput!$M$27,Inputs!$B$4="Chapter Hunt"),CHOOSE(ArtifactsInput!$N$27+1,20,24,28,32,36,40),0)/100)))+1)),0)</f>
        <v/>
      </c>
      <c r="S1537">
        <f>IFERROR(O1537/N1537,0)</f>
        <v/>
      </c>
      <c r="T1537" t="n">
        <v>0</v>
      </c>
      <c r="V1537" t="n">
        <v>0</v>
      </c>
    </row>
    <row r="1539">
      <c r="A1539" t="inlineStr">
        <is>
          <t>Attack% Bucket Multiplier</t>
        </is>
      </c>
      <c r="B1539">
        <f>(1+(((C1527=TRUE)*F1527*5/7)+((C1533=TRUE)*(F1533-Calc!F19))+(IF(ArtifactsInput!$M$21,CHOOSE(ArtifactsInput!$N$21+1,25,30,35,40,45,50)*(IF(OR(Inputs!$B$4="Chapter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duty-cycle averaged)</t>
        </is>
      </c>
      <c r="B1541">
        <f>((C1537=TRUE)*F1537*IF(AND(Inputs!$B$38&lt;&gt;"pvp",Inputs!$B$43&gt;0),(((R1537-1)*(Skills!T23*(1+Inputs!$B$34/100))+MIN((Skills!T23*(1+Inputs!$B$34/100)),MAX(0,Inputs!$B$43-((R1537-1)*Skills!D23))))/Inputs!$B$43),IF(Inputs!$B$38="pvp",MIN((Skills!T23*(1+Inputs!$B$34/100)),15)/15,(Skills!T23*(1+Inputs!$B$34/100))/Skills!D23)))</f>
        <v/>
      </c>
    </row>
    <row r="1542">
      <c r="A1542" t="inlineStr">
        <is>
          <t>Actions Per Second</t>
        </is>
      </c>
      <c r="B1542">
        <f>1+MIN(150,150*(1-(1-(Inputs!$B$11+((C1531=TRUE)*(F1531-Calc!F17))+((C1532=TRUE)*(F1532-Calc!F18)))/150)*(1-B1541/150)))/100</f>
        <v/>
      </c>
    </row>
    <row r="1543">
      <c r="A1543" t="inlineStr">
        <is>
          <t>Skill + Buff Cast Rate</t>
        </is>
      </c>
      <c r="B1543">
        <f>IF(AND(Inputs!$B$38&lt;&gt;"pvp",Inputs!$B$43&gt;0),SUMPRODUCT((Skills!E2:E23=TRUE)*(C1516:C1537=TRUE)*R1516:R1537*Skills!F2:F23)/Inputs!$B$43,SUMPRODUCT((Skills!E2:E23=TRUE)*(C1516:C1537=TRUE)*Q1516:Q1537*Skills!F2:F23))</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((C1519=TRUE)*F1519*((10+IF(Inputs!$B$3&gt;=94,5,0))/((10+IF(Inputs!$B$3&gt;=94,5,0))+5/(B1544*(1+IF(Inputs!$B$3&gt;=104,1,0))))))+((C1528=TRUE)*F1528)+((C1529=TRUE)*F1529)+((Inputs!$B$3&gt;=110)*20*(B1542-1))</f>
        <v/>
      </c>
    </row>
    <row r="1547">
      <c r="A1547" t="inlineStr">
        <is>
          <t>Buff-Casting Startup Delay (s, fixed-duration only)</t>
        </is>
      </c>
      <c r="B1547">
        <f>IF(AND(Inputs!$B$38&lt;&gt;"pvp",Inputs!$B$43&gt;0),SUMPRODUCT((Skills!T2:T23&gt;0)*(Skills!E2:E23=TRUE)*(C1516:C1537=TRUE))/B1542,0)</f>
        <v/>
      </c>
    </row>
    <row r="1548">
      <c r="A1548" t="inlineStr">
        <is>
          <t>Boss-Only Total DPS (this block's swept value)</t>
        </is>
      </c>
      <c r="B1548">
        <f>SUM(T1516:T1537)</f>
        <v/>
      </c>
    </row>
    <row r="1549">
      <c r="A1549" t="inlineStr">
        <is>
          <t>Normal-Only Total DPS (this block's swept value)</t>
        </is>
      </c>
      <c r="B1549">
        <f>SUM(V1516:V1537)</f>
        <v/>
      </c>
    </row>
    <row r="1550">
      <c r="A1550" s="6" t="inlineStr">
        <is>
          <t>TOTAL DPS</t>
        </is>
      </c>
      <c r="B1550" s="6">
        <f>SUM(O1516:O1537)</f>
        <v/>
      </c>
    </row>
    <row r="1553">
      <c r="A1553" s="6" t="inlineStr">
        <is>
          <t>Stat: Pink Bean's Giant Rib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IF(B1589=0,0,O1555/B1589)</f>
        <v/>
      </c>
      <c r="Q1555" t="n">
        <v>0</v>
      </c>
      <c r="R1555" t="n">
        <v>0</v>
      </c>
      <c r="S1555">
        <f>IFERROR(O1555/N1555,0)</f>
        <v/>
      </c>
      <c r="T1555">
        <f>IF(C1555,(Skills!G2*N1555*B1583)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IF(C1555,(Skills!G2*N1555*B1583)*IF(Inputs!$B$38="pvp",1,(1+(Inputs!$B$21+Skills!Q2+(IF(ArtifactsInput!$M$33,CHOOSE(ArtifactsInput!$N$33+1,30,36,42,48,54,60),0))+(IF(AND(ArtifactsInput!$M$35,Inputs!$B$4&lt;&gt;"Chapter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IF(B1589=0,0,O1556/B1589)</f>
        <v/>
      </c>
      <c r="Q1556" t="n">
        <v>0</v>
      </c>
      <c r="R1556" t="n">
        <v>0</v>
      </c>
      <c r="S1556">
        <f>IFERROR(O1556/N1556,0)</f>
        <v/>
      </c>
      <c r="T1556">
        <f>IF(C1556,(Skills!G3*H1556*N1556*B1583)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IF(C1556,(Skills!G3*H1556*N1556*B1583)*IF(Inputs!$B$38="pvp",1,(1+(Inputs!$B$21+Skills!Q3+(IF(ArtifactsInput!$M$33,CHOOSE(ArtifactsInput!$N$33+1,30,36,42,48,54,60),0))+(IF(AND(ArtifactsInput!$M$35,Inputs!$B$4&lt;&gt;"Chapter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IF(B1589=0,0,O1557/B1589)</f>
        <v/>
      </c>
      <c r="Q1557" t="n">
        <v>0</v>
      </c>
      <c r="R1557" t="n">
        <v>0</v>
      </c>
      <c r="S1557">
        <f>IFERROR(O1557/N1557,0)</f>
        <v/>
      </c>
      <c r="T1557">
        <f>IF(C1557,(Skills!G4*H1557*N1557*B1583)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IF(C1557,(Skills!G4*H1557*N1557*B1583)*IF(Inputs!$B$38="pvp",1,(1+(Inputs!$B$21+Skills!Q4+(IF(ArtifactsInput!$M$33,CHOOSE(ArtifactsInput!$N$33+1,30,36,42,48,54,60),0))+(IF(AND(ArtifactsInput!$M$35,Inputs!$B$4&lt;&gt;"Chapter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IF(B1589=0,0,O1558/B1589)</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IF(B1589=0,0,O1559/B1589)</f>
        <v/>
      </c>
      <c r="Q1559">
        <f>IFERROR(1/(IF(Inputs!$B$38="pvp",15,MAX(0.1,Skills!D6-IF(Skills!E6=TRUE,Inputs!$B$32,0)))*(1-IF(AND(ArtifactsInput!$M$27,Inputs!$B$4="Chapter Hunt"),CHOOSE(ArtifactsInput!$N$27+1,20,24,28,32,36,40),0)/100)),0)</f>
        <v/>
      </c>
      <c r="R1559">
        <f>IF(AND(Inputs!$B$38&lt;&gt;"pvp",Inputs!$B$43&gt;0),IF(MAX(0,Inputs!$B$43-B1586)&lt;=0,0,(INT(MAX(0,Inputs!$B$43-B1586)/(IF(Inputs!$B$38="pvp",15,MAX(0.1,Skills!D6-IF(Skills!E6=TRUE,Inputs!$B$32,0)))*(1-IF(AND(ArtifactsInput!$M$27,Inputs!$B$4="Chapter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IF(B1589=0,0,O1560/B1589)</f>
        <v/>
      </c>
      <c r="Q1560">
        <f>IFERROR(1/(IF(Inputs!$B$38="pvp",15,MAX(0.1,Skills!D7-IF(Skills!E7=TRUE,Inputs!$B$32,0)))*(1-IF(AND(ArtifactsInput!$M$27,Inputs!$B$4="Chapter Hunt"),CHOOSE(ArtifactsInput!$N$27+1,20,24,28,32,36,40),0)/100)),0)</f>
        <v/>
      </c>
      <c r="R1560">
        <f>IF(AND(Inputs!$B$38&lt;&gt;"pvp",Inputs!$B$43&gt;0),IF(MAX(0,Inputs!$B$43-B1586)&lt;=0,0,(INT(MAX(0,Inputs!$B$43-B1586)/(IF(Inputs!$B$38="pvp",15,MAX(0.1,Skills!D7-IF(Skills!E7=TRUE,Inputs!$B$32,0)))*(1-IF(AND(ArtifactsInput!$M$27,Inputs!$B$4="Chapter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IF(B1589=0,0,O1561/B1589)</f>
        <v/>
      </c>
      <c r="Q1561">
        <f>IFERROR(1/(IF(Inputs!$B$38="pvp",15,MAX(0.1,Skills!D8-IF(Skills!E8=TRUE,Inputs!$B$32,0)))*(1-IF(AND(ArtifactsInput!$M$27,Inputs!$B$4="Chapter Hunt"),CHOOSE(ArtifactsInput!$N$27+1,20,24,28,32,36,40),0)/100)),0)</f>
        <v/>
      </c>
      <c r="R1561">
        <f>IF(AND(Inputs!$B$38&lt;&gt;"pvp",Inputs!$B$43&gt;0),IF(MAX(0,Inputs!$B$43-B1586)&lt;=0,0,(INT(MAX(0,Inputs!$B$43-B1586)/(IF(Inputs!$B$38="pvp",15,MAX(0.1,Skills!D8-IF(Skills!E8=TRUE,Inputs!$B$32,0)))*(1-IF(AND(ArtifactsInput!$M$27,Inputs!$B$4="Chapter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IF(B1589=0,0,O1562/B1589)</f>
        <v/>
      </c>
      <c r="Q1562">
        <f>IFERROR(1/(IF(Inputs!$B$38="pvp",15,MAX(0.1,Skills!D9-IF(Skills!E9=TRUE,Inputs!$B$32,0)))*(1-IF(AND(ArtifactsInput!$M$27,Inputs!$B$4="Chapter Hunt"),CHOOSE(ArtifactsInput!$N$27+1,20,24,28,32,36,40),0)/100)),0)</f>
        <v/>
      </c>
      <c r="R1562">
        <f>IF(AND(Inputs!$B$38&lt;&gt;"pvp",Inputs!$B$43&gt;0),IF(MAX(0,Inputs!$B$43-B1586)&lt;=0,0,(INT(MAX(0,Inputs!$B$43-B1586)/(IF(Inputs!$B$38="pvp",15,MAX(0.1,Skills!D9-IF(Skills!E9=TRUE,Inputs!$B$32,0)))*(1-IF(AND(ArtifactsInput!$M$27,Inputs!$B$4="Chapter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IF(B1589=0,0,O1563/B1589)</f>
        <v/>
      </c>
      <c r="Q1563">
        <f>IFERROR(1/(IF(Inputs!$B$38="pvp",15,MAX(0.1,Skills!D10-IF(Skills!E10=TRUE,Inputs!$B$32,0)))*(1-IF(AND(ArtifactsInput!$M$27,Inputs!$B$4="Chapter Hunt"),CHOOSE(ArtifactsInput!$N$27+1,20,24,28,32,36,40),0)/100)),0)</f>
        <v/>
      </c>
      <c r="R1563">
        <f>IF(AND(Inputs!$B$38&lt;&gt;"pvp",Inputs!$B$43&gt;0),IF(MAX(0,Inputs!$B$43-B1586)&lt;=0,0,(INT(MAX(0,Inputs!$B$43-B1586)/(IF(Inputs!$B$38="pvp",15,MAX(0.1,Skills!D10-IF(Skills!E10=TRUE,Inputs!$B$32,0)))*(1-IF(AND(ArtifactsInput!$M$27,Inputs!$B$4="Chapter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IF(B1589=0,0,O1564/B1589)</f>
        <v/>
      </c>
      <c r="Q1564">
        <f>IFERROR(1/(IF(Inputs!$B$38="pvp",15,MAX(0.1,Skills!D11-IF(Skills!E11=TRUE,Inputs!$B$32,0)))*(1-IF(AND(ArtifactsInput!$M$27,Inputs!$B$4="Chapter Hunt"),CHOOSE(ArtifactsInput!$N$27+1,20,24,28,32,36,40),0)/100)),0)</f>
        <v/>
      </c>
      <c r="R1564">
        <f>IF(AND(Inputs!$B$38&lt;&gt;"pvp",Inputs!$B$43&gt;0),IF(MAX(0,Inputs!$B$43-B1586)&lt;=0,0,(INT(MAX(0,Inputs!$B$43-B1586)/(IF(Inputs!$B$38="pvp",15,MAX(0.1,Skills!D11-IF(Skills!E11=TRUE,Inputs!$B$32,0)))*(1-IF(AND(ArtifactsInput!$M$27,Inputs!$B$4="Chapter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IF(B1589=0,0,O1566/B1589)</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IF(B1589=0,0,O1567/B1589)</f>
        <v/>
      </c>
      <c r="Q1567" t="n">
        <v>0</v>
      </c>
      <c r="R1567" t="n">
        <v>0</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IF(B1589=0,0,O1568/B1589)</f>
        <v/>
      </c>
      <c r="Q1568" t="n">
        <v>0</v>
      </c>
      <c r="R1568" t="n">
        <v>0</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IF(B1589=0,0,O1569/B1589)</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IF(B1589=0,0,O1570/B1589)</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IF(B1589=0,0,O1571/B1589)</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IF(B1589=0,0,O1572/B1589)</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IF(B1589=0,0,O1573/B1589)</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IF(B1589=0,0,O1574/B1589)</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IF(B1589=0,0,O1575/B1589)</f>
        <v/>
      </c>
      <c r="Q1575" t="n">
        <v>0</v>
      </c>
      <c r="R1575" t="n">
        <v>0</v>
      </c>
      <c r="S1575">
        <f>IFERROR(O1575/N1575,0)</f>
        <v/>
      </c>
      <c r="T1575" t="n">
        <v>0</v>
      </c>
      <c r="V1575" t="n">
        <v>0</v>
      </c>
    </row>
    <row r="1576">
      <c r="A1576">
        <f>Skills!A23</f>
        <v/>
      </c>
      <c r="B1576">
        <f>Skills!B23</f>
        <v/>
      </c>
      <c r="C1576">
        <f>TRUE</f>
        <v/>
      </c>
      <c r="D1576">
        <f>IF(Skills!C23=1,60+Inputs!$B$25+Inputs!$B$29,IF(Skills!C23=2,90+Inputs!$B$26+Inputs!$B$29,IF(Skills!C23=3,120+Inputs!$B$27+Inputs!$B$29,MAX(0,(Inputs!$B$3-100)*3)+Inputs!$B$28+Inputs!$B$29)))</f>
        <v/>
      </c>
      <c r="E1576">
        <f>INDEX(FactorTable!$B$2:$Y$301, MATCH(ROUND(MIN(300,MAX(1,D1576)),0), FactorTable!$A$2:$A$301,0), Skills!M23+1)</f>
        <v/>
      </c>
      <c r="F1576">
        <f>IF(Skills!N23=TRUE,(Skills!L23/10)*(E1576/1000),Skills!L23/10)+Skills!O23</f>
        <v/>
      </c>
      <c r="G1576">
        <f>Skills!G23*IF(Skills!H23&gt;0,Skills!I23/Skills!H23,1)</f>
        <v/>
      </c>
      <c r="H1576">
        <f>1-(1-Skills!J23/100)^Skills!K23</f>
        <v/>
      </c>
      <c r="I1576" t="inlineStr">
        <is>
          <t>1</t>
        </is>
      </c>
      <c r="J1576" t="inlineStr"/>
      <c r="K1576" t="inlineStr"/>
      <c r="L1576" t="inlineStr"/>
      <c r="M1576" t="inlineStr"/>
      <c r="N1576" t="inlineStr"/>
      <c r="O1576">
        <f>(1-Summary!$B$11)*T1576+Summary!$B$11*V1576</f>
        <v/>
      </c>
      <c r="P1576">
        <f>IF(B1589=0,0,O1576/B1589)</f>
        <v/>
      </c>
      <c r="Q1576">
        <f>IFERROR(1/(IF(Inputs!$B$38="pvp",15,MAX(0.1,Skills!D23-IF(Skills!E23=TRUE,Inputs!$B$32,0)))*(1-IF(AND(ArtifactsInput!$M$27,Inputs!$B$4="Chapter Hunt"),CHOOSE(ArtifactsInput!$N$27+1,20,24,28,32,36,40),0)/100)),0)</f>
        <v/>
      </c>
      <c r="R1576">
        <f>IF(AND(Inputs!$B$38&lt;&gt;"pvp",Inputs!$B$43&gt;0),IF(Inputs!$B$43&lt;=0,0,(INT(Inputs!$B$43/(IF(Inputs!$B$38="pvp",15,MAX(0.1,Skills!D23-IF(Skills!E23=TRUE,Inputs!$B$32,0)))*(1-IF(AND(ArtifactsInput!$M$27,Inputs!$B$4="Chapter Hunt"),CHOOSE(ArtifactsInput!$N$27+1,20,24,28,32,36,40),0)/100)))+1)),0)</f>
        <v/>
      </c>
      <c r="S1576">
        <f>IFERROR(O1576/N1576,0)</f>
        <v/>
      </c>
      <c r="T1576" t="n">
        <v>0</v>
      </c>
      <c r="V1576" t="n">
        <v>0</v>
      </c>
    </row>
    <row r="1578">
      <c r="A1578" t="inlineStr">
        <is>
          <t>Attack% Bucket Multiplier</t>
        </is>
      </c>
      <c r="B1578">
        <f>(1+(((C1566=TRUE)*F1566*5/7)+((C1572=TRUE)*(F1572-Calc!F19))+(IF(ArtifactsInput!$M$21,CHOOSE(ArtifactsInput!$N$21+1,25,30,35,40,45,50)*(IF(OR(Inputs!$B$4="Chapter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9">
      <c r="A1579" t="inlineStr">
        <is>
          <t>Global Crit Rate Bonus %</t>
        </is>
      </c>
      <c r="B1579" t="n">
        <v>0</v>
      </c>
    </row>
    <row r="1580">
      <c r="A1580" t="inlineStr">
        <is>
          <t>Attack Speed Buff Bonus % (Nimble Feet, duty-cycle averaged)</t>
        </is>
      </c>
      <c r="B1580">
        <f>((C1576=TRUE)*F1576*IF(AND(Inputs!$B$38&lt;&gt;"pvp",Inputs!$B$43&gt;0),(((R1576-1)*(Skills!T23*(1+Inputs!$B$34/100))+MIN((Skills!T23*(1+Inputs!$B$34/100)),MAX(0,Inputs!$B$43-((R1576-1)*Skills!D23))))/Inputs!$B$43),IF(Inputs!$B$38="pvp",MIN((Skills!T23*(1+Inputs!$B$34/100)),15)/15,(Skills!T23*(1+Inputs!$B$34/100))/Skills!D23)))</f>
        <v/>
      </c>
    </row>
    <row r="1581">
      <c r="A1581" t="inlineStr">
        <is>
          <t>Actions Per Second</t>
        </is>
      </c>
      <c r="B1581">
        <f>1+MIN(150,150*(1-(1-(Inputs!$B$11+((C1570=TRUE)*(F1570-Calc!F17))+((C1571=TRUE)*(F1571-Calc!F18)))/150)*(1-B1580/150)))/100</f>
        <v/>
      </c>
    </row>
    <row r="1582">
      <c r="A1582" t="inlineStr">
        <is>
          <t>Skill + Buff Cast Rate</t>
        </is>
      </c>
      <c r="B1582">
        <f>IF(AND(Inputs!$B$38&lt;&gt;"pvp",Inputs!$B$43&gt;0),SUMPRODUCT((Skills!E2:E23=TRUE)*(C1555:C1576=TRUE)*R1555:R1576*Skills!F2:F23)/Inputs!$B$43,SUMPRODUCT((Skills!E2:E23=TRUE)*(C1555:C1576=TRUE)*Q1555:Q1576*Skills!F2:F23))</f>
        <v/>
      </c>
    </row>
    <row r="1583">
      <c r="A1583" t="inlineStr">
        <is>
          <t>Hook Bomber Casts Per Second</t>
        </is>
      </c>
      <c r="B1583">
        <f>MAX(0,B1581-B1582)</f>
        <v/>
      </c>
    </row>
    <row r="1584">
      <c r="A1584" t="inlineStr">
        <is>
          <t>Global Critical Damage Bonus % (unused)</t>
        </is>
      </c>
      <c r="B1584" t="n">
        <v>0</v>
      </c>
    </row>
    <row r="1585">
      <c r="A1585" t="inlineStr">
        <is>
          <t>Global Final Damage Bonus % (Serpent Scale + Crossbones + Time Leap + Speed Infusion)</t>
        </is>
      </c>
      <c r="B1585">
        <f>((C1558=TRUE)*F1558*((10+IF(Inputs!$B$3&gt;=94,5,0))/((10+IF(Inputs!$B$3&gt;=94,5,0))+5/(B1583*(1+IF(Inputs!$B$3&gt;=104,1,0))))))+((C1567=TRUE)*F1567)+((C1568=TRUE)*F1568)+((Inputs!$B$3&gt;=110)*20*(B1581-1))</f>
        <v/>
      </c>
    </row>
    <row r="1586">
      <c r="A1586" t="inlineStr">
        <is>
          <t>Buff-Casting Startup Delay (s, fixed-duration only)</t>
        </is>
      </c>
      <c r="B1586">
        <f>IF(AND(Inputs!$B$38&lt;&gt;"pvp",Inputs!$B$43&gt;0),SUMPRODUCT((Skills!T2:T23&gt;0)*(Skills!E2:E23=TRUE)*(C1555:C1576=TRUE))/B1581,0)</f>
        <v/>
      </c>
    </row>
    <row r="1587">
      <c r="A1587" t="inlineStr">
        <is>
          <t>Boss-Only Total DPS (this block's swept value)</t>
        </is>
      </c>
      <c r="B1587">
        <f>SUM(T1555:T1576)</f>
        <v/>
      </c>
    </row>
    <row r="1588">
      <c r="A1588" t="inlineStr">
        <is>
          <t>Normal-Only Total DPS (this block's swept value)</t>
        </is>
      </c>
      <c r="B1588">
        <f>SUM(V1555:V1576)</f>
        <v/>
      </c>
    </row>
    <row r="1589">
      <c r="A1589" s="6" t="inlineStr">
        <is>
          <t>TOTAL DPS</t>
        </is>
      </c>
      <c r="B1589" s="6">
        <f>SUM(O1555:O1576)</f>
        <v/>
      </c>
    </row>
    <row r="1592">
      <c r="A1592" s="6" t="inlineStr">
        <is>
          <t>Stat: Chalice (Equip)</t>
        </is>
      </c>
    </row>
    <row r="1593">
      <c r="A1593" s="5" t="inlineStr">
        <is>
          <t>Key</t>
        </is>
      </c>
      <c r="B1593" s="5" t="inlineStr">
        <is>
          <t>Name</t>
        </is>
      </c>
      <c r="C1593" s="5" t="inlineStr">
        <is>
          <t>Unlocked</t>
        </is>
      </c>
      <c r="D1593" s="5" t="inlineStr">
        <is>
          <t>InputLevel</t>
        </is>
      </c>
      <c r="E1593" s="5" t="inlineStr">
        <is>
          <t>Factor</t>
        </is>
      </c>
      <c r="F1593" s="5" t="inlineStr">
        <is>
          <t>CoefficientPercent</t>
        </is>
      </c>
      <c r="G1593" s="5" t="inlineStr">
        <is>
          <t>EffectiveHits</t>
        </is>
      </c>
      <c r="H1593" s="5" t="inlineStr">
        <is>
          <t>ProcProbability</t>
        </is>
      </c>
      <c r="I1593" s="5" t="inlineStr">
        <is>
          <t>MapleHeroMultiplier</t>
        </is>
      </c>
      <c r="J1593" s="5" t="inlineStr">
        <is>
          <t>BaseDamage</t>
        </is>
      </c>
      <c r="K1593" s="5" t="inlineStr">
        <is>
          <t>BaseHitDamage</t>
        </is>
      </c>
      <c r="L1593" s="5" t="inlineStr">
        <is>
          <t>NonCritAvg</t>
        </is>
      </c>
      <c r="M1593" s="5" t="inlineStr">
        <is>
          <t>CritAvg</t>
        </is>
      </c>
      <c r="N1593" s="5" t="inlineStr">
        <is>
          <t>ExpectedDamage(perHit)</t>
        </is>
      </c>
      <c r="O1593" s="5" t="inlineStr">
        <is>
          <t>DPS</t>
        </is>
      </c>
      <c r="P1593" s="5" t="inlineStr">
        <is>
          <t>% of Total</t>
        </is>
      </c>
      <c r="Q1593" s="5" t="inlineStr">
        <is>
          <t>InvCooldown</t>
        </is>
      </c>
      <c r="R1593" s="5" t="inlineStr">
        <is>
          <t>CastsInFight</t>
        </is>
      </c>
      <c r="S1593" s="5" t="inlineStr">
        <is>
          <t>HitRate(perSec)</t>
        </is>
      </c>
      <c r="U1593" t="inlineStr">
        <is>
          <t>helpers</t>
        </is>
      </c>
    </row>
    <row r="1594">
      <c r="A1594">
        <f>Skills!A2</f>
        <v/>
      </c>
      <c r="B1594">
        <f>Skills!B2</f>
        <v/>
      </c>
      <c r="C1594">
        <f>Inputs!$B$3&gt;=100</f>
        <v/>
      </c>
      <c r="D1594" t="inlineStr"/>
      <c r="E1594" t="inlineStr"/>
      <c r="F1594">
        <f>U1596+Skills!O2</f>
        <v/>
      </c>
      <c r="G1594">
        <f>Skills!G2*IF(Skills!H2&gt;0,Skills!I2/Skills!H2,1)</f>
        <v/>
      </c>
      <c r="H1594">
        <f>1-(1-Skills!J2/100)^Skills!K2</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1612=TRUE)*(F1612-Calc!F20)),(Inputs!$B$23+0+(IF(ArtifactsInput!$M$15,CHOOSE(ArtifactsInput!$N$15+1,25,30,35,40,45,50)/100*(Inputs!$B$11-Inputs!$B$11),0))))/100+(Inputs!$B$23+0+(IF(ArtifactsInput!$M$15,CHOOSE(ArtifactsInput!$N$15+1,25,30,35,40,45,50)/100*(Inputs!$B$11-Inputs!$B$11),0)))/100)/2</f>
        <v/>
      </c>
      <c r="M1594">
        <f>L1594*(1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IF(B1628=0,0,O1594/B1628)</f>
        <v/>
      </c>
      <c r="Q1594" t="n">
        <v>0</v>
      </c>
      <c r="R1594" t="n">
        <v>0</v>
      </c>
      <c r="S1594">
        <f>IFERROR(O1594/N1594,0)</f>
        <v/>
      </c>
      <c r="T1594">
        <f>IF(C1594,(Skills!G2*N1594*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MAX(0,(Inputs!$B$3-100)*3)+Inputs!$B$28+Inputs!$B$29</f>
        <v/>
      </c>
      <c r="V1594">
        <f>IF(C1594,(Skills!G2*N1594*B1622)*IF(Inputs!$B$38="pvp",1,(1+(Inputs!$B$21+Skills!Q2+(IF(ArtifactsInput!$M$33,CHOOSE(ArtifactsInput!$N$33+1,30,36,42,48,54,60),0))+(IF(AND(ArtifactsInput!$M$35,Inputs!$B$4&lt;&gt;"Chapter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Skills!A3</f>
        <v/>
      </c>
      <c r="B1595">
        <f>Skills!B3</f>
        <v/>
      </c>
      <c r="C1595">
        <f>Inputs!$B$3&gt;=35</f>
        <v/>
      </c>
      <c r="D1595">
        <f>IF(Skills!C3=1,60+Inputs!$B$25+Inputs!$B$29,IF(Skills!C3=2,90+Inputs!$B$26+Inputs!$B$29,IF(Skills!C3=3,120+Inputs!$B$27+Inputs!$B$29,MAX(0,(Inputs!$B$3-100)*3)+Inputs!$B$28+Inputs!$B$29)))</f>
        <v/>
      </c>
      <c r="E1595">
        <f>INDEX(FactorTable!$B$2:$Y$301, MATCH(ROUND(MIN(300,MAX(1,D1595)),0), FactorTable!$A$2:$A$301,0), Skills!M3+1)</f>
        <v/>
      </c>
      <c r="F1595">
        <f>IF(Skills!N3=TRUE,(Skills!L3/10)*(E1595/1000),Skills!L3/10)+Skills!O3</f>
        <v/>
      </c>
      <c r="G1595">
        <f>Skills!G3*IF(Skills!H3&gt;0,Skills!I3/Skills!H3,1)</f>
        <v/>
      </c>
      <c r="H1595">
        <f>1-(1-Skills!J3/100)^Skills!K3</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1612=TRUE)*(F1612-Calc!F20)),(Inputs!$B$23+0+(IF(ArtifactsInput!$M$15,CHOOSE(ArtifactsInput!$N$15+1,25,30,35,40,45,50)/100*(Inputs!$B$11-Inputs!$B$11),0))))/100+(Inputs!$B$23+0+(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t="n">
        <v>0</v>
      </c>
      <c r="R1595" t="n">
        <v>0</v>
      </c>
      <c r="S1595">
        <f>IFERROR(O1595/N1595,0)</f>
        <v/>
      </c>
      <c r="T1595">
        <f>IF(C1595,(Skills!G3*H1595*N1595*B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INDEX(FactorTable!$B$2:$Y$301, MATCH(ROUND(MIN(300,MAX(1,U1594)),0), FactorTable!$A$2:$A$301,0), 22)</f>
        <v/>
      </c>
      <c r="V1595">
        <f>IF(C1595,(Skills!G3*H1595*N1595*B1622)*IF(Inputs!$B$38="pvp",1,(1+(Inputs!$B$21+Skills!Q3+(IF(ArtifactsInput!$M$33,CHOOSE(ArtifactsInput!$N$33+1,30,36,42,48,54,60),0))+(IF(AND(ArtifactsInput!$M$35,Inputs!$B$4&lt;&gt;"Chapter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Skills!A4</f>
        <v/>
      </c>
      <c r="B1596">
        <f>Skills!B4</f>
        <v/>
      </c>
      <c r="C1596">
        <f>Inputs!$B$3&gt;=60</f>
        <v/>
      </c>
      <c r="D1596">
        <f>IF(Skills!C4=1,60+Inputs!$B$25+Inputs!$B$29,IF(Skills!C4=2,90+Inputs!$B$26+Inputs!$B$29,IF(Skills!C4=3,120+Inputs!$B$27+Inputs!$B$29,MAX(0,(Inputs!$B$3-100)*3)+Inputs!$B$28+Inputs!$B$29)))</f>
        <v/>
      </c>
      <c r="E1596">
        <f>INDEX(FactorTable!$B$2:$Y$301, MATCH(ROUND(MIN(300,MAX(1,D1596)),0), FactorTable!$A$2:$A$301,0), Skills!M4+1)</f>
        <v/>
      </c>
      <c r="F1596">
        <f>IF(Skills!N4=TRUE,(Skills!L4/10)*(E1596/1000),Skills!L4/10)+Skills!O4</f>
        <v/>
      </c>
      <c r="G1596">
        <f>Skills!G4*IF(Skills!H4&gt;0,Skills!I4/Skills!H4,1)</f>
        <v/>
      </c>
      <c r="H1596">
        <f>1-(1-Skills!J4/100)^Skills!K4</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4="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1612=TRUE)*(F1612-Calc!F20)),(Inputs!$B$23+0+(IF(ArtifactsInput!$M$15,CHOOSE(ArtifactsInput!$N$15+1,25,30,35,40,45,50)/100*(Inputs!$B$11-Inputs!$B$11),0))))/100+(Inputs!$B$23+0+(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t="n">
        <v>0</v>
      </c>
      <c r="R1596" t="n">
        <v>0</v>
      </c>
      <c r="S1596">
        <f>IFERROR(O1596/N1596,0)</f>
        <v/>
      </c>
      <c r="T1596">
        <f>IF(C1596,(Skills!G4*H1596*N1596*B1622)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290*U1595/1000</f>
        <v/>
      </c>
      <c r="V1596">
        <f>IF(C1596,(Skills!G4*H1596*N1596*B1622)*IF(Inputs!$B$38="pvp",1,(1+(Inputs!$B$21+Skills!Q4+(IF(ArtifactsInput!$M$33,CHOOSE(ArtifactsInput!$N$33+1,30,36,42,48,54,60),0))+(IF(AND(ArtifactsInput!$M$35,Inputs!$B$4&lt;&gt;"Chapter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Skills!A5</f>
        <v/>
      </c>
      <c r="B1597">
        <f>Skills!B5</f>
        <v/>
      </c>
      <c r="C1597">
        <f>Inputs!$B$3&gt;=60</f>
        <v/>
      </c>
      <c r="D1597">
        <f>IF(Skills!C5=1,60+Inputs!$B$25+Inputs!$B$29,IF(Skills!C5=2,90+Inputs!$B$26+Inputs!$B$29,IF(Skills!C5=3,120+Inputs!$B$27+Inputs!$B$29,MAX(0,(Inputs!$B$3-100)*3)+Inputs!$B$28+Inputs!$B$29)))</f>
        <v/>
      </c>
      <c r="E1597">
        <f>INDEX(FactorTable!$B$2:$Y$301, MATCH(ROUND(MIN(300,MAX(1,D1597)),0), FactorTable!$A$2:$A$301,0), Skills!M5+1)</f>
        <v/>
      </c>
      <c r="F1597">
        <f>IF(Skills!N5=TRUE,(Skills!L5/10)*(E1597/1000),Skills!L5/10)+Skills!O5</f>
        <v/>
      </c>
      <c r="G1597">
        <f>Skills!G5*IF(Skills!H5&gt;0,Skills!I5/Skills!H5,1)</f>
        <v/>
      </c>
      <c r="H1597">
        <f>1-(1-Skills!J5/100)^Skills!K5</f>
        <v/>
      </c>
      <c r="I1597" t="inlineStr">
        <is>
          <t>1</t>
        </is>
      </c>
      <c r="J1597" t="inlineStr"/>
      <c r="K1597" t="inlineStr"/>
      <c r="L1597" t="inlineStr"/>
      <c r="M1597" t="inlineStr"/>
      <c r="N1597" t="inlineStr"/>
      <c r="O1597">
        <f>(1-Summary!$B$11)*T1597+Summary!$B$11*V1597</f>
        <v/>
      </c>
      <c r="P1597">
        <f>IF(B1628=0,0,O1597/B1628)</f>
        <v/>
      </c>
      <c r="Q1597" t="n">
        <v>0</v>
      </c>
      <c r="R1597" t="n">
        <v>0</v>
      </c>
      <c r="S1597">
        <f>IFERROR(O1597/N1597,0)</f>
        <v/>
      </c>
      <c r="T1597" t="n">
        <v>0</v>
      </c>
      <c r="V1597" t="n">
        <v>0</v>
      </c>
    </row>
    <row r="1598">
      <c r="A1598">
        <f>Skills!A6</f>
        <v/>
      </c>
      <c r="B1598">
        <f>Skills!B6</f>
        <v/>
      </c>
      <c r="C1598">
        <f>Inputs!$B$3&gt;=63</f>
        <v/>
      </c>
      <c r="D1598">
        <f>IF(Skills!C6=1,60+Inputs!$B$25+Inputs!$B$29,IF(Skills!C6=2,90+Inputs!$B$26+Inputs!$B$29,IF(Skills!C6=3,120+Inputs!$B$27+Inputs!$B$29,MAX(0,(Inputs!$B$3-100)*3)+Inputs!$B$28+Inputs!$B$29)))</f>
        <v/>
      </c>
      <c r="E1598">
        <f>INDEX(FactorTable!$B$2:$Y$301, MATCH(ROUND(MIN(300,MAX(1,D1598)),0), FactorTable!$A$2:$A$301,0), Skills!M6+1)</f>
        <v/>
      </c>
      <c r="F1598">
        <f>IF(Skills!N6=TRUE,(Skills!L6/10)*(E1598/1000),Skills!L6/10)+Skills!O6</f>
        <v/>
      </c>
      <c r="G1598">
        <f>Skills!G6*IF(Skills!H6&gt;0,Skills!I6/Skills!H6,1)</f>
        <v/>
      </c>
      <c r="H1598">
        <f>1-(1-Skills!J6/100)^Skills!K6</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1612=TRUE)*(F1612-Calc!F20)),(Inputs!$B$23+0+(IF(ArtifactsInput!$M$15,CHOOSE(ArtifactsInput!$N$15+1,25,30,35,40,45,50)/100*(Inputs!$B$11-Inputs!$B$11),0))))/100+(Inputs!$B$23+0+(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IFERROR(1/(IF(Inputs!$B$38="pvp",15,MAX(0.1,Skills!D6-IF(Skills!E6=TRUE,Inputs!$B$32,0)))*(1-IF(AND(ArtifactsInput!$M$27,Inputs!$B$4="Chapter Hunt"),CHOOSE(ArtifactsInput!$N$27+1,20,24,28,32,36,40),0)/100)),0)</f>
        <v/>
      </c>
      <c r="R1598">
        <f>IF(AND(Inputs!$B$38&lt;&gt;"pvp",Inputs!$B$43&gt;0),IF(MAX(0,Inputs!$B$43-B1625)&lt;=0,0,(INT(MAX(0,Inputs!$B$43-B1625)/(IF(Inputs!$B$38="pvp",15,MAX(0.1,Skills!D6-IF(Skills!E6=TRUE,Inputs!$B$32,0)))*(1-IF(AND(ArtifactsInput!$M$27,Inputs!$B$4="Chapter Hunt"),CHOOSE(ArtifactsInput!$N$27+1,20,24,28,32,36,40),0)/100)))+1)),0)</f>
        <v/>
      </c>
      <c r="S1598">
        <f>IFERROR(O1598/N1598,0)</f>
        <v/>
      </c>
      <c r="T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Skills!A7</f>
        <v/>
      </c>
      <c r="B1599">
        <f>Skills!B7</f>
        <v/>
      </c>
      <c r="C1599">
        <f>Inputs!$B$3&gt;=100</f>
        <v/>
      </c>
      <c r="D1599">
        <f>IF(Skills!C7=1,60+Inputs!$B$25+Inputs!$B$29,IF(Skills!C7=2,90+Inputs!$B$26+Inputs!$B$29,IF(Skills!C7=3,120+Inputs!$B$27+Inputs!$B$29,MAX(0,(Inputs!$B$3-100)*3)+Inputs!$B$28+Inputs!$B$29)))</f>
        <v/>
      </c>
      <c r="E1599">
        <f>INDEX(FactorTable!$B$2:$Y$301, MATCH(ROUND(MIN(300,MAX(1,D1599)),0), FactorTable!$A$2:$A$301,0), Skills!M7+1)</f>
        <v/>
      </c>
      <c r="F1599">
        <f>IF(Skills!N7=TRUE,(Skills!L7/10)*(E1599/1000),Skills!L7/10)+Skills!O7</f>
        <v/>
      </c>
      <c r="G1599">
        <f>Skills!G7*IF(Skills!H7&gt;0,Skills!I7/Skills!H7,1)</f>
        <v/>
      </c>
      <c r="H1599">
        <f>1-(1-Skills!J7/100)^Skills!K7</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1612=TRUE)*(F1612-Calc!F20)),(Inputs!$B$23+0+(IF(ArtifactsInput!$M$15,CHOOSE(ArtifactsInput!$N$15+1,25,30,35,40,45,50)/100*(Inputs!$B$11-Inputs!$B$11),0))))/100+(Inputs!$B$23+0+(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IFERROR(1/(IF(Inputs!$B$38="pvp",15,MAX(0.1,Skills!D7-IF(Skills!E7=TRUE,Inputs!$B$32,0)))*(1-IF(AND(ArtifactsInput!$M$27,Inputs!$B$4="Chapter Hunt"),CHOOSE(ArtifactsInput!$N$27+1,20,24,28,32,36,40),0)/100)),0)</f>
        <v/>
      </c>
      <c r="R1599">
        <f>IF(AND(Inputs!$B$38&lt;&gt;"pvp",Inputs!$B$43&gt;0),IF(MAX(0,Inputs!$B$43-B1625)&lt;=0,0,(INT(MAX(0,Inputs!$B$43-B1625)/(IF(Inputs!$B$38="pvp",15,MAX(0.1,Skills!D7-IF(Skills!E7=TRUE,Inputs!$B$32,0)))*(1-IF(AND(ArtifactsInput!$M$27,Inputs!$B$4="Chapter Hunt"),CHOOSE(ArtifactsInput!$N$27+1,20,24,28,32,36,40),0)/100)))+1)),0)</f>
        <v/>
      </c>
      <c r="S1599">
        <f>IFERROR(O1599/N1599,0)</f>
        <v/>
      </c>
      <c r="T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Skills!A8</f>
        <v/>
      </c>
      <c r="B1600">
        <f>Skills!B8</f>
        <v/>
      </c>
      <c r="C1600">
        <f>Inputs!$B$3&gt;=110</f>
        <v/>
      </c>
      <c r="D1600">
        <f>IF(Skills!C8=1,60+Inputs!$B$25+Inputs!$B$29,IF(Skills!C8=2,90+Inputs!$B$26+Inputs!$B$29,IF(Skills!C8=3,120+Inputs!$B$27+Inputs!$B$29,MAX(0,(Inputs!$B$3-100)*3)+Inputs!$B$28+Inputs!$B$29)))</f>
        <v/>
      </c>
      <c r="E1600">
        <f>INDEX(FactorTable!$B$2:$Y$301, MATCH(ROUND(MIN(300,MAX(1,D1600)),0), FactorTable!$A$2:$A$301,0), Skills!M8+1)</f>
        <v/>
      </c>
      <c r="F1600">
        <f>IF(Skills!N8=TRUE,(Skills!L8/10)*(E1600/1000),Skills!L8/10)+Skills!O8</f>
        <v/>
      </c>
      <c r="G1600">
        <f>Skills!G8*IF(Skills!H8&gt;0,Skills!I8/Skills!H8,1)</f>
        <v/>
      </c>
      <c r="H1600">
        <f>1-(1-Skills!J8/100)^Skills!K8</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1612=TRUE)*(F1612-Calc!F20)),(Inputs!$B$23+0+(IF(ArtifactsInput!$M$15,CHOOSE(ArtifactsInput!$N$15+1,25,30,35,40,45,50)/100*(Inputs!$B$11-Inputs!$B$11),0))))/100+(Inputs!$B$23+0+(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IFERROR(1/(IF(Inputs!$B$38="pvp",15,MAX(0.1,Skills!D8-IF(Skills!E8=TRUE,Inputs!$B$32,0)))*(1-IF(AND(ArtifactsInput!$M$27,Inputs!$B$4="Chapter Hunt"),CHOOSE(ArtifactsInput!$N$27+1,20,24,28,32,36,40),0)/100)),0)</f>
        <v/>
      </c>
      <c r="R1600">
        <f>IF(AND(Inputs!$B$38&lt;&gt;"pvp",Inputs!$B$43&gt;0),IF(MAX(0,Inputs!$B$43-B1625)&lt;=0,0,(INT(MAX(0,Inputs!$B$43-B1625)/(IF(Inputs!$B$38="pvp",15,MAX(0.1,Skills!D8-IF(Skills!E8=TRUE,Inputs!$B$32,0)))*(1-IF(AND(ArtifactsInput!$M$27,Inputs!$B$4="Chapter Hunt"),CHOOSE(ArtifactsInput!$N$27+1,20,24,28,32,36,40),0)/100)))+1)),0)</f>
        <v/>
      </c>
      <c r="S1600">
        <f>IFERROR(O1600/N1600,0)</f>
        <v/>
      </c>
      <c r="T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Skills!A9</f>
        <v/>
      </c>
      <c r="B1601">
        <f>Skills!B9</f>
        <v/>
      </c>
      <c r="C1601">
        <f>Inputs!$B$3&gt;=110</f>
        <v/>
      </c>
      <c r="D1601">
        <f>IF(Skills!C9=1,60+Inputs!$B$25+Inputs!$B$29,IF(Skills!C9=2,90+Inputs!$B$26+Inputs!$B$29,IF(Skills!C9=3,120+Inputs!$B$27+Inputs!$B$29,MAX(0,(Inputs!$B$3-100)*3)+Inputs!$B$28+Inputs!$B$29)))</f>
        <v/>
      </c>
      <c r="E1601">
        <f>INDEX(FactorTable!$B$2:$Y$301, MATCH(ROUND(MIN(300,MAX(1,D1601)),0), FactorTable!$A$2:$A$301,0), Skills!M9+1)</f>
        <v/>
      </c>
      <c r="F1601">
        <f>IF(Skills!N9=TRUE,(Skills!L9/10)*(E1601/1000),Skills!L9/10)+Skills!O9</f>
        <v/>
      </c>
      <c r="G1601">
        <f>Skills!G9*IF(Skills!H9&gt;0,Skills!I9/Skills!H9,1)</f>
        <v/>
      </c>
      <c r="H1601">
        <f>1-(1-Skills!J9/100)^Skills!K9</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1612=TRUE)*(F1612-Calc!F20)),(Inputs!$B$23+0+(IF(ArtifactsInput!$M$15,CHOOSE(ArtifactsInput!$N$15+1,25,30,35,40,45,50)/100*(Inputs!$B$11-Inputs!$B$11),0))))/100+(Inputs!$B$23+0+(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IFERROR(1/(IF(Inputs!$B$38="pvp",15,MAX(0.1,Skills!D9-IF(Skills!E9=TRUE,Inputs!$B$32,0)))*(1-IF(AND(ArtifactsInput!$M$27,Inputs!$B$4="Chapter Hunt"),CHOOSE(ArtifactsInput!$N$27+1,20,24,28,32,36,40),0)/100)),0)</f>
        <v/>
      </c>
      <c r="R1601">
        <f>IF(AND(Inputs!$B$38&lt;&gt;"pvp",Inputs!$B$43&gt;0),IF(MAX(0,Inputs!$B$43-B1625)&lt;=0,0,(INT(MAX(0,Inputs!$B$43-B1625)/(IF(Inputs!$B$38="pvp",15,MAX(0.1,Skills!D9-IF(Skills!E9=TRUE,Inputs!$B$32,0)))*(1-IF(AND(ArtifactsInput!$M$27,Inputs!$B$4="Chapter Hunt"),CHOOSE(ArtifactsInput!$N$27+1,20,24,28,32,36,40),0)/100)))+1)),0)</f>
        <v/>
      </c>
      <c r="S1601">
        <f>IFERROR(O1601/N1601,0)</f>
        <v/>
      </c>
      <c r="T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Skills!A10</f>
        <v/>
      </c>
      <c r="B1602">
        <f>Skills!B10</f>
        <v/>
      </c>
      <c r="C1602">
        <f>Inputs!$B$3&gt;=103</f>
        <v/>
      </c>
      <c r="D1602">
        <f>IF(Skills!C10=1,60+Inputs!$B$25+Inputs!$B$29,IF(Skills!C10=2,90+Inputs!$B$26+Inputs!$B$29,IF(Skills!C10=3,120+Inputs!$B$27+Inputs!$B$29,MAX(0,(Inputs!$B$3-100)*3)+Inputs!$B$28+Inputs!$B$29)))</f>
        <v/>
      </c>
      <c r="E1602">
        <f>INDEX(FactorTable!$B$2:$Y$301, MATCH(ROUND(MIN(300,MAX(1,D1602)),0), FactorTable!$A$2:$A$301,0), Skills!M10+1)</f>
        <v/>
      </c>
      <c r="F1602">
        <f>IF(Skills!N10=TRUE,(Skills!L10/10)*(E1602/1000),Skills!L10/10)+Skills!O10</f>
        <v/>
      </c>
      <c r="G1602">
        <f>Skills!G10*IF(Skills!H10&gt;0,Skills!I10/Skills!H10,1)</f>
        <v/>
      </c>
      <c r="H1602">
        <f>1-(1-Skills!J10/100)^Skills!K10</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1612=TRUE)*(F1612-Calc!F20)),(Inputs!$B$23+0+(IF(ArtifactsInput!$M$15,CHOOSE(ArtifactsInput!$N$15+1,25,30,35,40,45,50)/100*(Inputs!$B$11-Inputs!$B$11),0))))/100+(Inputs!$B$23+0+(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IFERROR(1/(IF(Inputs!$B$38="pvp",15,MAX(0.1,Skills!D10-IF(Skills!E10=TRUE,Inputs!$B$32,0)))*(1-IF(AND(ArtifactsInput!$M$27,Inputs!$B$4="Chapter Hunt"),CHOOSE(ArtifactsInput!$N$27+1,20,24,28,32,36,40),0)/100)),0)</f>
        <v/>
      </c>
      <c r="R1602">
        <f>IF(AND(Inputs!$B$38&lt;&gt;"pvp",Inputs!$B$43&gt;0),IF(MAX(0,Inputs!$B$43-B1625)&lt;=0,0,(INT(MAX(0,Inputs!$B$43-B1625)/(IF(Inputs!$B$38="pvp",15,MAX(0.1,Skills!D10-IF(Skills!E10=TRUE,Inputs!$B$32,0)))*(1-IF(AND(ArtifactsInput!$M$27,Inputs!$B$4="Chapter Hunt"),CHOOSE(ArtifactsInput!$N$27+1,20,24,28,32,36,40),0)/100)))+1)),0)</f>
        <v/>
      </c>
      <c r="S1602">
        <f>IFERROR(O1602/N1602,0)</f>
        <v/>
      </c>
      <c r="T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Skills!A11</f>
        <v/>
      </c>
      <c r="B1603">
        <f>Skills!B11</f>
        <v/>
      </c>
      <c r="C1603">
        <f>Inputs!$B$3&gt;=113</f>
        <v/>
      </c>
      <c r="D1603">
        <f>IF(Skills!C11=1,60+Inputs!$B$25+Inputs!$B$29,IF(Skills!C11=2,90+Inputs!$B$26+Inputs!$B$29,IF(Skills!C11=3,120+Inputs!$B$27+Inputs!$B$29,MAX(0,(Inputs!$B$3-100)*3)+Inputs!$B$28+Inputs!$B$29)))</f>
        <v/>
      </c>
      <c r="E1603">
        <f>INDEX(FactorTable!$B$2:$Y$301, MATCH(ROUND(MIN(300,MAX(1,D1603)),0), FactorTable!$A$2:$A$301,0), Skills!M11+1)</f>
        <v/>
      </c>
      <c r="F1603">
        <f>IF(Skills!N11=TRUE,(Skills!L11/10)*(E1603/1000),Skills!L11/10)+Skills!O11</f>
        <v/>
      </c>
      <c r="G1603">
        <f>Skills!G11*IF(Skills!H11&gt;0,Skills!I11/Skills!H11,1)</f>
        <v/>
      </c>
      <c r="H1603">
        <f>1-(1-Skills!J11/100)^Skills!K11</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1612=TRUE)*(F1612-Calc!F20)),(Inputs!$B$23+0+(IF(ArtifactsInput!$M$15,CHOOSE(ArtifactsInput!$N$15+1,25,30,35,40,45,50)/100*(Inputs!$B$11-Inputs!$B$11),0))))/100+(Inputs!$B$23+0+(IF(ArtifactsInput!$M$15,CHOOSE(ArtifactsInput!$N$15+1,25,30,35,40,45,50)/100*(Inputs!$B$11-Inputs!$B$11),0)))/100)/2</f>
        <v/>
      </c>
      <c r="M1603">
        <f>L1603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IF(B1628=0,0,O1603/B1628)</f>
        <v/>
      </c>
      <c r="Q1603">
        <f>IFERROR(1/(IF(Inputs!$B$38="pvp",15,MAX(0.1,Skills!D11-IF(Skills!E11=TRUE,Inputs!$B$32,0)))*(1-IF(AND(ArtifactsInput!$M$27,Inputs!$B$4="Chapter Hunt"),CHOOSE(ArtifactsInput!$N$27+1,20,24,28,32,36,40),0)/100)),0)</f>
        <v/>
      </c>
      <c r="R1603">
        <f>IF(AND(Inputs!$B$38&lt;&gt;"pvp",Inputs!$B$43&gt;0),IF(MAX(0,Inputs!$B$43-B1625)&lt;=0,0,(INT(MAX(0,Inputs!$B$43-B1625)/(IF(Inputs!$B$38="pvp",15,MAX(0.1,Skills!D11-IF(Skills!E11=TRUE,Inputs!$B$32,0)))*(1-IF(AND(ArtifactsInput!$M$27,Inputs!$B$4="Chapter Hunt"),CHOOSE(ArtifactsInput!$N$27+1,20,24,28,32,36,40),0)/100)))+1)),0)</f>
        <v/>
      </c>
      <c r="S1603">
        <f>IFERROR(O1603/N1603,0)</f>
        <v/>
      </c>
      <c r="T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Skills!A12</f>
        <v/>
      </c>
      <c r="B1604">
        <f>Skills!B12</f>
        <v/>
      </c>
      <c r="C1604">
        <f>Inputs!$B$3&gt;=100</f>
        <v/>
      </c>
      <c r="D1604">
        <f>IF(Skills!C12=1,60+Inputs!$B$25+Inputs!$B$29,IF(Skills!C12=2,90+Inputs!$B$26+Inputs!$B$29,IF(Skills!C12=3,120+Inputs!$B$27+Inputs!$B$29,MAX(0,(Inputs!$B$3-100)*3)+Inputs!$B$28+Inputs!$B$29)))</f>
        <v/>
      </c>
      <c r="E1604">
        <f>INDEX(FactorTable!$B$2:$Y$301, MATCH(ROUND(MIN(300,MAX(1,D1604)),0), FactorTable!$A$2:$A$301,0), Skills!M12+1)</f>
        <v/>
      </c>
      <c r="F1604">
        <f>IF(Skills!N12=TRUE,(Skills!L12/10)*(E1604/1000),Skills!L12/10)+Skills!O12</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V1604" t="inlineStr"/>
    </row>
    <row r="1605">
      <c r="A1605">
        <f>Skills!A13</f>
        <v/>
      </c>
      <c r="B1605">
        <f>Skills!B13</f>
        <v/>
      </c>
      <c r="C1605">
        <f>Inputs!$B$3&gt;=66</f>
        <v/>
      </c>
      <c r="D1605">
        <f>IF(Skills!C13=1,60+Inputs!$B$25+Inputs!$B$29,IF(Skills!C13=2,90+Inputs!$B$26+Inputs!$B$29,IF(Skills!C13=3,120+Inputs!$B$27+Inputs!$B$29,MAX(0,(Inputs!$B$3-100)*3)+Inputs!$B$28+Inputs!$B$29)))</f>
        <v/>
      </c>
      <c r="E1605">
        <f>INDEX(FactorTable!$B$2:$Y$301, MATCH(ROUND(MIN(300,MAX(1,D1605)),0), FactorTable!$A$2:$A$301,0), Skills!M13+1)</f>
        <v/>
      </c>
      <c r="F1605">
        <f>IF(Skills!N13=TRUE,(Skills!L13/10)*(E1605/1000),Skills!L13/10)+Skills!O13</f>
        <v/>
      </c>
      <c r="G1605">
        <f>Skills!G13*IF(Skills!H13&gt;0,Skills!I13/Skills!H13,1)</f>
        <v/>
      </c>
      <c r="H1605">
        <f>1-(1-Skills!J13/100)^Skills!K13</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Skills!A14</f>
        <v/>
      </c>
      <c r="B1606">
        <f>Skills!B14</f>
        <v/>
      </c>
      <c r="C1606">
        <f>Inputs!$B$3&gt;=107</f>
        <v/>
      </c>
      <c r="D1606">
        <f>IF(Skills!C14=1,60+Inputs!$B$25+Inputs!$B$29,IF(Skills!C14=2,90+Inputs!$B$26+Inputs!$B$29,IF(Skills!C14=3,120+Inputs!$B$27+Inputs!$B$29,MAX(0,(Inputs!$B$3-100)*3)+Inputs!$B$28+Inputs!$B$29)))</f>
        <v/>
      </c>
      <c r="E1606">
        <f>INDEX(FactorTable!$B$2:$Y$301, MATCH(ROUND(MIN(300,MAX(1,D1606)),0), FactorTable!$A$2:$A$301,0), Skills!M14+1)</f>
        <v/>
      </c>
      <c r="F1606">
        <f>IF(Skills!N14=TRUE,(Skills!L14/10)*(E1606/1000),Skills!L14/10)+Skills!O14</f>
        <v/>
      </c>
      <c r="G1606">
        <f>Skills!G14*IF(Skills!H14&gt;0,Skills!I14/Skills!H14,1)</f>
        <v/>
      </c>
      <c r="H1606">
        <f>1-(1-Skills!J14/100)^Skills!K14</f>
        <v/>
      </c>
      <c r="I1606" t="inlineStr">
        <is>
          <t>1</t>
        </is>
      </c>
      <c r="J1606" t="inlineStr"/>
      <c r="K1606" t="inlineStr"/>
      <c r="L1606" t="inlineStr"/>
      <c r="M1606" t="inlineStr"/>
      <c r="N1606" t="inlineStr"/>
      <c r="O1606">
        <f>(1-Summary!$B$11)*T1606+Summary!$B$11*V1606</f>
        <v/>
      </c>
      <c r="P1606">
        <f>IF(B1628=0,0,O1606/B1628)</f>
        <v/>
      </c>
      <c r="Q1606" t="n">
        <v>0</v>
      </c>
      <c r="R1606" t="n">
        <v>0</v>
      </c>
      <c r="S1606">
        <f>IFERROR(O1606/N1606,0)</f>
        <v/>
      </c>
      <c r="T1606" t="n">
        <v>0</v>
      </c>
      <c r="V1606" t="n">
        <v>0</v>
      </c>
    </row>
    <row r="1607">
      <c r="A1607">
        <f>Skills!A15</f>
        <v/>
      </c>
      <c r="B1607">
        <f>Skills!B15</f>
        <v/>
      </c>
      <c r="C1607">
        <f>Inputs!$B$3&gt;=115</f>
        <v/>
      </c>
      <c r="D1607">
        <f>IF(Skills!C15=1,60+Inputs!$B$25+Inputs!$B$29,IF(Skills!C15=2,90+Inputs!$B$26+Inputs!$B$29,IF(Skills!C15=3,120+Inputs!$B$27+Inputs!$B$29,MAX(0,(Inputs!$B$3-100)*3)+Inputs!$B$28+Inputs!$B$29)))</f>
        <v/>
      </c>
      <c r="E1607">
        <f>INDEX(FactorTable!$B$2:$Y$301, MATCH(ROUND(MIN(300,MAX(1,D1607)),0), FactorTable!$A$2:$A$301,0), Skills!M15+1)</f>
        <v/>
      </c>
      <c r="F1607">
        <f>IF(Skills!N15=TRUE,(Skills!L15/10)*(E1607/1000),Skills!L15/10)+Skills!O15</f>
        <v/>
      </c>
      <c r="G1607">
        <f>Skills!G15*IF(Skills!H15&gt;0,Skills!I15/Skills!H15,1)</f>
        <v/>
      </c>
      <c r="H1607">
        <f>1-(1-Skills!J15/100)^Skills!K15</f>
        <v/>
      </c>
      <c r="I1607" t="inlineStr">
        <is>
          <t>1</t>
        </is>
      </c>
      <c r="J1607" t="inlineStr"/>
      <c r="K1607" t="inlineStr"/>
      <c r="L1607" t="inlineStr"/>
      <c r="M1607" t="inlineStr"/>
      <c r="N1607" t="inlineStr"/>
      <c r="O1607">
        <f>(1-Summary!$B$11)*T1607+Summary!$B$11*V1607</f>
        <v/>
      </c>
      <c r="P1607">
        <f>IF(B1628=0,0,O1607/B1628)</f>
        <v/>
      </c>
      <c r="Q1607" t="n">
        <v>0</v>
      </c>
      <c r="R1607" t="n">
        <v>0</v>
      </c>
      <c r="S1607">
        <f>IFERROR(O1607/N1607,0)</f>
        <v/>
      </c>
      <c r="T1607" t="n">
        <v>0</v>
      </c>
      <c r="V1607" t="n">
        <v>0</v>
      </c>
    </row>
    <row r="1608">
      <c r="A1608">
        <f>Skills!A16</f>
        <v/>
      </c>
      <c r="B1608">
        <f>Skills!B16</f>
        <v/>
      </c>
      <c r="C1608">
        <f>Inputs!$B$3&gt;=15</f>
        <v/>
      </c>
      <c r="D1608">
        <f>IF(Skills!C16=1,60+Inputs!$B$25+Inputs!$B$29,IF(Skills!C16=2,90+Inputs!$B$26+Inputs!$B$29,IF(Skills!C16=3,120+Inputs!$B$27+Inputs!$B$29,MAX(0,(Inputs!$B$3-100)*3)+Inputs!$B$28+Inputs!$B$29)))</f>
        <v/>
      </c>
      <c r="E1608">
        <f>INDEX(FactorTable!$B$2:$Y$301, MATCH(ROUND(MIN(300,MAX(1,D1608)),0), FactorTable!$A$2:$A$301,0), Skills!M16+1)</f>
        <v/>
      </c>
      <c r="F1608">
        <f>IF(Skills!N16=TRUE,(Skills!L16/10)*(E1608/1000),Skills!L16/10)+Skills!O16</f>
        <v/>
      </c>
      <c r="G1608">
        <f>Skills!G16*IF(Skills!H16&gt;0,Skills!I16/Skills!H16,1)</f>
        <v/>
      </c>
      <c r="H1608">
        <f>1-(1-Skills!J16/100)^Skills!K16</f>
        <v/>
      </c>
      <c r="I1608" t="inlineStr">
        <is>
          <t>1</t>
        </is>
      </c>
      <c r="J1608" t="inlineStr"/>
      <c r="K1608" t="inlineStr"/>
      <c r="L1608" t="inlineStr"/>
      <c r="M1608" t="inlineStr"/>
      <c r="N1608" t="inlineStr"/>
      <c r="O1608">
        <f>(1-Summary!$B$11)*T1608+Summary!$B$11*V1608</f>
        <v/>
      </c>
      <c r="P1608">
        <f>IF(B1628=0,0,O1608/B1628)</f>
        <v/>
      </c>
      <c r="Q1608" t="n">
        <v>0</v>
      </c>
      <c r="R1608" t="n">
        <v>0</v>
      </c>
      <c r="S1608">
        <f>IFERROR(O1608/N1608,0)</f>
        <v/>
      </c>
      <c r="T1608" t="n">
        <v>0</v>
      </c>
      <c r="V1608" t="n">
        <v>0</v>
      </c>
    </row>
    <row r="1609">
      <c r="A1609">
        <f>Skills!A17</f>
        <v/>
      </c>
      <c r="B1609">
        <f>Skills!B17</f>
        <v/>
      </c>
      <c r="C1609">
        <f>Inputs!$B$3&gt;=10</f>
        <v/>
      </c>
      <c r="D1609">
        <f>IF(Skills!C17=1,60+Inputs!$B$25+Inputs!$B$29,IF(Skills!C17=2,90+Inputs!$B$26+Inputs!$B$29,IF(Skills!C17=3,120+Inputs!$B$27+Inputs!$B$29,MAX(0,(Inputs!$B$3-100)*3)+Inputs!$B$28+Inputs!$B$29)))</f>
        <v/>
      </c>
      <c r="E1609">
        <f>INDEX(FactorTable!$B$2:$Y$301, MATCH(ROUND(MIN(300,MAX(1,D1609)),0), FactorTable!$A$2:$A$301,0), Skills!M17+1)</f>
        <v/>
      </c>
      <c r="F1609">
        <f>IF(Skills!N17=TRUE,(Skills!L17/10)*(E1609/1000),Skills!L17/10)+Skills!O17</f>
        <v/>
      </c>
      <c r="G1609">
        <f>Skills!G17*IF(Skills!H17&gt;0,Skills!I17/Skills!H17,1)</f>
        <v/>
      </c>
      <c r="H1609">
        <f>1-(1-Skills!J17/100)^Skills!K17</f>
        <v/>
      </c>
      <c r="I1609" t="inlineStr">
        <is>
          <t>1</t>
        </is>
      </c>
      <c r="J1609" t="inlineStr"/>
      <c r="K1609" t="inlineStr"/>
      <c r="L1609" t="inlineStr"/>
      <c r="M1609" t="inlineStr"/>
      <c r="N1609" t="inlineStr"/>
      <c r="O1609">
        <f>(1-Summary!$B$11)*T1609+Summary!$B$11*V1609</f>
        <v/>
      </c>
      <c r="P1609">
        <f>IF(B1628=0,0,O1609/B1628)</f>
        <v/>
      </c>
      <c r="Q1609" t="n">
        <v>0</v>
      </c>
      <c r="R1609" t="n">
        <v>0</v>
      </c>
      <c r="S1609">
        <f>IFERROR(O1609/N1609,0)</f>
        <v/>
      </c>
      <c r="T1609" t="n">
        <v>0</v>
      </c>
      <c r="V1609" t="n">
        <v>0</v>
      </c>
    </row>
    <row r="1610">
      <c r="A1610">
        <f>Skills!A18</f>
        <v/>
      </c>
      <c r="B1610">
        <f>Skills!B18</f>
        <v/>
      </c>
      <c r="C1610">
        <f>Inputs!$B$3&gt;=33</f>
        <v/>
      </c>
      <c r="D1610">
        <f>IF(Skills!C18=1,60+Inputs!$B$25+Inputs!$B$29,IF(Skills!C18=2,90+Inputs!$B$26+Inputs!$B$29,IF(Skills!C18=3,120+Inputs!$B$27+Inputs!$B$29,MAX(0,(Inputs!$B$3-100)*3)+Inputs!$B$28+Inputs!$B$29)))</f>
        <v/>
      </c>
      <c r="E1610">
        <f>INDEX(FactorTable!$B$2:$Y$301, MATCH(ROUND(MIN(300,MAX(1,D1610)),0), FactorTable!$A$2:$A$301,0), Skills!M18+1)</f>
        <v/>
      </c>
      <c r="F1610">
        <f>IF(Skills!N18=TRUE,(Skills!L18/10)*(E1610/1000),Skills!L18/10)+Skills!O18</f>
        <v/>
      </c>
      <c r="G1610">
        <f>Skills!G18*IF(Skills!H18&gt;0,Skills!I18/Skills!H18,1)</f>
        <v/>
      </c>
      <c r="H1610">
        <f>1-(1-Skills!J18/100)^Skills!K18</f>
        <v/>
      </c>
      <c r="I1610" t="inlineStr">
        <is>
          <t>1</t>
        </is>
      </c>
      <c r="J1610" t="inlineStr"/>
      <c r="K1610" t="inlineStr"/>
      <c r="L1610" t="inlineStr"/>
      <c r="M1610" t="inlineStr"/>
      <c r="N1610" t="inlineStr"/>
      <c r="O1610">
        <f>(1-Summary!$B$11)*T1610+Summary!$B$11*V1610</f>
        <v/>
      </c>
      <c r="P1610">
        <f>IF(B1628=0,0,O1610/B1628)</f>
        <v/>
      </c>
      <c r="Q1610" t="n">
        <v>0</v>
      </c>
      <c r="R1610" t="n">
        <v>0</v>
      </c>
      <c r="S1610">
        <f>IFERROR(O1610/N1610,0)</f>
        <v/>
      </c>
      <c r="T1610" t="n">
        <v>0</v>
      </c>
      <c r="V1610" t="n">
        <v>0</v>
      </c>
    </row>
    <row r="1611">
      <c r="A1611">
        <f>Skills!A19</f>
        <v/>
      </c>
      <c r="B1611">
        <f>Skills!B19</f>
        <v/>
      </c>
      <c r="C1611">
        <f>Inputs!$B$3&gt;=40</f>
        <v/>
      </c>
      <c r="D1611">
        <f>IF(Skills!C19=1,60+Inputs!$B$25+Inputs!$B$29,IF(Skills!C19=2,90+Inputs!$B$26+Inputs!$B$29,IF(Skills!C19=3,120+Inputs!$B$27+Inputs!$B$29,MAX(0,(Inputs!$B$3-100)*3)+Inputs!$B$28+Inputs!$B$29)))</f>
        <v/>
      </c>
      <c r="E1611">
        <f>INDEX(FactorTable!$B$2:$Y$301, MATCH(ROUND(MIN(300,MAX(1,D1611)),0), FactorTable!$A$2:$A$301,0), Skills!M19+1)</f>
        <v/>
      </c>
      <c r="F1611">
        <f>IF(Skills!N19=TRUE,(Skills!L19/10)*(E1611/1000),Skills!L19/10)+Skills!O19</f>
        <v/>
      </c>
      <c r="G1611">
        <f>Skills!G19*IF(Skills!H19&gt;0,Skills!I19/Skills!H19,1)</f>
        <v/>
      </c>
      <c r="H1611">
        <f>1-(1-Skills!J19/100)^Skills!K19</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Skills!A20</f>
        <v/>
      </c>
      <c r="B1612">
        <f>Skills!B20</f>
        <v/>
      </c>
      <c r="C1612">
        <f>Inputs!$B$3&gt;=43</f>
        <v/>
      </c>
      <c r="D1612">
        <f>IF(Skills!C20=1,60+Inputs!$B$25+Inputs!$B$29,IF(Skills!C20=2,90+Inputs!$B$26+Inputs!$B$29,IF(Skills!C20=3,120+Inputs!$B$27+Inputs!$B$29,MAX(0,(Inputs!$B$3-100)*3)+Inputs!$B$28+Inputs!$B$29)))</f>
        <v/>
      </c>
      <c r="E1612">
        <f>INDEX(FactorTable!$B$2:$Y$301, MATCH(ROUND(MIN(300,MAX(1,D1612)),0), FactorTable!$A$2:$A$301,0), Skills!M20+1)</f>
        <v/>
      </c>
      <c r="F1612">
        <f>IF(Skills!N20=TRUE,(Skills!L20/10)*(E1612/1000),Skills!L20/10)+Skills!O20</f>
        <v/>
      </c>
      <c r="G1612">
        <f>Skills!G20*IF(Skills!H20&gt;0,Skills!I20/Skills!H20,1)</f>
        <v/>
      </c>
      <c r="H1612">
        <f>1-(1-Skills!J20/100)^Skills!K20</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Skills!A21</f>
        <v/>
      </c>
      <c r="B1613">
        <f>Skills!B21</f>
        <v/>
      </c>
      <c r="C1613">
        <f>Inputs!$B$3&gt;=38</f>
        <v/>
      </c>
      <c r="D1613">
        <f>IF(Skills!C21=1,60+Inputs!$B$25+Inputs!$B$29,IF(Skills!C21=2,90+Inputs!$B$26+Inputs!$B$29,IF(Skills!C21=3,120+Inputs!$B$27+Inputs!$B$29,MAX(0,(Inputs!$B$3-100)*3)+Inputs!$B$28+Inputs!$B$29)))</f>
        <v/>
      </c>
      <c r="E1613">
        <f>INDEX(FactorTable!$B$2:$Y$301, MATCH(ROUND(MIN(300,MAX(1,D1613)),0), FactorTable!$A$2:$A$301,0), Skills!M21+1)</f>
        <v/>
      </c>
      <c r="F1613">
        <f>IF(Skills!N21=TRUE,(Skills!L21/10)*(E1613/1000),Skills!L21/10)+Skills!O21</f>
        <v/>
      </c>
      <c r="G1613">
        <f>Skills!G21*IF(Skills!H21&gt;0,Skills!I21/Skills!H21,1)</f>
        <v/>
      </c>
      <c r="H1613">
        <f>1-(1-Skills!J21/100)^Skills!K21</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Skills!A22</f>
        <v/>
      </c>
      <c r="B1614">
        <f>Skills!B22</f>
        <v/>
      </c>
      <c r="C1614">
        <f>Inputs!$B$3&gt;=75</f>
        <v/>
      </c>
      <c r="D1614">
        <f>IF(Skills!C22=1,60+Inputs!$B$25+Inputs!$B$29,IF(Skills!C22=2,90+Inputs!$B$26+Inputs!$B$29,IF(Skills!C22=3,120+Inputs!$B$27+Inputs!$B$29,MAX(0,(Inputs!$B$3-100)*3)+Inputs!$B$28+Inputs!$B$29)))</f>
        <v/>
      </c>
      <c r="E1614">
        <f>INDEX(FactorTable!$B$2:$Y$301, MATCH(ROUND(MIN(300,MAX(1,D1614)),0), FactorTable!$A$2:$A$301,0), Skills!M22+1)</f>
        <v/>
      </c>
      <c r="F1614">
        <f>IF(Skills!N22=TRUE,(Skills!L22/10)*(E1614/1000),Skills!L22/10)+Skills!O22</f>
        <v/>
      </c>
      <c r="G1614">
        <f>Skills!G22*IF(Skills!H22&gt;0,Skills!I22/Skills!H22,1)</f>
        <v/>
      </c>
      <c r="H1614">
        <f>1-(1-Skills!J22/100)^Skills!K22</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Skills!A23</f>
        <v/>
      </c>
      <c r="B1615">
        <f>Skills!B23</f>
        <v/>
      </c>
      <c r="C1615">
        <f>TRUE</f>
        <v/>
      </c>
      <c r="D1615">
        <f>IF(Skills!C23=1,60+Inputs!$B$25+Inputs!$B$29,IF(Skills!C23=2,90+Inputs!$B$26+Inputs!$B$29,IF(Skills!C23=3,120+Inputs!$B$27+Inputs!$B$29,MAX(0,(Inputs!$B$3-100)*3)+Inputs!$B$28+Inputs!$B$29)))</f>
        <v/>
      </c>
      <c r="E1615">
        <f>INDEX(FactorTable!$B$2:$Y$301, MATCH(ROUND(MIN(300,MAX(1,D1615)),0), FactorTable!$A$2:$A$301,0), Skills!M23+1)</f>
        <v/>
      </c>
      <c r="F1615">
        <f>IF(Skills!N23=TRUE,(Skills!L23/10)*(E1615/1000),Skills!L23/10)+Skills!O23</f>
        <v/>
      </c>
      <c r="G1615">
        <f>Skills!G23*IF(Skills!H23&gt;0,Skills!I23/Skills!H23,1)</f>
        <v/>
      </c>
      <c r="H1615">
        <f>1-(1-Skills!J23/100)^Skills!K23</f>
        <v/>
      </c>
      <c r="I1615" t="inlineStr">
        <is>
          <t>1</t>
        </is>
      </c>
      <c r="J1615" t="inlineStr"/>
      <c r="K1615" t="inlineStr"/>
      <c r="L1615" t="inlineStr"/>
      <c r="M1615" t="inlineStr"/>
      <c r="N1615" t="inlineStr"/>
      <c r="O1615">
        <f>(1-Summary!$B$11)*T1615+Summary!$B$11*V1615</f>
        <v/>
      </c>
      <c r="P1615">
        <f>IF(B1628=0,0,O1615/B1628)</f>
        <v/>
      </c>
      <c r="Q1615">
        <f>IFERROR(1/(IF(Inputs!$B$38="pvp",15,MAX(0.1,Skills!D23-IF(Skills!E23=TRUE,Inputs!$B$32,0)))*(1-IF(AND(ArtifactsInput!$M$27,Inputs!$B$4="Chapter Hunt"),CHOOSE(ArtifactsInput!$N$27+1,20,24,28,32,36,40),0)/100)),0)</f>
        <v/>
      </c>
      <c r="R1615">
        <f>IF(AND(Inputs!$B$38&lt;&gt;"pvp",Inputs!$B$43&gt;0),IF(Inputs!$B$43&lt;=0,0,(INT(Inputs!$B$43/(IF(Inputs!$B$38="pvp",15,MAX(0.1,Skills!D23-IF(Skills!E23=TRUE,Inputs!$B$32,0)))*(1-IF(AND(ArtifactsInput!$M$27,Inputs!$B$4="Chapter Hunt"),CHOOSE(ArtifactsInput!$N$27+1,20,24,28,32,36,40),0)/100)))+1)),0)</f>
        <v/>
      </c>
      <c r="S1615">
        <f>IFERROR(O1615/N1615,0)</f>
        <v/>
      </c>
      <c r="T1615" t="n">
        <v>0</v>
      </c>
      <c r="V1615" t="n">
        <v>0</v>
      </c>
    </row>
    <row r="1617">
      <c r="A1617" t="inlineStr">
        <is>
          <t>Attack% Bucket Multiplier</t>
        </is>
      </c>
      <c r="B1617">
        <f>(1+(((C1605=TRUE)*F1605*5/7)+((C1611=TRUE)*(F1611-Calc!F19))+(IF(ArtifactsInput!$M$21,CHOOSE(ArtifactsInput!$N$21+1,25,30,35,40,45,50)*(IF(OR(Inputs!$B$4="Chapter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 (Nimble Feet, duty-cycle averaged)</t>
        </is>
      </c>
      <c r="B1619">
        <f>((C1615=TRUE)*F1615*IF(AND(Inputs!$B$38&lt;&gt;"pvp",Inputs!$B$43&gt;0),(((R1615-1)*(Skills!T23*(1+Inputs!$B$34/100))+MIN((Skills!T23*(1+Inputs!$B$34/100)),MAX(0,Inputs!$B$43-((R1615-1)*Skills!D23))))/Inputs!$B$43),IF(Inputs!$B$38="pvp",MIN((Skills!T23*(1+Inputs!$B$34/100)),15)/15,(Skills!T23*(1+Inputs!$B$34/100))/Skills!D23)))</f>
        <v/>
      </c>
    </row>
    <row r="1620">
      <c r="A1620" t="inlineStr">
        <is>
          <t>Actions Per Second</t>
        </is>
      </c>
      <c r="B1620">
        <f>1+MIN(150,150*(1-(1-(Inputs!$B$11+((C1609=TRUE)*(F1609-Calc!F17))+((C1610=TRUE)*(F1610-Calc!F18)))/150)*(1-B1619/150)))/100</f>
        <v/>
      </c>
    </row>
    <row r="1621">
      <c r="A1621" t="inlineStr">
        <is>
          <t>Skill + Buff Cast Rate</t>
        </is>
      </c>
      <c r="B1621">
        <f>IF(AND(Inputs!$B$38&lt;&gt;"pvp",Inputs!$B$43&gt;0),SUMPRODUCT((Skills!E2:E23=TRUE)*(C1594:C1615=TRUE)*R1594:R1615*Skills!F2:F23)/Inputs!$B$43,SUMPRODUCT((Skills!E2:E23=TRUE)*(C1594:C1615=TRUE)*Q1594:Q1615*Skills!F2:F23))</f>
        <v/>
      </c>
    </row>
    <row r="1622">
      <c r="A1622" t="inlineStr">
        <is>
          <t>Hook Bomber Casts Per Second</t>
        </is>
      </c>
      <c r="B1622">
        <f>MAX(0,B1620-B1621)</f>
        <v/>
      </c>
    </row>
    <row r="1623">
      <c r="A1623" t="inlineStr">
        <is>
          <t>Global Critical Damage Bonus % (unused)</t>
        </is>
      </c>
      <c r="B1623" t="n">
        <v>0</v>
      </c>
    </row>
    <row r="1624">
      <c r="A1624" t="inlineStr">
        <is>
          <t>Global Final Damage Bonus % (Serpent Scale + Crossbones + Time Leap + Speed Infusion)</t>
        </is>
      </c>
      <c r="B1624">
        <f>((C1597=TRUE)*F1597*((10+IF(Inputs!$B$3&gt;=94,5,0))/((10+IF(Inputs!$B$3&gt;=94,5,0))+5/(B1622*(1+IF(Inputs!$B$3&gt;=104,1,0))))))+((C1606=TRUE)*F1606)+((C1607=TRUE)*F1607)+((Inputs!$B$3&gt;=110)*20*(B1620-1))</f>
        <v/>
      </c>
    </row>
    <row r="1625">
      <c r="A1625" t="inlineStr">
        <is>
          <t>Buff-Casting Startup Delay (s, fixed-duration only)</t>
        </is>
      </c>
      <c r="B1625">
        <f>IF(AND(Inputs!$B$38&lt;&gt;"pvp",Inputs!$B$43&gt;0),SUMPRODUCT((Skills!T2:T23&gt;0)*(Skills!E2:E23=TRUE)*(C1594:C1615=TRUE))/B1620,0)</f>
        <v/>
      </c>
    </row>
    <row r="1626">
      <c r="A1626" t="inlineStr">
        <is>
          <t>Boss-Only Total DPS (this block's swept value)</t>
        </is>
      </c>
      <c r="B1626">
        <f>SUM(T1594:T1615)</f>
        <v/>
      </c>
    </row>
    <row r="1627">
      <c r="A1627" t="inlineStr">
        <is>
          <t>Normal-Only Total DPS (this block's swept value)</t>
        </is>
      </c>
      <c r="B1627">
        <f>SUM(V1594:V1615)</f>
        <v/>
      </c>
    </row>
    <row r="1628">
      <c r="A1628" s="6" t="inlineStr">
        <is>
          <t>TOTAL DPS</t>
        </is>
      </c>
      <c r="B1628" s="6">
        <f>SUM(O1594:O1615)</f>
        <v/>
      </c>
    </row>
    <row r="1631">
      <c r="A1631" s="6" t="inlineStr">
        <is>
          <t>Stat: Old Music Box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1651=TRUE)*(F1651-Calc!F20)),(Inputs!$B$23+0+(IF(ArtifactsInput!$M$15,CHOOSE(ArtifactsInput!$N$15+1,25,30,35,40,45,50)/100*(Inputs!$B$11-Inputs!$B$11),0))))/100+(Inputs!$B$23+0+(IF(ArtifactsInput!$M$15,CHOOSE(ArtifactsInput!$N$15+1,25,30,35,40,45,50)/100*(Inputs!$B$11-Inputs!$B$11),0)))/100)/2</f>
        <v/>
      </c>
      <c r="M1633">
        <f>L1633*(1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IF(B1667=0,0,O1633/B1667)</f>
        <v/>
      </c>
      <c r="Q1633" t="n">
        <v>0</v>
      </c>
      <c r="R1633" t="n">
        <v>0</v>
      </c>
      <c r="S1633">
        <f>IFERROR(O1633/N1633,0)</f>
        <v/>
      </c>
      <c r="T1633">
        <f>IF(C1633,(Skills!G2*N1633*B1661)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IF(C1633,(Skills!G2*N1633*B1661)*IF(Inputs!$B$38="pvp",1,(1+(Inputs!$B$21+Skills!Q2+(IF(ArtifactsInput!$M$33,CHOOSE(ArtifactsInput!$N$33+1,30,36,42,48,54,60),0))+(IF(AND(ArtifactsInput!$M$35,Inputs!$B$4&lt;&gt;"Chapter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Inputs!$B$3&gt;=35</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f>Skills!G3*IF(Skills!H3&gt;0,Skills!I3/Skills!H3,1)</f>
        <v/>
      </c>
      <c r="H1634">
        <f>1-(1-Skills!J3/100)^Skills!K3</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1651=TRUE)*(F1651-Calc!F20)),(Inputs!$B$23+0+(IF(ArtifactsInput!$M$15,CHOOSE(ArtifactsInput!$N$15+1,25,30,35,40,45,50)/100*(Inputs!$B$11-Inputs!$B$11),0))))/100+(Inputs!$B$23+0+(IF(ArtifactsInput!$M$15,CHOOSE(ArtifactsInput!$N$15+1,25,30,35,40,45,50)/100*(Inputs!$B$11-Inputs!$B$11),0)))/100)/2</f>
        <v/>
      </c>
      <c r="M1634">
        <f>L1634*(1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IF(B1667=0,0,O1634/B1667)</f>
        <v/>
      </c>
      <c r="Q1634" t="n">
        <v>0</v>
      </c>
      <c r="R1634" t="n">
        <v>0</v>
      </c>
      <c r="S1634">
        <f>IFERROR(O1634/N1634,0)</f>
        <v/>
      </c>
      <c r="T1634">
        <f>IF(C1634,(Skills!G3*H1634*N1634*B1661)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INDEX(FactorTable!$B$2:$Y$301, MATCH(ROUND(MIN(300,MAX(1,U1633)),0), FactorTable!$A$2:$A$301,0), 22)</f>
        <v/>
      </c>
      <c r="V1634">
        <f>IF(C1634,(Skills!G3*H1634*N1634*B1661)*IF(Inputs!$B$38="pvp",1,(1+(Inputs!$B$21+Skills!Q3+(IF(ArtifactsInput!$M$33,CHOOSE(ArtifactsInput!$N$33+1,30,36,42,48,54,60),0))+(IF(AND(ArtifactsInput!$M$35,Inputs!$B$4&lt;&gt;"Chapter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Skills!A4</f>
        <v/>
      </c>
      <c r="B1635">
        <f>Skills!B4</f>
        <v/>
      </c>
      <c r="C1635">
        <f>Inputs!$B$3&gt;=60</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4="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1651=TRUE)*(F1651-Calc!F20)),(Inputs!$B$23+0+(IF(ArtifactsInput!$M$15,CHOOSE(ArtifactsInput!$N$15+1,25,30,35,40,45,50)/100*(Inputs!$B$11-Inputs!$B$11),0))))/100+(Inputs!$B$23+0+(IF(ArtifactsInput!$M$15,CHOOSE(ArtifactsInput!$N$15+1,25,30,35,40,45,50)/100*(Inputs!$B$11-Inputs!$B$11),0)))/100)/2</f>
        <v/>
      </c>
      <c r="M1635">
        <f>L1635*(1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IF(B1667=0,0,O1635/B1667)</f>
        <v/>
      </c>
      <c r="Q1635" t="n">
        <v>0</v>
      </c>
      <c r="R1635" t="n">
        <v>0</v>
      </c>
      <c r="S1635">
        <f>IFERROR(O1635/N1635,0)</f>
        <v/>
      </c>
      <c r="T1635">
        <f>IF(C1635,(Skills!G4*H1635*N1635*B1661)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IF(C1635,(Skills!G4*H1635*N1635*B1661)*IF(Inputs!$B$38="pvp",1,(1+(Inputs!$B$21+Skills!Q4+(IF(ArtifactsInput!$M$33,CHOOSE(ArtifactsInput!$N$33+1,30,36,42,48,54,60),0))+(IF(AND(ArtifactsInput!$M$35,Inputs!$B$4&lt;&gt;"Chapter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Inputs!$B$3&gt;=60</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t="inlineStr"/>
      <c r="K1636" t="inlineStr"/>
      <c r="L1636" t="inlineStr"/>
      <c r="M1636" t="inlineStr"/>
      <c r="N1636" t="inlineStr"/>
      <c r="O1636">
        <f>(1-Summary!$B$11)*T1636+Summary!$B$11*V1636</f>
        <v/>
      </c>
      <c r="P1636">
        <f>IF(B1667=0,0,O1636/B1667)</f>
        <v/>
      </c>
      <c r="Q1636" t="n">
        <v>0</v>
      </c>
      <c r="R1636" t="n">
        <v>0</v>
      </c>
      <c r="S1636">
        <f>IFERROR(O1636/N1636,0)</f>
        <v/>
      </c>
      <c r="T1636" t="n">
        <v>0</v>
      </c>
      <c r="V1636" t="n">
        <v>0</v>
      </c>
    </row>
    <row r="1637">
      <c r="A1637">
        <f>Skills!A6</f>
        <v/>
      </c>
      <c r="B1637">
        <f>Skills!B6</f>
        <v/>
      </c>
      <c r="C1637">
        <f>Inputs!$B$3&gt;=63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1651=TRUE)*(F1651-Calc!F20)),(Inputs!$B$23+0+(IF(ArtifactsInput!$M$15,CHOOSE(ArtifactsInput!$N$15+1,25,30,35,40,45,50)/100*(Inputs!$B$11-Inputs!$B$11),0))))/100+(Inputs!$B$23+0+(IF(ArtifactsInput!$M$15,CHOOSE(ArtifactsInput!$N$15+1,25,30,35,40,45,50)/100*(Inputs!$B$11-Inputs!$B$11),0)))/100)/2</f>
        <v/>
      </c>
      <c r="M1637">
        <f>L1637*(1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IF(B1667=0,0,O1637/B1667)</f>
        <v/>
      </c>
      <c r="Q1637">
        <f>IFERROR(1/(IF(Inputs!$B$38="pvp",15,MAX(0.1,Skills!D6-IF(Skills!E6=TRUE,Inputs!$B$32,0)))*(1-IF(AND(ArtifactsInput!$M$27,Inputs!$B$4="Chapter Hunt"),CHOOSE(ArtifactsInput!$N$27+1,20,24,28,32,36,40),0)/100)),0)</f>
        <v/>
      </c>
      <c r="R1637">
        <f>IF(AND(Inputs!$B$38&lt;&gt;"pvp",Inputs!$B$43&gt;0),IF(MAX(0,Inputs!$B$43-B1664)&lt;=0,0,(INT(MAX(0,Inputs!$B$43-B1664)/(IF(Inputs!$B$38="pvp",15,MAX(0.1,Skills!D6-IF(Skills!E6=TRUE,Inputs!$B$32,0)))*(1-IF(AND(ArtifactsInput!$M$27,Inputs!$B$4="Chapter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Inputs!$B$3&gt;=100</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1651=TRUE)*(F1651-Calc!F20)),(Inputs!$B$23+0+(IF(ArtifactsInput!$M$15,CHOOSE(ArtifactsInput!$N$15+1,25,30,35,40,45,50)/100*(Inputs!$B$11-Inputs!$B$11),0))))/100+(Inputs!$B$23+0+(IF(ArtifactsInput!$M$15,CHOOSE(ArtifactsInput!$N$15+1,25,30,35,40,45,50)/100*(Inputs!$B$11-Inputs!$B$11),0)))/100)/2</f>
        <v/>
      </c>
      <c r="M1638">
        <f>L1638*(1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IF(B1667=0,0,O1638/B1667)</f>
        <v/>
      </c>
      <c r="Q1638">
        <f>IFERROR(1/(IF(Inputs!$B$38="pvp",15,MAX(0.1,Skills!D7-IF(Skills!E7=TRUE,Inputs!$B$32,0)))*(1-IF(AND(ArtifactsInput!$M$27,Inputs!$B$4="Chapter Hunt"),CHOOSE(ArtifactsInput!$N$27+1,20,24,28,32,36,40),0)/100)),0)</f>
        <v/>
      </c>
      <c r="R1638">
        <f>IF(AND(Inputs!$B$38&lt;&gt;"pvp",Inputs!$B$43&gt;0),IF(MAX(0,Inputs!$B$43-B1664)&lt;=0,0,(INT(MAX(0,Inputs!$B$43-B1664)/(IF(Inputs!$B$38="pvp",15,MAX(0.1,Skills!D7-IF(Skills!E7=TRUE,Inputs!$B$32,0)))*(1-IF(AND(ArtifactsInput!$M$27,Inputs!$B$4="Chapter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Inputs!$B$3&gt;=110</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1651=TRUE)*(F1651-Calc!F20)),(Inputs!$B$23+0+(IF(ArtifactsInput!$M$15,CHOOSE(ArtifactsInput!$N$15+1,25,30,35,40,45,50)/100*(Inputs!$B$11-Inputs!$B$11),0))))/100+(Inputs!$B$23+0+(IF(ArtifactsInput!$M$15,CHOOSE(ArtifactsInput!$N$15+1,25,30,35,40,45,50)/100*(Inputs!$B$11-Inputs!$B$11),0)))/100)/2</f>
        <v/>
      </c>
      <c r="M1639">
        <f>L1639*(1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IF(B1667=0,0,O1639/B1667)</f>
        <v/>
      </c>
      <c r="Q1639">
        <f>IFERROR(1/(IF(Inputs!$B$38="pvp",15,MAX(0.1,Skills!D8-IF(Skills!E8=TRUE,Inputs!$B$32,0)))*(1-IF(AND(ArtifactsInput!$M$27,Inputs!$B$4="Chapter Hunt"),CHOOSE(ArtifactsInput!$N$27+1,20,24,28,32,36,40),0)/100)),0)</f>
        <v/>
      </c>
      <c r="R1639">
        <f>IF(AND(Inputs!$B$38&lt;&gt;"pvp",Inputs!$B$43&gt;0),IF(MAX(0,Inputs!$B$43-B1664)&lt;=0,0,(INT(MAX(0,Inputs!$B$43-B1664)/(IF(Inputs!$B$38="pvp",15,MAX(0.1,Skills!D8-IF(Skills!E8=TRUE,Inputs!$B$32,0)))*(1-IF(AND(ArtifactsInput!$M$27,Inputs!$B$4="Chapter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Inputs!$B$3&gt;=110</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1651=TRUE)*(F1651-Calc!F20)),(Inputs!$B$23+0+(IF(ArtifactsInput!$M$15,CHOOSE(ArtifactsInput!$N$15+1,25,30,35,40,45,50)/100*(Inputs!$B$11-Inputs!$B$11),0))))/100+(Inputs!$B$23+0+(IF(ArtifactsInput!$M$15,CHOOSE(ArtifactsInput!$N$15+1,25,30,35,40,45,50)/100*(Inputs!$B$11-Inputs!$B$11),0)))/100)/2</f>
        <v/>
      </c>
      <c r="M1640">
        <f>L1640*(1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IF(B1667=0,0,O1640/B1667)</f>
        <v/>
      </c>
      <c r="Q1640">
        <f>IFERROR(1/(IF(Inputs!$B$38="pvp",15,MAX(0.1,Skills!D9-IF(Skills!E9=TRUE,Inputs!$B$32,0)))*(1-IF(AND(ArtifactsInput!$M$27,Inputs!$B$4="Chapter Hunt"),CHOOSE(ArtifactsInput!$N$27+1,20,24,28,32,36,40),0)/100)),0)</f>
        <v/>
      </c>
      <c r="R1640">
        <f>IF(AND(Inputs!$B$38&lt;&gt;"pvp",Inputs!$B$43&gt;0),IF(MAX(0,Inputs!$B$43-B1664)&lt;=0,0,(INT(MAX(0,Inputs!$B$43-B1664)/(IF(Inputs!$B$38="pvp",15,MAX(0.1,Skills!D9-IF(Skills!E9=TRUE,Inputs!$B$32,0)))*(1-IF(AND(ArtifactsInput!$M$27,Inputs!$B$4="Chapter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Inputs!$B$3&gt;=103</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1651=TRUE)*(F1651-Calc!F20)),(Inputs!$B$23+0+(IF(ArtifactsInput!$M$15,CHOOSE(ArtifactsInput!$N$15+1,25,30,35,40,45,50)/100*(Inputs!$B$11-Inputs!$B$11),0))))/100+(Inputs!$B$23+0+(IF(ArtifactsInput!$M$15,CHOOSE(ArtifactsInput!$N$15+1,25,30,35,40,45,50)/100*(Inputs!$B$11-Inputs!$B$11),0)))/100)/2</f>
        <v/>
      </c>
      <c r="M1641">
        <f>L1641*(1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IF(B1667=0,0,O1641/B1667)</f>
        <v/>
      </c>
      <c r="Q1641">
        <f>IFERROR(1/(IF(Inputs!$B$38="pvp",15,MAX(0.1,Skills!D10-IF(Skills!E10=TRUE,Inputs!$B$32,0)))*(1-IF(AND(ArtifactsInput!$M$27,Inputs!$B$4="Chapter Hunt"),CHOOSE(ArtifactsInput!$N$27+1,20,24,28,32,36,40),0)/100)),0)</f>
        <v/>
      </c>
      <c r="R1641">
        <f>IF(AND(Inputs!$B$38&lt;&gt;"pvp",Inputs!$B$43&gt;0),IF(MAX(0,Inputs!$B$43-B1664)&lt;=0,0,(INT(MAX(0,Inputs!$B$43-B1664)/(IF(Inputs!$B$38="pvp",15,MAX(0.1,Skills!D10-IF(Skills!E10=TRUE,Inputs!$B$32,0)))*(1-IF(AND(ArtifactsInput!$M$27,Inputs!$B$4="Chapter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Inputs!$B$3&gt;=113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1651=TRUE)*(F1651-Calc!F20)),(Inputs!$B$23+0+(IF(ArtifactsInput!$M$15,CHOOSE(ArtifactsInput!$N$15+1,25,30,35,40,45,50)/100*(Inputs!$B$11-Inputs!$B$11),0))))/100+(Inputs!$B$23+0+(IF(ArtifactsInput!$M$15,CHOOSE(ArtifactsInput!$N$15+1,25,30,35,40,45,50)/100*(Inputs!$B$11-Inputs!$B$11),0)))/100)/2</f>
        <v/>
      </c>
      <c r="M1642">
        <f>L1642*(1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IF(B1667=0,0,O1642/B1667)</f>
        <v/>
      </c>
      <c r="Q1642">
        <f>IFERROR(1/(IF(Inputs!$B$38="pvp",15,MAX(0.1,Skills!D11-IF(Skills!E11=TRUE,Inputs!$B$32,0)))*(1-IF(AND(ArtifactsInput!$M$27,Inputs!$B$4="Chapter Hunt"),CHOOSE(ArtifactsInput!$N$27+1,20,24,28,32,36,40),0)/100)),0)</f>
        <v/>
      </c>
      <c r="R1642">
        <f>IF(AND(Inputs!$B$38&lt;&gt;"pvp",Inputs!$B$43&gt;0),IF(MAX(0,Inputs!$B$43-B1664)&lt;=0,0,(INT(MAX(0,Inputs!$B$43-B1664)/(IF(Inputs!$B$38="pvp",15,MAX(0.1,Skills!D11-IF(Skills!E11=TRUE,Inputs!$B$32,0)))*(1-IF(AND(ArtifactsInput!$M$27,Inputs!$B$4="Chapter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c r="T1643" t="inlineStr"/>
      <c r="V1643" t="inlineStr"/>
    </row>
    <row r="1644">
      <c r="A1644">
        <f>Skills!A13</f>
        <v/>
      </c>
      <c r="B1644">
        <f>Skills!B13</f>
        <v/>
      </c>
      <c r="C1644">
        <f>Inputs!$B$3&gt;=66</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IF(B1667=0,0,O1644/B1667)</f>
        <v/>
      </c>
      <c r="Q1644" t="n">
        <v>0</v>
      </c>
      <c r="R1644" t="n">
        <v>0</v>
      </c>
      <c r="S1644">
        <f>IFERROR(O1644/N1644,0)</f>
        <v/>
      </c>
      <c r="T1644" t="n">
        <v>0</v>
      </c>
      <c r="V1644" t="n">
        <v>0</v>
      </c>
    </row>
    <row r="1645">
      <c r="A1645">
        <f>Skills!A14</f>
        <v/>
      </c>
      <c r="B1645">
        <f>Skills!B14</f>
        <v/>
      </c>
      <c r="C1645">
        <f>Inputs!$B$3&gt;=107</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IF(B1667=0,0,O1645/B1667)</f>
        <v/>
      </c>
      <c r="Q1645" t="n">
        <v>0</v>
      </c>
      <c r="R1645" t="n">
        <v>0</v>
      </c>
      <c r="S1645">
        <f>IFERROR(O1645/N1645,0)</f>
        <v/>
      </c>
      <c r="T1645" t="n">
        <v>0</v>
      </c>
      <c r="V1645" t="n">
        <v>0</v>
      </c>
    </row>
    <row r="1646">
      <c r="A1646">
        <f>Skills!A15</f>
        <v/>
      </c>
      <c r="B1646">
        <f>Skills!B15</f>
        <v/>
      </c>
      <c r="C1646">
        <f>Inputs!$B$3&gt;=115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IF(B1667=0,0,O1646/B1667)</f>
        <v/>
      </c>
      <c r="Q1646" t="n">
        <v>0</v>
      </c>
      <c r="R1646" t="n">
        <v>0</v>
      </c>
      <c r="S1646">
        <f>IFERROR(O1646/N1646,0)</f>
        <v/>
      </c>
      <c r="T1646" t="n">
        <v>0</v>
      </c>
      <c r="V1646" t="n">
        <v>0</v>
      </c>
    </row>
    <row r="1647">
      <c r="A1647">
        <f>Skills!A16</f>
        <v/>
      </c>
      <c r="B1647">
        <f>Skills!B16</f>
        <v/>
      </c>
      <c r="C1647">
        <f>Inputs!$B$3&gt;=15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IF(B1667=0,0,O1647/B1667)</f>
        <v/>
      </c>
      <c r="Q1647" t="n">
        <v>0</v>
      </c>
      <c r="R1647" t="n">
        <v>0</v>
      </c>
      <c r="S1647">
        <f>IFERROR(O1647/N1647,0)</f>
        <v/>
      </c>
      <c r="T1647" t="n">
        <v>0</v>
      </c>
      <c r="V1647" t="n">
        <v>0</v>
      </c>
    </row>
    <row r="1648">
      <c r="A1648">
        <f>Skills!A17</f>
        <v/>
      </c>
      <c r="B1648">
        <f>Skills!B17</f>
        <v/>
      </c>
      <c r="C1648">
        <f>Inputs!$B$3&gt;=10</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IF(B1667=0,0,O1648/B1667)</f>
        <v/>
      </c>
      <c r="Q1648" t="n">
        <v>0</v>
      </c>
      <c r="R1648" t="n">
        <v>0</v>
      </c>
      <c r="S1648">
        <f>IFERROR(O1648/N1648,0)</f>
        <v/>
      </c>
      <c r="T1648" t="n">
        <v>0</v>
      </c>
      <c r="V1648" t="n">
        <v>0</v>
      </c>
    </row>
    <row r="1649">
      <c r="A1649">
        <f>Skills!A18</f>
        <v/>
      </c>
      <c r="B1649">
        <f>Skills!B18</f>
        <v/>
      </c>
      <c r="C1649">
        <f>Inputs!$B$3&gt;=33</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IF(B1667=0,0,O1649/B1667)</f>
        <v/>
      </c>
      <c r="Q1649" t="n">
        <v>0</v>
      </c>
      <c r="R1649" t="n">
        <v>0</v>
      </c>
      <c r="S1649">
        <f>IFERROR(O1649/N1649,0)</f>
        <v/>
      </c>
      <c r="T1649" t="n">
        <v>0</v>
      </c>
      <c r="V1649" t="n">
        <v>0</v>
      </c>
    </row>
    <row r="1650">
      <c r="A1650">
        <f>Skills!A19</f>
        <v/>
      </c>
      <c r="B1650">
        <f>Skills!B19</f>
        <v/>
      </c>
      <c r="C1650">
        <f>Inputs!$B$3&gt;=40</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IF(B1667=0,0,O1650/B1667)</f>
        <v/>
      </c>
      <c r="Q1650" t="n">
        <v>0</v>
      </c>
      <c r="R1650" t="n">
        <v>0</v>
      </c>
      <c r="S1650">
        <f>IFERROR(O1650/N1650,0)</f>
        <v/>
      </c>
      <c r="T1650" t="n">
        <v>0</v>
      </c>
      <c r="V1650" t="n">
        <v>0</v>
      </c>
    </row>
    <row r="1651">
      <c r="A1651">
        <f>Skills!A20</f>
        <v/>
      </c>
      <c r="B1651">
        <f>Skills!B20</f>
        <v/>
      </c>
      <c r="C1651">
        <f>Inputs!$B$3&gt;=43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IF(B1667=0,0,O1651/B1667)</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IF(B1667=0,0,O1652/B1667)</f>
        <v/>
      </c>
      <c r="Q1652" t="n">
        <v>0</v>
      </c>
      <c r="R1652" t="n">
        <v>0</v>
      </c>
      <c r="S1652">
        <f>IFERROR(O1652/N1652,0)</f>
        <v/>
      </c>
      <c r="T1652" t="n">
        <v>0</v>
      </c>
      <c r="V1652" t="n">
        <v>0</v>
      </c>
    </row>
    <row r="1653">
      <c r="A1653">
        <f>Skills!A22</f>
        <v/>
      </c>
      <c r="B1653">
        <f>Skills!B22</f>
        <v/>
      </c>
      <c r="C1653">
        <f>Inputs!$B$3&gt;=75</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IF(B1667=0,0,O1653/B1667)</f>
        <v/>
      </c>
      <c r="Q1653" t="n">
        <v>0</v>
      </c>
      <c r="R1653" t="n">
        <v>0</v>
      </c>
      <c r="S1653">
        <f>IFERROR(O1653/N1653,0)</f>
        <v/>
      </c>
      <c r="T1653" t="n">
        <v>0</v>
      </c>
      <c r="V1653" t="n">
        <v>0</v>
      </c>
    </row>
    <row r="1654">
      <c r="A1654">
        <f>Skills!A23</f>
        <v/>
      </c>
      <c r="B1654">
        <f>Skills!B23</f>
        <v/>
      </c>
      <c r="C1654">
        <f>TRUE</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IF(B1667=0,0,O1654/B1667)</f>
        <v/>
      </c>
      <c r="Q1654">
        <f>IFERROR(1/(IF(Inputs!$B$38="pvp",15,MAX(0.1,Skills!D23-IF(Skills!E23=TRUE,Inputs!$B$32,0)))*(1-IF(AND(ArtifactsInput!$M$27,Inputs!$B$4="Chapter Hunt"),CHOOSE(ArtifactsInput!$N$27+1,20,24,28,32,36,40),0)/100)),0)</f>
        <v/>
      </c>
      <c r="R1654">
        <f>IF(AND(Inputs!$B$38&lt;&gt;"pvp",Inputs!$B$43&gt;0),IF(Inputs!$B$43&lt;=0,0,(INT(Inputs!$B$43/(IF(Inputs!$B$38="pvp",15,MAX(0.1,Skills!D23-IF(Skills!E23=TRUE,Inputs!$B$32,0)))*(1-IF(AND(ArtifactsInput!$M$27,Inputs!$B$4="Chapter Hunt"),CHOOSE(ArtifactsInput!$N$27+1,20,24,28,32,36,40),0)/100)))+1)),0)</f>
        <v/>
      </c>
      <c r="S1654">
        <f>IFERROR(O1654/N1654,0)</f>
        <v/>
      </c>
      <c r="T1654" t="n">
        <v>0</v>
      </c>
      <c r="V1654" t="n">
        <v>0</v>
      </c>
    </row>
    <row r="1656">
      <c r="A1656" t="inlineStr">
        <is>
          <t>Attack% Bucket Multiplier</t>
        </is>
      </c>
      <c r="B1656">
        <f>(1+(((C1644=TRUE)*F1644*5/7)+((C1650=TRUE)*(F1650-Calc!F19))+(IF(IF(ArtifactsInput!$M$21,FALSE,TRUE),CHOOSE(ArtifactsInput!$N$21+1,25,30,35,40,45,50)*(IF(OR(Inputs!$B$4="Chapter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7">
      <c r="A1657" t="inlineStr">
        <is>
          <t>Global Crit Rate Bonus %</t>
        </is>
      </c>
      <c r="B1657" t="n">
        <v>0</v>
      </c>
    </row>
    <row r="1658">
      <c r="A1658" t="inlineStr">
        <is>
          <t>Attack Speed Buff Bonus % (Nimble Feet, duty-cycle averaged)</t>
        </is>
      </c>
      <c r="B1658">
        <f>((C1654=TRUE)*F1654*IF(AND(Inputs!$B$38&lt;&gt;"pvp",Inputs!$B$43&gt;0),(((R1654-1)*(Skills!T23*(1+Inputs!$B$34/100))+MIN((Skills!T23*(1+Inputs!$B$34/100)),MAX(0,Inputs!$B$43-((R1654-1)*Skills!D23))))/Inputs!$B$43),IF(Inputs!$B$38="pvp",MIN((Skills!T23*(1+Inputs!$B$34/100)),15)/15,(Skills!T23*(1+Inputs!$B$34/100))/Skills!D23)))</f>
        <v/>
      </c>
    </row>
    <row r="1659">
      <c r="A1659" t="inlineStr">
        <is>
          <t>Actions Per Second</t>
        </is>
      </c>
      <c r="B1659">
        <f>1+MIN(150,150*(1-(1-(Inputs!$B$11+((C1648=TRUE)*(F1648-Calc!F17))+((C1649=TRUE)*(F1649-Calc!F18)))/150)*(1-B1658/150)))/100</f>
        <v/>
      </c>
    </row>
    <row r="1660">
      <c r="A1660" t="inlineStr">
        <is>
          <t>Skill + Buff Cast Rate</t>
        </is>
      </c>
      <c r="B1660">
        <f>IF(AND(Inputs!$B$38&lt;&gt;"pvp",Inputs!$B$43&gt;0),SUMPRODUCT((Skills!E2:E23=TRUE)*(C1633:C1654=TRUE)*R1633:R1654*Skills!F2:F23)/Inputs!$B$43,SUMPRODUCT((Skills!E2:E23=TRUE)*(C1633:C1654=TRUE)*Q1633:Q1654*Skills!F2:F23))</f>
        <v/>
      </c>
    </row>
    <row r="1661">
      <c r="A1661" t="inlineStr">
        <is>
          <t>Hook Bomber Casts Per Second</t>
        </is>
      </c>
      <c r="B1661">
        <f>MAX(0,B1659-B1660)</f>
        <v/>
      </c>
    </row>
    <row r="1662">
      <c r="A1662" t="inlineStr">
        <is>
          <t>Global Critical Damage Bonus % (unused)</t>
        </is>
      </c>
      <c r="B1662" t="n">
        <v>0</v>
      </c>
    </row>
    <row r="1663">
      <c r="A1663" t="inlineStr">
        <is>
          <t>Global Final Damage Bonus % (Serpent Scale + Crossbones + Time Leap + Speed Infusion)</t>
        </is>
      </c>
      <c r="B1663">
        <f>((C1636=TRUE)*F1636*((10+IF(Inputs!$B$3&gt;=94,5,0))/((10+IF(Inputs!$B$3&gt;=94,5,0))+5/(B1661*(1+IF(Inputs!$B$3&gt;=104,1,0))))))+((C1645=TRUE)*F1645)+((C1646=TRUE)*F1646)+((Inputs!$B$3&gt;=110)*20*(B1659-1))</f>
        <v/>
      </c>
    </row>
    <row r="1664">
      <c r="A1664" t="inlineStr">
        <is>
          <t>Buff-Casting Startup Delay (s, fixed-duration only)</t>
        </is>
      </c>
      <c r="B1664">
        <f>IF(AND(Inputs!$B$38&lt;&gt;"pvp",Inputs!$B$43&gt;0),SUMPRODUCT((Skills!T2:T23&gt;0)*(Skills!E2:E23=TRUE)*(C1633:C1654=TRUE))/B1659,0)</f>
        <v/>
      </c>
    </row>
    <row r="1665">
      <c r="A1665" t="inlineStr">
        <is>
          <t>Boss-Only Total DPS (this block's swept value)</t>
        </is>
      </c>
      <c r="B1665">
        <f>SUM(T1633:T1654)</f>
        <v/>
      </c>
    </row>
    <row r="1666">
      <c r="A1666" t="inlineStr">
        <is>
          <t>Normal-Only Total DPS (this block's swept value)</t>
        </is>
      </c>
      <c r="B1666">
        <f>SUM(V1633:V1654)</f>
        <v/>
      </c>
    </row>
    <row r="1667">
      <c r="A1667" s="6" t="inlineStr">
        <is>
          <t>TOTAL DPS</t>
        </is>
      </c>
      <c r="B1667" s="6">
        <f>SUM(O1633:O1654)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1690=TRUE)*(F1690-Calc!F20)),(Inputs!$B$23+0+(IF(ArtifactsInput!$M$15,CHOOSE(ArtifactsInput!$N$15+1,25,30,35,40,45,50)/100*(Inputs!$B$11-Inputs!$B$11),0))))/100+(Inputs!$B$23+0+(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t="n">
        <v>0</v>
      </c>
      <c r="R1672" t="n">
        <v>0</v>
      </c>
      <c r="S1672">
        <f>IFERROR(O1672/N1672,0)</f>
        <v/>
      </c>
      <c r="T1672">
        <f>IF(C1672,(Skills!G2*N1672*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MAX(0,(Inputs!$B$3-100)*3)+Inputs!$B$28+Inputs!$B$29</f>
        <v/>
      </c>
      <c r="V1672">
        <f>IF(C1672,(Skills!G2*N1672*B1700)*IF(Inputs!$B$38="pvp",1,(1+(Inputs!$B$21+Skills!Q2+(IF(ArtifactsInput!$M$33,CHOOSE(ArtifactsInput!$N$33+1,30,36,42,48,54,60),0))+(IF(AND(ArtifactsInput!$M$35,Inputs!$B$4&lt;&gt;"Chapter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1690=TRUE)*(F1690-Calc!F20)),(Inputs!$B$23+0+(IF(ArtifactsInput!$M$15,CHOOSE(ArtifactsInput!$N$15+1,25,30,35,40,45,50)/100*(Inputs!$B$11-Inputs!$B$11),0))))/100+(Inputs!$B$23+0+(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t="n">
        <v>0</v>
      </c>
      <c r="R1673" t="n">
        <v>0</v>
      </c>
      <c r="S1673">
        <f>IFERROR(O1673/N1673,0)</f>
        <v/>
      </c>
      <c r="T1673">
        <f>IF(C1673,(Skills!G3*H1673*N1673*B1700)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INDEX(FactorTable!$B$2:$Y$301, MATCH(ROUND(MIN(300,MAX(1,U1672)),0), FactorTable!$A$2:$A$301,0), 22)</f>
        <v/>
      </c>
      <c r="V1673">
        <f>IF(C1673,(Skills!G3*H1673*N1673*B1700)*IF(Inputs!$B$38="pvp",1,(1+(Inputs!$B$21+Skills!Q3+(IF(ArtifactsInput!$M$33,CHOOSE(ArtifactsInput!$N$33+1,30,36,42,48,54,60),0))+(IF(AND(ArtifactsInput!$M$35,Inputs!$B$4&lt;&gt;"Chapter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Skills!A4</f>
        <v/>
      </c>
      <c r="B1674">
        <f>Skills!B4</f>
        <v/>
      </c>
      <c r="C1674">
        <f>Inputs!$B$3&gt;=60</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1682=TRUE,F1682,0)/100)*(1+(IF(Skills!A4="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1690=TRUE)*(F1690-Calc!F20)),(Inputs!$B$23+0+(IF(ArtifactsInput!$M$15,CHOOSE(ArtifactsInput!$N$15+1,25,30,35,40,45,50)/100*(Inputs!$B$11-Inputs!$B$11),0))))/100+(Inputs!$B$23+0+(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t="n">
        <v>0</v>
      </c>
      <c r="R1674" t="n">
        <v>0</v>
      </c>
      <c r="S1674">
        <f>IFERROR(O1674/N1674,0)</f>
        <v/>
      </c>
      <c r="T1674">
        <f>IF(C1674,(Skills!G4*H1674*N1674*B1700)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290*U1673/1000</f>
        <v/>
      </c>
      <c r="V1674">
        <f>IF(C1674,(Skills!G4*H1674*N1674*B1700)*IF(Inputs!$B$38="pvp",1,(1+(Inputs!$B$21+Skills!Q4+(IF(ArtifactsInput!$M$33,CHOOSE(ArtifactsInput!$N$33+1,30,36,42,48,54,60),0))+(IF(AND(ArtifactsInput!$M$35,Inputs!$B$4&lt;&gt;"Chapter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Skills!A5</f>
        <v/>
      </c>
      <c r="B1675">
        <f>Skills!B5</f>
        <v/>
      </c>
      <c r="C1675">
        <f>Inputs!$B$3&gt;=60</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t="inlineStr"/>
      <c r="K1675" t="inlineStr"/>
      <c r="L1675" t="inlineStr"/>
      <c r="M1675" t="inlineStr"/>
      <c r="N1675" t="inlineStr"/>
      <c r="O1675">
        <f>(1-Summary!$B$11)*T1675+Summary!$B$11*V1675</f>
        <v/>
      </c>
      <c r="P1675">
        <f>IF(B1706=0,0,O1675/B1706)</f>
        <v/>
      </c>
      <c r="Q1675" t="n">
        <v>0</v>
      </c>
      <c r="R1675" t="n">
        <v>0</v>
      </c>
      <c r="S1675">
        <f>IFERROR(O1675/N1675,0)</f>
        <v/>
      </c>
      <c r="T1675" t="n">
        <v>0</v>
      </c>
      <c r="V1675" t="n">
        <v>0</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1690=TRUE)*(F1690-Calc!F20)),(Inputs!$B$23+0+(IF(ArtifactsInput!$M$15,CHOOSE(ArtifactsInput!$N$15+1,25,30,35,40,45,50)/100*(Inputs!$B$11-Inputs!$B$11),0))))/100+(Inputs!$B$23+0+(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IFERROR(1/(IF(Inputs!$B$38="pvp",15,MAX(0.1,Skills!D6-IF(Skills!E6=TRUE,Inputs!$B$32,0)))*(1-IF(AND(ArtifactsInput!$M$27,Inputs!$B$4="Chapter Hunt"),CHOOSE(ArtifactsInput!$N$27+1,20,24,28,32,36,40),0)/100)),0)</f>
        <v/>
      </c>
      <c r="R1676">
        <f>IF(AND(Inputs!$B$38&lt;&gt;"pvp",Inputs!$B$43&gt;0),IF(MAX(0,Inputs!$B$43-B1703)&lt;=0,0,(INT(MAX(0,Inputs!$B$43-B1703)/(IF(Inputs!$B$38="pvp",15,MAX(0.1,Skills!D6-IF(Skills!E6=TRUE,Inputs!$B$32,0)))*(1-IF(AND(ArtifactsInput!$M$27,Inputs!$B$4="Chapter Hunt"),CHOOSE(ArtifactsInput!$N$27+1,20,24,28,32,36,40),0)/100)))+1)),0)</f>
        <v/>
      </c>
      <c r="S1676">
        <f>IFERROR(O1676/N1676,0)</f>
        <v/>
      </c>
      <c r="T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$21+Skills!Q6+(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Inputs!$B$3&gt;=100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1690=TRUE)*(F1690-Calc!F20)),(Inputs!$B$23+0+(IF(ArtifactsInput!$M$15,CHOOSE(ArtifactsInput!$N$15+1,25,30,35,40,45,50)/100*(Inputs!$B$11-Inputs!$B$11),0))))/100+(Inputs!$B$23+0+(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IFERROR(1/(IF(Inputs!$B$38="pvp",15,MAX(0.1,Skills!D7-IF(Skills!E7=TRUE,Inputs!$B$32,0)))*(1-IF(AND(ArtifactsInput!$M$27,Inputs!$B$4="Chapter Hunt"),CHOOSE(ArtifactsInput!$N$27+1,20,24,28,32,36,40),0)/100)),0)</f>
        <v/>
      </c>
      <c r="R1677">
        <f>IF(AND(Inputs!$B$38&lt;&gt;"pvp",Inputs!$B$43&gt;0),IF(MAX(0,Inputs!$B$43-B1703)&lt;=0,0,(INT(MAX(0,Inputs!$B$43-B1703)/(IF(Inputs!$B$38="pvp",15,MAX(0.1,Skills!D7-IF(Skills!E7=TRUE,Inputs!$B$32,0)))*(1-IF(AND(ArtifactsInput!$M$27,Inputs!$B$4="Chapter Hunt"),CHOOSE(ArtifactsInput!$N$27+1,20,24,28,32,36,40),0)/100)))+1)),0)</f>
        <v/>
      </c>
      <c r="S1677">
        <f>IFERROR(O1677/N1677,0)</f>
        <v/>
      </c>
      <c r="T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$21+Skills!Q7+(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Inputs!$B$3&gt;=110</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1690=TRUE)*(F1690-Calc!F20)),(Inputs!$B$23+0+(IF(ArtifactsInput!$M$15,CHOOSE(ArtifactsInput!$N$15+1,25,30,35,40,45,50)/100*(Inputs!$B$11-Inputs!$B$11),0))))/100+(Inputs!$B$23+0+(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IFERROR(1/(IF(Inputs!$B$38="pvp",15,MAX(0.1,Skills!D8-IF(Skills!E8=TRUE,Inputs!$B$32,0)))*(1-IF(AND(ArtifactsInput!$M$27,Inputs!$B$4="Chapter Hunt"),CHOOSE(ArtifactsInput!$N$27+1,20,24,28,32,36,40),0)/100)),0)</f>
        <v/>
      </c>
      <c r="R1678">
        <f>IF(AND(Inputs!$B$38&lt;&gt;"pvp",Inputs!$B$43&gt;0),IF(MAX(0,Inputs!$B$43-B1703)&lt;=0,0,(INT(MAX(0,Inputs!$B$43-B1703)/(IF(Inputs!$B$38="pvp",15,MAX(0.1,Skills!D8-IF(Skills!E8=TRUE,Inputs!$B$32,0)))*(1-IF(AND(ArtifactsInput!$M$27,Inputs!$B$4="Chapter Hunt"),CHOOSE(ArtifactsInput!$N$27+1,20,24,28,32,36,40),0)/100)))+1)),0)</f>
        <v/>
      </c>
      <c r="S1678">
        <f>IFERROR(O1678/N1678,0)</f>
        <v/>
      </c>
      <c r="T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$21+Skills!Q8+(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Inputs!$B$3&gt;=110</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1690=TRUE)*(F1690-Calc!F20)),(Inputs!$B$23+0+(IF(ArtifactsInput!$M$15,CHOOSE(ArtifactsInput!$N$15+1,25,30,35,40,45,50)/100*(Inputs!$B$11-Inputs!$B$11),0))))/100+(Inputs!$B$23+0+(IF(ArtifactsInput!$M$15,CHOOSE(ArtifactsInput!$N$15+1,25,30,35,40,45,50)/100*(Inputs!$B$11-Inputs!$B$11),0)))/100)/2</f>
        <v/>
      </c>
      <c r="M1679">
        <f>L1679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IF(B1706=0,0,O1679/B1706)</f>
        <v/>
      </c>
      <c r="Q1679">
        <f>IFERROR(1/(IF(Inputs!$B$38="pvp",15,MAX(0.1,Skills!D9-IF(Skills!E9=TRUE,Inputs!$B$32,0)))*(1-IF(AND(ArtifactsInput!$M$27,Inputs!$B$4="Chapter Hunt"),CHOOSE(ArtifactsInput!$N$27+1,20,24,28,32,36,40),0)/100)),0)</f>
        <v/>
      </c>
      <c r="R1679">
        <f>IF(AND(Inputs!$B$38&lt;&gt;"pvp",Inputs!$B$43&gt;0),IF(MAX(0,Inputs!$B$43-B1703)&lt;=0,0,(INT(MAX(0,Inputs!$B$43-B1703)/(IF(Inputs!$B$38="pvp",15,MAX(0.1,Skills!D9-IF(Skills!E9=TRUE,Inputs!$B$32,0)))*(1-IF(AND(ArtifactsInput!$M$27,Inputs!$B$4="Chapter Hunt"),CHOOSE(ArtifactsInput!$N$27+1,20,24,28,32,36,40),0)/100)))+1)),0)</f>
        <v/>
      </c>
      <c r="S1679">
        <f>IFERROR(O1679/N1679,0)</f>
        <v/>
      </c>
      <c r="T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$21+Skills!Q9+(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Inputs!$B$3&gt;=103</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f>((Inputs!$B$6*(1+Inputs!$B$7/100))+(((Inputs!$B$12*(1+Inputs!$B$13/100))-(Inputs!$B$12*(1+Inputs!$B$13/100)))+0.25*(Inputs!$B$14-Inputs!$B$14))*(1+Inputs!$B$7/100))*(F1680/100)</f>
        <v/>
      </c>
      <c r="K1680">
        <f>J1680*(1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1690=TRUE)*(F1690-Calc!F20)),(Inputs!$B$23+0+(IF(ArtifactsInput!$M$15,CHOOSE(ArtifactsInput!$N$15+1,25,30,35,40,45,50)/100*(Inputs!$B$11-Inputs!$B$11),0))))/100+(Inputs!$B$23+0+(IF(ArtifactsInput!$M$15,CHOOSE(ArtifactsInput!$N$15+1,25,30,35,40,45,50)/100*(Inputs!$B$11-Inputs!$B$11),0)))/100)/2</f>
        <v/>
      </c>
      <c r="M1680">
        <f>L1680*(1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IF(B1706=0,0,O1680/B1706)</f>
        <v/>
      </c>
      <c r="Q1680">
        <f>IFERROR(1/(IF(Inputs!$B$38="pvp",15,MAX(0.1,Skills!D10-IF(Skills!E10=TRUE,Inputs!$B$32,0)))*(1-IF(AND(ArtifactsInput!$M$27,Inputs!$B$4="Chapter Hunt"),CHOOSE(ArtifactsInput!$N$27+1,20,24,28,32,36,40),0)/100)),0)</f>
        <v/>
      </c>
      <c r="R1680">
        <f>IF(AND(Inputs!$B$38&lt;&gt;"pvp",Inputs!$B$43&gt;0),IF(MAX(0,Inputs!$B$43-B1703)&lt;=0,0,(INT(MAX(0,Inputs!$B$43-B1703)/(IF(Inputs!$B$38="pvp",15,MAX(0.1,Skills!D10-IF(Skills!E10=TRUE,Inputs!$B$32,0)))*(1-IF(AND(ArtifactsInput!$M$27,Inputs!$B$4="Chapter Hunt"),CHOOSE(ArtifactsInput!$N$27+1,20,24,28,32,36,40),0)/100)))+1)),0)</f>
        <v/>
      </c>
      <c r="S1680">
        <f>IFERROR(O1680/N1680,0)</f>
        <v/>
      </c>
      <c r="T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$21+Skills!Q10+(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Inputs!$B$3&gt;=113</f>
        <v/>
      </c>
      <c r="D1681">
        <f>IF(Skills!C11=1,60+Inputs!$B$25+Inputs!$B$29,IF(Skills!C11=2,90+Inputs!$B$26+Inputs!$B$29,IF(Skills!C11=3,120+Inputs!$B$27+Inputs!$B$29,MAX(0,(Inputs!$B$3-100)*3)+Inputs!$B$28+Inputs!$B$29)))</f>
        <v/>
      </c>
      <c r="E1681">
        <f>INDEX(FactorTable!$B$2:$Y$301, MATCH(ROUND(MIN(300,MAX(1,D1681)),0), FactorTable!$A$2:$A$301,0), Skills!M11+1)</f>
        <v/>
      </c>
      <c r="F1681">
        <f>IF(Skills!N11=TRUE,(Skills!L11/10)*(E1681/1000),Skills!L11/10)+Skills!O11</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1690=TRUE)*(F1690-Calc!F20)),(Inputs!$B$23+0+(IF(ArtifactsInput!$M$15,CHOOSE(ArtifactsInput!$N$15+1,25,30,35,40,45,50)/100*(Inputs!$B$11-Inputs!$B$11),0))))/100+(Inputs!$B$23+0+(IF(ArtifactsInput!$M$15,CHOOSE(ArtifactsInput!$N$15+1,25,30,35,40,45,50)/100*(Inputs!$B$11-Inputs!$B$11),0)))/100)/2</f>
        <v/>
      </c>
      <c r="M1681">
        <f>L1681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IF(B1706=0,0,O1681/B1706)</f>
        <v/>
      </c>
      <c r="Q1681">
        <f>IFERROR(1/(IF(Inputs!$B$38="pvp",15,MAX(0.1,Skills!D11-IF(Skills!E11=TRUE,Inputs!$B$32,0)))*(1-IF(AND(ArtifactsInput!$M$27,Inputs!$B$4="Chapter Hunt"),CHOOSE(ArtifactsInput!$N$27+1,20,24,28,32,36,40),0)/100)),0)</f>
        <v/>
      </c>
      <c r="R1681">
        <f>IF(AND(Inputs!$B$38&lt;&gt;"pvp",Inputs!$B$43&gt;0),IF(MAX(0,Inputs!$B$43-B1703)&lt;=0,0,(INT(MAX(0,Inputs!$B$43-B1703)/(IF(Inputs!$B$38="pvp",15,MAX(0.1,Skills!D11-IF(Skills!E11=TRUE,Inputs!$B$32,0)))*(1-IF(AND(ArtifactsInput!$M$27,Inputs!$B$4="Chapter Hunt"),CHOOSE(ArtifactsInput!$N$27+1,20,24,28,32,36,40),0)/100)))+1)),0)</f>
        <v/>
      </c>
      <c r="S1681">
        <f>IFERROR(O1681/N1681,0)</f>
        <v/>
      </c>
      <c r="T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$21+Skills!Q11+(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Inputs!$B$3&gt;=100</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Skills!A13</f>
        <v/>
      </c>
      <c r="B1683">
        <f>Skills!B13</f>
        <v/>
      </c>
      <c r="C1683">
        <f>Inputs!$B$3&gt;=66</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t="inlineStr"/>
      <c r="K1683" t="inlineStr"/>
      <c r="L1683" t="inlineStr"/>
      <c r="M1683" t="inlineStr"/>
      <c r="N1683" t="inlineStr"/>
      <c r="O1683">
        <f>(1-Summary!$B$11)*T1683+Summary!$B$11*V1683</f>
        <v/>
      </c>
      <c r="P1683">
        <f>IF(B1706=0,0,O1683/B1706)</f>
        <v/>
      </c>
      <c r="Q1683" t="n">
        <v>0</v>
      </c>
      <c r="R1683" t="n">
        <v>0</v>
      </c>
      <c r="S1683">
        <f>IFERROR(O1683/N1683,0)</f>
        <v/>
      </c>
      <c r="T1683" t="n">
        <v>0</v>
      </c>
      <c r="V1683" t="n">
        <v>0</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t="inlineStr"/>
      <c r="K1684" t="inlineStr"/>
      <c r="L1684" t="inlineStr"/>
      <c r="M1684" t="inlineStr"/>
      <c r="N1684" t="inlineStr"/>
      <c r="O1684">
        <f>(1-Summary!$B$11)*T1684+Summary!$B$11*V1684</f>
        <v/>
      </c>
      <c r="P1684">
        <f>IF(B1706=0,0,O1684/B1706)</f>
        <v/>
      </c>
      <c r="Q1684" t="n">
        <v>0</v>
      </c>
      <c r="R1684" t="n">
        <v>0</v>
      </c>
      <c r="S1684">
        <f>IFERROR(O1684/N1684,0)</f>
        <v/>
      </c>
      <c r="T1684" t="n">
        <v>0</v>
      </c>
      <c r="V1684" t="n">
        <v>0</v>
      </c>
    </row>
    <row r="1685">
      <c r="A1685">
        <f>Skills!A15</f>
        <v/>
      </c>
      <c r="B1685">
        <f>Skills!B15</f>
        <v/>
      </c>
      <c r="C1685">
        <f>Inputs!$B$3&gt;=115</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IF(B1706=0,0,O1685/B1706)</f>
        <v/>
      </c>
      <c r="Q1685" t="n">
        <v>0</v>
      </c>
      <c r="R1685" t="n">
        <v>0</v>
      </c>
      <c r="S1685">
        <f>IFERROR(O1685/N1685,0)</f>
        <v/>
      </c>
      <c r="T1685" t="n">
        <v>0</v>
      </c>
      <c r="V1685" t="n">
        <v>0</v>
      </c>
    </row>
    <row r="1686">
      <c r="A1686">
        <f>Skills!A16</f>
        <v/>
      </c>
      <c r="B1686">
        <f>Skills!B16</f>
        <v/>
      </c>
      <c r="C1686">
        <f>Inputs!$B$3&gt;=15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t="inlineStr"/>
      <c r="K1686" t="inlineStr"/>
      <c r="L1686" t="inlineStr"/>
      <c r="M1686" t="inlineStr"/>
      <c r="N1686" t="inlineStr"/>
      <c r="O1686">
        <f>(1-Summary!$B$11)*T1686+Summary!$B$11*V1686</f>
        <v/>
      </c>
      <c r="P1686">
        <f>IF(B1706=0,0,O1686/B1706)</f>
        <v/>
      </c>
      <c r="Q1686" t="n">
        <v>0</v>
      </c>
      <c r="R1686" t="n">
        <v>0</v>
      </c>
      <c r="S1686">
        <f>IFERROR(O1686/N1686,0)</f>
        <v/>
      </c>
      <c r="T1686" t="n">
        <v>0</v>
      </c>
      <c r="V1686" t="n">
        <v>0</v>
      </c>
    </row>
    <row r="1687">
      <c r="A1687">
        <f>Skills!A17</f>
        <v/>
      </c>
      <c r="B1687">
        <f>Skills!B17</f>
        <v/>
      </c>
      <c r="C1687">
        <f>Inputs!$B$3&gt;=10</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Skills!A18</f>
        <v/>
      </c>
      <c r="B1688">
        <f>Skills!B18</f>
        <v/>
      </c>
      <c r="C1688">
        <f>Inputs!$B$3&gt;=33</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Skills!A19</f>
        <v/>
      </c>
      <c r="B1689">
        <f>Skills!B19</f>
        <v/>
      </c>
      <c r="C1689">
        <f>Inputs!$B$3&gt;=40</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Skills!A20</f>
        <v/>
      </c>
      <c r="B1690">
        <f>Skills!B20</f>
        <v/>
      </c>
      <c r="C1690">
        <f>Inputs!$B$3&gt;=43</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Skills!A21</f>
        <v/>
      </c>
      <c r="B1691">
        <f>Skills!B21</f>
        <v/>
      </c>
      <c r="C1691">
        <f>Inputs!$B$3&gt;=38</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Skills!A22</f>
        <v/>
      </c>
      <c r="B1692">
        <f>Skills!B22</f>
        <v/>
      </c>
      <c r="C1692">
        <f>Inputs!$B$3&gt;=75</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Skills!A23</f>
        <v/>
      </c>
      <c r="B1693">
        <f>Skills!B23</f>
        <v/>
      </c>
      <c r="C1693">
        <f>TRUE</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IF(B1706=0,0,O1693/B1706)</f>
        <v/>
      </c>
      <c r="Q1693">
        <f>IFERROR(1/(IF(Inputs!$B$38="pvp",15,MAX(0.1,Skills!D23-IF(Skills!E23=TRUE,Inputs!$B$32,0)))*(1-IF(AND(ArtifactsInput!$M$27,Inputs!$B$4="Chapter Hunt"),CHOOSE(ArtifactsInput!$N$27+1,20,24,28,32,36,40),0)/100)),0)</f>
        <v/>
      </c>
      <c r="R1693">
        <f>IF(AND(Inputs!$B$38&lt;&gt;"pvp",Inputs!$B$43&gt;0),IF(Inputs!$B$43&lt;=0,0,(INT(Inputs!$B$43/(IF(Inputs!$B$38="pvp",15,MAX(0.1,Skills!D23-IF(Skills!E23=TRUE,Inputs!$B$32,0)))*(1-IF(AND(ArtifactsInput!$M$27,Inputs!$B$4="Chapter Hunt"),CHOOSE(ArtifactsInput!$N$27+1,20,24,28,32,36,40),0)/100)))+1)),0)</f>
        <v/>
      </c>
      <c r="S1693">
        <f>IFERROR(O1693/N1693,0)</f>
        <v/>
      </c>
      <c r="T1693" t="n">
        <v>0</v>
      </c>
      <c r="V1693" t="n">
        <v>0</v>
      </c>
    </row>
    <row r="1695">
      <c r="A1695" t="inlineStr">
        <is>
          <t>Attack% Bucket Multiplier</t>
        </is>
      </c>
      <c r="B1695">
        <f>(1+(((C1683=TRUE)*F1683*5/7)+((C1689=TRUE)*(F1689-Calc!F19))+(IF(ArtifactsInput!$M$21,CHOOSE(ArtifactsInput!$N$21+1,25,30,35,40,45,50)*(IF(OR(Inputs!$B$4="Chapter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 (Nimble Feet, duty-cycle averaged)</t>
        </is>
      </c>
      <c r="B1697">
        <f>((C1693=TRUE)*F1693*IF(AND(Inputs!$B$38&lt;&gt;"pvp",Inputs!$B$43&gt;0),(((R1693-1)*(Skills!T23*(1+Inputs!$B$34/100))+MIN((Skills!T23*(1+Inputs!$B$34/100)),MAX(0,Inputs!$B$43-((R1693-1)*Skills!D23))))/Inputs!$B$43),IF(Inputs!$B$38="pvp",MIN((Skills!T23*(1+Inputs!$B$34/100)),15)/15,(Skills!T23*(1+Inputs!$B$34/100))/Skills!D23)))</f>
        <v/>
      </c>
    </row>
    <row r="1698">
      <c r="A1698" t="inlineStr">
        <is>
          <t>Actions Per Second</t>
        </is>
      </c>
      <c r="B1698">
        <f>1+MIN(150,150*(1-(1-(Inputs!$B$11+((C1687=TRUE)*(F1687-Calc!F17))+((C1688=TRUE)*(F1688-Calc!F18)))/150)*(1-B1697/150)))/100</f>
        <v/>
      </c>
    </row>
    <row r="1699">
      <c r="A1699" t="inlineStr">
        <is>
          <t>Skill + Buff Cast Rate</t>
        </is>
      </c>
      <c r="B1699">
        <f>IF(AND(Inputs!$B$38&lt;&gt;"pvp",Inputs!$B$43&gt;0),SUMPRODUCT((Skills!E2:E23=TRUE)*(C1672:C1693=TRUE)*R1672:R1693*Skills!F2:F23)/Inputs!$B$43,SUMPRODUCT((Skills!E2:E23=TRUE)*(C1672:C1693=TRUE)*Q1672:Q1693*Skills!F2:F23))</f>
        <v/>
      </c>
    </row>
    <row r="1700">
      <c r="A1700" t="inlineStr">
        <is>
          <t>Hook Bomber Casts Per Second</t>
        </is>
      </c>
      <c r="B1700">
        <f>MAX(0,B1698-B1699)</f>
        <v/>
      </c>
    </row>
    <row r="1701">
      <c r="A1701" t="inlineStr">
        <is>
          <t>Global Critical Damage Bonus % (unused)</t>
        </is>
      </c>
      <c r="B1701" t="n">
        <v>0</v>
      </c>
    </row>
    <row r="1702">
      <c r="A1702" t="inlineStr">
        <is>
          <t>Global Final Damage Bonus % (Serpent Scale + Crossbones + Time Leap + Speed Infusion)</t>
        </is>
      </c>
      <c r="B1702">
        <f>((C1675=TRUE)*F1675*((10+IF(Inputs!$B$3&gt;=94,5,0))/((10+IF(Inputs!$B$3&gt;=94,5,0))+5/(B1700*(1+IF(Inputs!$B$3&gt;=104,1,0))))))+((C1684=TRUE)*F1684)+((C1685=TRUE)*F1685)+((Inputs!$B$3&gt;=110)*20*(B1698-1))</f>
        <v/>
      </c>
    </row>
    <row r="1703">
      <c r="A1703" t="inlineStr">
        <is>
          <t>Buff-Casting Startup Delay (s, fixed-duration only)</t>
        </is>
      </c>
      <c r="B1703">
        <f>IF(AND(Inputs!$B$38&lt;&gt;"pvp",Inputs!$B$43&gt;0),SUMPRODUCT((Skills!T2:T23&gt;0)*(Skills!E2:E23=TRUE)*(C1672:C1693=TRUE))/B1698,0)</f>
        <v/>
      </c>
    </row>
    <row r="1704">
      <c r="A1704" t="inlineStr">
        <is>
          <t>Boss-Only Total DPS (this block's swept value)</t>
        </is>
      </c>
      <c r="B1704">
        <f>SUM(T1672:T1693)</f>
        <v/>
      </c>
    </row>
    <row r="1705">
      <c r="A1705" t="inlineStr">
        <is>
          <t>Normal-Only Total DPS (this block's swept value)</t>
        </is>
      </c>
      <c r="B1705">
        <f>SUM(V1672:V1693)</f>
        <v/>
      </c>
    </row>
    <row r="1706">
      <c r="A1706" s="6" t="inlineStr">
        <is>
          <t>TOTAL DPS</t>
        </is>
      </c>
      <c r="B1706" s="6">
        <f>SUM(O1672:O1693)</f>
        <v/>
      </c>
    </row>
    <row r="1709">
      <c r="A1709" s="6" t="inlineStr">
        <is>
          <t>Stat: Star Rock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20)),(Inputs!$B$23+0+(IF(ArtifactsInput!$M$15,CHOOSE(ArtifactsInput!$N$15+1,25,30,35,40,45,50)/100*(Inputs!$B$11-Inputs!$B$11),0))))/100+(Inputs!$B$23+0+(IF(ArtifactsInput!$M$15,CHOOSE(ArtifactsInput!$N$15+1,25,30,35,40,45,50)/100*(Inputs!$B$11-Inputs!$B$11),0)))/100)/2</f>
        <v/>
      </c>
      <c r="M1711">
        <f>L1711*(1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t="n">
        <v>0</v>
      </c>
      <c r="R1711" t="n">
        <v>0</v>
      </c>
      <c r="S1711">
        <f>IFERROR(O1711/N1711,0)</f>
        <v/>
      </c>
      <c r="T1711">
        <f>IF(C1711,(Skills!G2*N1711*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Inputs!$B$3&gt;=35</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f>Skills!G3*IF(Skills!H3&gt;0,Skills!I3/Skills!H3,1)</f>
        <v/>
      </c>
      <c r="H1712">
        <f>1-(1-Skills!J3/100)^Skills!K3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20)),(Inputs!$B$23+0+(IF(ArtifactsInput!$M$15,CHOOSE(ArtifactsInput!$N$15+1,25,30,35,40,45,50)/100*(Inputs!$B$11-Inputs!$B$11),0))))/100+(Inputs!$B$23+0+(IF(ArtifactsInput!$M$15,CHOOSE(ArtifactsInput!$N$15+1,25,30,35,40,45,50)/100*(Inputs!$B$11-Inputs!$B$11),0)))/100)/2</f>
        <v/>
      </c>
      <c r="M1712">
        <f>L1712*(1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t="n">
        <v>0</v>
      </c>
      <c r="R1712" t="n">
        <v>0</v>
      </c>
      <c r="S1712">
        <f>IFERROR(O1712/N1712,0)</f>
        <v/>
      </c>
      <c r="T1712">
        <f>IF(C1712,(Skills!G3*H1712*N1712*B1739)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INDEX(FactorTable!$B$2:$Y$301, MATCH(ROUND(MIN(300,MAX(1,U1711)),0), FactorTable!$A$2:$A$301,0), 22)</f>
        <v/>
      </c>
      <c r="V1712">
        <f>IF(C1712,(Skills!G3*H1712*N1712*B1739)*IF(Inputs!$B$38="pvp",1,(1+(Inputs!$B$21+Skills!Q3+(IF(ArtifactsInput!$M$33,CHOOSE(ArtifactsInput!$N$33+1,30,36,42,48,54,60),0))+(IF(AND(ArtifactsInput!$M$35,Inputs!$B$4&lt;&gt;"Chapter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Skills!A4</f>
        <v/>
      </c>
      <c r="B1713">
        <f>Skills!B4</f>
        <v/>
      </c>
      <c r="C1713">
        <f>Inputs!$B$3&gt;=60</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f>Skills!G4*IF(Skills!H4&gt;0,Skills!I4/Skills!H4,1)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20)),(Inputs!$B$23+0+(IF(ArtifactsInput!$M$15,CHOOSE(ArtifactsInput!$N$15+1,25,30,35,40,45,50)/100*(Inputs!$B$11-Inputs!$B$11),0))))/100+(Inputs!$B$23+0+(IF(ArtifactsInput!$M$15,CHOOSE(ArtifactsInput!$N$15+1,25,30,35,40,45,50)/100*(Inputs!$B$11-Inputs!$B$11),0)))/100)/2</f>
        <v/>
      </c>
      <c r="M1713">
        <f>L1713*(1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t="n">
        <v>0</v>
      </c>
      <c r="R1713" t="n">
        <v>0</v>
      </c>
      <c r="S1713">
        <f>IFERROR(O1713/N1713,0)</f>
        <v/>
      </c>
      <c r="T1713">
        <f>IF(C1713,(Skills!G4*H1713*N1713*B1739)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IF(C1713,(Skills!G4*H1713*N1713*B1739)*IF(Inputs!$B$38="pvp",1,(1+(Inputs!$B$21+Skills!Q4+(IF(ArtifactsInput!$M$33,CHOOSE(ArtifactsInput!$N$33+1,30,36,42,48,54,60),0))+(IF(AND(ArtifactsInput!$M$35,Inputs!$B$4&lt;&gt;"Chapter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Inputs!$B$3&gt;=60</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t="inlineStr"/>
      <c r="K1714" t="inlineStr"/>
      <c r="L1714" t="inlineStr"/>
      <c r="M1714" t="inlineStr"/>
      <c r="N1714" t="inlineStr"/>
      <c r="O1714">
        <f>(1-Summary!$B$11)*T1714+Summary!$B$11*V1714</f>
        <v/>
      </c>
      <c r="P1714">
        <f>IF(B1745=0,0,O1714/B1745)</f>
        <v/>
      </c>
      <c r="Q1714" t="n">
        <v>0</v>
      </c>
      <c r="R1714" t="n">
        <v>0</v>
      </c>
      <c r="S1714">
        <f>IFERROR(O1714/N1714,0)</f>
        <v/>
      </c>
      <c r="T1714" t="n">
        <v>0</v>
      </c>
      <c r="V1714" t="n">
        <v>0</v>
      </c>
    </row>
    <row r="1715">
      <c r="A1715">
        <f>Skills!A6</f>
        <v/>
      </c>
      <c r="B1715">
        <f>Skills!B6</f>
        <v/>
      </c>
      <c r="C1715">
        <f>Inputs!$B$3&gt;=63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1729=TRUE)*(F1729-Calc!F20)),(Inputs!$B$23+0+(IF(ArtifactsInput!$M$15,CHOOSE(ArtifactsInput!$N$15+1,25,30,35,40,45,50)/100*(Inputs!$B$11-Inputs!$B$11),0))))/100+(Inputs!$B$23+0+(IF(ArtifactsInput!$M$15,CHOOSE(ArtifactsInput!$N$15+1,25,30,35,40,45,50)/100*(Inputs!$B$11-Inputs!$B$11),0)))/100)/2</f>
        <v/>
      </c>
      <c r="M1715">
        <f>L1715*(1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IFERROR(1/(IF(Inputs!$B$38="pvp",15,MAX(0.1,Skills!D6-IF(Skills!E6=TRUE,Inputs!$B$32,0)))*(1-IF(AND(ArtifactsInput!$M$27,Inputs!$B$4="Chapter Hunt"),CHOOSE(ArtifactsInput!$N$27+1,20,24,28,32,36,40),0)/100)),0)</f>
        <v/>
      </c>
      <c r="R1715">
        <f>IF(AND(Inputs!$B$38&lt;&gt;"pvp",Inputs!$B$43&gt;0),IF(MAX(0,Inputs!$B$43-B1742)&lt;=0,0,(INT(MAX(0,Inputs!$B$43-B1742)/(IF(Inputs!$B$38="pvp",15,MAX(0.1,Skills!D6-IF(Skills!E6=TRUE,Inputs!$B$32,0)))*(1-IF(AND(ArtifactsInput!$M$27,Inputs!$B$4="Chapter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Inputs!$B$3&gt;=100</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20)),(Inputs!$B$23+0+(IF(ArtifactsInput!$M$15,CHOOSE(ArtifactsInput!$N$15+1,25,30,35,40,45,50)/100*(Inputs!$B$11-Inputs!$B$11),0))))/100+(Inputs!$B$23+0+(IF(ArtifactsInput!$M$15,CHOOSE(ArtifactsInput!$N$15+1,25,30,35,40,45,50)/100*(Inputs!$B$11-Inputs!$B$11),0)))/100)/2</f>
        <v/>
      </c>
      <c r="M1716">
        <f>L1716*(1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IFERROR(1/(IF(Inputs!$B$38="pvp",15,MAX(0.1,Skills!D7-IF(Skills!E7=TRUE,Inputs!$B$32,0)))*(1-IF(AND(ArtifactsInput!$M$27,Inputs!$B$4="Chapter Hunt"),CHOOSE(ArtifactsInput!$N$27+1,20,24,28,32,36,40),0)/100)),0)</f>
        <v/>
      </c>
      <c r="R1716">
        <f>IF(AND(Inputs!$B$38&lt;&gt;"pvp",Inputs!$B$43&gt;0),IF(MAX(0,Inputs!$B$43-B1742)&lt;=0,0,(INT(MAX(0,Inputs!$B$43-B1742)/(IF(Inputs!$B$38="pvp",15,MAX(0.1,Skills!D7-IF(Skills!E7=TRUE,Inputs!$B$32,0)))*(1-IF(AND(ArtifactsInput!$M$27,Inputs!$B$4="Chapter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Inputs!$B$3&gt;=110</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1729=TRUE)*(F1729-Calc!F20)),(Inputs!$B$23+0+(IF(ArtifactsInput!$M$15,CHOOSE(ArtifactsInput!$N$15+1,25,30,35,40,45,50)/100*(Inputs!$B$11-Inputs!$B$11),0))))/100+(Inputs!$B$23+0+(IF(ArtifactsInput!$M$15,CHOOSE(ArtifactsInput!$N$15+1,25,30,35,40,45,50)/100*(Inputs!$B$11-Inputs!$B$11),0)))/100)/2</f>
        <v/>
      </c>
      <c r="M1717">
        <f>L1717*(1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IFERROR(1/(IF(Inputs!$B$38="pvp",15,MAX(0.1,Skills!D8-IF(Skills!E8=TRUE,Inputs!$B$32,0)))*(1-IF(AND(ArtifactsInput!$M$27,Inputs!$B$4="Chapter Hunt"),CHOOSE(ArtifactsInput!$N$27+1,20,24,28,32,36,40),0)/100)),0)</f>
        <v/>
      </c>
      <c r="R1717">
        <f>IF(AND(Inputs!$B$38&lt;&gt;"pvp",Inputs!$B$43&gt;0),IF(MAX(0,Inputs!$B$43-B1742)&lt;=0,0,(INT(MAX(0,Inputs!$B$43-B1742)/(IF(Inputs!$B$38="pvp",15,MAX(0.1,Skills!D8-IF(Skills!E8=TRUE,Inputs!$B$32,0)))*(1-IF(AND(ArtifactsInput!$M$27,Inputs!$B$4="Chapter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Inputs!$B$3&gt;=110</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1729=TRUE)*(F1729-Calc!F20)),(Inputs!$B$23+0+(IF(ArtifactsInput!$M$15,CHOOSE(ArtifactsInput!$N$15+1,25,30,35,40,45,50)/100*(Inputs!$B$11-Inputs!$B$11),0))))/100+(Inputs!$B$23+0+(IF(ArtifactsInput!$M$15,CHOOSE(ArtifactsInput!$N$15+1,25,30,35,40,45,50)/100*(Inputs!$B$11-Inputs!$B$11),0)))/100)/2</f>
        <v/>
      </c>
      <c r="M1718">
        <f>L1718*(1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IFERROR(1/(IF(Inputs!$B$38="pvp",15,MAX(0.1,Skills!D9-IF(Skills!E9=TRUE,Inputs!$B$32,0)))*(1-IF(AND(ArtifactsInput!$M$27,Inputs!$B$4="Chapter Hunt"),CHOOSE(ArtifactsInput!$N$27+1,20,24,28,32,36,40),0)/100)),0)</f>
        <v/>
      </c>
      <c r="R1718">
        <f>IF(AND(Inputs!$B$38&lt;&gt;"pvp",Inputs!$B$43&gt;0),IF(MAX(0,Inputs!$B$43-B1742)&lt;=0,0,(INT(MAX(0,Inputs!$B$43-B1742)/(IF(Inputs!$B$38="pvp",15,MAX(0.1,Skills!D9-IF(Skills!E9=TRUE,Inputs!$B$32,0)))*(1-IF(AND(ArtifactsInput!$M$27,Inputs!$B$4="Chapter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Inputs!$B$3&gt;=103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1729=TRUE)*(F1729-Calc!F20)),(Inputs!$B$23+0+(IF(ArtifactsInput!$M$15,CHOOSE(ArtifactsInput!$N$15+1,25,30,35,40,45,50)/100*(Inputs!$B$11-Inputs!$B$11),0))))/100+(Inputs!$B$23+0+(IF(ArtifactsInput!$M$15,CHOOSE(ArtifactsInput!$N$15+1,25,30,35,40,45,50)/100*(Inputs!$B$11-Inputs!$B$11),0)))/100)/2</f>
        <v/>
      </c>
      <c r="M1719">
        <f>L1719*(1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f>IFERROR(1/(IF(Inputs!$B$38="pvp",15,MAX(0.1,Skills!D10-IF(Skills!E10=TRUE,Inputs!$B$32,0)))*(1-IF(AND(ArtifactsInput!$M$27,Inputs!$B$4="Chapter Hunt"),CHOOSE(ArtifactsInput!$N$27+1,20,24,28,32,36,40),0)/100)),0)</f>
        <v/>
      </c>
      <c r="R1719">
        <f>IF(AND(Inputs!$B$38&lt;&gt;"pvp",Inputs!$B$43&gt;0),IF(MAX(0,Inputs!$B$43-B1742)&lt;=0,0,(INT(MAX(0,Inputs!$B$43-B1742)/(IF(Inputs!$B$38="pvp",15,MAX(0.1,Skills!D10-IF(Skills!E10=TRUE,Inputs!$B$32,0)))*(1-IF(AND(ArtifactsInput!$M$27,Inputs!$B$4="Chapter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Inputs!$B$3&gt;=113</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1729=TRUE)*(F1729-Calc!F20)),(Inputs!$B$23+0+(IF(ArtifactsInput!$M$15,CHOOSE(ArtifactsInput!$N$15+1,25,30,35,40,45,50)/100*(Inputs!$B$11-Inputs!$B$11),0))))/100+(Inputs!$B$23+0+(IF(ArtifactsInput!$M$15,CHOOSE(ArtifactsInput!$N$15+1,25,30,35,40,45,50)/100*(Inputs!$B$11-Inputs!$B$11),0)))/100)/2</f>
        <v/>
      </c>
      <c r="M1720">
        <f>L1720*(1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IF(B1745=0,0,O1720/B1745)</f>
        <v/>
      </c>
      <c r="Q1720">
        <f>IFERROR(1/(IF(Inputs!$B$38="pvp",15,MAX(0.1,Skills!D11-IF(Skills!E11=TRUE,Inputs!$B$32,0)))*(1-IF(AND(ArtifactsInput!$M$27,Inputs!$B$4="Chapter Hunt"),CHOOSE(ArtifactsInput!$N$27+1,20,24,28,32,36,40),0)/100)),0)</f>
        <v/>
      </c>
      <c r="R1720">
        <f>IF(AND(Inputs!$B$38&lt;&gt;"pvp",Inputs!$B$43&gt;0),IF(MAX(0,Inputs!$B$43-B1742)&lt;=0,0,(INT(MAX(0,Inputs!$B$43-B1742)/(IF(Inputs!$B$38="pvp",15,MAX(0.1,Skills!D11-IF(Skills!E11=TRUE,Inputs!$B$32,0)))*(1-IF(AND(ArtifactsInput!$M$27,Inputs!$B$4="Chapter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c r="T1721" t="inlineStr"/>
      <c r="V1721" t="inlineStr"/>
    </row>
    <row r="1722">
      <c r="A1722">
        <f>Skills!A13</f>
        <v/>
      </c>
      <c r="B1722">
        <f>Skills!B13</f>
        <v/>
      </c>
      <c r="C1722">
        <f>Inputs!$B$3&gt;=66</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Skills!A14</f>
        <v/>
      </c>
      <c r="B1723">
        <f>Skills!B14</f>
        <v/>
      </c>
      <c r="C1723">
        <f>Inputs!$B$3&gt;=107</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IF(B1745=0,0,O1723/B1745)</f>
        <v/>
      </c>
      <c r="Q1723" t="n">
        <v>0</v>
      </c>
      <c r="R1723" t="n">
        <v>0</v>
      </c>
      <c r="S1723">
        <f>IFERROR(O1723/N1723,0)</f>
        <v/>
      </c>
      <c r="T1723" t="n">
        <v>0</v>
      </c>
      <c r="V1723" t="n">
        <v>0</v>
      </c>
    </row>
    <row r="1724">
      <c r="A1724">
        <f>Skills!A15</f>
        <v/>
      </c>
      <c r="B1724">
        <f>Skills!B15</f>
        <v/>
      </c>
      <c r="C1724">
        <f>Inputs!$B$3&gt;=115</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IF(B1745=0,0,O1724/B1745)</f>
        <v/>
      </c>
      <c r="Q1724" t="n">
        <v>0</v>
      </c>
      <c r="R1724" t="n">
        <v>0</v>
      </c>
      <c r="S1724">
        <f>IFERROR(O1724/N1724,0)</f>
        <v/>
      </c>
      <c r="T1724" t="n">
        <v>0</v>
      </c>
      <c r="V1724" t="n">
        <v>0</v>
      </c>
    </row>
    <row r="1725">
      <c r="A1725">
        <f>Skills!A16</f>
        <v/>
      </c>
      <c r="B1725">
        <f>Skills!B16</f>
        <v/>
      </c>
      <c r="C1725">
        <f>Inputs!$B$3&gt;=15</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Skills!A17</f>
        <v/>
      </c>
      <c r="B1726">
        <f>Skills!B17</f>
        <v/>
      </c>
      <c r="C1726">
        <f>Inputs!$B$3&gt;=10</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Skills!A18</f>
        <v/>
      </c>
      <c r="B1727">
        <f>Skills!B18</f>
        <v/>
      </c>
      <c r="C1727">
        <f>Inputs!$B$3&gt;=33</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Skills!A19</f>
        <v/>
      </c>
      <c r="B1728">
        <f>Skills!B19</f>
        <v/>
      </c>
      <c r="C1728">
        <f>Inputs!$B$3&gt;=40</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Skills!A20</f>
        <v/>
      </c>
      <c r="B1729">
        <f>Skills!B20</f>
        <v/>
      </c>
      <c r="C1729">
        <f>Inputs!$B$3&gt;=43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Skills!A22</f>
        <v/>
      </c>
      <c r="B1731">
        <f>Skills!B22</f>
        <v/>
      </c>
      <c r="C1731">
        <f>Inputs!$B$3&gt;=75</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Skills!A23</f>
        <v/>
      </c>
      <c r="B1732">
        <f>Skills!B23</f>
        <v/>
      </c>
      <c r="C1732">
        <f>TRUE</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IF(B1745=0,0,O1732/B1745)</f>
        <v/>
      </c>
      <c r="Q1732">
        <f>IFERROR(1/(IF(Inputs!$B$38="pvp",15,MAX(0.1,Skills!D23-IF(Skills!E23=TRUE,Inputs!$B$32,0)))*(1-IF(AND(ArtifactsInput!$M$27,Inputs!$B$4="Chapter Hunt"),CHOOSE(ArtifactsInput!$N$27+1,20,24,28,32,36,40),0)/100)),0)</f>
        <v/>
      </c>
      <c r="R1732">
        <f>IF(AND(Inputs!$B$38&lt;&gt;"pvp",Inputs!$B$43&gt;0),IF(Inputs!$B$43&lt;=0,0,(INT(Inputs!$B$43/(IF(Inputs!$B$38="pvp",15,MAX(0.1,Skills!D23-IF(Skills!E23=TRUE,Inputs!$B$32,0)))*(1-IF(AND(ArtifactsInput!$M$27,Inputs!$B$4="Chapter Hunt"),CHOOSE(ArtifactsInput!$N$27+1,20,24,28,32,36,40),0)/100)))+1)),0)</f>
        <v/>
      </c>
      <c r="S1732">
        <f>IFERROR(O1732/N1732,0)</f>
        <v/>
      </c>
      <c r="T1732" t="n">
        <v>0</v>
      </c>
      <c r="V1732" t="n">
        <v>0</v>
      </c>
    </row>
    <row r="1734">
      <c r="A1734" t="inlineStr">
        <is>
          <t>Attack% Bucket Multiplier</t>
        </is>
      </c>
      <c r="B1734">
        <f>(1+(((C1722=TRUE)*F1722*5/7)+((C1728=TRUE)*(F1728-Calc!F19))+(IF(ArtifactsInput!$M$21,CHOOSE(ArtifactsInput!$N$21+1,25,30,35,40,45,50)*(IF(OR(Inputs!$B$4="Chapter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(Nimble Feet, duty-cycle averaged)</t>
        </is>
      </c>
      <c r="B1736">
        <f>((C1732=TRUE)*F1732*IF(AND(Inputs!$B$38&lt;&gt;"pvp",Inputs!$B$43&gt;0),(((R1732-1)*(Skills!T23*(1+Inputs!$B$34/100))+MIN((Skills!T23*(1+Inputs!$B$34/100)),MAX(0,Inputs!$B$43-((R1732-1)*Skills!D23))))/Inputs!$B$43),IF(Inputs!$B$38="pvp",MIN((Skills!T23*(1+Inputs!$B$34/100)),15)/15,(Skills!T23*(1+Inputs!$B$34/100))/Skills!D23)))</f>
        <v/>
      </c>
    </row>
    <row r="1737">
      <c r="A1737" t="inlineStr">
        <is>
          <t>Actions Per Second</t>
        </is>
      </c>
      <c r="B1737">
        <f>1+MIN(150,150*(1-(1-(Inputs!$B$11+((C1726=TRUE)*(F1726-Calc!F17))+((C1727=TRUE)*(F1727-Calc!F18)))/150)*(1-B1736/150)))/100</f>
        <v/>
      </c>
    </row>
    <row r="1738">
      <c r="A1738" t="inlineStr">
        <is>
          <t>Skill + Buff Cast Rate</t>
        </is>
      </c>
      <c r="B1738">
        <f>IF(AND(Inputs!$B$38&lt;&gt;"pvp",Inputs!$B$43&gt;0),SUMPRODUCT((Skills!E2:E23=TRUE)*(C1711:C1732=TRUE)*R1711:R1732*Skills!F2:F23)/Inputs!$B$43,SUMPRODUCT((Skills!E2:E23=TRUE)*(C1711:C1732=TRUE)*Q1711:Q1732*Skills!F2:F23))</f>
        <v/>
      </c>
    </row>
    <row r="1739">
      <c r="A1739" t="inlineStr">
        <is>
          <t>Hook Bomber Casts Per Second</t>
        </is>
      </c>
      <c r="B1739">
        <f>MAX(0,B1737-B1738)</f>
        <v/>
      </c>
    </row>
    <row r="1740">
      <c r="A1740" t="inlineStr">
        <is>
          <t>Global Critical Damage Bonus % (unused)</t>
        </is>
      </c>
      <c r="B1740" t="n">
        <v>0</v>
      </c>
    </row>
    <row r="1741">
      <c r="A1741" t="inlineStr">
        <is>
          <t>Global Final Damage Bonus % (Serpent Scale + Crossbones + Time Leap + Speed Infusion)</t>
        </is>
      </c>
      <c r="B1741">
        <f>((C1714=TRUE)*F1714*((10+IF(Inputs!$B$3&gt;=94,5,0))/((10+IF(Inputs!$B$3&gt;=94,5,0))+5/(B1739*(1+IF(Inputs!$B$3&gt;=104,1,0))))))+((C1723=TRUE)*F1723)+((C1724=TRUE)*F1724)+((Inputs!$B$3&gt;=110)*20*(B1737-1))</f>
        <v/>
      </c>
    </row>
    <row r="1742">
      <c r="A1742" t="inlineStr">
        <is>
          <t>Buff-Casting Startup Delay (s, fixed-duration only)</t>
        </is>
      </c>
      <c r="B1742">
        <f>IF(AND(Inputs!$B$38&lt;&gt;"pvp",Inputs!$B$43&gt;0),SUMPRODUCT((Skills!T2:T23&gt;0)*(Skills!E2:E23=TRUE)*(C1711:C1732=TRUE))/B1737,0)</f>
        <v/>
      </c>
    </row>
    <row r="1743">
      <c r="A1743" t="inlineStr">
        <is>
          <t>Boss-Only Total DPS (this block's swept value)</t>
        </is>
      </c>
      <c r="B1743">
        <f>SUM(T1711:T1732)</f>
        <v/>
      </c>
    </row>
    <row r="1744">
      <c r="A1744" t="inlineStr">
        <is>
          <t>Normal-Only Total DPS (this block's swept value)</t>
        </is>
      </c>
      <c r="B1744">
        <f>SUM(V1711:V1732)</f>
        <v/>
      </c>
    </row>
    <row r="1745">
      <c r="A1745" s="6" t="inlineStr">
        <is>
          <t>TOTAL DPS</t>
        </is>
      </c>
      <c r="B1745" s="6">
        <f>SUM(O1711:O1732)</f>
        <v/>
      </c>
    </row>
    <row r="1748">
      <c r="A1748" s="6" t="inlineStr">
        <is>
          <t>Stat: Book of Ancient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1768=TRUE)*(F1768-Calc!F20)),(Inputs!$B$23+0+(IF(ArtifactsInput!$M$15,CHOOSE(ArtifactsInput!$N$15+1,25,30,35,40,45,50)/100*(Inputs!$B$11-Inputs!$B$11),0))))/100+(Inputs!$B$23+0+(IF(ArtifactsInput!$M$15,CHOOSE(ArtifactsInput!$N$15+1,25,30,35,40,45,50)/100*(Inputs!$B$11-Inputs!$B$11),0)))/100)/2</f>
        <v/>
      </c>
      <c r="M1750">
        <f>L1750*(1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0">
        <f>L1750*(1-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t="n">
        <v>0</v>
      </c>
      <c r="R1750" t="n">
        <v>0</v>
      </c>
      <c r="S1750">
        <f>IFERROR(O1750/N1750,0)</f>
        <v/>
      </c>
      <c r="T1750">
        <f>IF(C1750,(Skills!G2*N1750*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1768=TRUE)*(F1768-Calc!F20)),(Inputs!$B$23+0+(IF(ArtifactsInput!$M$15,CHOOSE(ArtifactsInput!$N$15+1,25,30,35,40,45,50)/100*(Inputs!$B$11-Inputs!$B$11),0))))/100+(Inputs!$B$23+0+(IF(ArtifactsInput!$M$15,CHOOSE(ArtifactsInput!$N$15+1,25,30,35,40,45,50)/100*(Inputs!$B$11-Inputs!$B$11),0)))/100)/2</f>
        <v/>
      </c>
      <c r="M1751">
        <f>L1751*(1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1">
        <f>L1751*(1-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t="n">
        <v>0</v>
      </c>
      <c r="R1751" t="n">
        <v>0</v>
      </c>
      <c r="S1751">
        <f>IFERROR(O1751/N1751,0)</f>
        <v/>
      </c>
      <c r="T1751">
        <f>IF(C1751,(Skills!G3*H1751*N1751*B1778)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IF(C1751,(Skills!G3*H1751*N1751*B1778)*IF(Inputs!$B$38="pvp",1,(1+(Inputs!$B$21+Skills!Q3+(IF(ArtifactsInput!$M$33,CHOOSE(ArtifactsInput!$N$33+1,30,36,42,48,54,60),0))+(IF(AND(ArtifactsInput!$M$35,Inputs!$B$4&lt;&gt;"Chapter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Inputs!$B$3&gt;=60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1760=TRUE,F1760,0)/100)*(1+(IF(Skills!A4="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1768=TRUE)*(F1768-Calc!F20)),(Inputs!$B$23+0+(IF(ArtifactsInput!$M$15,CHOOSE(ArtifactsInput!$N$15+1,25,30,35,40,45,50)/100*(Inputs!$B$11-Inputs!$B$11),0))))/100+(Inputs!$B$23+0+(IF(ArtifactsInput!$M$15,CHOOSE(ArtifactsInput!$N$15+1,25,30,35,40,45,50)/100*(Inputs!$B$11-Inputs!$B$11),0)))/100)/2</f>
        <v/>
      </c>
      <c r="M1752">
        <f>L1752*(1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2">
        <f>L1752*(1-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t="n">
        <v>0</v>
      </c>
      <c r="R1752" t="n">
        <v>0</v>
      </c>
      <c r="S1752">
        <f>IFERROR(O1752/N1752,0)</f>
        <v/>
      </c>
      <c r="T1752">
        <f>IF(C1752,(Skills!G4*H1752*N1752*B1778)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IF(C1752,(Skills!G4*H1752*N1752*B1778)*IF(Inputs!$B$38="pvp",1,(1+(Inputs!$B$21+Skills!Q4+(IF(ArtifactsInput!$M$33,CHOOSE(ArtifactsInput!$N$33+1,30,36,42,48,54,60),0))+(IF(AND(ArtifactsInput!$M$35,Inputs!$B$4&lt;&gt;"Chapter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Inputs!$B$3&gt;=60</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t="inlineStr"/>
      <c r="K1753" t="inlineStr"/>
      <c r="L1753" t="inlineStr"/>
      <c r="M1753" t="inlineStr"/>
      <c r="N1753" t="inlineStr"/>
      <c r="O1753">
        <f>(1-Summary!$B$11)*T1753+Summary!$B$11*V1753</f>
        <v/>
      </c>
      <c r="P1753">
        <f>IF(B1784=0,0,O1753/B1784)</f>
        <v/>
      </c>
      <c r="Q1753" t="n">
        <v>0</v>
      </c>
      <c r="R1753" t="n">
        <v>0</v>
      </c>
      <c r="S1753">
        <f>IFERROR(O1753/N1753,0)</f>
        <v/>
      </c>
      <c r="T1753" t="n">
        <v>0</v>
      </c>
      <c r="V1753" t="n">
        <v>0</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1768=TRUE)*(F1768-Calc!F20)),(Inputs!$B$23+0+(IF(ArtifactsInput!$M$15,CHOOSE(ArtifactsInput!$N$15+1,25,30,35,40,45,50)/100*(Inputs!$B$11-Inputs!$B$11),0))))/100+(Inputs!$B$23+0+(IF(ArtifactsInput!$M$15,CHOOSE(ArtifactsInput!$N$15+1,25,30,35,40,45,50)/100*(Inputs!$B$11-Inputs!$B$11),0)))/100)/2</f>
        <v/>
      </c>
      <c r="M1754">
        <f>L1754*(1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4">
        <f>L1754*(1-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IFERROR(1/(IF(Inputs!$B$38="pvp",15,MAX(0.1,Skills!D6-IF(Skills!E6=TRUE,Inputs!$B$32,0)))*(1-IF(AND(ArtifactsInput!$M$27,Inputs!$B$4="Chapter Hunt"),CHOOSE(ArtifactsInput!$N$27+1,20,24,28,32,36,40),0)/100)),0)</f>
        <v/>
      </c>
      <c r="R1754">
        <f>IF(AND(Inputs!$B$38&lt;&gt;"pvp",Inputs!$B$43&gt;0),IF(MAX(0,Inputs!$B$43-B1781)&lt;=0,0,(INT(MAX(0,Inputs!$B$43-B1781)/(IF(Inputs!$B$38="pvp",15,MAX(0.1,Skills!D6-IF(Skills!E6=TRUE,Inputs!$B$32,0)))*(1-IF(AND(ArtifactsInput!$M$27,Inputs!$B$4="Chapter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Inputs!$B$3&gt;=100</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1768=TRUE)*(F1768-Calc!F20)),(Inputs!$B$23+0+(IF(ArtifactsInput!$M$15,CHOOSE(ArtifactsInput!$N$15+1,25,30,35,40,45,50)/100*(Inputs!$B$11-Inputs!$B$11),0))))/100+(Inputs!$B$23+0+(IF(ArtifactsInput!$M$15,CHOOSE(ArtifactsInput!$N$15+1,25,30,35,40,45,50)/100*(Inputs!$B$11-Inputs!$B$11),0)))/100)/2</f>
        <v/>
      </c>
      <c r="M1755">
        <f>L1755*(1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5">
        <f>L1755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IFERROR(1/(IF(Inputs!$B$38="pvp",15,MAX(0.1,Skills!D7-IF(Skills!E7=TRUE,Inputs!$B$32,0)))*(1-IF(AND(ArtifactsInput!$M$27,Inputs!$B$4="Chapter Hunt"),CHOOSE(ArtifactsInput!$N$27+1,20,24,28,32,36,40),0)/100)),0)</f>
        <v/>
      </c>
      <c r="R1755">
        <f>IF(AND(Inputs!$B$38&lt;&gt;"pvp",Inputs!$B$43&gt;0),IF(MAX(0,Inputs!$B$43-B1781)&lt;=0,0,(INT(MAX(0,Inputs!$B$43-B1781)/(IF(Inputs!$B$38="pvp",15,MAX(0.1,Skills!D7-IF(Skills!E7=TRUE,Inputs!$B$32,0)))*(1-IF(AND(ArtifactsInput!$M$27,Inputs!$B$4="Chapter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Inputs!$B$3&gt;=110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1768=TRUE)*(F1768-Calc!F20)),(Inputs!$B$23+0+(IF(ArtifactsInput!$M$15,CHOOSE(ArtifactsInput!$N$15+1,25,30,35,40,45,50)/100*(Inputs!$B$11-Inputs!$B$11),0))))/100+(Inputs!$B$23+0+(IF(ArtifactsInput!$M$15,CHOOSE(ArtifactsInput!$N$15+1,25,30,35,40,45,50)/100*(Inputs!$B$11-Inputs!$B$11),0)))/100)/2</f>
        <v/>
      </c>
      <c r="M1756">
        <f>L1756*(1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6">
        <f>L1756*(1-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IFERROR(1/(IF(Inputs!$B$38="pvp",15,MAX(0.1,Skills!D8-IF(Skills!E8=TRUE,Inputs!$B$32,0)))*(1-IF(AND(ArtifactsInput!$M$27,Inputs!$B$4="Chapter Hunt"),CHOOSE(ArtifactsInput!$N$27+1,20,24,28,32,36,40),0)/100)),0)</f>
        <v/>
      </c>
      <c r="R1756">
        <f>IF(AND(Inputs!$B$38&lt;&gt;"pvp",Inputs!$B$43&gt;0),IF(MAX(0,Inputs!$B$43-B1781)&lt;=0,0,(INT(MAX(0,Inputs!$B$43-B1781)/(IF(Inputs!$B$38="pvp",15,MAX(0.1,Skills!D8-IF(Skills!E8=TRUE,Inputs!$B$32,0)))*(1-IF(AND(ArtifactsInput!$M$27,Inputs!$B$4="Chapter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Inputs!$B$3&gt;=110</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1768=TRUE)*(F1768-Calc!F20)),(Inputs!$B$23+0+(IF(ArtifactsInput!$M$15,CHOOSE(ArtifactsInput!$N$15+1,25,30,35,40,45,50)/100*(Inputs!$B$11-Inputs!$B$11),0))))/100+(Inputs!$B$23+0+(IF(ArtifactsInput!$M$15,CHOOSE(ArtifactsInput!$N$15+1,25,30,35,40,45,50)/100*(Inputs!$B$11-Inputs!$B$11),0)))/100)/2</f>
        <v/>
      </c>
      <c r="M1757">
        <f>L1757*(1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7">
        <f>L1757*(1-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f>IFERROR(1/(IF(Inputs!$B$38="pvp",15,MAX(0.1,Skills!D9-IF(Skills!E9=TRUE,Inputs!$B$32,0)))*(1-IF(AND(ArtifactsInput!$M$27,Inputs!$B$4="Chapter Hunt"),CHOOSE(ArtifactsInput!$N$27+1,20,24,28,32,36,40),0)/100)),0)</f>
        <v/>
      </c>
      <c r="R1757">
        <f>IF(AND(Inputs!$B$38&lt;&gt;"pvp",Inputs!$B$43&gt;0),IF(MAX(0,Inputs!$B$43-B1781)&lt;=0,0,(INT(MAX(0,Inputs!$B$43-B1781)/(IF(Inputs!$B$38="pvp",15,MAX(0.1,Skills!D9-IF(Skills!E9=TRUE,Inputs!$B$32,0)))*(1-IF(AND(ArtifactsInput!$M$27,Inputs!$B$4="Chapter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Inputs!$B$3&gt;=103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1768=TRUE)*(F1768-Calc!F20)),(Inputs!$B$23+0+(IF(ArtifactsInput!$M$15,CHOOSE(ArtifactsInput!$N$15+1,25,30,35,40,45,50)/100*(Inputs!$B$11-Inputs!$B$11),0))))/100+(Inputs!$B$23+0+(IF(ArtifactsInput!$M$15,CHOOSE(ArtifactsInput!$N$15+1,25,30,35,40,45,50)/100*(Inputs!$B$11-Inputs!$B$11),0)))/100)/2</f>
        <v/>
      </c>
      <c r="M1758">
        <f>L1758*(1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8">
        <f>L1758*(1-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IF(B1784=0,0,O1758/B1784)</f>
        <v/>
      </c>
      <c r="Q1758">
        <f>IFERROR(1/(IF(Inputs!$B$38="pvp",15,MAX(0.1,Skills!D10-IF(Skills!E10=TRUE,Inputs!$B$32,0)))*(1-IF(AND(ArtifactsInput!$M$27,Inputs!$B$4="Chapter Hunt"),CHOOSE(ArtifactsInput!$N$27+1,20,24,28,32,36,40),0)/100)),0)</f>
        <v/>
      </c>
      <c r="R1758">
        <f>IF(AND(Inputs!$B$38&lt;&gt;"pvp",Inputs!$B$43&gt;0),IF(MAX(0,Inputs!$B$43-B1781)&lt;=0,0,(INT(MAX(0,Inputs!$B$43-B1781)/(IF(Inputs!$B$38="pvp",15,MAX(0.1,Skills!D10-IF(Skills!E10=TRUE,Inputs!$B$32,0)))*(1-IF(AND(ArtifactsInput!$M$27,Inputs!$B$4="Chapter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Inputs!$B$3&gt;=113</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1768=TRUE)*(F1768-Calc!F20)),(Inputs!$B$23+0+(IF(ArtifactsInput!$M$15,CHOOSE(ArtifactsInput!$N$15+1,25,30,35,40,45,50)/100*(Inputs!$B$11-Inputs!$B$11),0))))/100+(Inputs!$B$23+0+(IF(ArtifactsInput!$M$15,CHOOSE(ArtifactsInput!$N$15+1,25,30,35,40,45,50)/100*(Inputs!$B$11-Inputs!$B$11),0)))/100)/2</f>
        <v/>
      </c>
      <c r="M1759">
        <f>L1759*(1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9">
        <f>L1759*(1-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IF(B1784=0,0,O1759/B1784)</f>
        <v/>
      </c>
      <c r="Q1759">
        <f>IFERROR(1/(IF(Inputs!$B$38="pvp",15,MAX(0.1,Skills!D11-IF(Skills!E11=TRUE,Inputs!$B$32,0)))*(1-IF(AND(ArtifactsInput!$M$27,Inputs!$B$4="Chapter Hunt"),CHOOSE(ArtifactsInput!$N$27+1,20,24,28,32,36,40),0)/100)),0)</f>
        <v/>
      </c>
      <c r="R1759">
        <f>IF(AND(Inputs!$B$38&lt;&gt;"pvp",Inputs!$B$43&gt;0),IF(MAX(0,Inputs!$B$43-B1781)&lt;=0,0,(INT(MAX(0,Inputs!$B$43-B1781)/(IF(Inputs!$B$38="pvp",15,MAX(0.1,Skills!D11-IF(Skills!E11=TRUE,Inputs!$B$32,0)))*(1-IF(AND(ArtifactsInput!$M$27,Inputs!$B$4="Chapter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Inputs!$B$3&gt;=100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t="inlineStr"/>
      <c r="H1760" t="inlineStr"/>
      <c r="I1760" t="inlineStr">
        <is>
          <t>1</t>
        </is>
      </c>
      <c r="J1760" t="inlineStr"/>
      <c r="K1760" t="inlineStr"/>
      <c r="L1760" t="inlineStr"/>
      <c r="M1760" t="inlineStr"/>
      <c r="N1760" t="inlineStr"/>
      <c r="O1760" t="inlineStr"/>
      <c r="P1760" t="inlineStr"/>
      <c r="Q1760" t="inlineStr"/>
      <c r="R1760" t="inlineStr"/>
      <c r="S1760" t="inlineStr"/>
      <c r="T1760" t="inlineStr"/>
      <c r="V1760" t="inlineStr"/>
    </row>
    <row r="1761">
      <c r="A1761">
        <f>Skills!A13</f>
        <v/>
      </c>
      <c r="B1761">
        <f>Skills!B13</f>
        <v/>
      </c>
      <c r="C1761">
        <f>Inputs!$B$3&gt;=66</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t="inlineStr"/>
      <c r="K1761" t="inlineStr"/>
      <c r="L1761" t="inlineStr"/>
      <c r="M1761" t="inlineStr"/>
      <c r="N1761" t="inlineStr"/>
      <c r="O1761">
        <f>(1-Summary!$B$11)*T1761+Summary!$B$11*V1761</f>
        <v/>
      </c>
      <c r="P1761">
        <f>IF(B1784=0,0,O1761/B1784)</f>
        <v/>
      </c>
      <c r="Q1761" t="n">
        <v>0</v>
      </c>
      <c r="R1761" t="n">
        <v>0</v>
      </c>
      <c r="S1761">
        <f>IFERROR(O1761/N1761,0)</f>
        <v/>
      </c>
      <c r="T1761" t="n">
        <v>0</v>
      </c>
      <c r="V1761" t="n">
        <v>0</v>
      </c>
    </row>
    <row r="1762">
      <c r="A1762">
        <f>Skills!A14</f>
        <v/>
      </c>
      <c r="B1762">
        <f>Skills!B14</f>
        <v/>
      </c>
      <c r="C1762">
        <f>Inputs!$B$3&gt;=107</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t="inlineStr"/>
      <c r="K1762" t="inlineStr"/>
      <c r="L1762" t="inlineStr"/>
      <c r="M1762" t="inlineStr"/>
      <c r="N1762" t="inlineStr"/>
      <c r="O1762">
        <f>(1-Summary!$B$11)*T1762+Summary!$B$11*V1762</f>
        <v/>
      </c>
      <c r="P1762">
        <f>IF(B1784=0,0,O1762/B1784)</f>
        <v/>
      </c>
      <c r="Q1762" t="n">
        <v>0</v>
      </c>
      <c r="R1762" t="n">
        <v>0</v>
      </c>
      <c r="S1762">
        <f>IFERROR(O1762/N1762,0)</f>
        <v/>
      </c>
      <c r="T1762" t="n">
        <v>0</v>
      </c>
      <c r="V1762" t="n">
        <v>0</v>
      </c>
    </row>
    <row r="1763">
      <c r="A1763">
        <f>Skills!A15</f>
        <v/>
      </c>
      <c r="B1763">
        <f>Skills!B15</f>
        <v/>
      </c>
      <c r="C1763">
        <f>Inputs!$B$3&gt;=115</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f>Skills!G15*IF(Skills!H15&gt;0,Skills!I15/Skills!H15,1)</f>
        <v/>
      </c>
      <c r="H1763">
        <f>1-(1-Skills!J15/100)^Skills!K15</f>
        <v/>
      </c>
      <c r="I1763" t="inlineStr">
        <is>
          <t>1</t>
        </is>
      </c>
      <c r="J1763" t="inlineStr"/>
      <c r="K1763" t="inlineStr"/>
      <c r="L1763" t="inlineStr"/>
      <c r="M1763" t="inlineStr"/>
      <c r="N1763" t="inlineStr"/>
      <c r="O1763">
        <f>(1-Summary!$B$11)*T1763+Summary!$B$11*V1763</f>
        <v/>
      </c>
      <c r="P1763">
        <f>IF(B1784=0,0,O1763/B1784)</f>
        <v/>
      </c>
      <c r="Q1763" t="n">
        <v>0</v>
      </c>
      <c r="R1763" t="n">
        <v>0</v>
      </c>
      <c r="S1763">
        <f>IFERROR(O1763/N1763,0)</f>
        <v/>
      </c>
      <c r="T1763" t="n">
        <v>0</v>
      </c>
      <c r="V1763" t="n">
        <v>0</v>
      </c>
    </row>
    <row r="1764">
      <c r="A1764">
        <f>Skills!A16</f>
        <v/>
      </c>
      <c r="B1764">
        <f>Skills!B16</f>
        <v/>
      </c>
      <c r="C1764">
        <f>Inputs!$B$3&gt;=15</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f>Skills!G16*IF(Skills!H16&gt;0,Skills!I16/Skills!H16,1)</f>
        <v/>
      </c>
      <c r="H1764">
        <f>1-(1-Skills!J16/100)^Skills!K16</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Skills!A17</f>
        <v/>
      </c>
      <c r="B1765">
        <f>Skills!B17</f>
        <v/>
      </c>
      <c r="C1765">
        <f>Inputs!$B$3&gt;=10</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Skills!A18</f>
        <v/>
      </c>
      <c r="B1766">
        <f>Skills!B18</f>
        <v/>
      </c>
      <c r="C1766">
        <f>Inputs!$B$3&gt;=33</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Skills!A19</f>
        <v/>
      </c>
      <c r="B1767">
        <f>Skills!B19</f>
        <v/>
      </c>
      <c r="C1767">
        <f>Inputs!$B$3&gt;=40</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Skills!A20</f>
        <v/>
      </c>
      <c r="B1768">
        <f>Skills!B20</f>
        <v/>
      </c>
      <c r="C1768">
        <f>Inputs!$B$3&gt;=43</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Skills!A21</f>
        <v/>
      </c>
      <c r="B1769">
        <f>Skills!B21</f>
        <v/>
      </c>
      <c r="C1769">
        <f>Inputs!$B$3&gt;=38</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Skills!A22</f>
        <v/>
      </c>
      <c r="B1770">
        <f>Skills!B22</f>
        <v/>
      </c>
      <c r="C1770">
        <f>Inputs!$B$3&gt;=75</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Skills!A23</f>
        <v/>
      </c>
      <c r="B1771">
        <f>Skills!B23</f>
        <v/>
      </c>
      <c r="C1771">
        <f>TRUE</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IF(B1784=0,0,O1771/B1784)</f>
        <v/>
      </c>
      <c r="Q1771">
        <f>IFERROR(1/(IF(Inputs!$B$38="pvp",15,MAX(0.1,Skills!D23-IF(Skills!E23=TRUE,Inputs!$B$32,0)))*(1-IF(AND(ArtifactsInput!$M$27,Inputs!$B$4="Chapter Hunt"),CHOOSE(ArtifactsInput!$N$27+1,20,24,28,32,36,40),0)/100)),0)</f>
        <v/>
      </c>
      <c r="R1771">
        <f>IF(AND(Inputs!$B$38&lt;&gt;"pvp",Inputs!$B$43&gt;0),IF(Inputs!$B$43&lt;=0,0,(INT(Inputs!$B$43/(IF(Inputs!$B$38="pvp",15,MAX(0.1,Skills!D23-IF(Skills!E23=TRUE,Inputs!$B$32,0)))*(1-IF(AND(ArtifactsInput!$M$27,Inputs!$B$4="Chapter Hunt"),CHOOSE(ArtifactsInput!$N$27+1,20,24,28,32,36,40),0)/100)))+1)),0)</f>
        <v/>
      </c>
      <c r="S1771">
        <f>IFERROR(O1771/N1771,0)</f>
        <v/>
      </c>
      <c r="T1771" t="n">
        <v>0</v>
      </c>
      <c r="V1771" t="n">
        <v>0</v>
      </c>
    </row>
    <row r="1773">
      <c r="A1773" t="inlineStr">
        <is>
          <t>Attack% Bucket Multiplier</t>
        </is>
      </c>
      <c r="B1773">
        <f>(1+(((C1761=TRUE)*F1761*5/7)+((C1767=TRUE)*(F1767-Calc!F19))+(IF(ArtifactsInput!$M$21,CHOOSE(ArtifactsInput!$N$21+1,25,30,35,40,45,50)*(IF(OR(Inputs!$B$4="Chapter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23*(1+Inputs!$B$34/100))+MIN((Skills!T23*(1+Inputs!$B$34/100)),MAX(0,Inputs!$B$43-((R1771-1)*Skills!D23))))/Inputs!$B$43),IF(Inputs!$B$38="pvp",MIN((Skills!T23*(1+Inputs!$B$34/100)),15)/15,(Skills!T23*(1+Inputs!$B$34/100))/Skills!D23)))</f>
        <v/>
      </c>
    </row>
    <row r="1776">
      <c r="A1776" t="inlineStr">
        <is>
          <t>Actions Per Second</t>
        </is>
      </c>
      <c r="B1776">
        <f>1+MIN(150,150*(1-(1-(Inputs!$B$11+((C1765=TRUE)*(F1765-Calc!F17))+((C1766=TRUE)*(F1766-Calc!F18)))/150)*(1-B1775/150)))/100</f>
        <v/>
      </c>
    </row>
    <row r="1777">
      <c r="A1777" t="inlineStr">
        <is>
          <t>Skill + Buff Cast Rate</t>
        </is>
      </c>
      <c r="B1777">
        <f>IF(AND(Inputs!$B$38&lt;&gt;"pvp",Inputs!$B$43&gt;0),SUMPRODUCT((Skills!E2:E23=TRUE)*(C1750:C1771=TRUE)*R1750:R1771*Skills!F2:F23)/Inputs!$B$43,SUMPRODUCT((Skills!E2:E23=TRUE)*(C1750:C1771=TRUE)*Q1750:Q1771*Skills!F2:F23))</f>
        <v/>
      </c>
    </row>
    <row r="1778">
      <c r="A1778" t="inlineStr">
        <is>
          <t>Hook Bomber Casts Per Second</t>
        </is>
      </c>
      <c r="B1778">
        <f>MAX(0,B1776-B1777)</f>
        <v/>
      </c>
    </row>
    <row r="1779">
      <c r="A1779" t="inlineStr">
        <is>
          <t>Global Critical Damage Bonus % (unused)</t>
        </is>
      </c>
      <c r="B1779" t="n">
        <v>0</v>
      </c>
    </row>
    <row r="1780">
      <c r="A1780" t="inlineStr">
        <is>
          <t>Global Final Damage Bonus % (Serpent Scale + Crossbones + Time Leap + Speed Infusion)</t>
        </is>
      </c>
      <c r="B1780">
        <f>((C1753=TRUE)*F1753*((10+IF(Inputs!$B$3&gt;=94,5,0))/((10+IF(Inputs!$B$3&gt;=94,5,0))+5/(B1778*(1+IF(Inputs!$B$3&gt;=104,1,0))))))+((C1762=TRUE)*F1762)+((C1763=TRUE)*F1763)+((Inputs!$B$3&gt;=110)*20*(B1776-1))</f>
        <v/>
      </c>
    </row>
    <row r="1781">
      <c r="A1781" t="inlineStr">
        <is>
          <t>Buff-Casting Startup Delay (s, fixed-duration only)</t>
        </is>
      </c>
      <c r="B1781">
        <f>IF(AND(Inputs!$B$38&lt;&gt;"pvp",Inputs!$B$43&gt;0),SUMPRODUCT((Skills!T2:T23&gt;0)*(Skills!E2:E23=TRUE)*(C1750:C1771=TRUE))/B1776,0)</f>
        <v/>
      </c>
    </row>
    <row r="1782">
      <c r="A1782" t="inlineStr">
        <is>
          <t>Boss-Only Total DPS (this block's swept value)</t>
        </is>
      </c>
      <c r="B1782">
        <f>SUM(T1750:T1771)</f>
        <v/>
      </c>
    </row>
    <row r="1783">
      <c r="A1783" t="inlineStr">
        <is>
          <t>Normal-Only Total DPS (this block's swept value)</t>
        </is>
      </c>
      <c r="B1783">
        <f>SUM(V1750:V1771)</f>
        <v/>
      </c>
    </row>
    <row r="1784">
      <c r="A1784" s="6" t="inlineStr">
        <is>
          <t>TOTAL DPS</t>
        </is>
      </c>
      <c r="B1784" s="6">
        <f>SUM(O1750:O1771)</f>
        <v/>
      </c>
    </row>
    <row r="1787">
      <c r="A1787" s="6" t="inlineStr">
        <is>
          <t>Stat: Lunar Dew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1807=TRUE)*(F1807-Calc!F20)),(Inputs!$B$23+0+(IF(ArtifactsInput!$M$15,CHOOSE(ArtifactsInput!$N$15+1,25,30,35,40,45,50)/100*(Inputs!$B$11-Inputs!$B$11),0))))/100+(Inputs!$B$23+0+(IF(ArtifactsInput!$M$15,CHOOSE(ArtifactsInput!$N$15+1,25,30,35,40,45,50)/100*(Inputs!$B$11-Inputs!$B$11),0)))/100)/2</f>
        <v/>
      </c>
      <c r="M1789">
        <f>L1789*(1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IF(B1823=0,0,O1789/B1823)</f>
        <v/>
      </c>
      <c r="Q1789" t="n">
        <v>0</v>
      </c>
      <c r="R1789" t="n">
        <v>0</v>
      </c>
      <c r="S1789">
        <f>IFERROR(O1789/N1789,0)</f>
        <v/>
      </c>
      <c r="T1789">
        <f>IF(C1789,(Skills!G2*N1789*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1807=TRUE)*(F1807-Calc!F20)),(Inputs!$B$23+0+(IF(ArtifactsInput!$M$15,CHOOSE(ArtifactsInput!$N$15+1,25,30,35,40,45,50)/100*(Inputs!$B$11-Inputs!$B$11),0))))/100+(Inputs!$B$23+0+(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t="n">
        <v>0</v>
      </c>
      <c r="R1790" t="n">
        <v>0</v>
      </c>
      <c r="S1790">
        <f>IFERROR(O1790/N1790,0)</f>
        <v/>
      </c>
      <c r="T1790">
        <f>IF(C1790,(Skills!G3*H1790*N1790*B1817)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IF(C1790,(Skills!G3*H1790*N1790*B1817)*IF(Inputs!$B$38="pvp",1,(1+(Inputs!$B$21+Skills!Q3+(IF(ArtifactsInput!$M$33,CHOOSE(ArtifactsInput!$N$33+1,30,36,42,48,54,60),0))+(IF(AND(ArtifactsInput!$M$35,Inputs!$B$4&lt;&gt;"Chapter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Inputs!$B$3&gt;=60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1799=TRUE,F1799,0)/100)*(1+(IF(Skills!A4="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1807=TRUE)*(F1807-Calc!F20)),(Inputs!$B$23+0+(IF(ArtifactsInput!$M$15,CHOOSE(ArtifactsInput!$N$15+1,25,30,35,40,45,50)/100*(Inputs!$B$11-Inputs!$B$11),0))))/100+(Inputs!$B$23+0+(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f>IFERROR(O1791/N1791,0)</f>
        <v/>
      </c>
      <c r="T1791">
        <f>IF(C1791,(Skills!G4*H1791*N1791*B1817)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IF(C1791,(Skills!G4*H1791*N1791*B1817)*IF(Inputs!$B$38="pvp",1,(1+(Inputs!$B$21+Skills!Q4+(IF(ArtifactsInput!$M$33,CHOOSE(ArtifactsInput!$N$33+1,30,36,42,48,54,60),0))+(IF(AND(ArtifactsInput!$M$35,Inputs!$B$4&lt;&gt;"Chapter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Inputs!$B$3&gt;=60</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t="inlineStr"/>
      <c r="K1792" t="inlineStr"/>
      <c r="L1792" t="inlineStr"/>
      <c r="M1792" t="inlineStr"/>
      <c r="N1792" t="inlineStr"/>
      <c r="O1792">
        <f>(1-Summary!$B$11)*T1792+Summary!$B$11*V1792</f>
        <v/>
      </c>
      <c r="P1792">
        <f>IF(B1823=0,0,O1792/B1823)</f>
        <v/>
      </c>
      <c r="Q1792" t="n">
        <v>0</v>
      </c>
      <c r="R1792" t="n">
        <v>0</v>
      </c>
      <c r="S1792">
        <f>IFERROR(O1792/N1792,0)</f>
        <v/>
      </c>
      <c r="T1792" t="n">
        <v>0</v>
      </c>
      <c r="V1792" t="n">
        <v>0</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1807=TRUE)*(F1807-Calc!F20)),(Inputs!$B$23+0+(IF(ArtifactsInput!$M$15,CHOOSE(ArtifactsInput!$N$15+1,25,30,35,40,45,50)/100*(Inputs!$B$11-Inputs!$B$11),0))))/100+(Inputs!$B$23+0+(IF(ArtifactsInput!$M$15,CHOOSE(ArtifactsInput!$N$15+1,25,30,35,40,45,50)/100*(Inputs!$B$11-Inputs!$B$11),0)))/100)/2</f>
        <v/>
      </c>
      <c r="M1793">
        <f>L1793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IF(B1823=0,0,O1793/B1823)</f>
        <v/>
      </c>
      <c r="Q1793">
        <f>IFERROR(1/(IF(Inputs!$B$38="pvp",15,MAX(0.1,Skills!D6-IF(Skills!E6=TRUE,Inputs!$B$32,0)))*(1-IF(AND(ArtifactsInput!$M$27,Inputs!$B$4="Chapter Hunt"),CHOOSE(ArtifactsInput!$N$27+1,20,24,28,32,36,40),0)/100)),0)</f>
        <v/>
      </c>
      <c r="R1793">
        <f>IF(AND(Inputs!$B$38&lt;&gt;"pvp",Inputs!$B$43&gt;0),IF(MAX(0,Inputs!$B$43-B1820)&lt;=0,0,(INT(MAX(0,Inputs!$B$43-B1820)/(IF(Inputs!$B$38="pvp",15,MAX(0.1,Skills!D6-IF(Skills!E6=TRUE,Inputs!$B$32,0)))*(1-IF(AND(ArtifactsInput!$M$27,Inputs!$B$4="Chapter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Inputs!$B$3&gt;=100</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1807=TRUE)*(F1807-Calc!F20)),(Inputs!$B$23+0+(IF(ArtifactsInput!$M$15,CHOOSE(ArtifactsInput!$N$15+1,25,30,35,40,45,50)/100*(Inputs!$B$11-Inputs!$B$11),0))))/100+(Inputs!$B$23+0+(IF(ArtifactsInput!$M$15,CHOOSE(ArtifactsInput!$N$15+1,25,30,35,40,45,50)/100*(Inputs!$B$11-Inputs!$B$11),0)))/100)/2</f>
        <v/>
      </c>
      <c r="M1794">
        <f>L1794*(1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IF(B1823=0,0,O1794/B1823)</f>
        <v/>
      </c>
      <c r="Q1794">
        <f>IFERROR(1/(IF(Inputs!$B$38="pvp",15,MAX(0.1,Skills!D7-IF(Skills!E7=TRUE,Inputs!$B$32,0)))*(1-IF(AND(ArtifactsInput!$M$27,Inputs!$B$4="Chapter Hunt"),CHOOSE(ArtifactsInput!$N$27+1,20,24,28,32,36,40),0)/100)),0)</f>
        <v/>
      </c>
      <c r="R1794">
        <f>IF(AND(Inputs!$B$38&lt;&gt;"pvp",Inputs!$B$43&gt;0),IF(MAX(0,Inputs!$B$43-B1820)&lt;=0,0,(INT(MAX(0,Inputs!$B$43-B1820)/(IF(Inputs!$B$38="pvp",15,MAX(0.1,Skills!D7-IF(Skills!E7=TRUE,Inputs!$B$32,0)))*(1-IF(AND(ArtifactsInput!$M$27,Inputs!$B$4="Chapter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Inputs!$B$3&gt;=110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1807=TRUE)*(F1807-Calc!F20)),(Inputs!$B$23+0+(IF(ArtifactsInput!$M$15,CHOOSE(ArtifactsInput!$N$15+1,25,30,35,40,45,50)/100*(Inputs!$B$11-Inputs!$B$11),0))))/100+(Inputs!$B$23+0+(IF(ArtifactsInput!$M$15,CHOOSE(ArtifactsInput!$N$15+1,25,30,35,40,45,50)/100*(Inputs!$B$11-Inputs!$B$11),0)))/100)/2</f>
        <v/>
      </c>
      <c r="M1795">
        <f>L1795*(1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IF(B1823=0,0,O1795/B1823)</f>
        <v/>
      </c>
      <c r="Q1795">
        <f>IFERROR(1/(IF(Inputs!$B$38="pvp",15,MAX(0.1,Skills!D8-IF(Skills!E8=TRUE,Inputs!$B$32,0)))*(1-IF(AND(ArtifactsInput!$M$27,Inputs!$B$4="Chapter Hunt"),CHOOSE(ArtifactsInput!$N$27+1,20,24,28,32,36,40),0)/100)),0)</f>
        <v/>
      </c>
      <c r="R1795">
        <f>IF(AND(Inputs!$B$38&lt;&gt;"pvp",Inputs!$B$43&gt;0),IF(MAX(0,Inputs!$B$43-B1820)&lt;=0,0,(INT(MAX(0,Inputs!$B$43-B1820)/(IF(Inputs!$B$38="pvp",15,MAX(0.1,Skills!D8-IF(Skills!E8=TRUE,Inputs!$B$32,0)))*(1-IF(AND(ArtifactsInput!$M$27,Inputs!$B$4="Chapter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Inputs!$B$3&gt;=110</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1807=TRUE)*(F1807-Calc!F20)),(Inputs!$B$23+0+(IF(ArtifactsInput!$M$15,CHOOSE(ArtifactsInput!$N$15+1,25,30,35,40,45,50)/100*(Inputs!$B$11-Inputs!$B$11),0))))/100+(Inputs!$B$23+0+(IF(ArtifactsInput!$M$15,CHOOSE(ArtifactsInput!$N$15+1,25,30,35,40,45,50)/100*(Inputs!$B$11-Inputs!$B$11),0)))/100)/2</f>
        <v/>
      </c>
      <c r="M1796">
        <f>L1796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IF(B1823=0,0,O1796/B1823)</f>
        <v/>
      </c>
      <c r="Q1796">
        <f>IFERROR(1/(IF(Inputs!$B$38="pvp",15,MAX(0.1,Skills!D9-IF(Skills!E9=TRUE,Inputs!$B$32,0)))*(1-IF(AND(ArtifactsInput!$M$27,Inputs!$B$4="Chapter Hunt"),CHOOSE(ArtifactsInput!$N$27+1,20,24,28,32,36,40),0)/100)),0)</f>
        <v/>
      </c>
      <c r="R1796">
        <f>IF(AND(Inputs!$B$38&lt;&gt;"pvp",Inputs!$B$43&gt;0),IF(MAX(0,Inputs!$B$43-B1820)&lt;=0,0,(INT(MAX(0,Inputs!$B$43-B1820)/(IF(Inputs!$B$38="pvp",15,MAX(0.1,Skills!D9-IF(Skills!E9=TRUE,Inputs!$B$32,0)))*(1-IF(AND(ArtifactsInput!$M$27,Inputs!$B$4="Chapter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Inputs!$B$3&gt;=103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1807=TRUE)*(F1807-Calc!F20)),(Inputs!$B$23+0+(IF(ArtifactsInput!$M$15,CHOOSE(ArtifactsInput!$N$15+1,25,30,35,40,45,50)/100*(Inputs!$B$11-Inputs!$B$11),0))))/100+(Inputs!$B$23+0+(IF(ArtifactsInput!$M$15,CHOOSE(ArtifactsInput!$N$15+1,25,30,35,40,45,50)/100*(Inputs!$B$11-Inputs!$B$11),0)))/100)/2</f>
        <v/>
      </c>
      <c r="M1797">
        <f>L1797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IF(B1823=0,0,O1797/B1823)</f>
        <v/>
      </c>
      <c r="Q1797">
        <f>IFERROR(1/(IF(Inputs!$B$38="pvp",15,MAX(0.1,Skills!D10-IF(Skills!E10=TRUE,Inputs!$B$32,0)))*(1-IF(AND(ArtifactsInput!$M$27,Inputs!$B$4="Chapter Hunt"),CHOOSE(ArtifactsInput!$N$27+1,20,24,28,32,36,40),0)/100)),0)</f>
        <v/>
      </c>
      <c r="R1797">
        <f>IF(AND(Inputs!$B$38&lt;&gt;"pvp",Inputs!$B$43&gt;0),IF(MAX(0,Inputs!$B$43-B1820)&lt;=0,0,(INT(MAX(0,Inputs!$B$43-B1820)/(IF(Inputs!$B$38="pvp",15,MAX(0.1,Skills!D10-IF(Skills!E10=TRUE,Inputs!$B$32,0)))*(1-IF(AND(ArtifactsInput!$M$27,Inputs!$B$4="Chapter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Inputs!$B$3&gt;=113</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1807=TRUE)*(F1807-Calc!F20)),(Inputs!$B$23+0+(IF(ArtifactsInput!$M$15,CHOOSE(ArtifactsInput!$N$15+1,25,30,35,40,45,50)/100*(Inputs!$B$11-Inputs!$B$11),0))))/100+(Inputs!$B$23+0+(IF(ArtifactsInput!$M$15,CHOOSE(ArtifactsInput!$N$15+1,25,30,35,40,45,50)/100*(Inputs!$B$11-Inputs!$B$11),0)))/100)/2</f>
        <v/>
      </c>
      <c r="M1798">
        <f>L1798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IF(B1823=0,0,O1798/B1823)</f>
        <v/>
      </c>
      <c r="Q1798">
        <f>IFERROR(1/(IF(Inputs!$B$38="pvp",15,MAX(0.1,Skills!D11-IF(Skills!E11=TRUE,Inputs!$B$32,0)))*(1-IF(AND(ArtifactsInput!$M$27,Inputs!$B$4="Chapter Hunt"),CHOOSE(ArtifactsInput!$N$27+1,20,24,28,32,36,40),0)/100)),0)</f>
        <v/>
      </c>
      <c r="R1798">
        <f>IF(AND(Inputs!$B$38&lt;&gt;"pvp",Inputs!$B$43&gt;0),IF(MAX(0,Inputs!$B$43-B1820)&lt;=0,0,(INT(MAX(0,Inputs!$B$43-B1820)/(IF(Inputs!$B$38="pvp",15,MAX(0.1,Skills!D11-IF(Skills!E11=TRUE,Inputs!$B$32,0)))*(1-IF(AND(ArtifactsInput!$M$27,Inputs!$B$4="Chapter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Inputs!$B$3&gt;=100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T1799" t="inlineStr"/>
      <c r="V1799" t="inlineStr"/>
    </row>
    <row r="1800">
      <c r="A1800">
        <f>Skills!A13</f>
        <v/>
      </c>
      <c r="B1800">
        <f>Skills!B13</f>
        <v/>
      </c>
      <c r="C1800">
        <f>Inputs!$B$3&gt;=66</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t="inlineStr"/>
      <c r="K1800" t="inlineStr"/>
      <c r="L1800" t="inlineStr"/>
      <c r="M1800" t="inlineStr"/>
      <c r="N1800" t="inlineStr"/>
      <c r="O1800">
        <f>(1-Summary!$B$11)*T1800+Summary!$B$11*V1800</f>
        <v/>
      </c>
      <c r="P1800">
        <f>IF(B1823=0,0,O1800/B1823)</f>
        <v/>
      </c>
      <c r="Q1800" t="n">
        <v>0</v>
      </c>
      <c r="R1800" t="n">
        <v>0</v>
      </c>
      <c r="S1800">
        <f>IFERROR(O1800/N1800,0)</f>
        <v/>
      </c>
      <c r="T1800" t="n">
        <v>0</v>
      </c>
      <c r="V1800" t="n">
        <v>0</v>
      </c>
    </row>
    <row r="1801">
      <c r="A1801">
        <f>Skills!A14</f>
        <v/>
      </c>
      <c r="B1801">
        <f>Skills!B14</f>
        <v/>
      </c>
      <c r="C1801">
        <f>Inputs!$B$3&gt;=107</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t="inlineStr"/>
      <c r="K1801" t="inlineStr"/>
      <c r="L1801" t="inlineStr"/>
      <c r="M1801" t="inlineStr"/>
      <c r="N1801" t="inlineStr"/>
      <c r="O1801">
        <f>(1-Summary!$B$11)*T1801+Summary!$B$11*V1801</f>
        <v/>
      </c>
      <c r="P1801">
        <f>IF(B1823=0,0,O1801/B1823)</f>
        <v/>
      </c>
      <c r="Q1801" t="n">
        <v>0</v>
      </c>
      <c r="R1801" t="n">
        <v>0</v>
      </c>
      <c r="S1801">
        <f>IFERROR(O1801/N1801,0)</f>
        <v/>
      </c>
      <c r="T1801" t="n">
        <v>0</v>
      </c>
      <c r="V1801" t="n">
        <v>0</v>
      </c>
    </row>
    <row r="1802">
      <c r="A1802">
        <f>Skills!A15</f>
        <v/>
      </c>
      <c r="B1802">
        <f>Skills!B15</f>
        <v/>
      </c>
      <c r="C1802">
        <f>Inputs!$B$3&gt;=115</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Skills!G15*IF(Skills!H15&gt;0,Skills!I15/Skills!H15,1)</f>
        <v/>
      </c>
      <c r="H1802">
        <f>1-(1-Skills!J15/100)^Skills!K15</f>
        <v/>
      </c>
      <c r="I1802" t="inlineStr">
        <is>
          <t>1</t>
        </is>
      </c>
      <c r="J1802" t="inlineStr"/>
      <c r="K1802" t="inlineStr"/>
      <c r="L1802" t="inlineStr"/>
      <c r="M1802" t="inlineStr"/>
      <c r="N1802" t="inlineStr"/>
      <c r="O1802">
        <f>(1-Summary!$B$11)*T1802+Summary!$B$11*V1802</f>
        <v/>
      </c>
      <c r="P1802">
        <f>IF(B1823=0,0,O1802/B1823)</f>
        <v/>
      </c>
      <c r="Q1802" t="n">
        <v>0</v>
      </c>
      <c r="R1802" t="n">
        <v>0</v>
      </c>
      <c r="S1802">
        <f>IFERROR(O1802/N1802,0)</f>
        <v/>
      </c>
      <c r="T1802" t="n">
        <v>0</v>
      </c>
      <c r="V1802" t="n">
        <v>0</v>
      </c>
    </row>
    <row r="1803">
      <c r="A1803">
        <f>Skills!A16</f>
        <v/>
      </c>
      <c r="B1803">
        <f>Skills!B16</f>
        <v/>
      </c>
      <c r="C1803">
        <f>Inputs!$B$3&gt;=15</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Skills!G16*IF(Skills!H16&gt;0,Skills!I16/Skills!H16,1)</f>
        <v/>
      </c>
      <c r="H1803">
        <f>1-(1-Skills!J16/100)^Skills!K16</f>
        <v/>
      </c>
      <c r="I1803" t="inlineStr">
        <is>
          <t>1</t>
        </is>
      </c>
      <c r="J1803" t="inlineStr"/>
      <c r="K1803" t="inlineStr"/>
      <c r="L1803" t="inlineStr"/>
      <c r="M1803" t="inlineStr"/>
      <c r="N1803" t="inlineStr"/>
      <c r="O1803">
        <f>(1-Summary!$B$11)*T1803+Summary!$B$11*V1803</f>
        <v/>
      </c>
      <c r="P1803">
        <f>IF(B1823=0,0,O1803/B1823)</f>
        <v/>
      </c>
      <c r="Q1803" t="n">
        <v>0</v>
      </c>
      <c r="R1803" t="n">
        <v>0</v>
      </c>
      <c r="S1803">
        <f>IFERROR(O1803/N1803,0)</f>
        <v/>
      </c>
      <c r="T1803" t="n">
        <v>0</v>
      </c>
      <c r="V1803" t="n">
        <v>0</v>
      </c>
    </row>
    <row r="1804">
      <c r="A1804">
        <f>Skills!A17</f>
        <v/>
      </c>
      <c r="B1804">
        <f>Skills!B17</f>
        <v/>
      </c>
      <c r="C1804">
        <f>Inputs!$B$3&gt;=10</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IF(B1823=0,0,O1804/B1823)</f>
        <v/>
      </c>
      <c r="Q1804" t="n">
        <v>0</v>
      </c>
      <c r="R1804" t="n">
        <v>0</v>
      </c>
      <c r="S1804">
        <f>IFERROR(O1804/N1804,0)</f>
        <v/>
      </c>
      <c r="T1804" t="n">
        <v>0</v>
      </c>
      <c r="V1804" t="n">
        <v>0</v>
      </c>
    </row>
    <row r="1805">
      <c r="A1805">
        <f>Skills!A18</f>
        <v/>
      </c>
      <c r="B1805">
        <f>Skills!B18</f>
        <v/>
      </c>
      <c r="C1805">
        <f>Inputs!$B$3&gt;=33</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IF(B1823=0,0,O1805/B1823)</f>
        <v/>
      </c>
      <c r="Q1805" t="n">
        <v>0</v>
      </c>
      <c r="R1805" t="n">
        <v>0</v>
      </c>
      <c r="S1805">
        <f>IFERROR(O1805/N1805,0)</f>
        <v/>
      </c>
      <c r="T1805" t="n">
        <v>0</v>
      </c>
      <c r="V1805" t="n">
        <v>0</v>
      </c>
    </row>
    <row r="1806">
      <c r="A1806">
        <f>Skills!A19</f>
        <v/>
      </c>
      <c r="B1806">
        <f>Skills!B19</f>
        <v/>
      </c>
      <c r="C1806">
        <f>Inputs!$B$3&gt;=40</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IF(B1823=0,0,O1806/B1823)</f>
        <v/>
      </c>
      <c r="Q1806" t="n">
        <v>0</v>
      </c>
      <c r="R1806" t="n">
        <v>0</v>
      </c>
      <c r="S1806">
        <f>IFERROR(O1806/N1806,0)</f>
        <v/>
      </c>
      <c r="T1806" t="n">
        <v>0</v>
      </c>
      <c r="V1806" t="n">
        <v>0</v>
      </c>
    </row>
    <row r="1807">
      <c r="A1807">
        <f>Skills!A20</f>
        <v/>
      </c>
      <c r="B1807">
        <f>Skills!B20</f>
        <v/>
      </c>
      <c r="C1807">
        <f>Inputs!$B$3&gt;=43</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IF(B1823=0,0,O1807/B1823)</f>
        <v/>
      </c>
      <c r="Q1807" t="n">
        <v>0</v>
      </c>
      <c r="R1807" t="n">
        <v>0</v>
      </c>
      <c r="S1807">
        <f>IFERROR(O1807/N1807,0)</f>
        <v/>
      </c>
      <c r="T1807" t="n">
        <v>0</v>
      </c>
      <c r="V1807" t="n">
        <v>0</v>
      </c>
    </row>
    <row r="1808">
      <c r="A1808">
        <f>Skills!A21</f>
        <v/>
      </c>
      <c r="B1808">
        <f>Skills!B21</f>
        <v/>
      </c>
      <c r="C1808">
        <f>Inputs!$B$3&gt;=38</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IF(B1823=0,0,O1808/B1823)</f>
        <v/>
      </c>
      <c r="Q1808" t="n">
        <v>0</v>
      </c>
      <c r="R1808" t="n">
        <v>0</v>
      </c>
      <c r="S1808">
        <f>IFERROR(O1808/N1808,0)</f>
        <v/>
      </c>
      <c r="T1808" t="n">
        <v>0</v>
      </c>
      <c r="V1808" t="n">
        <v>0</v>
      </c>
    </row>
    <row r="1809">
      <c r="A1809">
        <f>Skills!A22</f>
        <v/>
      </c>
      <c r="B1809">
        <f>Skills!B22</f>
        <v/>
      </c>
      <c r="C1809">
        <f>Inputs!$B$3&gt;=75</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IF(B1823=0,0,O1809/B1823)</f>
        <v/>
      </c>
      <c r="Q1809" t="n">
        <v>0</v>
      </c>
      <c r="R1809" t="n">
        <v>0</v>
      </c>
      <c r="S1809">
        <f>IFERROR(O1809/N1809,0)</f>
        <v/>
      </c>
      <c r="T1809" t="n">
        <v>0</v>
      </c>
      <c r="V1809" t="n">
        <v>0</v>
      </c>
    </row>
    <row r="1810">
      <c r="A1810">
        <f>Skills!A23</f>
        <v/>
      </c>
      <c r="B1810">
        <f>Skills!B23</f>
        <v/>
      </c>
      <c r="C1810">
        <f>TRUE</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IF(B1823=0,0,O1810/B1823)</f>
        <v/>
      </c>
      <c r="Q1810">
        <f>IFERROR(1/(IF(Inputs!$B$38="pvp",15,MAX(0.1,Skills!D23-IF(Skills!E23=TRUE,Inputs!$B$32,0)))*(1-IF(AND(ArtifactsInput!$M$27,Inputs!$B$4="Chapter Hunt"),CHOOSE(ArtifactsInput!$N$27+1,20,24,28,32,36,40),0)/100)),0)</f>
        <v/>
      </c>
      <c r="R1810">
        <f>IF(AND(Inputs!$B$38&lt;&gt;"pvp",Inputs!$B$43&gt;0),IF(Inputs!$B$43&lt;=0,0,(INT(Inputs!$B$43/(IF(Inputs!$B$38="pvp",15,MAX(0.1,Skills!D23-IF(Skills!E23=TRUE,Inputs!$B$32,0)))*(1-IF(AND(ArtifactsInput!$M$27,Inputs!$B$4="Chapter Hunt"),CHOOSE(ArtifactsInput!$N$27+1,20,24,28,32,36,40),0)/100)))+1)),0)</f>
        <v/>
      </c>
      <c r="S1810">
        <f>IFERROR(O1810/N1810,0)</f>
        <v/>
      </c>
      <c r="T1810" t="n">
        <v>0</v>
      </c>
      <c r="V1810" t="n">
        <v>0</v>
      </c>
    </row>
    <row r="1812">
      <c r="A1812" t="inlineStr">
        <is>
          <t>Attack% Bucket Multiplier</t>
        </is>
      </c>
      <c r="B1812">
        <f>(1+(((C1800=TRUE)*F1800*5/7)+((C1806=TRUE)*(F1806-Calc!F19))+(IF(ArtifactsInput!$M$21,CHOOSE(ArtifactsInput!$N$21+1,25,30,35,40,45,50)*(IF(OR(Inputs!$B$4="Chapter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 (Nimble Feet, duty-cycle averaged)</t>
        </is>
      </c>
      <c r="B1814">
        <f>((C1810=TRUE)*F1810*IF(AND(Inputs!$B$38&lt;&gt;"pvp",Inputs!$B$43&gt;0),(((R1810-1)*(Skills!T23*(1+Inputs!$B$34/100))+MIN((Skills!T23*(1+Inputs!$B$34/100)),MAX(0,Inputs!$B$43-((R1810-1)*Skills!D23))))/Inputs!$B$43),IF(Inputs!$B$38="pvp",MIN((Skills!T23*(1+Inputs!$B$34/100)),15)/15,(Skills!T23*(1+Inputs!$B$34/100))/Skills!D23)))</f>
        <v/>
      </c>
    </row>
    <row r="1815">
      <c r="A1815" t="inlineStr">
        <is>
          <t>Actions Per Second</t>
        </is>
      </c>
      <c r="B1815">
        <f>1+MIN(150,150*(1-(1-(Inputs!$B$11+((C1804=TRUE)*(F1804-Calc!F17))+((C1805=TRUE)*(F1805-Calc!F18)))/150)*(1-B1814/150)))/100</f>
        <v/>
      </c>
    </row>
    <row r="1816">
      <c r="A1816" t="inlineStr">
        <is>
          <t>Skill + Buff Cast Rate</t>
        </is>
      </c>
      <c r="B1816">
        <f>IF(AND(Inputs!$B$38&lt;&gt;"pvp",Inputs!$B$43&gt;0),SUMPRODUCT((Skills!E2:E23=TRUE)*(C1789:C1810=TRUE)*R1789:R1810*Skills!F2:F23)/Inputs!$B$43,SUMPRODUCT((Skills!E2:E23=TRUE)*(C1789:C1810=TRUE)*Q1789:Q1810*Skills!F2:F23))</f>
        <v/>
      </c>
    </row>
    <row r="1817">
      <c r="A1817" t="inlineStr">
        <is>
          <t>Hook Bomber Casts Per Second</t>
        </is>
      </c>
      <c r="B1817">
        <f>MAX(0,B1815-B1816)</f>
        <v/>
      </c>
    </row>
    <row r="1818">
      <c r="A1818" t="inlineStr">
        <is>
          <t>Global Critical Damage Bonus % (unused)</t>
        </is>
      </c>
      <c r="B1818" t="n">
        <v>0</v>
      </c>
    </row>
    <row r="1819">
      <c r="A1819" t="inlineStr">
        <is>
          <t>Global Final Damage Bonus % (Serpent Scale + Crossbones + Time Leap + Speed Infusion)</t>
        </is>
      </c>
      <c r="B1819">
        <f>((C1792=TRUE)*F1792*((10+IF(Inputs!$B$3&gt;=94,5,0))/((10+IF(Inputs!$B$3&gt;=94,5,0))+5/(B1817*(1+IF(Inputs!$B$3&gt;=104,1,0))))))+((C1801=TRUE)*F1801)+((C1802=TRUE)*F1802)+((Inputs!$B$3&gt;=110)*20*(B1815-1))</f>
        <v/>
      </c>
    </row>
    <row r="1820">
      <c r="A1820" t="inlineStr">
        <is>
          <t>Buff-Casting Startup Delay (s, fixed-duration only)</t>
        </is>
      </c>
      <c r="B1820">
        <f>IF(AND(Inputs!$B$38&lt;&gt;"pvp",Inputs!$B$43&gt;0),SUMPRODUCT((Skills!T2:T23&gt;0)*(Skills!E2:E23=TRUE)*(C1789:C1810=TRUE))/B1815,0)</f>
        <v/>
      </c>
    </row>
    <row r="1821">
      <c r="A1821" t="inlineStr">
        <is>
          <t>Boss-Only Total DPS (this block's swept value)</t>
        </is>
      </c>
      <c r="B1821">
        <f>SUM(T1789:T1810)</f>
        <v/>
      </c>
    </row>
    <row r="1822">
      <c r="A1822" t="inlineStr">
        <is>
          <t>Normal-Only Total DPS (this block's swept value)</t>
        </is>
      </c>
      <c r="B1822">
        <f>SUM(V1789:V1810)</f>
        <v/>
      </c>
    </row>
    <row r="1823">
      <c r="A1823" s="6" t="inlineStr">
        <is>
          <t>TOTAL DPS</t>
        </is>
      </c>
      <c r="B1823" s="6">
        <f>SUM(O1789:O1810)</f>
        <v/>
      </c>
    </row>
    <row r="1826">
      <c r="A1826" s="6" t="inlineStr">
        <is>
          <t>Stat: Fire Flower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t="n">
        <v>0</v>
      </c>
      <c r="R1828" t="n">
        <v>0</v>
      </c>
      <c r="S1828">
        <f>IFERROR(O1828/N1828,0)</f>
        <v/>
      </c>
      <c r="T1828">
        <f>IF(C1828,(Skills!G2*N1828*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Skills!G3*IF(Skills!H3&gt;0,Skills!I3/Skills!H3,1)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IF(B1862=0,0,O1829/B1862)</f>
        <v/>
      </c>
      <c r="Q1829" t="n">
        <v>0</v>
      </c>
      <c r="R1829" t="n">
        <v>0</v>
      </c>
      <c r="S1829">
        <f>IFERROR(O1829/N1829,0)</f>
        <v/>
      </c>
      <c r="T1829">
        <f>IF(C1829,(Skills!G3*H1829*N1829*B1856)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IF(C1829,(Skills!G3*H1829*N1829*B1856)*IF(Inputs!$B$38="pvp",1,(1+(Inputs!$B$21+Skills!Q3+(IF(ArtifactsInput!$M$33,CHOOSE(ArtifactsInput!$N$33+1,30,36,42,48,54,60),0))+(IF(AND(ArtifactsInput!$M$35,Inputs!$B$4&lt;&gt;"Chapter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Inputs!$B$3&gt;=60</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Skills!G4*IF(Skills!H4&gt;0,Skills!I4/Skills!H4,1)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t="n">
        <v>0</v>
      </c>
      <c r="R1830" t="n">
        <v>0</v>
      </c>
      <c r="S1830">
        <f>IFERROR(O1830/N1830,0)</f>
        <v/>
      </c>
      <c r="T1830">
        <f>IF(C1830,(Skills!G4*H1830*N1830*B1856)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IF(C1830,(Skills!G4*H1830*N1830*B1856)*IF(Inputs!$B$38="pvp",1,(1+(Inputs!$B$21+Skills!Q4+(IF(ArtifactsInput!$M$33,CHOOSE(ArtifactsInput!$N$33+1,30,36,42,48,54,60),0))+(IF(AND(ArtifactsInput!$M$35,Inputs!$B$4&lt;&gt;"Chapter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Inputs!$B$3&gt;=60</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t="inlineStr"/>
      <c r="K1831" t="inlineStr"/>
      <c r="L1831" t="inlineStr"/>
      <c r="M1831" t="inlineStr"/>
      <c r="N1831" t="inlineStr"/>
      <c r="O1831">
        <f>(1-Summary!$B$11)*T1831+Summary!$B$11*V1831</f>
        <v/>
      </c>
      <c r="P1831">
        <f>IF(B1862=0,0,O1831/B1862)</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IF(B1862=0,0,O1832/B1862)</f>
        <v/>
      </c>
      <c r="Q1832">
        <f>IFERROR(1/(IF(Inputs!$B$38="pvp",15,MAX(0.1,Skills!D6-IF(Skills!E6=TRUE,Inputs!$B$32,0)))*(1-IF(AND(ArtifactsInput!$M$27,Inputs!$B$4="Chapter Hunt"),CHOOSE(ArtifactsInput!$N$27+1,20,24,28,32,36,40),0)/100)),0)</f>
        <v/>
      </c>
      <c r="R1832">
        <f>IF(AND(Inputs!$B$38&lt;&gt;"pvp",Inputs!$B$43&gt;0),IF(MAX(0,Inputs!$B$43-B1859)&lt;=0,0,(INT(MAX(0,Inputs!$B$43-B1859)/(IF(Inputs!$B$38="pvp",15,MAX(0.1,Skills!D6-IF(Skills!E6=TRUE,Inputs!$B$32,0)))*(1-IF(AND(ArtifactsInput!$M$27,Inputs!$B$4="Chapter Hunt"),CHOOSE(ArtifactsInput!$N$27+1,20,24,28,32,36,40),0)/100)))+1)),0)</f>
        <v/>
      </c>
      <c r="S1832">
        <f>IFERROR(O1832/N1832,0)</f>
        <v/>
      </c>
      <c r="T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Inputs!$B$3&gt;=100</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IF(B1862=0,0,O1833/B1862)</f>
        <v/>
      </c>
      <c r="Q1833">
        <f>IFERROR(1/(IF(Inputs!$B$38="pvp",15,MAX(0.1,Skills!D7-IF(Skills!E7=TRUE,Inputs!$B$32,0)))*(1-IF(AND(ArtifactsInput!$M$27,Inputs!$B$4="Chapter Hunt"),CHOOSE(ArtifactsInput!$N$27+1,20,24,28,32,36,40),0)/100)),0)</f>
        <v/>
      </c>
      <c r="R1833">
        <f>IF(AND(Inputs!$B$38&lt;&gt;"pvp",Inputs!$B$43&gt;0),IF(MAX(0,Inputs!$B$43-B1859)&lt;=0,0,(INT(MAX(0,Inputs!$B$43-B1859)/(IF(Inputs!$B$38="pvp",15,MAX(0.1,Skills!D7-IF(Skills!E7=TRUE,Inputs!$B$32,0)))*(1-IF(AND(ArtifactsInput!$M$27,Inputs!$B$4="Chapter Hunt"),CHOOSE(ArtifactsInput!$N$27+1,20,24,28,32,36,40),0)/100)))+1)),0)</f>
        <v/>
      </c>
      <c r="S1833">
        <f>IFERROR(O1833/N1833,0)</f>
        <v/>
      </c>
      <c r="T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$21+Skills!Q7+(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Skills!G8*IF(Skills!H8&gt;0,Skills!I8/Skills!H8,1)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IF(B1862=0,0,O1834/B1862)</f>
        <v/>
      </c>
      <c r="Q1834">
        <f>IFERROR(1/(IF(Inputs!$B$38="pvp",15,MAX(0.1,Skills!D8-IF(Skills!E8=TRUE,Inputs!$B$32,0)))*(1-IF(AND(ArtifactsInput!$M$27,Inputs!$B$4="Chapter Hunt"),CHOOSE(ArtifactsInput!$N$27+1,20,24,28,32,36,40),0)/100)),0)</f>
        <v/>
      </c>
      <c r="R1834">
        <f>IF(AND(Inputs!$B$38&lt;&gt;"pvp",Inputs!$B$43&gt;0),IF(MAX(0,Inputs!$B$43-B1859)&lt;=0,0,(INT(MAX(0,Inputs!$B$43-B1859)/(IF(Inputs!$B$38="pvp",15,MAX(0.1,Skills!D8-IF(Skills!E8=TRUE,Inputs!$B$32,0)))*(1-IF(AND(ArtifactsInput!$M$27,Inputs!$B$4="Chapter Hunt"),CHOOSE(ArtifactsInput!$N$27+1,20,24,28,32,36,40),0)/100)))+1)),0)</f>
        <v/>
      </c>
      <c r="S1834">
        <f>IFERROR(O1834/N1834,0)</f>
        <v/>
      </c>
      <c r="T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Inputs!$B$3&gt;=110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IF(B1862=0,0,O1835/B1862)</f>
        <v/>
      </c>
      <c r="Q1835">
        <f>IFERROR(1/(IF(Inputs!$B$38="pvp",15,MAX(0.1,Skills!D9-IF(Skills!E9=TRUE,Inputs!$B$32,0)))*(1-IF(AND(ArtifactsInput!$M$27,Inputs!$B$4="Chapter Hunt"),CHOOSE(ArtifactsInput!$N$27+1,20,24,28,32,36,40),0)/100)),0)</f>
        <v/>
      </c>
      <c r="R1835">
        <f>IF(AND(Inputs!$B$38&lt;&gt;"pvp",Inputs!$B$43&gt;0),IF(MAX(0,Inputs!$B$43-B1859)&lt;=0,0,(INT(MAX(0,Inputs!$B$43-B1859)/(IF(Inputs!$B$38="pvp",15,MAX(0.1,Skills!D9-IF(Skills!E9=TRUE,Inputs!$B$32,0)))*(1-IF(AND(ArtifactsInput!$M$27,Inputs!$B$4="Chapter Hunt"),CHOOSE(ArtifactsInput!$N$27+1,20,24,28,32,36,40),0)/100)))+1)),0)</f>
        <v/>
      </c>
      <c r="S1835">
        <f>IFERROR(O1835/N1835,0)</f>
        <v/>
      </c>
      <c r="T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Inputs!$B$3&gt;=103</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IF(B1862=0,0,O1836/B1862)</f>
        <v/>
      </c>
      <c r="Q1836">
        <f>IFERROR(1/(IF(Inputs!$B$38="pvp",15,MAX(0.1,Skills!D10-IF(Skills!E10=TRUE,Inputs!$B$32,0)))*(1-IF(AND(ArtifactsInput!$M$27,Inputs!$B$4="Chapter Hunt"),CHOOSE(ArtifactsInput!$N$27+1,20,24,28,32,36,40),0)/100)),0)</f>
        <v/>
      </c>
      <c r="R1836">
        <f>IF(AND(Inputs!$B$38&lt;&gt;"pvp",Inputs!$B$43&gt;0),IF(MAX(0,Inputs!$B$43-B1859)&lt;=0,0,(INT(MAX(0,Inputs!$B$43-B1859)/(IF(Inputs!$B$38="pvp",15,MAX(0.1,Skills!D10-IF(Skills!E10=TRUE,Inputs!$B$32,0)))*(1-IF(AND(ArtifactsInput!$M$27,Inputs!$B$4="Chapter Hunt"),CHOOSE(ArtifactsInput!$N$27+1,20,24,28,32,36,40),0)/100)))+1)),0)</f>
        <v/>
      </c>
      <c r="S1836">
        <f>IFERROR(O1836/N1836,0)</f>
        <v/>
      </c>
      <c r="T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$21+Skills!Q10+(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IF(B1862=0,0,O1837/B1862)</f>
        <v/>
      </c>
      <c r="Q1837">
        <f>IFERROR(1/(IF(Inputs!$B$38="pvp",15,MAX(0.1,Skills!D11-IF(Skills!E11=TRUE,Inputs!$B$32,0)))*(1-IF(AND(ArtifactsInput!$M$27,Inputs!$B$4="Chapter Hunt"),CHOOSE(ArtifactsInput!$N$27+1,20,24,28,32,36,40),0)/100)),0)</f>
        <v/>
      </c>
      <c r="R1837">
        <f>IF(AND(Inputs!$B$38&lt;&gt;"pvp",Inputs!$B$43&gt;0),IF(MAX(0,Inputs!$B$43-B1859)&lt;=0,0,(INT(MAX(0,Inputs!$B$43-B1859)/(IF(Inputs!$B$38="pvp",15,MAX(0.1,Skills!D11-IF(Skills!E11=TRUE,Inputs!$B$32,0)))*(1-IF(AND(ArtifactsInput!$M$27,Inputs!$B$4="Chapter Hunt"),CHOOSE(ArtifactsInput!$N$27+1,20,24,28,32,36,40),0)/100)))+1)),0)</f>
        <v/>
      </c>
      <c r="S1837">
        <f>IFERROR(O1837/N1837,0)</f>
        <v/>
      </c>
      <c r="T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Inputs!$B$3&gt;=66</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Skills!A14</f>
        <v/>
      </c>
      <c r="B1840">
        <f>Skills!B14</f>
        <v/>
      </c>
      <c r="C1840">
        <f>Inputs!$B$3&gt;=107</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IF(B1862=0,0,O1840/B1862)</f>
        <v/>
      </c>
      <c r="Q1840" t="n">
        <v>0</v>
      </c>
      <c r="R1840" t="n">
        <v>0</v>
      </c>
      <c r="S1840">
        <f>IFERROR(O1840/N1840,0)</f>
        <v/>
      </c>
      <c r="T1840" t="n">
        <v>0</v>
      </c>
      <c r="V1840" t="n">
        <v>0</v>
      </c>
    </row>
    <row r="1841">
      <c r="A1841">
        <f>Skills!A15</f>
        <v/>
      </c>
      <c r="B1841">
        <f>Skills!B15</f>
        <v/>
      </c>
      <c r="C1841">
        <f>Inputs!$B$3&gt;=115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IF(B1862=0,0,O1841/B1862)</f>
        <v/>
      </c>
      <c r="Q1841" t="n">
        <v>0</v>
      </c>
      <c r="R1841" t="n">
        <v>0</v>
      </c>
      <c r="S1841">
        <f>IFERROR(O1841/N1841,0)</f>
        <v/>
      </c>
      <c r="T1841" t="n">
        <v>0</v>
      </c>
      <c r="V1841" t="n">
        <v>0</v>
      </c>
    </row>
    <row r="1842">
      <c r="A1842">
        <f>Skills!A16</f>
        <v/>
      </c>
      <c r="B1842">
        <f>Skills!B16</f>
        <v/>
      </c>
      <c r="C1842">
        <f>Inputs!$B$3&gt;=15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Skills!A17</f>
        <v/>
      </c>
      <c r="B1843">
        <f>Skills!B17</f>
        <v/>
      </c>
      <c r="C1843">
        <f>Inputs!$B$3&gt;=10</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IF(B1862=0,0,O1849/B1862)</f>
        <v/>
      </c>
      <c r="Q1849">
        <f>IFERROR(1/(IF(Inputs!$B$38="pvp",15,MAX(0.1,Skills!D23-IF(Skills!E23=TRUE,Inputs!$B$32,0)))*(1-IF(AND(ArtifactsInput!$M$27,Inputs!$B$4="Chapter Hunt"),CHOOSE(ArtifactsInput!$N$27+1,20,24,28,32,36,40),0)/100)),0)</f>
        <v/>
      </c>
      <c r="R1849">
        <f>IF(AND(Inputs!$B$38&lt;&gt;"pvp",Inputs!$B$43&gt;0),IF(Inputs!$B$43&lt;=0,0,(INT(Inputs!$B$43/(IF(Inputs!$B$38="pvp",15,MAX(0.1,Skills!D23-IF(Skills!E23=TRUE,Inputs!$B$32,0)))*(1-IF(AND(ArtifactsInput!$M$27,Inputs!$B$4="Chapter Hunt"),CHOOSE(ArtifactsInput!$N$27+1,20,24,28,32,36,40),0)/100)))+1)),0)</f>
        <v/>
      </c>
      <c r="S1849">
        <f>IFERROR(O1849/N1849,0)</f>
        <v/>
      </c>
      <c r="T1849" t="n">
        <v>0</v>
      </c>
      <c r="V1849" t="n">
        <v>0</v>
      </c>
    </row>
    <row r="1851">
      <c r="A1851" t="inlineStr">
        <is>
          <t>Attack% Bucket Multiplier</t>
        </is>
      </c>
      <c r="B1851">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t="n">
        <v>0</v>
      </c>
    </row>
    <row r="1853">
      <c r="A1853" t="inlineStr">
        <is>
          <t>Attack Speed Buff Bonus % (Nimble Feet, duty-cycle averaged)</t>
        </is>
      </c>
      <c r="B1853">
        <f>((C1849=TRUE)*F1849*IF(AND(Inputs!$B$38&lt;&gt;"pvp",Inputs!$B$43&gt;0),(((R1849-1)*(Skills!T23*(1+Inputs!$B$34/100))+MIN((Skills!T23*(1+Inputs!$B$34/100)),MAX(0,Inputs!$B$43-((R1849-1)*Skills!D23))))/Inputs!$B$43),IF(Inputs!$B$38="pvp",MIN((Skills!T23*(1+Inputs!$B$34/100)),15)/15,(Skills!T23*(1+Inputs!$B$34/100))/Skills!D23)))</f>
        <v/>
      </c>
    </row>
    <row r="1854">
      <c r="A1854" t="inlineStr">
        <is>
          <t>Actions Per Second</t>
        </is>
      </c>
      <c r="B1854">
        <f>1+MIN(150,150*(1-(1-(Inputs!$B$11+((C1843=TRUE)*(F1843-Calc!F17))+((C1844=TRUE)*(F1844-Calc!F18)))/150)*(1-B1853/150)))/100</f>
        <v/>
      </c>
    </row>
    <row r="1855">
      <c r="A1855" t="inlineStr">
        <is>
          <t>Skill + Buff Cast Rate</t>
        </is>
      </c>
      <c r="B1855">
        <f>IF(AND(Inputs!$B$38&lt;&gt;"pvp",Inputs!$B$43&gt;0),SUMPRODUCT((Skills!E2:E23=TRUE)*(C1828:C1849=TRUE)*R1828:R1849*Skills!F2:F23)/Inputs!$B$43,SUMPRODUCT((Skills!E2:E23=TRUE)*(C1828:C1849=TRUE)*Q1828:Q1849*Skills!F2:F23))</f>
        <v/>
      </c>
    </row>
    <row r="1856">
      <c r="A1856" t="inlineStr">
        <is>
          <t>Hook Bomber Casts Per Second</t>
        </is>
      </c>
      <c r="B1856">
        <f>MAX(0,B1854-B1855)</f>
        <v/>
      </c>
    </row>
    <row r="1857">
      <c r="A1857" t="inlineStr">
        <is>
          <t>Global Critical Damage Bonus % (unused)</t>
        </is>
      </c>
      <c r="B1857" t="n">
        <v>0</v>
      </c>
    </row>
    <row r="1858">
      <c r="A1858" t="inlineStr">
        <is>
          <t>Global Final Damage Bonus % (Serpent Scale + Crossbones + Time Leap + Speed Infusion)</t>
        </is>
      </c>
      <c r="B1858">
        <f>((C1831=TRUE)*F1831*((10+IF(Inputs!$B$3&gt;=94,5,0))/((10+IF(Inputs!$B$3&gt;=94,5,0))+5/(B1856*(1+IF(Inputs!$B$3&gt;=104,1,0))))))+((C1840=TRUE)*F1840)+((C1841=TRUE)*F1841)+((Inputs!$B$3&gt;=110)*20*(B1854-1))</f>
        <v/>
      </c>
    </row>
    <row r="1859">
      <c r="A1859" t="inlineStr">
        <is>
          <t>Buff-Casting Startup Delay (s, fixed-duration only)</t>
        </is>
      </c>
      <c r="B1859">
        <f>IF(AND(Inputs!$B$38&lt;&gt;"pvp",Inputs!$B$43&gt;0),SUMPRODUCT((Skills!T2:T23&gt;0)*(Skills!E2:E23=TRUE)*(C1828:C1849=TRUE))/B1854,0)</f>
        <v/>
      </c>
    </row>
    <row r="1860">
      <c r="A1860" t="inlineStr">
        <is>
          <t>Boss-Only Total DPS (this block's swept value)</t>
        </is>
      </c>
      <c r="B1860">
        <f>SUM(T1828:T1849)</f>
        <v/>
      </c>
    </row>
    <row r="1861">
      <c r="A1861" t="inlineStr">
        <is>
          <t>Normal-Only Total DPS (this block's swept value)</t>
        </is>
      </c>
      <c r="B1861">
        <f>SUM(V1828:V1849)</f>
        <v/>
      </c>
    </row>
    <row r="1862">
      <c r="A1862" s="6" t="inlineStr">
        <is>
          <t>TOTAL DPS</t>
        </is>
      </c>
      <c r="B1862" s="6">
        <f>SUM(O1828:O1849)</f>
        <v/>
      </c>
    </row>
    <row r="1865">
      <c r="A1865" s="6" t="inlineStr">
        <is>
          <t>Stat: Soul Contract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1885=TRUE)*(F1885-Calc!F20)),(Inputs!$B$23+0+(IF(ArtifactsInput!$M$15,CHOOSE(ArtifactsInput!$N$15+1,25,30,35,40,45,50)/100*(Inputs!$B$11-Inputs!$B$11),0))))/100+(Inputs!$B$23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t="n">
        <v>0</v>
      </c>
      <c r="R1867" t="n">
        <v>0</v>
      </c>
      <c r="S1867">
        <f>IFERROR(O1867/N1867,0)</f>
        <v/>
      </c>
      <c r="T1867">
        <f>IF(C1867,(Skills!G2*N1867*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Inputs!$B$3&gt;=35</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1885=TRUE)*(F1885-Calc!F20)),(Inputs!$B$23+0+(IF(ArtifactsInput!$M$15,CHOOSE(ArtifactsInput!$N$15+1,25,30,35,40,45,50)/100*(Inputs!$B$11-Inputs!$B$11),0))))/100+(Inputs!$B$23+0+(IF(ArtifactsInput!$M$15,CHOOSE(ArtifactsInput!$N$15+1,25,30,35,40,45,50)/100*(Inputs!$B$11-Inputs!$B$11),0)))/100)/2</f>
        <v/>
      </c>
      <c r="M1868">
        <f>L1868*(1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IF(B1901=0,0,O1868/B1901)</f>
        <v/>
      </c>
      <c r="Q1868" t="n">
        <v>0</v>
      </c>
      <c r="R1868" t="n">
        <v>0</v>
      </c>
      <c r="S1868">
        <f>IFERROR(O1868/N1868,0)</f>
        <v/>
      </c>
      <c r="T1868">
        <f>IF(C1868,(Skills!G3*H1868*N1868*B1895)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IF(C1868,(Skills!G3*H1868*N1868*B1895)*IF(Inputs!$B$38="pvp",1,(1+(Inputs!$B$21+Skills!Q3+(IF(ArtifactsInput!$M$33,CHOOSE(ArtifactsInput!$N$33+1,30,36,42,48,54,60),0))+(IF(AND(ArtifactsInput!$M$35,Inputs!$B$4&lt;&gt;"Chapter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Inputs!$B$3&gt;=60</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Skills!G4*IF(Skills!H4&gt;0,Skills!I4/Skills!H4,1)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1877=TRUE,F1877,0)/100)*(1+(IF(Skills!A4="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1885=TRUE)*(F1885-Calc!F20)),(Inputs!$B$23+0+(IF(ArtifactsInput!$M$15,CHOOSE(ArtifactsInput!$N$15+1,25,30,35,40,45,50)/100*(Inputs!$B$11-Inputs!$B$11),0))))/100+(Inputs!$B$23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t="n">
        <v>0</v>
      </c>
      <c r="R1869" t="n">
        <v>0</v>
      </c>
      <c r="S1869">
        <f>IFERROR(O1869/N1869,0)</f>
        <v/>
      </c>
      <c r="T1869">
        <f>IF(C1869,(Skills!G4*H1869*N1869*B1895)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IF(C1869,(Skills!G4*H1869*N1869*B1895)*IF(Inputs!$B$38="pvp",1,(1+(Inputs!$B$21+Skills!Q4+(IF(ArtifactsInput!$M$33,CHOOSE(ArtifactsInput!$N$33+1,30,36,42,48,54,60),0))+(IF(AND(ArtifactsInput!$M$35,Inputs!$B$4&lt;&gt;"Chapter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Inputs!$B$3&gt;=60</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t="inlineStr"/>
      <c r="K1870" t="inlineStr"/>
      <c r="L1870" t="inlineStr"/>
      <c r="M1870" t="inlineStr"/>
      <c r="N1870" t="inlineStr"/>
      <c r="O1870">
        <f>(1-Summary!$B$11)*T1870+Summary!$B$11*V1870</f>
        <v/>
      </c>
      <c r="P1870">
        <f>IF(B1901=0,0,O1870/B1901)</f>
        <v/>
      </c>
      <c r="Q1870" t="n">
        <v>0</v>
      </c>
      <c r="R1870" t="n">
        <v>0</v>
      </c>
      <c r="S1870">
        <f>IFERROR(O1870/N1870,0)</f>
        <v/>
      </c>
      <c r="T1870" t="n">
        <v>0</v>
      </c>
      <c r="V1870" t="n">
        <v>0</v>
      </c>
    </row>
    <row r="1871">
      <c r="A1871">
        <f>Skills!A6</f>
        <v/>
      </c>
      <c r="B1871">
        <f>Skills!B6</f>
        <v/>
      </c>
      <c r="C1871">
        <f>Inputs!$B$3&gt;=63</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1885=TRUE)*(F1885-Calc!F20)),(Inputs!$B$23+0+(IF(ArtifactsInput!$M$15,CHOOSE(ArtifactsInput!$N$15+1,25,30,35,40,45,50)/100*(Inputs!$B$11-Inputs!$B$11),0))))/100+(Inputs!$B$23+0+(IF(ArtifactsInput!$M$15,CHOOSE(ArtifactsInput!$N$15+1,25,30,35,40,45,50)/100*(Inputs!$B$11-Inputs!$B$11),0)))/100)/2</f>
        <v/>
      </c>
      <c r="M1871">
        <f>L1871*(1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IF(B1901=0,0,O1871/B1901)</f>
        <v/>
      </c>
      <c r="Q1871">
        <f>IFERROR(1/(IF(Inputs!$B$38="pvp",15,MAX(0.1,Skills!D6-IF(Skills!E6=TRUE,Inputs!$B$32,0)))*(1-IF(AND(IF(ArtifactsInput!$M$27,FALSE,TRUE),Inputs!$B$4="Chapter Hunt"),CHOOSE(ArtifactsInput!$N$27+1,20,24,28,32,36,40),0)/100)),0)</f>
        <v/>
      </c>
      <c r="R1871">
        <f>IF(AND(Inputs!$B$38&lt;&gt;"pvp",Inputs!$B$43&gt;0),IF(MAX(0,Inputs!$B$43-B1898)&lt;=0,0,(INT(MAX(0,Inputs!$B$43-B1898)/(IF(Inputs!$B$38="pvp",15,MAX(0.1,Skills!D6-IF(Skills!E6=TRUE,Inputs!$B$32,0)))*(1-IF(AND(IF(ArtifactsInput!$M$27,FALSE,TRUE),Inputs!$B$4="Chapter Hunt"),CHOOSE(ArtifactsInput!$N$27+1,20,24,28,32,36,40),0)/100)))+1)),0)</f>
        <v/>
      </c>
      <c r="S1871">
        <f>IFERROR(O1871/N1871,0)</f>
        <v/>
      </c>
      <c r="T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Inputs!$B$3&gt;=100</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1885=TRUE)*(F1885-Calc!F20)),(Inputs!$B$23+0+(IF(ArtifactsInput!$M$15,CHOOSE(ArtifactsInput!$N$15+1,25,30,35,40,45,50)/100*(Inputs!$B$11-Inputs!$B$11),0))))/100+(Inputs!$B$23+0+(IF(ArtifactsInput!$M$15,CHOOSE(ArtifactsInput!$N$15+1,25,30,35,40,45,50)/100*(Inputs!$B$11-Inputs!$B$11),0)))/100)/2</f>
        <v/>
      </c>
      <c r="M1872">
        <f>L1872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IF(B1901=0,0,O1872/B1901)</f>
        <v/>
      </c>
      <c r="Q1872">
        <f>IFERROR(1/(IF(Inputs!$B$38="pvp",15,MAX(0.1,Skills!D7-IF(Skills!E7=TRUE,Inputs!$B$32,0)))*(1-IF(AND(IF(ArtifactsInput!$M$27,FALSE,TRUE),Inputs!$B$4="Chapter Hunt"),CHOOSE(ArtifactsInput!$N$27+1,20,24,28,32,36,40),0)/100)),0)</f>
        <v/>
      </c>
      <c r="R1872">
        <f>IF(AND(Inputs!$B$38&lt;&gt;"pvp",Inputs!$B$43&gt;0),IF(MAX(0,Inputs!$B$43-B1898)&lt;=0,0,(INT(MAX(0,Inputs!$B$43-B1898)/(IF(Inputs!$B$38="pvp",15,MAX(0.1,Skills!D7-IF(Skills!E7=TRUE,Inputs!$B$32,0)))*(1-IF(AND(IF(ArtifactsInput!$M$27,FALSE,TRUE),Inputs!$B$4="Chapter Hunt"),CHOOSE(ArtifactsInput!$N$27+1,20,24,28,32,36,40),0)/100)))+1)),0)</f>
        <v/>
      </c>
      <c r="S1872">
        <f>IFERROR(O1872/N1872,0)</f>
        <v/>
      </c>
      <c r="T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$21+Skills!Q7+(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Inputs!$B$3&gt;=110</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1885=TRUE)*(F1885-Calc!F20)),(Inputs!$B$23+0+(IF(ArtifactsInput!$M$15,CHOOSE(ArtifactsInput!$N$15+1,25,30,35,40,45,50)/100*(Inputs!$B$11-Inputs!$B$11),0))))/100+(Inputs!$B$23+0+(IF(ArtifactsInput!$M$15,CHOOSE(ArtifactsInput!$N$15+1,25,30,35,40,45,50)/100*(Inputs!$B$11-Inputs!$B$11),0)))/100)/2</f>
        <v/>
      </c>
      <c r="M1873">
        <f>L1873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IF(B1901=0,0,O1873/B1901)</f>
        <v/>
      </c>
      <c r="Q1873">
        <f>IFERROR(1/(IF(Inputs!$B$38="pvp",15,MAX(0.1,Skills!D8-IF(Skills!E8=TRUE,Inputs!$B$32,0)))*(1-IF(AND(IF(ArtifactsInput!$M$27,FALSE,TRUE),Inputs!$B$4="Chapter Hunt"),CHOOSE(ArtifactsInput!$N$27+1,20,24,28,32,36,40),0)/100)),0)</f>
        <v/>
      </c>
      <c r="R1873">
        <f>IF(AND(Inputs!$B$38&lt;&gt;"pvp",Inputs!$B$43&gt;0),IF(MAX(0,Inputs!$B$43-B1898)&lt;=0,0,(INT(MAX(0,Inputs!$B$43-B1898)/(IF(Inputs!$B$38="pvp",15,MAX(0.1,Skills!D8-IF(Skills!E8=TRUE,Inputs!$B$32,0)))*(1-IF(AND(IF(ArtifactsInput!$M$27,FALSE,TRUE),Inputs!$B$4="Chapter Hunt"),CHOOSE(ArtifactsInput!$N$27+1,20,24,28,32,36,40),0)/100)))+1)),0)</f>
        <v/>
      </c>
      <c r="S1873">
        <f>IFERROR(O1873/N1873,0)</f>
        <v/>
      </c>
      <c r="T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Inputs!$B$3&gt;=110</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1885=TRUE)*(F1885-Calc!F20)),(Inputs!$B$23+0+(IF(ArtifactsInput!$M$15,CHOOSE(ArtifactsInput!$N$15+1,25,30,35,40,45,50)/100*(Inputs!$B$11-Inputs!$B$11),0))))/100+(Inputs!$B$23+0+(IF(ArtifactsInput!$M$15,CHOOSE(ArtifactsInput!$N$15+1,25,30,35,40,45,50)/100*(Inputs!$B$11-Inputs!$B$11),0)))/100)/2</f>
        <v/>
      </c>
      <c r="M1874">
        <f>L1874*(1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IF(B1901=0,0,O1874/B1901)</f>
        <v/>
      </c>
      <c r="Q1874">
        <f>IFERROR(1/(IF(Inputs!$B$38="pvp",15,MAX(0.1,Skills!D9-IF(Skills!E9=TRUE,Inputs!$B$32,0)))*(1-IF(AND(IF(ArtifactsInput!$M$27,FALSE,TRUE),Inputs!$B$4="Chapter Hunt"),CHOOSE(ArtifactsInput!$N$27+1,20,24,28,32,36,40),0)/100)),0)</f>
        <v/>
      </c>
      <c r="R1874">
        <f>IF(AND(Inputs!$B$38&lt;&gt;"pvp",Inputs!$B$43&gt;0),IF(MAX(0,Inputs!$B$43-B1898)&lt;=0,0,(INT(MAX(0,Inputs!$B$43-B1898)/(IF(Inputs!$B$38="pvp",15,MAX(0.1,Skills!D9-IF(Skills!E9=TRUE,Inputs!$B$32,0)))*(1-IF(AND(IF(ArtifactsInput!$M$27,FALSE,TRUE),Inputs!$B$4="Chapter Hunt"),CHOOSE(ArtifactsInput!$N$27+1,20,24,28,32,36,40),0)/100)))+1)),0)</f>
        <v/>
      </c>
      <c r="S1874">
        <f>IFERROR(O1874/N1874,0)</f>
        <v/>
      </c>
      <c r="T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1885=TRUE)*(F1885-Calc!F20)),(Inputs!$B$23+0+(IF(ArtifactsInput!$M$15,CHOOSE(ArtifactsInput!$N$15+1,25,30,35,40,45,50)/100*(Inputs!$B$11-Inputs!$B$11),0))))/100+(Inputs!$B$23+0+(IF(ArtifactsInput!$M$15,CHOOSE(ArtifactsInput!$N$15+1,25,30,35,40,45,50)/100*(Inputs!$B$11-Inputs!$B$11),0)))/100)/2</f>
        <v/>
      </c>
      <c r="M1875">
        <f>L1875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IF(B1901=0,0,O1875/B1901)</f>
        <v/>
      </c>
      <c r="Q1875">
        <f>IFERROR(1/(IF(Inputs!$B$38="pvp",15,MAX(0.1,Skills!D10-IF(Skills!E10=TRUE,Inputs!$B$32,0)))*(1-IF(AND(IF(ArtifactsInput!$M$27,FALSE,TRUE),Inputs!$B$4="Chapter Hunt"),CHOOSE(ArtifactsInput!$N$27+1,20,24,28,32,36,40),0)/100)),0)</f>
        <v/>
      </c>
      <c r="R1875">
        <f>IF(AND(Inputs!$B$38&lt;&gt;"pvp",Inputs!$B$43&gt;0),IF(MAX(0,Inputs!$B$43-B1898)&lt;=0,0,(INT(MAX(0,Inputs!$B$43-B1898)/(IF(Inputs!$B$38="pvp",15,MAX(0.1,Skills!D10-IF(Skills!E10=TRUE,Inputs!$B$32,0)))*(1-IF(AND(IF(ArtifactsInput!$M$27,FALSE,TRUE),Inputs!$B$4="Chapter Hunt"),CHOOSE(ArtifactsInput!$N$27+1,20,24,28,32,36,40),0)/100)))+1)),0)</f>
        <v/>
      </c>
      <c r="S1875">
        <f>IFERROR(O1875/N1875,0)</f>
        <v/>
      </c>
      <c r="T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Inputs!$B$3&gt;=113</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1885=TRUE)*(F1885-Calc!F20)),(Inputs!$B$23+0+(IF(ArtifactsInput!$M$15,CHOOSE(ArtifactsInput!$N$15+1,25,30,35,40,45,50)/100*(Inputs!$B$11-Inputs!$B$11),0))))/100+(Inputs!$B$23+0+(IF(ArtifactsInput!$M$15,CHOOSE(ArtifactsInput!$N$15+1,25,30,35,40,45,50)/100*(Inputs!$B$11-Inputs!$B$11),0)))/100)/2</f>
        <v/>
      </c>
      <c r="M1876">
        <f>L1876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IF(B1901=0,0,O1876/B1901)</f>
        <v/>
      </c>
      <c r="Q1876">
        <f>IFERROR(1/(IF(Inputs!$B$38="pvp",15,MAX(0.1,Skills!D11-IF(Skills!E11=TRUE,Inputs!$B$32,0)))*(1-IF(AND(IF(ArtifactsInput!$M$27,FALSE,TRUE),Inputs!$B$4="Chapter Hunt"),CHOOSE(ArtifactsInput!$N$27+1,20,24,28,32,36,40),0)/100)),0)</f>
        <v/>
      </c>
      <c r="R1876">
        <f>IF(AND(Inputs!$B$38&lt;&gt;"pvp",Inputs!$B$43&gt;0),IF(MAX(0,Inputs!$B$43-B1898)&lt;=0,0,(INT(MAX(0,Inputs!$B$43-B1898)/(IF(Inputs!$B$38="pvp",15,MAX(0.1,Skills!D11-IF(Skills!E11=TRUE,Inputs!$B$32,0)))*(1-IF(AND(IF(ArtifactsInput!$M$27,FALSE,TRUE),Inputs!$B$4="Chapter Hunt"),CHOOSE(ArtifactsInput!$N$27+1,20,24,28,32,36,40),0)/100)))+1)),0)</f>
        <v/>
      </c>
      <c r="S1876">
        <f>IFERROR(O1876/N1876,0)</f>
        <v/>
      </c>
      <c r="T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$21+Skills!Q11+(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Inputs!$B$3&gt;=100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Inputs!$B$3&gt;=66</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Skills!A14</f>
        <v/>
      </c>
      <c r="B1879">
        <f>Skills!B14</f>
        <v/>
      </c>
      <c r="C1879">
        <f>Inputs!$B$3&gt;=107</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Skills!A15</f>
        <v/>
      </c>
      <c r="B1880">
        <f>Skills!B15</f>
        <v/>
      </c>
      <c r="C1880">
        <f>Inputs!$B$3&gt;=115</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Skills!A16</f>
        <v/>
      </c>
      <c r="B1881">
        <f>Skills!B16</f>
        <v/>
      </c>
      <c r="C1881">
        <f>Inputs!$B$3&gt;=15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Skills!A17</f>
        <v/>
      </c>
      <c r="B1882">
        <f>Skills!B17</f>
        <v/>
      </c>
      <c r="C1882">
        <f>Inputs!$B$3&gt;=10</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Skills!A18</f>
        <v/>
      </c>
      <c r="B1883">
        <f>Skills!B18</f>
        <v/>
      </c>
      <c r="C1883">
        <f>Inputs!$B$3&gt;=33</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Skills!A19</f>
        <v/>
      </c>
      <c r="B1884">
        <f>Skills!B19</f>
        <v/>
      </c>
      <c r="C1884">
        <f>Inputs!$B$3&gt;=40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Skills!A20</f>
        <v/>
      </c>
      <c r="B1885">
        <f>Skills!B20</f>
        <v/>
      </c>
      <c r="C1885">
        <f>Inputs!$B$3&gt;=43</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Skills!A21</f>
        <v/>
      </c>
      <c r="B1886">
        <f>Skills!B21</f>
        <v/>
      </c>
      <c r="C1886">
        <f>Inputs!$B$3&gt;=38</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Skills!A22</f>
        <v/>
      </c>
      <c r="B1887">
        <f>Skills!B22</f>
        <v/>
      </c>
      <c r="C1887">
        <f>Inputs!$B$3&gt;=75</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Skills!A23</f>
        <v/>
      </c>
      <c r="B1888">
        <f>Skills!B23</f>
        <v/>
      </c>
      <c r="C1888">
        <f>TRUE</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IF(B1901=0,0,O1888/B1901)</f>
        <v/>
      </c>
      <c r="Q1888">
        <f>IFERROR(1/(IF(Inputs!$B$38="pvp",15,MAX(0.1,Skills!D23-IF(Skills!E23=TRUE,Inputs!$B$32,0)))*(1-IF(AND(IF(ArtifactsInput!$M$27,FALSE,TRUE),Inputs!$B$4="Chapter Hunt"),CHOOSE(ArtifactsInput!$N$27+1,20,24,28,32,36,40),0)/100)),0)</f>
        <v/>
      </c>
      <c r="R1888">
        <f>IF(AND(Inputs!$B$38&lt;&gt;"pvp",Inputs!$B$43&gt;0),IF(Inputs!$B$43&lt;=0,0,(INT(Inputs!$B$43/(IF(Inputs!$B$38="pvp",15,MAX(0.1,Skills!D23-IF(Skills!E23=TRUE,Inputs!$B$32,0)))*(1-IF(AND(IF(ArtifactsInput!$M$27,FALSE,TRUE),Inputs!$B$4="Chapter Hunt"),CHOOSE(ArtifactsInput!$N$27+1,20,24,28,32,36,40),0)/100)))+1)),0)</f>
        <v/>
      </c>
      <c r="S1888">
        <f>IFERROR(O1888/N1888,0)</f>
        <v/>
      </c>
      <c r="T1888" t="n">
        <v>0</v>
      </c>
      <c r="V1888" t="n">
        <v>0</v>
      </c>
    </row>
    <row r="1890">
      <c r="A1890" t="inlineStr">
        <is>
          <t>Attack% Bucket Multiplier</t>
        </is>
      </c>
      <c r="B1890">
        <f>(1+(((C1878=TRUE)*F1878*5/7)+((C1884=TRUE)*(F1884-Calc!F19))+(IF(ArtifactsInput!$M$21,CHOOSE(ArtifactsInput!$N$21+1,25,30,35,40,45,50)*(IF(OR(Inputs!$B$4="Chapter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t="n">
        <v>0</v>
      </c>
    </row>
    <row r="1892">
      <c r="A1892" t="inlineStr">
        <is>
          <t>Attack Speed Buff Bonus % (Nimble Feet, duty-cycle averaged)</t>
        </is>
      </c>
      <c r="B1892">
        <f>((C1888=TRUE)*F1888*IF(AND(Inputs!$B$38&lt;&gt;"pvp",Inputs!$B$43&gt;0),(((R1888-1)*(Skills!T23*(1+Inputs!$B$34/100))+MIN((Skills!T23*(1+Inputs!$B$34/100)),MAX(0,Inputs!$B$43-((R1888-1)*Skills!D23))))/Inputs!$B$43),IF(Inputs!$B$38="pvp",MIN((Skills!T23*(1+Inputs!$B$34/100)),15)/15,(Skills!T23*(1+Inputs!$B$34/100))/Skills!D23)))</f>
        <v/>
      </c>
    </row>
    <row r="1893">
      <c r="A1893" t="inlineStr">
        <is>
          <t>Actions Per Second</t>
        </is>
      </c>
      <c r="B1893">
        <f>1+MIN(150,150*(1-(1-(Inputs!$B$11+((C1882=TRUE)*(F1882-Calc!F17))+((C1883=TRUE)*(F1883-Calc!F18)))/150)*(1-B1892/150)))/100</f>
        <v/>
      </c>
    </row>
    <row r="1894">
      <c r="A1894" t="inlineStr">
        <is>
          <t>Skill + Buff Cast Rate</t>
        </is>
      </c>
      <c r="B1894">
        <f>IF(AND(Inputs!$B$38&lt;&gt;"pvp",Inputs!$B$43&gt;0),SUMPRODUCT((Skills!E2:E23=TRUE)*(C1867:C1888=TRUE)*R1867:R1888*Skills!F2:F23)/Inputs!$B$43,SUMPRODUCT((Skills!E2:E23=TRUE)*(C1867:C1888=TRUE)*Q1867:Q1888*Skills!F2:F23))</f>
        <v/>
      </c>
    </row>
    <row r="1895">
      <c r="A1895" t="inlineStr">
        <is>
          <t>Hook Bomber Casts Per Second</t>
        </is>
      </c>
      <c r="B1895">
        <f>MAX(0,B1893-B1894)</f>
        <v/>
      </c>
    </row>
    <row r="1896">
      <c r="A1896" t="inlineStr">
        <is>
          <t>Global Critical Damage Bonus % (unused)</t>
        </is>
      </c>
      <c r="B1896" t="n">
        <v>0</v>
      </c>
    </row>
    <row r="1897">
      <c r="A1897" t="inlineStr">
        <is>
          <t>Global Final Damage Bonus % (Serpent Scale + Crossbones + Time Leap + Speed Infusion)</t>
        </is>
      </c>
      <c r="B1897">
        <f>((C1870=TRUE)*F1870*((10+IF(Inputs!$B$3&gt;=94,5,0))/((10+IF(Inputs!$B$3&gt;=94,5,0))+5/(B1895*(1+IF(Inputs!$B$3&gt;=104,1,0))))))+((C1879=TRUE)*F1879)+((C1880=TRUE)*F1880)+((Inputs!$B$3&gt;=110)*20*(B1893-1))</f>
        <v/>
      </c>
    </row>
    <row r="1898">
      <c r="A1898" t="inlineStr">
        <is>
          <t>Buff-Casting Startup Delay (s, fixed-duration only)</t>
        </is>
      </c>
      <c r="B1898">
        <f>IF(AND(Inputs!$B$38&lt;&gt;"pvp",Inputs!$B$43&gt;0),SUMPRODUCT((Skills!T2:T23&gt;0)*(Skills!E2:E23=TRUE)*(C1867:C1888=TRUE))/B1893,0)</f>
        <v/>
      </c>
    </row>
    <row r="1899">
      <c r="A1899" t="inlineStr">
        <is>
          <t>Boss-Only Total DPS (this block's swept value)</t>
        </is>
      </c>
      <c r="B1899">
        <f>SUM(T1867:T1888)</f>
        <v/>
      </c>
    </row>
    <row r="1900">
      <c r="A1900" t="inlineStr">
        <is>
          <t>Normal-Only Total DPS (this block's swept value)</t>
        </is>
      </c>
      <c r="B1900">
        <f>SUM(V1867:V1888)</f>
        <v/>
      </c>
    </row>
    <row r="1901">
      <c r="A1901" s="6" t="inlineStr">
        <is>
          <t>TOTAL DPS</t>
        </is>
      </c>
      <c r="B1901" s="6">
        <f>SUM(O1867:O1888)</f>
        <v/>
      </c>
    </row>
    <row r="1904">
      <c r="A1904" s="6" t="inlineStr">
        <is>
          <t>Stat: Lit Lamp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1924=TRUE)*(F1924-Calc!F20)),(Inputs!$B$23+0+(IF(ArtifactsInput!$M$15,CHOOSE(ArtifactsInput!$N$15+1,25,30,35,40,45,50)/100*(Inputs!$B$11-Inputs!$B$11),0))))/100+(Inputs!$B$23+0+(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t="n">
        <v>0</v>
      </c>
      <c r="R1906" t="n">
        <v>0</v>
      </c>
      <c r="S1906">
        <f>IFERROR(O1906/N1906,0)</f>
        <v/>
      </c>
      <c r="T1906">
        <f>IF(C1906,(Skills!G2*N1906*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Inputs!$B$3&gt;=35</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1924=TRUE)*(F1924-Calc!F20)),(Inputs!$B$23+0+(IF(ArtifactsInput!$M$15,CHOOSE(ArtifactsInput!$N$15+1,25,30,35,40,45,50)/100*(Inputs!$B$11-Inputs!$B$11),0))))/100+(Inputs!$B$23+0+(IF(ArtifactsInput!$M$15,CHOOSE(ArtifactsInput!$N$15+1,25,30,35,40,45,50)/100*(Inputs!$B$11-Inputs!$B$11),0)))/100)/2</f>
        <v/>
      </c>
      <c r="M1907">
        <f>L1907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IF(B1940=0,0,O1907/B1940)</f>
        <v/>
      </c>
      <c r="Q1907" t="n">
        <v>0</v>
      </c>
      <c r="R1907" t="n">
        <v>0</v>
      </c>
      <c r="S1907">
        <f>IFERROR(O1907/N1907,0)</f>
        <v/>
      </c>
      <c r="T1907">
        <f>IF(C1907,(Skills!G3*H1907*N1907*B1934)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IF(C1907,(Skills!G3*H1907*N1907*B1934)*IF(Inputs!$B$38="pvp",1,(1+(Inputs!$B$21+Skills!Q3+(IF(ArtifactsInput!$M$33,CHOOSE(ArtifactsInput!$N$33+1,30,36,42,48,54,60),0))+(IF(AND(ArtifactsInput!$M$35,Inputs!$B$4&lt;&gt;"Chapter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Inputs!$B$3&gt;=60</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f>Skills!G4*IF(Skills!H4&gt;0,Skills!I4/Skills!H4,1)</f>
        <v/>
      </c>
      <c r="H1908">
        <f>1-(1-Skills!J4/100)^Skills!K4</f>
        <v/>
      </c>
      <c r="I1908" t="inlineStr">
        <is>
          <t>1</t>
        </is>
      </c>
      <c r="J1908">
        <f>((Inputs!$B$6*(1+Inputs!$B$7/100))+(((Inputs!$B$12*(1+Inputs!$B$13/100))-(Inputs!$B$12*(1+Inputs!$B$13/100)))+0.25*(Inputs!$B$14-Inputs!$B$14))*(1+Inputs!$B$7/100))*(F1908/100)</f>
        <v/>
      </c>
      <c r="K1908">
        <f>J1908*(1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1916=TRUE,F1916,0)/100)*(1+(IF(Skills!A4="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1924=TRUE)*(F1924-Calc!F20)),(Inputs!$B$23+0+(IF(ArtifactsInput!$M$15,CHOOSE(ArtifactsInput!$N$15+1,25,30,35,40,45,50)/100*(Inputs!$B$11-Inputs!$B$11),0))))/100+(Inputs!$B$23+0+(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t="n">
        <v>0</v>
      </c>
      <c r="R1908" t="n">
        <v>0</v>
      </c>
      <c r="S1908">
        <f>IFERROR(O1908/N1908,0)</f>
        <v/>
      </c>
      <c r="T1908">
        <f>IF(C1908,(Skills!G4*H1908*N1908*B1934)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290*U1907/1000</f>
        <v/>
      </c>
      <c r="V1908">
        <f>IF(C1908,(Skills!G4*H1908*N1908*B1934)*IF(Inputs!$B$38="pvp",1,(1+(Inputs!$B$21+Skills!Q4+(IF(ArtifactsInput!$M$33,CHOOSE(ArtifactsInput!$N$33+1,30,36,42,48,54,60),0))+(IF(AND(ArtifactsInput!$M$35,Inputs!$B$4&lt;&gt;"Chapter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Skills!A5</f>
        <v/>
      </c>
      <c r="B1909">
        <f>Skills!B5</f>
        <v/>
      </c>
      <c r="C1909">
        <f>Inputs!$B$3&gt;=60</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t="inlineStr"/>
      <c r="K1909" t="inlineStr"/>
      <c r="L1909" t="inlineStr"/>
      <c r="M1909" t="inlineStr"/>
      <c r="N1909" t="inlineStr"/>
      <c r="O1909">
        <f>(1-Summary!$B$11)*T1909+Summary!$B$11*V1909</f>
        <v/>
      </c>
      <c r="P1909">
        <f>IF(B1940=0,0,O1909/B1940)</f>
        <v/>
      </c>
      <c r="Q1909" t="n">
        <v>0</v>
      </c>
      <c r="R1909" t="n">
        <v>0</v>
      </c>
      <c r="S1909">
        <f>IFERROR(O1909/N1909,0)</f>
        <v/>
      </c>
      <c r="T1909" t="n">
        <v>0</v>
      </c>
      <c r="V1909" t="n">
        <v>0</v>
      </c>
    </row>
    <row r="1910">
      <c r="A1910">
        <f>Skills!A6</f>
        <v/>
      </c>
      <c r="B1910">
        <f>Skills!B6</f>
        <v/>
      </c>
      <c r="C1910">
        <f>Inputs!$B$3&gt;=63</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1924=TRUE)*(F1924-Calc!F20)),(Inputs!$B$23+0+(IF(ArtifactsInput!$M$15,CHOOSE(ArtifactsInput!$N$15+1,25,30,35,40,45,50)/100*(Inputs!$B$11-Inputs!$B$11),0))))/100+(Inputs!$B$23+0+(IF(ArtifactsInput!$M$15,CHOOSE(ArtifactsInput!$N$15+1,25,30,35,40,45,50)/100*(Inputs!$B$11-Inputs!$B$11),0)))/100)/2</f>
        <v/>
      </c>
      <c r="M1910">
        <f>L1910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IF(B1940=0,0,O1910/B1940)</f>
        <v/>
      </c>
      <c r="Q1910">
        <f>IFERROR(1/(IF(Inputs!$B$38="pvp",15,MAX(0.1,Skills!D6-IF(Skills!E6=TRUE,Inputs!$B$32,0)))*(1-IF(AND(ArtifactsInput!$M$27,Inputs!$B$4="Chapter Hunt"),CHOOSE(ArtifactsInput!$N$27+1,20,24,28,32,36,40),0)/100)),0)</f>
        <v/>
      </c>
      <c r="R1910">
        <f>IF(AND(Inputs!$B$38&lt;&gt;"pvp",Inputs!$B$43&gt;0),IF(MAX(0,Inputs!$B$43-B1937)&lt;=0,0,(INT(MAX(0,Inputs!$B$43-B1937)/(IF(Inputs!$B$38="pvp",15,MAX(0.1,Skills!D6-IF(Skills!E6=TRUE,Inputs!$B$32,0)))*(1-IF(AND(ArtifactsInput!$M$27,Inputs!$B$4="Chapter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Inputs!$B$3&gt;=100</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f>Skills!G7*IF(Skills!H7&gt;0,Skills!I7/Skills!H7,1)</f>
        <v/>
      </c>
      <c r="H1911">
        <f>1-(1-Skills!J7/100)^Skills!K7</f>
        <v/>
      </c>
      <c r="I1911" t="inlineStr">
        <is>
          <t>1</t>
        </is>
      </c>
      <c r="J1911">
        <f>((Inputs!$B$6*(1+Inputs!$B$7/100))+(((Inputs!$B$12*(1+Inputs!$B$13/100))-(Inputs!$B$12*(1+Inputs!$B$13/100)))+0.25*(Inputs!$B$14-Inputs!$B$14))*(1+Inputs!$B$7/100))*(F1911/100)</f>
        <v/>
      </c>
      <c r="K1911">
        <f>J1911*(1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C1924=TRUE)*(F1924-Calc!F20)),(Inputs!$B$23+0+(IF(ArtifactsInput!$M$15,CHOOSE(ArtifactsInput!$N$15+1,25,30,35,40,45,50)/100*(Inputs!$B$11-Inputs!$B$11),0))))/100+(Inputs!$B$23+0+(IF(ArtifactsInput!$M$15,CHOOSE(ArtifactsInput!$N$15+1,25,30,35,40,45,50)/100*(Inputs!$B$11-Inputs!$B$11),0)))/100)/2</f>
        <v/>
      </c>
      <c r="M1911">
        <f>L1911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(1-Summary!$B$11)*T1911+Summary!$B$11*V1911</f>
        <v/>
      </c>
      <c r="P1911">
        <f>IF(B1940=0,0,O1911/B1940)</f>
        <v/>
      </c>
      <c r="Q1911">
        <f>IFERROR(1/(IF(Inputs!$B$38="pvp",15,MAX(0.1,Skills!D7-IF(Skills!E7=TRUE,Inputs!$B$32,0)))*(1-IF(AND(ArtifactsInput!$M$27,Inputs!$B$4="Chapter Hunt"),CHOOSE(ArtifactsInput!$N$27+1,20,24,28,32,36,40),0)/100)),0)</f>
        <v/>
      </c>
      <c r="R1911">
        <f>IF(AND(Inputs!$B$38&lt;&gt;"pvp",Inputs!$B$43&gt;0),IF(MAX(0,Inputs!$B$43-B1937)&lt;=0,0,(INT(MAX(0,Inputs!$B$43-B1937)/(IF(Inputs!$B$38="pvp",15,MAX(0.1,Skills!D7-IF(Skills!E7=TRUE,Inputs!$B$32,0)))*(1-IF(AND(ArtifactsInput!$M$27,Inputs!$B$4="Chapter Hunt"),CHOOSE(ArtifactsInput!$N$27+1,20,24,28,32,36,40),0)/100)))+1)),0)</f>
        <v/>
      </c>
      <c r="S1911">
        <f>IFERROR(O1911/N1911,0)</f>
        <v/>
      </c>
      <c r="T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$21+Skills!Q7+(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Skills!A8</f>
        <v/>
      </c>
      <c r="B1912">
        <f>Skills!B8</f>
        <v/>
      </c>
      <c r="C1912">
        <f>Inputs!$B$3&gt;=110</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1924=TRUE)*(F1924-Calc!F20)),(Inputs!$B$23+0+(IF(ArtifactsInput!$M$15,CHOOSE(ArtifactsInput!$N$15+1,25,30,35,40,45,50)/100*(Inputs!$B$11-Inputs!$B$11),0))))/100+(Inputs!$B$23+0+(IF(ArtifactsInput!$M$15,CHOOSE(ArtifactsInput!$N$15+1,25,30,35,40,45,50)/100*(Inputs!$B$11-Inputs!$B$11),0)))/100)/2</f>
        <v/>
      </c>
      <c r="M1912">
        <f>L1912*(1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IF(B1940=0,0,O1912/B1940)</f>
        <v/>
      </c>
      <c r="Q1912">
        <f>IFERROR(1/(IF(Inputs!$B$38="pvp",15,MAX(0.1,Skills!D8-IF(Skills!E8=TRUE,Inputs!$B$32,0)))*(1-IF(AND(ArtifactsInput!$M$27,Inputs!$B$4="Chapter Hunt"),CHOOSE(ArtifactsInput!$N$27+1,20,24,28,32,36,40),0)/100)),0)</f>
        <v/>
      </c>
      <c r="R1912">
        <f>IF(AND(Inputs!$B$38&lt;&gt;"pvp",Inputs!$B$43&gt;0),IF(MAX(0,Inputs!$B$43-B1937)&lt;=0,0,(INT(MAX(0,Inputs!$B$43-B1937)/(IF(Inputs!$B$38="pvp",15,MAX(0.1,Skills!D8-IF(Skills!E8=TRUE,Inputs!$B$32,0)))*(1-IF(AND(ArtifactsInput!$M$27,Inputs!$B$4="Chapter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Inputs!$B$3&gt;=110</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1924=TRUE)*(F1924-Calc!F20)),(Inputs!$B$23+0+(IF(ArtifactsInput!$M$15,CHOOSE(ArtifactsInput!$N$15+1,25,30,35,40,45,50)/100*(Inputs!$B$11-Inputs!$B$11),0))))/100+(Inputs!$B$23+0+(IF(ArtifactsInput!$M$15,CHOOSE(ArtifactsInput!$N$15+1,25,30,35,40,45,50)/100*(Inputs!$B$11-Inputs!$B$11),0)))/100)/2</f>
        <v/>
      </c>
      <c r="M1913">
        <f>L1913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IF(B1940=0,0,O1913/B1940)</f>
        <v/>
      </c>
      <c r="Q1913">
        <f>IFERROR(1/(IF(Inputs!$B$38="pvp",15,MAX(0.1,Skills!D9-IF(Skills!E9=TRUE,Inputs!$B$32,0)))*(1-IF(AND(ArtifactsInput!$M$27,Inputs!$B$4="Chapter Hunt"),CHOOSE(ArtifactsInput!$N$27+1,20,24,28,32,36,40),0)/100)),0)</f>
        <v/>
      </c>
      <c r="R1913">
        <f>IF(AND(Inputs!$B$38&lt;&gt;"pvp",Inputs!$B$43&gt;0),IF(MAX(0,Inputs!$B$43-B1937)&lt;=0,0,(INT(MAX(0,Inputs!$B$43-B1937)/(IF(Inputs!$B$38="pvp",15,MAX(0.1,Skills!D9-IF(Skills!E9=TRUE,Inputs!$B$32,0)))*(1-IF(AND(ArtifactsInput!$M$27,Inputs!$B$4="Chapter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1924=TRUE)*(F1924-Calc!F20)),(Inputs!$B$23+0+(IF(ArtifactsInput!$M$15,CHOOSE(ArtifactsInput!$N$15+1,25,30,35,40,45,50)/100*(Inputs!$B$11-Inputs!$B$11),0))))/100+(Inputs!$B$23+0+(IF(ArtifactsInput!$M$15,CHOOSE(ArtifactsInput!$N$15+1,25,30,35,40,45,50)/100*(Inputs!$B$11-Inputs!$B$11),0)))/100)/2</f>
        <v/>
      </c>
      <c r="M1914">
        <f>L1914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IF(B1940=0,0,O1914/B1940)</f>
        <v/>
      </c>
      <c r="Q1914">
        <f>IFERROR(1/(IF(Inputs!$B$38="pvp",15,MAX(0.1,Skills!D10-IF(Skills!E10=TRUE,Inputs!$B$32,0)))*(1-IF(AND(ArtifactsInput!$M$27,Inputs!$B$4="Chapter Hunt"),CHOOSE(ArtifactsInput!$N$27+1,20,24,28,32,36,40),0)/100)),0)</f>
        <v/>
      </c>
      <c r="R1914">
        <f>IF(AND(Inputs!$B$38&lt;&gt;"pvp",Inputs!$B$43&gt;0),IF(MAX(0,Inputs!$B$43-B1937)&lt;=0,0,(INT(MAX(0,Inputs!$B$43-B1937)/(IF(Inputs!$B$38="pvp",15,MAX(0.1,Skills!D10-IF(Skills!E10=TRUE,Inputs!$B$32,0)))*(1-IF(AND(ArtifactsInput!$M$27,Inputs!$B$4="Chapter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Inputs!$B$3&gt;=113</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f>Skills!G11*IF(Skills!H11&gt;0,Skills!I11/Skills!H11,1)</f>
        <v/>
      </c>
      <c r="H1915">
        <f>1-(1-Skills!J11/100)^Skills!K11</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1924=TRUE)*(F1924-Calc!F20)),(Inputs!$B$23+0+(IF(ArtifactsInput!$M$15,CHOOSE(ArtifactsInput!$N$15+1,25,30,35,40,45,50)/100*(Inputs!$B$11-Inputs!$B$11),0))))/100+(Inputs!$B$23+0+(IF(ArtifactsInput!$M$15,CHOOSE(ArtifactsInput!$N$15+1,25,30,35,40,45,50)/100*(Inputs!$B$11-Inputs!$B$11),0)))/100)/2</f>
        <v/>
      </c>
      <c r="M1915">
        <f>L1915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IF(B1940=0,0,O1915/B1940)</f>
        <v/>
      </c>
      <c r="Q1915">
        <f>IFERROR(1/(IF(Inputs!$B$38="pvp",15,MAX(0.1,Skills!D11-IF(Skills!E11=TRUE,Inputs!$B$32,0)))*(1-IF(AND(ArtifactsInput!$M$27,Inputs!$B$4="Chapter Hunt"),CHOOSE(ArtifactsInput!$N$27+1,20,24,28,32,36,40),0)/100)),0)</f>
        <v/>
      </c>
      <c r="R1915">
        <f>IF(AND(Inputs!$B$38&lt;&gt;"pvp",Inputs!$B$43&gt;0),IF(MAX(0,Inputs!$B$43-B1937)&lt;=0,0,(INT(MAX(0,Inputs!$B$43-B1937)/(IF(Inputs!$B$38="pvp",15,MAX(0.1,Skills!D11-IF(Skills!E11=TRUE,Inputs!$B$32,0)))*(1-IF(AND(ArtifactsInput!$M$27,Inputs!$B$4="Chapter Hunt"),CHOOSE(ArtifactsInput!$N$27+1,20,24,28,32,36,40),0)/100)))+1)),0)</f>
        <v/>
      </c>
      <c r="S1915">
        <f>IFERROR(O1915/N1915,0)</f>
        <v/>
      </c>
      <c r="T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Skills!A12</f>
        <v/>
      </c>
      <c r="B1916">
        <f>Skills!B12</f>
        <v/>
      </c>
      <c r="C1916">
        <f>Inputs!$B$3&gt;=100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t="inlineStr"/>
      <c r="H1916" t="inlineStr"/>
      <c r="I1916" t="inlineStr">
        <is>
          <t>1</t>
        </is>
      </c>
      <c r="J1916" t="inlineStr"/>
      <c r="K1916" t="inlineStr"/>
      <c r="L1916" t="inlineStr"/>
      <c r="M1916" t="inlineStr"/>
      <c r="N1916" t="inlineStr"/>
      <c r="O1916" t="inlineStr"/>
      <c r="P1916" t="inlineStr"/>
      <c r="Q1916" t="inlineStr"/>
      <c r="R1916" t="inlineStr"/>
      <c r="S1916" t="inlineStr"/>
      <c r="T1916" t="inlineStr"/>
      <c r="V1916" t="inlineStr"/>
    </row>
    <row r="1917">
      <c r="A1917">
        <f>Skills!A13</f>
        <v/>
      </c>
      <c r="B1917">
        <f>Skills!B13</f>
        <v/>
      </c>
      <c r="C1917">
        <f>Inputs!$B$3&gt;=66</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f>Skills!G13*IF(Skills!H13&gt;0,Skills!I13/Skills!H13,1)</f>
        <v/>
      </c>
      <c r="H1917">
        <f>1-(1-Skills!J13/100)^Skills!K13</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Skills!A14</f>
        <v/>
      </c>
      <c r="B1918">
        <f>Skills!B14</f>
        <v/>
      </c>
      <c r="C1918">
        <f>Inputs!$B$3&gt;=107</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IF(B1940=0,0,O1918/B1940)</f>
        <v/>
      </c>
      <c r="Q1918" t="n">
        <v>0</v>
      </c>
      <c r="R1918" t="n">
        <v>0</v>
      </c>
      <c r="S1918">
        <f>IFERROR(O1918/N1918,0)</f>
        <v/>
      </c>
      <c r="T1918" t="n">
        <v>0</v>
      </c>
      <c r="V1918" t="n">
        <v>0</v>
      </c>
    </row>
    <row r="1919">
      <c r="A1919">
        <f>Skills!A15</f>
        <v/>
      </c>
      <c r="B1919">
        <f>Skills!B15</f>
        <v/>
      </c>
      <c r="C1919">
        <f>Inputs!$B$3&gt;=115</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IF(B1940=0,0,O1919/B1940)</f>
        <v/>
      </c>
      <c r="Q1919" t="n">
        <v>0</v>
      </c>
      <c r="R1919" t="n">
        <v>0</v>
      </c>
      <c r="S1919">
        <f>IFERROR(O1919/N1919,0)</f>
        <v/>
      </c>
      <c r="T1919" t="n">
        <v>0</v>
      </c>
      <c r="V1919" t="n">
        <v>0</v>
      </c>
    </row>
    <row r="1920">
      <c r="A1920">
        <f>Skills!A16</f>
        <v/>
      </c>
      <c r="B1920">
        <f>Skills!B16</f>
        <v/>
      </c>
      <c r="C1920">
        <f>Inputs!$B$3&gt;=15</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Skills!A17</f>
        <v/>
      </c>
      <c r="B1921">
        <f>Skills!B17</f>
        <v/>
      </c>
      <c r="C1921">
        <f>Inputs!$B$3&gt;=10</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Skills!A18</f>
        <v/>
      </c>
      <c r="B1922">
        <f>Skills!B18</f>
        <v/>
      </c>
      <c r="C1922">
        <f>Inputs!$B$3&gt;=33</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Skills!A19</f>
        <v/>
      </c>
      <c r="B1923">
        <f>Skills!B19</f>
        <v/>
      </c>
      <c r="C1923">
        <f>Inputs!$B$3&gt;=40</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Skills!A20</f>
        <v/>
      </c>
      <c r="B1924">
        <f>Skills!B20</f>
        <v/>
      </c>
      <c r="C1924">
        <f>Inputs!$B$3&gt;=43</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Skills!A21</f>
        <v/>
      </c>
      <c r="B1925">
        <f>Skills!B21</f>
        <v/>
      </c>
      <c r="C1925">
        <f>Inputs!$B$3&gt;=38</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Skills!A22</f>
        <v/>
      </c>
      <c r="B1926">
        <f>Skills!B22</f>
        <v/>
      </c>
      <c r="C1926">
        <f>Inputs!$B$3&gt;=75</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Skills!A23</f>
        <v/>
      </c>
      <c r="B1927">
        <f>Skills!B23</f>
        <v/>
      </c>
      <c r="C1927">
        <f>TRUE</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IF(B1940=0,0,O1927/B1940)</f>
        <v/>
      </c>
      <c r="Q1927">
        <f>IFERROR(1/(IF(Inputs!$B$38="pvp",15,MAX(0.1,Skills!D23-IF(Skills!E23=TRUE,Inputs!$B$32,0)))*(1-IF(AND(ArtifactsInput!$M$27,Inputs!$B$4="Chapter Hunt"),CHOOSE(ArtifactsInput!$N$27+1,20,24,28,32,36,40),0)/100)),0)</f>
        <v/>
      </c>
      <c r="R1927">
        <f>IF(AND(Inputs!$B$38&lt;&gt;"pvp",Inputs!$B$43&gt;0),IF(Inputs!$B$43&lt;=0,0,(INT(Inputs!$B$43/(IF(Inputs!$B$38="pvp",15,MAX(0.1,Skills!D23-IF(Skills!E23=TRUE,Inputs!$B$32,0)))*(1-IF(AND(ArtifactsInput!$M$27,Inputs!$B$4="Chapter Hunt"),CHOOSE(ArtifactsInput!$N$27+1,20,24,28,32,36,40),0)/100)))+1)),0)</f>
        <v/>
      </c>
      <c r="S1927">
        <f>IFERROR(O1927/N1927,0)</f>
        <v/>
      </c>
      <c r="T1927" t="n">
        <v>0</v>
      </c>
      <c r="V1927" t="n">
        <v>0</v>
      </c>
    </row>
    <row r="1929">
      <c r="A1929" t="inlineStr">
        <is>
          <t>Attack% Bucket Multiplier</t>
        </is>
      </c>
      <c r="B1929">
        <f>(1+(((C1917=TRUE)*F1917*5/7)+((C1923=TRUE)*(F1923-Calc!F19))+(IF(ArtifactsInput!$M$21,CHOOSE(ArtifactsInput!$N$21+1,25,30,35,40,45,50)*(IF(OR(Inputs!$B$4="Chapter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 (Nimble Feet, duty-cycle averaged)</t>
        </is>
      </c>
      <c r="B1931">
        <f>((C1927=TRUE)*F1927*IF(AND(Inputs!$B$38&lt;&gt;"pvp",Inputs!$B$43&gt;0),(((R1927-1)*(Skills!T23*(1+Inputs!$B$34/100))+MIN((Skills!T23*(1+Inputs!$B$34/100)),MAX(0,Inputs!$B$43-((R1927-1)*Skills!D23))))/Inputs!$B$43),IF(Inputs!$B$38="pvp",MIN((Skills!T23*(1+Inputs!$B$34/100)),15)/15,(Skills!T23*(1+Inputs!$B$34/100))/Skills!D23)))</f>
        <v/>
      </c>
    </row>
    <row r="1932">
      <c r="A1932" t="inlineStr">
        <is>
          <t>Actions Per Second</t>
        </is>
      </c>
      <c r="B1932">
        <f>1+MIN(150,150*(1-(1-(Inputs!$B$11+((C1921=TRUE)*(F1921-Calc!F17))+((C1922=TRUE)*(F1922-Calc!F18)))/150)*(1-B1931/150)))/100</f>
        <v/>
      </c>
    </row>
    <row r="1933">
      <c r="A1933" t="inlineStr">
        <is>
          <t>Skill + Buff Cast Rate</t>
        </is>
      </c>
      <c r="B1933">
        <f>IF(AND(Inputs!$B$38&lt;&gt;"pvp",Inputs!$B$43&gt;0),SUMPRODUCT((Skills!E2:E23=TRUE)*(C1906:C1927=TRUE)*R1906:R1927*Skills!F2:F23)/Inputs!$B$43,SUMPRODUCT((Skills!E2:E23=TRUE)*(C1906:C1927=TRUE)*Q1906:Q1927*Skills!F2:F23))</f>
        <v/>
      </c>
    </row>
    <row r="1934">
      <c r="A1934" t="inlineStr">
        <is>
          <t>Hook Bomber Casts Per Second</t>
        </is>
      </c>
      <c r="B1934">
        <f>MAX(0,B1932-B1933)</f>
        <v/>
      </c>
    </row>
    <row r="1935">
      <c r="A1935" t="inlineStr">
        <is>
          <t>Global Critical Damage Bonus % (unused)</t>
        </is>
      </c>
      <c r="B1935" t="n">
        <v>0</v>
      </c>
    </row>
    <row r="1936">
      <c r="A1936" t="inlineStr">
        <is>
          <t>Global Final Damage Bonus % (Serpent Scale + Crossbones + Time Leap + Speed Infusion)</t>
        </is>
      </c>
      <c r="B1936">
        <f>((C1909=TRUE)*F1909*((10+IF(Inputs!$B$3&gt;=94,5,0))/((10+IF(Inputs!$B$3&gt;=94,5,0))+5/(B1934*(1+IF(Inputs!$B$3&gt;=104,1,0))))))+((C1918=TRUE)*F1918)+((C1919=TRUE)*F1919)+((Inputs!$B$3&gt;=110)*20*(B1932-1))</f>
        <v/>
      </c>
    </row>
    <row r="1937">
      <c r="A1937" t="inlineStr">
        <is>
          <t>Buff-Casting Startup Delay (s, fixed-duration only)</t>
        </is>
      </c>
      <c r="B1937">
        <f>IF(AND(Inputs!$B$38&lt;&gt;"pvp",Inputs!$B$43&gt;0),SUMPRODUCT((Skills!T2:T23&gt;0)*(Skills!E2:E23=TRUE)*(C1906:C1927=TRUE))/B1932,0)</f>
        <v/>
      </c>
    </row>
    <row r="1938">
      <c r="A1938" t="inlineStr">
        <is>
          <t>Boss-Only Total DPS (this block's swept value)</t>
        </is>
      </c>
      <c r="B1938">
        <f>SUM(T1906:T1927)</f>
        <v/>
      </c>
    </row>
    <row r="1939">
      <c r="A1939" t="inlineStr">
        <is>
          <t>Normal-Only Total DPS (this block's swept value)</t>
        </is>
      </c>
      <c r="B1939">
        <f>SUM(V1906:V1927)</f>
        <v/>
      </c>
    </row>
    <row r="1940">
      <c r="A1940" s="6" t="inlineStr">
        <is>
          <t>TOTAL DPS</t>
        </is>
      </c>
      <c r="B1940" s="6">
        <f>SUM(O1906:O1927)</f>
        <v/>
      </c>
    </row>
    <row r="1943">
      <c r="A1943" s="6" t="inlineStr">
        <is>
          <t>Stat: Soul Pouch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1963=TRUE)*(F1963-Calc!F20)),(Inputs!$B$23+0+(IF(ArtifactsInput!$M$15,CHOOSE(ArtifactsInput!$N$15+1,25,30,35,40,45,50)/100*(Inputs!$B$11-Inputs!$B$11),0))))/100+(Inputs!$B$23+0+(IF(ArtifactsInput!$M$15,CHOOSE(ArtifactsInput!$N$15+1,25,30,35,40,45,50)/100*(Inputs!$B$11-Inputs!$B$11),0)))/100)/2</f>
        <v/>
      </c>
      <c r="M1945">
        <f>L1945*(1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IF(B1979=0,0,O1945/B1979)</f>
        <v/>
      </c>
      <c r="Q1945" t="n">
        <v>0</v>
      </c>
      <c r="R1945" t="n">
        <v>0</v>
      </c>
      <c r="S1945">
        <f>IFERROR(O1945/N1945,0)</f>
        <v/>
      </c>
      <c r="T1945">
        <f>IF(C1945,(Skills!G2*N1945*B1973)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IF(C1945,(Skills!G2*N1945*B1973)*IF(Inputs!$B$38="pvp",1,(1+(Inputs!$B$21+Skills!Q2+(IF(ArtifactsInput!$M$33,CHOOSE(ArtifactsInput!$N$33+1,30,36,42,48,54,60),0))+(IF(AND(ArtifactsInput!$M$35,Inputs!$B$4&lt;&gt;"Chapter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Inputs!$B$3&gt;=35</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1963=TRUE)*(F1963-Calc!F20)),(Inputs!$B$23+0+(IF(ArtifactsInput!$M$15,CHOOSE(ArtifactsInput!$N$15+1,25,30,35,40,45,50)/100*(Inputs!$B$11-Inputs!$B$11),0))))/100+(Inputs!$B$23+0+(IF(ArtifactsInput!$M$15,CHOOSE(ArtifactsInput!$N$15+1,25,30,35,40,45,50)/100*(Inputs!$B$11-Inputs!$B$11),0)))/100)/2</f>
        <v/>
      </c>
      <c r="M1946">
        <f>L1946*(1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IF(B1979=0,0,O1946/B1979)</f>
        <v/>
      </c>
      <c r="Q1946" t="n">
        <v>0</v>
      </c>
      <c r="R1946" t="n">
        <v>0</v>
      </c>
      <c r="S1946">
        <f>IFERROR(O1946/N1946,0)</f>
        <v/>
      </c>
      <c r="T1946">
        <f>IF(C1946,(Skills!G3*H1946*N1946*B1973)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IF(C1946,(Skills!G3*H1946*N1946*B1973)*IF(Inputs!$B$38="pvp",1,(1+(Inputs!$B$21+Skills!Q3+(IF(ArtifactsInput!$M$33,CHOOSE(ArtifactsInput!$N$33+1,30,36,42,48,54,60),0))+(IF(AND(ArtifactsInput!$M$35,Inputs!$B$4&lt;&gt;"Chapter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Inputs!$B$3&gt;=60</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f>Skills!G4*IF(Skills!H4&gt;0,Skills!I4/Skills!H4,1)</f>
        <v/>
      </c>
      <c r="H1947">
        <f>1-(1-Skills!J4/100)^Skills!K4</f>
        <v/>
      </c>
      <c r="I1947" t="inlineStr">
        <is>
          <t>1</t>
        </is>
      </c>
      <c r="J1947">
        <f>((Inputs!$B$6*(1+Inputs!$B$7/100))+(((Inputs!$B$12*(1+Inputs!$B$13/100))-(Inputs!$B$12*(1+Inputs!$B$13/100)))+0.25*(Inputs!$B$14-Inputs!$B$14))*(1+Inputs!$B$7/100))*(F1947/100)</f>
        <v/>
      </c>
      <c r="K1947">
        <f>J1947*(1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4="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C1963=TRUE)*(F1963-Calc!F20)),(Inputs!$B$23+0+(IF(ArtifactsInput!$M$15,CHOOSE(ArtifactsInput!$N$15+1,25,30,35,40,45,50)/100*(Inputs!$B$11-Inputs!$B$11),0))))/100+(Inputs!$B$23+0+(IF(ArtifactsInput!$M$15,CHOOSE(ArtifactsInput!$N$15+1,25,30,35,40,45,50)/100*(Inputs!$B$11-Inputs!$B$11),0)))/100)/2</f>
        <v/>
      </c>
      <c r="M1947">
        <f>L1947*(1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(1-Summary!$B$11)*T1947+Summary!$B$11*V1947</f>
        <v/>
      </c>
      <c r="P1947">
        <f>IF(B1979=0,0,O1947/B1979)</f>
        <v/>
      </c>
      <c r="Q1947" t="n">
        <v>0</v>
      </c>
      <c r="R1947" t="n">
        <v>0</v>
      </c>
      <c r="S1947">
        <f>IFERROR(O1947/N1947,0)</f>
        <v/>
      </c>
      <c r="T1947">
        <f>IF(C1947,(Skills!G4*H1947*N1947*B1973)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290*U1946/1000</f>
        <v/>
      </c>
      <c r="V1947">
        <f>IF(C1947,(Skills!G4*H1947*N1947*B1973)*IF(Inputs!$B$38="pvp",1,(1+(Inputs!$B$21+Skills!Q4+(IF(ArtifactsInput!$M$33,CHOOSE(ArtifactsInput!$N$33+1,30,36,42,48,54,60),0))+(IF(AND(ArtifactsInput!$M$35,Inputs!$B$4&lt;&gt;"Chapter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Skills!A5</f>
        <v/>
      </c>
      <c r="B1948">
        <f>Skills!B5</f>
        <v/>
      </c>
      <c r="C1948">
        <f>Inputs!$B$3&gt;=60</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Skills!G5*IF(Skills!H5&gt;0,Skills!I5/Skills!H5,1)</f>
        <v/>
      </c>
      <c r="H1948">
        <f>1-(1-Skills!J5/100)^Skills!K5</f>
        <v/>
      </c>
      <c r="I1948" t="inlineStr">
        <is>
          <t>1</t>
        </is>
      </c>
      <c r="J1948" t="inlineStr"/>
      <c r="K1948" t="inlineStr"/>
      <c r="L1948" t="inlineStr"/>
      <c r="M1948" t="inlineStr"/>
      <c r="N1948" t="inlineStr"/>
      <c r="O1948">
        <f>(1-Summary!$B$11)*T1948+Summary!$B$11*V1948</f>
        <v/>
      </c>
      <c r="P1948">
        <f>IF(B1979=0,0,O1948/B1979)</f>
        <v/>
      </c>
      <c r="Q1948" t="n">
        <v>0</v>
      </c>
      <c r="R1948" t="n">
        <v>0</v>
      </c>
      <c r="S1948">
        <f>IFERROR(O1948/N1948,0)</f>
        <v/>
      </c>
      <c r="T1948" t="n">
        <v>0</v>
      </c>
      <c r="V1948" t="n">
        <v>0</v>
      </c>
    </row>
    <row r="1949">
      <c r="A1949">
        <f>Skills!A6</f>
        <v/>
      </c>
      <c r="B1949">
        <f>Skills!B6</f>
        <v/>
      </c>
      <c r="C1949">
        <f>Inputs!$B$3&gt;=63</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1963=TRUE)*(F1963-Calc!F20)),(Inputs!$B$23+0+(IF(ArtifactsInput!$M$15,CHOOSE(ArtifactsInput!$N$15+1,25,30,35,40,45,50)/100*(Inputs!$B$11-Inputs!$B$11),0))))/100+(Inputs!$B$23+0+(IF(ArtifactsInput!$M$15,CHOOSE(ArtifactsInput!$N$15+1,25,30,35,40,45,50)/100*(Inputs!$B$11-Inputs!$B$11),0)))/100)/2</f>
        <v/>
      </c>
      <c r="M1949">
        <f>L1949*(1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IF(B1979=0,0,O1949/B1979)</f>
        <v/>
      </c>
      <c r="Q1949">
        <f>IFERROR(1/(IF(Inputs!$B$38="pvp",15,MAX(0.1,Skills!D6-IF(Skills!E6=TRUE,Inputs!$B$32,0)))*(1-IF(AND(ArtifactsInput!$M$27,Inputs!$B$4="Chapter Hunt"),CHOOSE(ArtifactsInput!$N$27+1,20,24,28,32,36,40),0)/100)),0)</f>
        <v/>
      </c>
      <c r="R1949">
        <f>IF(AND(Inputs!$B$38&lt;&gt;"pvp",Inputs!$B$43&gt;0),IF(MAX(0,Inputs!$B$43-B1976)&lt;=0,0,(INT(MAX(0,Inputs!$B$43-B1976)/(IF(Inputs!$B$38="pvp",15,MAX(0.1,Skills!D6-IF(Skills!E6=TRUE,Inputs!$B$32,0)))*(1-IF(AND(ArtifactsInput!$M$27,Inputs!$B$4="Chapter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Inputs!$B$3&gt;=100</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f>Skills!G7*IF(Skills!H7&gt;0,Skills!I7/Skills!H7,1)</f>
        <v/>
      </c>
      <c r="H1950">
        <f>1-(1-Skills!J7/100)^Skills!K7</f>
        <v/>
      </c>
      <c r="I1950" t="inlineStr">
        <is>
          <t>1</t>
        </is>
      </c>
      <c r="J1950">
        <f>((Inputs!$B$6*(1+Inputs!$B$7/100))+(((Inputs!$B$12*(1+Inputs!$B$13/100))-(Inputs!$B$12*(1+Inputs!$B$13/100)))+0.25*(Inputs!$B$14-Inputs!$B$14))*(1+Inputs!$B$7/100))*(F1950/100)</f>
        <v/>
      </c>
      <c r="K1950">
        <f>J1950*(1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C1963=TRUE)*(F1963-Calc!F20)),(Inputs!$B$23+0+(IF(ArtifactsInput!$M$15,CHOOSE(ArtifactsInput!$N$15+1,25,30,35,40,45,50)/100*(Inputs!$B$11-Inputs!$B$11),0))))/100+(Inputs!$B$23+0+(IF(ArtifactsInput!$M$15,CHOOSE(ArtifactsInput!$N$15+1,25,30,35,40,45,50)/100*(Inputs!$B$11-Inputs!$B$11),0)))/100)/2</f>
        <v/>
      </c>
      <c r="M1950">
        <f>L1950*(1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(1-Summary!$B$11)*T1950+Summary!$B$11*V1950</f>
        <v/>
      </c>
      <c r="P1950">
        <f>IF(B1979=0,0,O1950/B1979)</f>
        <v/>
      </c>
      <c r="Q1950">
        <f>IFERROR(1/(IF(Inputs!$B$38="pvp",15,MAX(0.1,Skills!D7-IF(Skills!E7=TRUE,Inputs!$B$32,0)))*(1-IF(AND(ArtifactsInput!$M$27,Inputs!$B$4="Chapter Hunt"),CHOOSE(ArtifactsInput!$N$27+1,20,24,28,32,36,40),0)/100)),0)</f>
        <v/>
      </c>
      <c r="R1950">
        <f>IF(AND(Inputs!$B$38&lt;&gt;"pvp",Inputs!$B$43&gt;0),IF(MAX(0,Inputs!$B$43-B1976)&lt;=0,0,(INT(MAX(0,Inputs!$B$43-B1976)/(IF(Inputs!$B$38="pvp",15,MAX(0.1,Skills!D7-IF(Skills!E7=TRUE,Inputs!$B$32,0)))*(1-IF(AND(ArtifactsInput!$M$27,Inputs!$B$4="Chapter Hunt"),CHOOSE(ArtifactsInput!$N$27+1,20,24,28,32,36,40),0)/100)))+1)),0)</f>
        <v/>
      </c>
      <c r="S1950">
        <f>IFERROR(O1950/N1950,0)</f>
        <v/>
      </c>
      <c r="T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$21+Skills!Q7+(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Skills!A8</f>
        <v/>
      </c>
      <c r="B1951">
        <f>Skills!B8</f>
        <v/>
      </c>
      <c r="C1951">
        <f>Inputs!$B$3&gt;=110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1963=TRUE)*(F1963-Calc!F20)),(Inputs!$B$23+0+(IF(ArtifactsInput!$M$15,CHOOSE(ArtifactsInput!$N$15+1,25,30,35,40,45,50)/100*(Inputs!$B$11-Inputs!$B$11),0))))/100+(Inputs!$B$23+0+(IF(ArtifactsInput!$M$15,CHOOSE(ArtifactsInput!$N$15+1,25,30,35,40,45,50)/100*(Inputs!$B$11-Inputs!$B$11),0)))/100)/2</f>
        <v/>
      </c>
      <c r="M1951">
        <f>L1951*(1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IF(B1979=0,0,O1951/B1979)</f>
        <v/>
      </c>
      <c r="Q1951">
        <f>IFERROR(1/(IF(Inputs!$B$38="pvp",15,MAX(0.1,Skills!D8-IF(Skills!E8=TRUE,Inputs!$B$32,0)))*(1-IF(AND(ArtifactsInput!$M$27,Inputs!$B$4="Chapter Hunt"),CHOOSE(ArtifactsInput!$N$27+1,20,24,28,32,36,40),0)/100)),0)</f>
        <v/>
      </c>
      <c r="R1951">
        <f>IF(AND(Inputs!$B$38&lt;&gt;"pvp",Inputs!$B$43&gt;0),IF(MAX(0,Inputs!$B$43-B1976)&lt;=0,0,(INT(MAX(0,Inputs!$B$43-B1976)/(IF(Inputs!$B$38="pvp",15,MAX(0.1,Skills!D8-IF(Skills!E8=TRUE,Inputs!$B$32,0)))*(1-IF(AND(ArtifactsInput!$M$27,Inputs!$B$4="Chapter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Inputs!$B$3&gt;=110</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1963=TRUE)*(F1963-Calc!F20)),(Inputs!$B$23+0+(IF(ArtifactsInput!$M$15,CHOOSE(ArtifactsInput!$N$15+1,25,30,35,40,45,50)/100*(Inputs!$B$11-Inputs!$B$11),0))))/100+(Inputs!$B$23+0+(IF(ArtifactsInput!$M$15,CHOOSE(ArtifactsInput!$N$15+1,25,30,35,40,45,50)/100*(Inputs!$B$11-Inputs!$B$11),0)))/100)/2</f>
        <v/>
      </c>
      <c r="M1952">
        <f>L1952*(1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IF(B1979=0,0,O1952/B1979)</f>
        <v/>
      </c>
      <c r="Q1952">
        <f>IFERROR(1/(IF(Inputs!$B$38="pvp",15,MAX(0.1,Skills!D9-IF(Skills!E9=TRUE,Inputs!$B$32,0)))*(1-IF(AND(ArtifactsInput!$M$27,Inputs!$B$4="Chapter Hunt"),CHOOSE(ArtifactsInput!$N$27+1,20,24,28,32,36,40),0)/100)),0)</f>
        <v/>
      </c>
      <c r="R1952">
        <f>IF(AND(Inputs!$B$38&lt;&gt;"pvp",Inputs!$B$43&gt;0),IF(MAX(0,Inputs!$B$43-B1976)&lt;=0,0,(INT(MAX(0,Inputs!$B$43-B1976)/(IF(Inputs!$B$38="pvp",15,MAX(0.1,Skills!D9-IF(Skills!E9=TRUE,Inputs!$B$32,0)))*(1-IF(AND(ArtifactsInput!$M$27,Inputs!$B$4="Chapter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Inputs!$B$3&gt;=103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1963=TRUE)*(F1963-Calc!F20)),(Inputs!$B$23+0+(IF(ArtifactsInput!$M$15,CHOOSE(ArtifactsInput!$N$15+1,25,30,35,40,45,50)/100*(Inputs!$B$11-Inputs!$B$11),0))))/100+(Inputs!$B$23+0+(IF(ArtifactsInput!$M$15,CHOOSE(ArtifactsInput!$N$15+1,25,30,35,40,45,50)/100*(Inputs!$B$11-Inputs!$B$11),0)))/100)/2</f>
        <v/>
      </c>
      <c r="M1953">
        <f>L1953*(1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IF(B1979=0,0,O1953/B1979)</f>
        <v/>
      </c>
      <c r="Q1953">
        <f>IFERROR(1/(IF(Inputs!$B$38="pvp",15,MAX(0.1,Skills!D10-IF(Skills!E10=TRUE,Inputs!$B$32,0)))*(1-IF(AND(ArtifactsInput!$M$27,Inputs!$B$4="Chapter Hunt"),CHOOSE(ArtifactsInput!$N$27+1,20,24,28,32,36,40),0)/100)),0)</f>
        <v/>
      </c>
      <c r="R1953">
        <f>IF(AND(Inputs!$B$38&lt;&gt;"pvp",Inputs!$B$43&gt;0),IF(MAX(0,Inputs!$B$43-B1976)&lt;=0,0,(INT(MAX(0,Inputs!$B$43-B1976)/(IF(Inputs!$B$38="pvp",15,MAX(0.1,Skills!D10-IF(Skills!E10=TRUE,Inputs!$B$32,0)))*(1-IF(AND(ArtifactsInput!$M$27,Inputs!$B$4="Chapter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Inputs!$B$3&gt;=113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1963=TRUE)*(F1963-Calc!F20)),(Inputs!$B$23+0+(IF(ArtifactsInput!$M$15,CHOOSE(ArtifactsInput!$N$15+1,25,30,35,40,45,50)/100*(Inputs!$B$11-Inputs!$B$11),0))))/100+(Inputs!$B$23+0+(IF(ArtifactsInput!$M$15,CHOOSE(ArtifactsInput!$N$15+1,25,30,35,40,45,50)/100*(Inputs!$B$11-Inputs!$B$11),0)))/100)/2</f>
        <v/>
      </c>
      <c r="M1954">
        <f>L1954*(1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IF(B1979=0,0,O1954/B1979)</f>
        <v/>
      </c>
      <c r="Q1954">
        <f>IFERROR(1/(IF(Inputs!$B$38="pvp",15,MAX(0.1,Skills!D11-IF(Skills!E11=TRUE,Inputs!$B$32,0)))*(1-IF(AND(ArtifactsInput!$M$27,Inputs!$B$4="Chapter Hunt"),CHOOSE(ArtifactsInput!$N$27+1,20,24,28,32,36,40),0)/100)),0)</f>
        <v/>
      </c>
      <c r="R1954">
        <f>IF(AND(Inputs!$B$38&lt;&gt;"pvp",Inputs!$B$43&gt;0),IF(MAX(0,Inputs!$B$43-B1976)&lt;=0,0,(INT(MAX(0,Inputs!$B$43-B1976)/(IF(Inputs!$B$38="pvp",15,MAX(0.1,Skills!D11-IF(Skills!E11=TRUE,Inputs!$B$32,0)))*(1-IF(AND(ArtifactsInput!$M$27,Inputs!$B$4="Chapter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Inputs!$B$3&gt;=66</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Skills!G13*IF(Skills!H13&gt;0,Skills!I13/Skills!H13,1)</f>
        <v/>
      </c>
      <c r="H1956">
        <f>1-(1-Skills!J13/100)^Skills!K13</f>
        <v/>
      </c>
      <c r="I1956" t="inlineStr">
        <is>
          <t>1</t>
        </is>
      </c>
      <c r="J1956" t="inlineStr"/>
      <c r="K1956" t="inlineStr"/>
      <c r="L1956" t="inlineStr"/>
      <c r="M1956" t="inlineStr"/>
      <c r="N1956" t="inlineStr"/>
      <c r="O1956">
        <f>(1-Summary!$B$11)*T1956+Summary!$B$11*V1956</f>
        <v/>
      </c>
      <c r="P1956">
        <f>IF(B1979=0,0,O1956/B1979)</f>
        <v/>
      </c>
      <c r="Q1956" t="n">
        <v>0</v>
      </c>
      <c r="R1956" t="n">
        <v>0</v>
      </c>
      <c r="S1956">
        <f>IFERROR(O1956/N1956,0)</f>
        <v/>
      </c>
      <c r="T1956" t="n">
        <v>0</v>
      </c>
      <c r="V1956" t="n">
        <v>0</v>
      </c>
    </row>
    <row r="1957">
      <c r="A1957">
        <f>Skills!A14</f>
        <v/>
      </c>
      <c r="B1957">
        <f>Skills!B14</f>
        <v/>
      </c>
      <c r="C1957">
        <f>Inputs!$B$3&gt;=107</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f>Skills!G14*IF(Skills!H14&gt;0,Skills!I14/Skills!H14,1)</f>
        <v/>
      </c>
      <c r="H1957">
        <f>1-(1-Skills!J14/100)^Skills!K14</f>
        <v/>
      </c>
      <c r="I1957" t="inlineStr">
        <is>
          <t>1</t>
        </is>
      </c>
      <c r="J1957" t="inlineStr"/>
      <c r="K1957" t="inlineStr"/>
      <c r="L1957" t="inlineStr"/>
      <c r="M1957" t="inlineStr"/>
      <c r="N1957" t="inlineStr"/>
      <c r="O1957">
        <f>(1-Summary!$B$11)*T1957+Summary!$B$11*V1957</f>
        <v/>
      </c>
      <c r="P1957">
        <f>IF(B1979=0,0,O1957/B1979)</f>
        <v/>
      </c>
      <c r="Q1957" t="n">
        <v>0</v>
      </c>
      <c r="R1957" t="n">
        <v>0</v>
      </c>
      <c r="S1957">
        <f>IFERROR(O1957/N1957,0)</f>
        <v/>
      </c>
      <c r="T1957" t="n">
        <v>0</v>
      </c>
      <c r="V1957" t="n">
        <v>0</v>
      </c>
    </row>
    <row r="1958">
      <c r="A1958">
        <f>Skills!A15</f>
        <v/>
      </c>
      <c r="B1958">
        <f>Skills!B15</f>
        <v/>
      </c>
      <c r="C1958">
        <f>Inputs!$B$3&gt;=115</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Skills!G15*IF(Skills!H15&gt;0,Skills!I15/Skills!H15,1)</f>
        <v/>
      </c>
      <c r="H1958">
        <f>1-(1-Skills!J15/100)^Skills!K15</f>
        <v/>
      </c>
      <c r="I1958" t="inlineStr">
        <is>
          <t>1</t>
        </is>
      </c>
      <c r="J1958" t="inlineStr"/>
      <c r="K1958" t="inlineStr"/>
      <c r="L1958" t="inlineStr"/>
      <c r="M1958" t="inlineStr"/>
      <c r="N1958" t="inlineStr"/>
      <c r="O1958">
        <f>(1-Summary!$B$11)*T1958+Summary!$B$11*V1958</f>
        <v/>
      </c>
      <c r="P1958">
        <f>IF(B1979=0,0,O1958/B1979)</f>
        <v/>
      </c>
      <c r="Q1958" t="n">
        <v>0</v>
      </c>
      <c r="R1958" t="n">
        <v>0</v>
      </c>
      <c r="S1958">
        <f>IFERROR(O1958/N1958,0)</f>
        <v/>
      </c>
      <c r="T1958" t="n">
        <v>0</v>
      </c>
      <c r="V1958" t="n">
        <v>0</v>
      </c>
    </row>
    <row r="1959">
      <c r="A1959">
        <f>Skills!A16</f>
        <v/>
      </c>
      <c r="B1959">
        <f>Skills!B16</f>
        <v/>
      </c>
      <c r="C1959">
        <f>Inputs!$B$3&gt;=15</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Skills!G16*IF(Skills!H16&gt;0,Skills!I16/Skills!H16,1)</f>
        <v/>
      </c>
      <c r="H1959">
        <f>1-(1-Skills!J16/100)^Skills!K16</f>
        <v/>
      </c>
      <c r="I1959" t="inlineStr">
        <is>
          <t>1</t>
        </is>
      </c>
      <c r="J1959" t="inlineStr"/>
      <c r="K1959" t="inlineStr"/>
      <c r="L1959" t="inlineStr"/>
      <c r="M1959" t="inlineStr"/>
      <c r="N1959" t="inlineStr"/>
      <c r="O1959">
        <f>(1-Summary!$B$11)*T1959+Summary!$B$11*V1959</f>
        <v/>
      </c>
      <c r="P1959">
        <f>IF(B1979=0,0,O1959/B1979)</f>
        <v/>
      </c>
      <c r="Q1959" t="n">
        <v>0</v>
      </c>
      <c r="R1959" t="n">
        <v>0</v>
      </c>
      <c r="S1959">
        <f>IFERROR(O1959/N1959,0)</f>
        <v/>
      </c>
      <c r="T1959" t="n">
        <v>0</v>
      </c>
      <c r="V1959" t="n">
        <v>0</v>
      </c>
    </row>
    <row r="1960">
      <c r="A1960">
        <f>Skills!A17</f>
        <v/>
      </c>
      <c r="B1960">
        <f>Skills!B17</f>
        <v/>
      </c>
      <c r="C1960">
        <f>Inputs!$B$3&gt;=10</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Skills!G17*IF(Skills!H17&gt;0,Skills!I17/Skills!H17,1)</f>
        <v/>
      </c>
      <c r="H1960">
        <f>1-(1-Skills!J17/100)^Skills!K17</f>
        <v/>
      </c>
      <c r="I1960" t="inlineStr">
        <is>
          <t>1</t>
        </is>
      </c>
      <c r="J1960" t="inlineStr"/>
      <c r="K1960" t="inlineStr"/>
      <c r="L1960" t="inlineStr"/>
      <c r="M1960" t="inlineStr"/>
      <c r="N1960" t="inlineStr"/>
      <c r="O1960">
        <f>(1-Summary!$B$11)*T1960+Summary!$B$11*V1960</f>
        <v/>
      </c>
      <c r="P1960">
        <f>IF(B1979=0,0,O1960/B1979)</f>
        <v/>
      </c>
      <c r="Q1960" t="n">
        <v>0</v>
      </c>
      <c r="R1960" t="n">
        <v>0</v>
      </c>
      <c r="S1960">
        <f>IFERROR(O1960/N1960,0)</f>
        <v/>
      </c>
      <c r="T1960" t="n">
        <v>0</v>
      </c>
      <c r="V1960" t="n">
        <v>0</v>
      </c>
    </row>
    <row r="1961">
      <c r="A1961">
        <f>Skills!A18</f>
        <v/>
      </c>
      <c r="B1961">
        <f>Skills!B18</f>
        <v/>
      </c>
      <c r="C1961">
        <f>Inputs!$B$3&gt;=33</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Skills!G18*IF(Skills!H18&gt;0,Skills!I18/Skills!H18,1)</f>
        <v/>
      </c>
      <c r="H1961">
        <f>1-(1-Skills!J18/100)^Skills!K18</f>
        <v/>
      </c>
      <c r="I1961" t="inlineStr">
        <is>
          <t>1</t>
        </is>
      </c>
      <c r="J1961" t="inlineStr"/>
      <c r="K1961" t="inlineStr"/>
      <c r="L1961" t="inlineStr"/>
      <c r="M1961" t="inlineStr"/>
      <c r="N1961" t="inlineStr"/>
      <c r="O1961">
        <f>(1-Summary!$B$11)*T1961+Summary!$B$11*V1961</f>
        <v/>
      </c>
      <c r="P1961">
        <f>IF(B1979=0,0,O1961/B1979)</f>
        <v/>
      </c>
      <c r="Q1961" t="n">
        <v>0</v>
      </c>
      <c r="R1961" t="n">
        <v>0</v>
      </c>
      <c r="S1961">
        <f>IFERROR(O1961/N1961,0)</f>
        <v/>
      </c>
      <c r="T1961" t="n">
        <v>0</v>
      </c>
      <c r="V1961" t="n">
        <v>0</v>
      </c>
    </row>
    <row r="1962">
      <c r="A1962">
        <f>Skills!A19</f>
        <v/>
      </c>
      <c r="B1962">
        <f>Skills!B19</f>
        <v/>
      </c>
      <c r="C1962">
        <f>Inputs!$B$3&gt;=40</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Skills!G19*IF(Skills!H19&gt;0,Skills!I19/Skills!H19,1)</f>
        <v/>
      </c>
      <c r="H1962">
        <f>1-(1-Skills!J19/100)^Skills!K19</f>
        <v/>
      </c>
      <c r="I1962" t="inlineStr">
        <is>
          <t>1</t>
        </is>
      </c>
      <c r="J1962" t="inlineStr"/>
      <c r="K1962" t="inlineStr"/>
      <c r="L1962" t="inlineStr"/>
      <c r="M1962" t="inlineStr"/>
      <c r="N1962" t="inlineStr"/>
      <c r="O1962">
        <f>(1-Summary!$B$11)*T1962+Summary!$B$11*V1962</f>
        <v/>
      </c>
      <c r="P1962">
        <f>IF(B1979=0,0,O1962/B1979)</f>
        <v/>
      </c>
      <c r="Q1962" t="n">
        <v>0</v>
      </c>
      <c r="R1962" t="n">
        <v>0</v>
      </c>
      <c r="S1962">
        <f>IFERROR(O1962/N1962,0)</f>
        <v/>
      </c>
      <c r="T1962" t="n">
        <v>0</v>
      </c>
      <c r="V1962" t="n">
        <v>0</v>
      </c>
    </row>
    <row r="1963">
      <c r="A1963">
        <f>Skills!A20</f>
        <v/>
      </c>
      <c r="B1963">
        <f>Skills!B20</f>
        <v/>
      </c>
      <c r="C1963">
        <f>Inputs!$B$3&gt;=43</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Skills!G20*IF(Skills!H20&gt;0,Skills!I20/Skills!H20,1)</f>
        <v/>
      </c>
      <c r="H1963">
        <f>1-(1-Skills!J20/100)^Skills!K20</f>
        <v/>
      </c>
      <c r="I1963" t="inlineStr">
        <is>
          <t>1</t>
        </is>
      </c>
      <c r="J1963" t="inlineStr"/>
      <c r="K1963" t="inlineStr"/>
      <c r="L1963" t="inlineStr"/>
      <c r="M1963" t="inlineStr"/>
      <c r="N1963" t="inlineStr"/>
      <c r="O1963">
        <f>(1-Summary!$B$11)*T1963+Summary!$B$11*V1963</f>
        <v/>
      </c>
      <c r="P1963">
        <f>IF(B1979=0,0,O1963/B1979)</f>
        <v/>
      </c>
      <c r="Q1963" t="n">
        <v>0</v>
      </c>
      <c r="R1963" t="n">
        <v>0</v>
      </c>
      <c r="S1963">
        <f>IFERROR(O1963/N1963,0)</f>
        <v/>
      </c>
      <c r="T1963" t="n">
        <v>0</v>
      </c>
      <c r="V1963" t="n">
        <v>0</v>
      </c>
    </row>
    <row r="1964">
      <c r="A1964">
        <f>Skills!A21</f>
        <v/>
      </c>
      <c r="B1964">
        <f>Skills!B21</f>
        <v/>
      </c>
      <c r="C1964">
        <f>Inputs!$B$3&gt;=38</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Skills!G21*IF(Skills!H21&gt;0,Skills!I21/Skills!H21,1)</f>
        <v/>
      </c>
      <c r="H1964">
        <f>1-(1-Skills!J21/100)^Skills!K21</f>
        <v/>
      </c>
      <c r="I1964" t="inlineStr">
        <is>
          <t>1</t>
        </is>
      </c>
      <c r="J1964" t="inlineStr"/>
      <c r="K1964" t="inlineStr"/>
      <c r="L1964" t="inlineStr"/>
      <c r="M1964" t="inlineStr"/>
      <c r="N1964" t="inlineStr"/>
      <c r="O1964">
        <f>(1-Summary!$B$11)*T1964+Summary!$B$11*V1964</f>
        <v/>
      </c>
      <c r="P1964">
        <f>IF(B1979=0,0,O1964/B1979)</f>
        <v/>
      </c>
      <c r="Q1964" t="n">
        <v>0</v>
      </c>
      <c r="R1964" t="n">
        <v>0</v>
      </c>
      <c r="S1964">
        <f>IFERROR(O1964/N1964,0)</f>
        <v/>
      </c>
      <c r="T1964" t="n">
        <v>0</v>
      </c>
      <c r="V1964" t="n">
        <v>0</v>
      </c>
    </row>
    <row r="1965">
      <c r="A1965">
        <f>Skills!A22</f>
        <v/>
      </c>
      <c r="B1965">
        <f>Skills!B22</f>
        <v/>
      </c>
      <c r="C1965">
        <f>Inputs!$B$3&gt;=75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Skills!G22*IF(Skills!H22&gt;0,Skills!I22/Skills!H22,1)</f>
        <v/>
      </c>
      <c r="H1965">
        <f>1-(1-Skills!J22/100)^Skills!K22</f>
        <v/>
      </c>
      <c r="I1965" t="inlineStr">
        <is>
          <t>1</t>
        </is>
      </c>
      <c r="J1965" t="inlineStr"/>
      <c r="K1965" t="inlineStr"/>
      <c r="L1965" t="inlineStr"/>
      <c r="M1965" t="inlineStr"/>
      <c r="N1965" t="inlineStr"/>
      <c r="O1965">
        <f>(1-Summary!$B$11)*T1965+Summary!$B$11*V1965</f>
        <v/>
      </c>
      <c r="P1965">
        <f>IF(B1979=0,0,O1965/B1979)</f>
        <v/>
      </c>
      <c r="Q1965" t="n">
        <v>0</v>
      </c>
      <c r="R1965" t="n">
        <v>0</v>
      </c>
      <c r="S1965">
        <f>IFERROR(O1965/N1965,0)</f>
        <v/>
      </c>
      <c r="T1965" t="n">
        <v>0</v>
      </c>
      <c r="V1965" t="n">
        <v>0</v>
      </c>
    </row>
    <row r="1966">
      <c r="A1966">
        <f>Skills!A23</f>
        <v/>
      </c>
      <c r="B1966">
        <f>Skills!B23</f>
        <v/>
      </c>
      <c r="C1966">
        <f>TRUE</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Skills!G23*IF(Skills!H23&gt;0,Skills!I23/Skills!H23,1)</f>
        <v/>
      </c>
      <c r="H1966">
        <f>1-(1-Skills!J23/100)^Skills!K23</f>
        <v/>
      </c>
      <c r="I1966" t="inlineStr">
        <is>
          <t>1</t>
        </is>
      </c>
      <c r="J1966" t="inlineStr"/>
      <c r="K1966" t="inlineStr"/>
      <c r="L1966" t="inlineStr"/>
      <c r="M1966" t="inlineStr"/>
      <c r="N1966" t="inlineStr"/>
      <c r="O1966">
        <f>(1-Summary!$B$11)*T1966+Summary!$B$11*V1966</f>
        <v/>
      </c>
      <c r="P1966">
        <f>IF(B1979=0,0,O1966/B1979)</f>
        <v/>
      </c>
      <c r="Q1966">
        <f>IFERROR(1/(IF(Inputs!$B$38="pvp",15,MAX(0.1,Skills!D23-IF(Skills!E23=TRUE,Inputs!$B$32,0)))*(1-IF(AND(ArtifactsInput!$M$27,Inputs!$B$4="Chapter Hunt"),CHOOSE(ArtifactsInput!$N$27+1,20,24,28,32,36,40),0)/100)),0)</f>
        <v/>
      </c>
      <c r="R1966">
        <f>IF(AND(Inputs!$B$38&lt;&gt;"pvp",Inputs!$B$43&gt;0),IF(Inputs!$B$43&lt;=0,0,(INT(Inputs!$B$43/(IF(Inputs!$B$38="pvp",15,MAX(0.1,Skills!D23-IF(Skills!E23=TRUE,Inputs!$B$32,0)))*(1-IF(AND(ArtifactsInput!$M$27,Inputs!$B$4="Chapter Hunt"),CHOOSE(ArtifactsInput!$N$27+1,20,24,28,32,36,40),0)/100)))+1)),0)</f>
        <v/>
      </c>
      <c r="S1966">
        <f>IFERROR(O1966/N1966,0)</f>
        <v/>
      </c>
      <c r="T1966" t="n">
        <v>0</v>
      </c>
      <c r="V1966" t="n">
        <v>0</v>
      </c>
    </row>
    <row r="1968">
      <c r="A1968" t="inlineStr">
        <is>
          <t>Attack% Bucket Multiplier</t>
        </is>
      </c>
      <c r="B1968">
        <f>(1+(((C1956=TRUE)*F1956*5/7)+((C1962=TRUE)*(F1962-Calc!F19))+(IF(ArtifactsInput!$M$21,CHOOSE(ArtifactsInput!$N$21+1,25,30,35,40,45,50)*(IF(OR(Inputs!$B$4="Chapter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9">
      <c r="A1969" t="inlineStr">
        <is>
          <t>Global Crit Rate Bonus %</t>
        </is>
      </c>
      <c r="B1969" t="n">
        <v>0</v>
      </c>
    </row>
    <row r="1970">
      <c r="A1970" t="inlineStr">
        <is>
          <t>Attack Speed Buff Bonus % (Nimble Feet, duty-cycle averaged)</t>
        </is>
      </c>
      <c r="B1970">
        <f>((C1966=TRUE)*F1966*IF(AND(Inputs!$B$38&lt;&gt;"pvp",Inputs!$B$43&gt;0),(((R1966-1)*(Skills!T23*(1+Inputs!$B$34/100))+MIN((Skills!T23*(1+Inputs!$B$34/100)),MAX(0,Inputs!$B$43-((R1966-1)*Skills!D23))))/Inputs!$B$43),IF(Inputs!$B$38="pvp",MIN((Skills!T23*(1+Inputs!$B$34/100)),15)/15,(Skills!T23*(1+Inputs!$B$34/100))/Skills!D23)))</f>
        <v/>
      </c>
    </row>
    <row r="1971">
      <c r="A1971" t="inlineStr">
        <is>
          <t>Actions Per Second</t>
        </is>
      </c>
      <c r="B1971">
        <f>1+MIN(150,150*(1-(1-(Inputs!$B$11+((C1960=TRUE)*(F1960-Calc!F17))+((C1961=TRUE)*(F1961-Calc!F18)))/150)*(1-B1970/150)))/100</f>
        <v/>
      </c>
    </row>
    <row r="1972">
      <c r="A1972" t="inlineStr">
        <is>
          <t>Skill + Buff Cast Rate</t>
        </is>
      </c>
      <c r="B1972">
        <f>IF(AND(Inputs!$B$38&lt;&gt;"pvp",Inputs!$B$43&gt;0),SUMPRODUCT((Skills!E2:E23=TRUE)*(C1945:C1966=TRUE)*R1945:R1966*Skills!F2:F23)/Inputs!$B$43,SUMPRODUCT((Skills!E2:E23=TRUE)*(C1945:C1966=TRUE)*Q1945:Q1966*Skills!F2:F23))</f>
        <v/>
      </c>
    </row>
    <row r="1973">
      <c r="A1973" t="inlineStr">
        <is>
          <t>Hook Bomber Casts Per Second</t>
        </is>
      </c>
      <c r="B1973">
        <f>MAX(0,B1971-B1972)</f>
        <v/>
      </c>
    </row>
    <row r="1974">
      <c r="A1974" t="inlineStr">
        <is>
          <t>Global Critical Damage Bonus % (unused)</t>
        </is>
      </c>
      <c r="B1974" t="n">
        <v>0</v>
      </c>
    </row>
    <row r="1975">
      <c r="A1975" t="inlineStr">
        <is>
          <t>Global Final Damage Bonus % (Serpent Scale + Crossbones + Time Leap + Speed Infusion)</t>
        </is>
      </c>
      <c r="B1975">
        <f>((C1948=TRUE)*F1948*((10+IF(Inputs!$B$3&gt;=94,5,0))/((10+IF(Inputs!$B$3&gt;=94,5,0))+5/(B1973*(1+IF(Inputs!$B$3&gt;=104,1,0))))))+((C1957=TRUE)*F1957)+((C1958=TRUE)*F1958)+((Inputs!$B$3&gt;=110)*20*(B1971-1))</f>
        <v/>
      </c>
    </row>
    <row r="1976">
      <c r="A1976" t="inlineStr">
        <is>
          <t>Buff-Casting Startup Delay (s, fixed-duration only)</t>
        </is>
      </c>
      <c r="B1976">
        <f>IF(AND(Inputs!$B$38&lt;&gt;"pvp",Inputs!$B$43&gt;0),SUMPRODUCT((Skills!T2:T23&gt;0)*(Skills!E2:E23=TRUE)*(C1945:C1966=TRUE))/B1971,0)</f>
        <v/>
      </c>
    </row>
    <row r="1977">
      <c r="A1977" t="inlineStr">
        <is>
          <t>Boss-Only Total DPS (this block's swept value)</t>
        </is>
      </c>
      <c r="B1977">
        <f>SUM(T1945:T1966)</f>
        <v/>
      </c>
    </row>
    <row r="1978">
      <c r="A1978" t="inlineStr">
        <is>
          <t>Normal-Only Total DPS (this block's swept value)</t>
        </is>
      </c>
      <c r="B1978">
        <f>SUM(V1945:V1966)</f>
        <v/>
      </c>
    </row>
    <row r="1979">
      <c r="A1979" s="6" t="inlineStr">
        <is>
          <t>TOTAL DPS</t>
        </is>
      </c>
      <c r="B1979" s="6">
        <f>SUM(O1945:O1966)</f>
        <v/>
      </c>
    </row>
    <row r="1982">
      <c r="A1982" s="6" t="inlineStr">
        <is>
          <t>Stat: Ancient Text Piece (Equip)</t>
        </is>
      </c>
    </row>
    <row r="1983">
      <c r="A1983" s="5" t="inlineStr">
        <is>
          <t>Key</t>
        </is>
      </c>
      <c r="B1983" s="5" t="inlineStr">
        <is>
          <t>Name</t>
        </is>
      </c>
      <c r="C1983" s="5" t="inlineStr">
        <is>
          <t>Unlocked</t>
        </is>
      </c>
      <c r="D1983" s="5" t="inlineStr">
        <is>
          <t>InputLevel</t>
        </is>
      </c>
      <c r="E1983" s="5" t="inlineStr">
        <is>
          <t>Factor</t>
        </is>
      </c>
      <c r="F1983" s="5" t="inlineStr">
        <is>
          <t>CoefficientPercent</t>
        </is>
      </c>
      <c r="G1983" s="5" t="inlineStr">
        <is>
          <t>EffectiveHits</t>
        </is>
      </c>
      <c r="H1983" s="5" t="inlineStr">
        <is>
          <t>ProcProbability</t>
        </is>
      </c>
      <c r="I1983" s="5" t="inlineStr">
        <is>
          <t>MapleHeroMultiplier</t>
        </is>
      </c>
      <c r="J1983" s="5" t="inlineStr">
        <is>
          <t>BaseDamage</t>
        </is>
      </c>
      <c r="K1983" s="5" t="inlineStr">
        <is>
          <t>BaseHitDamage</t>
        </is>
      </c>
      <c r="L1983" s="5" t="inlineStr">
        <is>
          <t>NonCritAvg</t>
        </is>
      </c>
      <c r="M1983" s="5" t="inlineStr">
        <is>
          <t>CritAvg</t>
        </is>
      </c>
      <c r="N1983" s="5" t="inlineStr">
        <is>
          <t>ExpectedDamage(perHit)</t>
        </is>
      </c>
      <c r="O1983" s="5" t="inlineStr">
        <is>
          <t>DPS</t>
        </is>
      </c>
      <c r="P1983" s="5" t="inlineStr">
        <is>
          <t>% of Total</t>
        </is>
      </c>
      <c r="Q1983" s="5" t="inlineStr">
        <is>
          <t>InvCooldown</t>
        </is>
      </c>
      <c r="R1983" s="5" t="inlineStr">
        <is>
          <t>CastsInFight</t>
        </is>
      </c>
      <c r="S1983" s="5" t="inlineStr">
        <is>
          <t>HitRate(perSec)</t>
        </is>
      </c>
      <c r="U1983" t="inlineStr">
        <is>
          <t>helpers</t>
        </is>
      </c>
    </row>
    <row r="1984">
      <c r="A1984">
        <f>Skills!A2</f>
        <v/>
      </c>
      <c r="B1984">
        <f>Skills!B2</f>
        <v/>
      </c>
      <c r="C1984">
        <f>Inputs!$B$3&gt;=100</f>
        <v/>
      </c>
      <c r="D1984" t="inlineStr"/>
      <c r="E1984" t="inlineStr"/>
      <c r="F1984">
        <f>U1986+Skills!O2</f>
        <v/>
      </c>
      <c r="G1984">
        <f>Skills!G2*IF(Skills!H2&gt;0,Skills!I2/Skills!H2,1)</f>
        <v/>
      </c>
      <c r="H1984">
        <f>1-(1-Skills!J2/100)^Skills!K2</f>
        <v/>
      </c>
      <c r="I1984" t="inlineStr">
        <is>
          <t>1</t>
        </is>
      </c>
      <c r="J1984">
        <f>((Inputs!$B$6*(1+Inputs!$B$7/100))+(((Inputs!$B$12*(1+Inputs!$B$13/100))-(Inputs!$B$12*(1+Inputs!$B$13/100)))+0.25*(Inputs!$B$14-Inputs!$B$14))*(1+Inputs!$B$7/100))*(F1984/100)</f>
        <v/>
      </c>
      <c r="K1984">
        <f>J1984*(1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1984)</f>
        <v/>
      </c>
      <c r="L1984">
        <f>K1984*(MIN(Inputs!$B$22+((C2002=TRUE)*(F2002-Calc!F20)),(Inputs!$B$23+0+(IF(ArtifactsInput!$M$15,CHOOSE(ArtifactsInput!$N$15+1,25,30,35,40,45,50)/100*(Inputs!$B$11-Inputs!$B$11),0))))/100+(Inputs!$B$23+0+(IF(ArtifactsInput!$M$15,CHOOSE(ArtifactsInput!$N$15+1,25,30,35,40,45,50)/100*(Inputs!$B$11-Inputs!$B$11),0)))/100)/2</f>
        <v/>
      </c>
      <c r="M1984">
        <f>L1984*(1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4">
        <f>L1984*(1-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1984*(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4">
        <f>(1-Summary!$B$11)*T1984+Summary!$B$11*V1984</f>
        <v/>
      </c>
      <c r="P1984">
        <f>IF(B2018=0,0,O1984/B2018)</f>
        <v/>
      </c>
      <c r="Q1984" t="n">
        <v>0</v>
      </c>
      <c r="R1984" t="n">
        <v>0</v>
      </c>
      <c r="S1984">
        <f>IFERROR(O1984/N1984,0)</f>
        <v/>
      </c>
      <c r="T1984">
        <f>IF(C1984,(Skills!G2*N1984*B2012)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4">
        <f>MAX(0,(Inputs!$B$3-100)*3)+Inputs!$B$28+Inputs!$B$29</f>
        <v/>
      </c>
      <c r="V1984">
        <f>IF(C1984,(Skills!G2*N1984*B2012)*IF(Inputs!$B$38="pvp",1,(1+(Inputs!$B$21+Skills!Q2+(IF(ArtifactsInput!$M$33,CHOOSE(ArtifactsInput!$N$33+1,30,36,42,48,54,60),0))+(IF(AND(ArtifactsInput!$M$35,Inputs!$B$4&lt;&gt;"Chapter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5">
      <c r="A1985">
        <f>Skills!A3</f>
        <v/>
      </c>
      <c r="B1985">
        <f>Skills!B3</f>
        <v/>
      </c>
      <c r="C1985">
        <f>Inputs!$B$3&gt;=35</f>
        <v/>
      </c>
      <c r="D1985">
        <f>IF(Skills!C3=1,60+Inputs!$B$25+Inputs!$B$29,IF(Skills!C3=2,90+Inputs!$B$26+Inputs!$B$29,IF(Skills!C3=3,120+Inputs!$B$27+Inputs!$B$29,MAX(0,(Inputs!$B$3-100)*3)+Inputs!$B$28+Inputs!$B$29)))</f>
        <v/>
      </c>
      <c r="E1985">
        <f>INDEX(FactorTable!$B$2:$Y$301, MATCH(ROUND(MIN(300,MAX(1,D1985)),0), FactorTable!$A$2:$A$301,0), Skills!M3+1)</f>
        <v/>
      </c>
      <c r="F1985">
        <f>IF(Skills!N3=TRUE,(Skills!L3/10)*(E1985/1000),Skills!L3/10)+Skills!O3</f>
        <v/>
      </c>
      <c r="G1985">
        <f>Skills!G3*IF(Skills!H3&gt;0,Skills!I3/Skills!H3,1)</f>
        <v/>
      </c>
      <c r="H1985">
        <f>1-(1-Skills!J3/100)^Skills!K3</f>
        <v/>
      </c>
      <c r="I1985" t="inlineStr">
        <is>
          <t>1</t>
        </is>
      </c>
      <c r="J1985">
        <f>((Inputs!$B$6*(1+Inputs!$B$7/100))+(((Inputs!$B$12*(1+Inputs!$B$13/100))-(Inputs!$B$12*(1+Inputs!$B$13/100)))+0.25*(Inputs!$B$14-Inputs!$B$14))*(1+Inputs!$B$7/100))*(F1985/100)</f>
        <v/>
      </c>
      <c r="K1985">
        <f>J1985*(1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1985)</f>
        <v/>
      </c>
      <c r="L1985">
        <f>K1985*(MIN(Inputs!$B$22+((C2002=TRUE)*(F2002-Calc!F20)),(Inputs!$B$23+0+(IF(ArtifactsInput!$M$15,CHOOSE(ArtifactsInput!$N$15+1,25,30,35,40,45,50)/100*(Inputs!$B$11-Inputs!$B$11),0))))/100+(Inputs!$B$23+0+(IF(ArtifactsInput!$M$15,CHOOSE(ArtifactsInput!$N$15+1,25,30,35,40,45,50)/100*(Inputs!$B$11-Inputs!$B$11),0)))/100)/2</f>
        <v/>
      </c>
      <c r="M1985">
        <f>L1985*(1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5">
        <f>L1985*(1-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1985*(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5">
        <f>(1-Summary!$B$11)*T1985+Summary!$B$11*V1985</f>
        <v/>
      </c>
      <c r="P1985">
        <f>IF(B2018=0,0,O1985/B2018)</f>
        <v/>
      </c>
      <c r="Q1985" t="n">
        <v>0</v>
      </c>
      <c r="R1985" t="n">
        <v>0</v>
      </c>
      <c r="S1985">
        <f>IFERROR(O1985/N1985,0)</f>
        <v/>
      </c>
      <c r="T1985">
        <f>IF(C1985,(Skills!G3*H1985*N1985*B2012)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5">
        <f>INDEX(FactorTable!$B$2:$Y$301, MATCH(ROUND(MIN(300,MAX(1,U1984)),0), FactorTable!$A$2:$A$301,0), 22)</f>
        <v/>
      </c>
      <c r="V1985">
        <f>IF(C1985,(Skills!G3*H1985*N1985*B2012)*IF(Inputs!$B$38="pvp",1,(1+(Inputs!$B$21+Skills!Q3+(IF(ArtifactsInput!$M$33,CHOOSE(ArtifactsInput!$N$33+1,30,36,42,48,54,60),0))+(IF(AND(ArtifactsInput!$M$35,Inputs!$B$4&lt;&gt;"Chapter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6">
      <c r="A1986">
        <f>Skills!A4</f>
        <v/>
      </c>
      <c r="B1986">
        <f>Skills!B4</f>
        <v/>
      </c>
      <c r="C1986">
        <f>Inputs!$B$3&gt;=60</f>
        <v/>
      </c>
      <c r="D1986">
        <f>IF(Skills!C4=1,60+Inputs!$B$25+Inputs!$B$29,IF(Skills!C4=2,90+Inputs!$B$26+Inputs!$B$29,IF(Skills!C4=3,120+Inputs!$B$27+Inputs!$B$29,MAX(0,(Inputs!$B$3-100)*3)+Inputs!$B$28+Inputs!$B$29)))</f>
        <v/>
      </c>
      <c r="E1986">
        <f>INDEX(FactorTable!$B$2:$Y$301, MATCH(ROUND(MIN(300,MAX(1,D1986)),0), FactorTable!$A$2:$A$301,0), Skills!M4+1)</f>
        <v/>
      </c>
      <c r="F1986">
        <f>IF(Skills!N4=TRUE,(Skills!L4/10)*(E1986/1000),Skills!L4/10)+Skills!O4</f>
        <v/>
      </c>
      <c r="G1986">
        <f>Skills!G4*IF(Skills!H4&gt;0,Skills!I4/Skills!H4,1)</f>
        <v/>
      </c>
      <c r="H1986">
        <f>1-(1-Skills!J4/100)^Skills!K4</f>
        <v/>
      </c>
      <c r="I1986" t="inlineStr">
        <is>
          <t>1</t>
        </is>
      </c>
      <c r="J1986">
        <f>((Inputs!$B$6*(1+Inputs!$B$7/100))+(((Inputs!$B$12*(1+Inputs!$B$13/100))-(Inputs!$B$12*(1+Inputs!$B$13/100)))+0.25*(Inputs!$B$14-Inputs!$B$14))*(1+Inputs!$B$7/100))*(F1986/100)</f>
        <v/>
      </c>
      <c r="K1986">
        <f>J1986*(1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1994=TRUE,F1994,0)/100)*(1+(IF(Skills!A4="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C2002=TRUE)*(F2002-Calc!F20)),(Inputs!$B$23+0+(IF(ArtifactsInput!$M$15,CHOOSE(ArtifactsInput!$N$15+1,25,30,35,40,45,50)/100*(Inputs!$B$11-Inputs!$B$11),0))))/100+(Inputs!$B$23+0+(IF(ArtifactsInput!$M$15,CHOOSE(ArtifactsInput!$N$15+1,25,30,35,40,45,50)/100*(Inputs!$B$11-Inputs!$B$11),0)))/100)/2</f>
        <v/>
      </c>
      <c r="M1986">
        <f>L1986*(1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(1-Summary!$B$11)*T1986+Summary!$B$11*V1986</f>
        <v/>
      </c>
      <c r="P1986">
        <f>IF(B2018=0,0,O1986/B2018)</f>
        <v/>
      </c>
      <c r="Q1986" t="n">
        <v>0</v>
      </c>
      <c r="R1986" t="n">
        <v>0</v>
      </c>
      <c r="S1986">
        <f>IFERROR(O1986/N1986,0)</f>
        <v/>
      </c>
      <c r="T1986">
        <f>IF(C1986,(Skills!G4*H1986*N1986*B2012)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290*U1985/1000</f>
        <v/>
      </c>
      <c r="V1986">
        <f>IF(C1986,(Skills!G4*H1986*N1986*B2012)*IF(Inputs!$B$38="pvp",1,(1+(Inputs!$B$21+Skills!Q4+(IF(ArtifactsInput!$M$33,CHOOSE(ArtifactsInput!$N$33+1,30,36,42,48,54,60),0))+(IF(AND(ArtifactsInput!$M$35,Inputs!$B$4&lt;&gt;"Chapter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Skills!A5</f>
        <v/>
      </c>
      <c r="B1987">
        <f>Skills!B5</f>
        <v/>
      </c>
      <c r="C1987">
        <f>Inputs!$B$3&gt;=60</f>
        <v/>
      </c>
      <c r="D1987">
        <f>IF(Skills!C5=1,60+Inputs!$B$25+Inputs!$B$29,IF(Skills!C5=2,90+Inputs!$B$26+Inputs!$B$29,IF(Skills!C5=3,120+Inputs!$B$27+Inputs!$B$29,MAX(0,(Inputs!$B$3-100)*3)+Inputs!$B$28+Inputs!$B$29)))</f>
        <v/>
      </c>
      <c r="E1987">
        <f>INDEX(FactorTable!$B$2:$Y$301, MATCH(ROUND(MIN(300,MAX(1,D1987)),0), FactorTable!$A$2:$A$301,0), Skills!M5+1)</f>
        <v/>
      </c>
      <c r="F1987">
        <f>IF(Skills!N5=TRUE,(Skills!L5/10)*(E1987/1000),Skills!L5/10)+Skills!O5</f>
        <v/>
      </c>
      <c r="G1987">
        <f>Skills!G5*IF(Skills!H5&gt;0,Skills!I5/Skills!H5,1)</f>
        <v/>
      </c>
      <c r="H1987">
        <f>1-(1-Skills!J5/100)^Skills!K5</f>
        <v/>
      </c>
      <c r="I1987" t="inlineStr">
        <is>
          <t>1</t>
        </is>
      </c>
      <c r="J1987" t="inlineStr"/>
      <c r="K1987" t="inlineStr"/>
      <c r="L1987" t="inlineStr"/>
      <c r="M1987" t="inlineStr"/>
      <c r="N1987" t="inlineStr"/>
      <c r="O1987">
        <f>(1-Summary!$B$11)*T1987+Summary!$B$11*V1987</f>
        <v/>
      </c>
      <c r="P1987">
        <f>IF(B2018=0,0,O1987/B2018)</f>
        <v/>
      </c>
      <c r="Q1987" t="n">
        <v>0</v>
      </c>
      <c r="R1987" t="n">
        <v>0</v>
      </c>
      <c r="S1987">
        <f>IFERROR(O1987/N1987,0)</f>
        <v/>
      </c>
      <c r="T1987" t="n">
        <v>0</v>
      </c>
      <c r="V1987" t="n">
        <v>0</v>
      </c>
    </row>
    <row r="1988">
      <c r="A1988">
        <f>Skills!A6</f>
        <v/>
      </c>
      <c r="B1988">
        <f>Skills!B6</f>
        <v/>
      </c>
      <c r="C1988">
        <f>Inputs!$B$3&gt;=63</f>
        <v/>
      </c>
      <c r="D1988">
        <f>IF(Skills!C6=1,60+Inputs!$B$25+Inputs!$B$29,IF(Skills!C6=2,90+Inputs!$B$26+Inputs!$B$29,IF(Skills!C6=3,120+Inputs!$B$27+Inputs!$B$29,MAX(0,(Inputs!$B$3-100)*3)+Inputs!$B$28+Inputs!$B$29)))</f>
        <v/>
      </c>
      <c r="E1988">
        <f>INDEX(FactorTable!$B$2:$Y$301, MATCH(ROUND(MIN(300,MAX(1,D1988)),0), FactorTable!$A$2:$A$301,0), Skills!M6+1)</f>
        <v/>
      </c>
      <c r="F1988">
        <f>IF(Skills!N6=TRUE,(Skills!L6/10)*(E1988/1000),Skills!L6/10)+Skills!O6</f>
        <v/>
      </c>
      <c r="G1988">
        <f>Skills!G6*IF(Skills!H6&gt;0,Skills!I6/Skills!H6,1)</f>
        <v/>
      </c>
      <c r="H1988">
        <f>1-(1-Skills!J6/100)^Skills!K6</f>
        <v/>
      </c>
      <c r="I1988" t="inlineStr">
        <is>
          <t>1</t>
        </is>
      </c>
      <c r="J1988">
        <f>((Inputs!$B$6*(1+Inputs!$B$7/100))+(((Inputs!$B$12*(1+Inputs!$B$13/100))-(Inputs!$B$12*(1+Inputs!$B$13/100)))+0.25*(Inputs!$B$14-Inputs!$B$14))*(1+Inputs!$B$7/100))*(F1988/100)</f>
        <v/>
      </c>
      <c r="K1988">
        <f>J1988*(1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C2002=TRUE)*(F2002-Calc!F20)),(Inputs!$B$23+0+(IF(ArtifactsInput!$M$15,CHOOSE(ArtifactsInput!$N$15+1,25,30,35,40,45,50)/100*(Inputs!$B$11-Inputs!$B$11),0))))/100+(Inputs!$B$23+0+(IF(ArtifactsInput!$M$15,CHOOSE(ArtifactsInput!$N$15+1,25,30,35,40,45,50)/100*(Inputs!$B$11-Inputs!$B$11),0)))/100)/2</f>
        <v/>
      </c>
      <c r="M1988">
        <f>L1988*(1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8">
        <f>L1988*(1-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(1-Summary!$B$11)*T1988+Summary!$B$11*V1988</f>
        <v/>
      </c>
      <c r="P1988">
        <f>IF(B2018=0,0,O1988/B2018)</f>
        <v/>
      </c>
      <c r="Q1988">
        <f>IFERROR(1/(IF(Inputs!$B$38="pvp",15,MAX(0.1,Skills!D6-IF(Skills!E6=TRUE,Inputs!$B$32,0)))*(1-IF(AND(ArtifactsInput!$M$27,Inputs!$B$4="Chapter Hunt"),CHOOSE(ArtifactsInput!$N$27+1,20,24,28,32,36,40),0)/100)),0)</f>
        <v/>
      </c>
      <c r="R1988">
        <f>IF(AND(Inputs!$B$38&lt;&gt;"pvp",Inputs!$B$43&gt;0),IF(MAX(0,Inputs!$B$43-B2015)&lt;=0,0,(INT(MAX(0,Inputs!$B$43-B2015)/(IF(Inputs!$B$38="pvp",15,MAX(0.1,Skills!D6-IF(Skills!E6=TRUE,Inputs!$B$32,0)))*(1-IF(AND(ArtifactsInput!$M$27,Inputs!$B$4="Chapter Hunt"),CHOOSE(ArtifactsInput!$N$27+1,20,24,28,32,36,40),0)/100)))+1)),0)</f>
        <v/>
      </c>
      <c r="S1988">
        <f>IFERROR(O1988/N1988,0)</f>
        <v/>
      </c>
      <c r="T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$21+Skills!Q6+(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Skills!A7</f>
        <v/>
      </c>
      <c r="B1989">
        <f>Skills!B7</f>
        <v/>
      </c>
      <c r="C1989">
        <f>Inputs!$B$3&gt;=100</f>
        <v/>
      </c>
      <c r="D1989">
        <f>IF(Skills!C7=1,60+Inputs!$B$25+Inputs!$B$29,IF(Skills!C7=2,90+Inputs!$B$26+Inputs!$B$29,IF(Skills!C7=3,120+Inputs!$B$27+Inputs!$B$29,MAX(0,(Inputs!$B$3-100)*3)+Inputs!$B$28+Inputs!$B$29)))</f>
        <v/>
      </c>
      <c r="E1989">
        <f>INDEX(FactorTable!$B$2:$Y$301, MATCH(ROUND(MIN(300,MAX(1,D1989)),0), FactorTable!$A$2:$A$301,0), Skills!M7+1)</f>
        <v/>
      </c>
      <c r="F1989">
        <f>IF(Skills!N7=TRUE,(Skills!L7/10)*(E1989/1000),Skills!L7/10)+Skills!O7</f>
        <v/>
      </c>
      <c r="G1989">
        <f>Skills!G7*IF(Skills!H7&gt;0,Skills!I7/Skills!H7,1)</f>
        <v/>
      </c>
      <c r="H1989">
        <f>1-(1-Skills!J7/100)^Skills!K7</f>
        <v/>
      </c>
      <c r="I1989" t="inlineStr">
        <is>
          <t>1</t>
        </is>
      </c>
      <c r="J1989">
        <f>((Inputs!$B$6*(1+Inputs!$B$7/100))+(((Inputs!$B$12*(1+Inputs!$B$13/100))-(Inputs!$B$12*(1+Inputs!$B$13/100)))+0.25*(Inputs!$B$14-Inputs!$B$14))*(1+Inputs!$B$7/100))*(F1989/100)</f>
        <v/>
      </c>
      <c r="K1989">
        <f>J1989*(1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C2002=TRUE)*(F2002-Calc!F20)),(Inputs!$B$23+0+(IF(ArtifactsInput!$M$15,CHOOSE(ArtifactsInput!$N$15+1,25,30,35,40,45,50)/100*(Inputs!$B$11-Inputs!$B$11),0))))/100+(Inputs!$B$23+0+(IF(ArtifactsInput!$M$15,CHOOSE(ArtifactsInput!$N$15+1,25,30,35,40,45,50)/100*(Inputs!$B$11-Inputs!$B$11),0)))/100)/2</f>
        <v/>
      </c>
      <c r="M1989">
        <f>L1989*(1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9">
        <f>L1989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(1-Summary!$B$11)*T1989+Summary!$B$11*V1989</f>
        <v/>
      </c>
      <c r="P1989">
        <f>IF(B2018=0,0,O1989/B2018)</f>
        <v/>
      </c>
      <c r="Q1989">
        <f>IFERROR(1/(IF(Inputs!$B$38="pvp",15,MAX(0.1,Skills!D7-IF(Skills!E7=TRUE,Inputs!$B$32,0)))*(1-IF(AND(ArtifactsInput!$M$27,Inputs!$B$4="Chapter Hunt"),CHOOSE(ArtifactsInput!$N$27+1,20,24,28,32,36,40),0)/100)),0)</f>
        <v/>
      </c>
      <c r="R1989">
        <f>IF(AND(Inputs!$B$38&lt;&gt;"pvp",Inputs!$B$43&gt;0),IF(MAX(0,Inputs!$B$43-B2015)&lt;=0,0,(INT(MAX(0,Inputs!$B$43-B2015)/(IF(Inputs!$B$38="pvp",15,MAX(0.1,Skills!D7-IF(Skills!E7=TRUE,Inputs!$B$32,0)))*(1-IF(AND(ArtifactsInput!$M$27,Inputs!$B$4="Chapter Hunt"),CHOOSE(ArtifactsInput!$N$27+1,20,24,28,32,36,40),0)/100)))+1)),0)</f>
        <v/>
      </c>
      <c r="S1989">
        <f>IFERROR(O1989/N1989,0)</f>
        <v/>
      </c>
      <c r="T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$21+Skills!Q7+(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Skills!A8</f>
        <v/>
      </c>
      <c r="B1990">
        <f>Skills!B8</f>
        <v/>
      </c>
      <c r="C1990">
        <f>Inputs!$B$3&gt;=110</f>
        <v/>
      </c>
      <c r="D1990">
        <f>IF(Skills!C8=1,60+Inputs!$B$25+Inputs!$B$29,IF(Skills!C8=2,90+Inputs!$B$26+Inputs!$B$29,IF(Skills!C8=3,120+Inputs!$B$27+Inputs!$B$29,MAX(0,(Inputs!$B$3-100)*3)+Inputs!$B$28+Inputs!$B$29)))</f>
        <v/>
      </c>
      <c r="E1990">
        <f>INDEX(FactorTable!$B$2:$Y$301, MATCH(ROUND(MIN(300,MAX(1,D1990)),0), FactorTable!$A$2:$A$301,0), Skills!M8+1)</f>
        <v/>
      </c>
      <c r="F1990">
        <f>IF(Skills!N8=TRUE,(Skills!L8/10)*(E1990/1000),Skills!L8/10)+Skills!O8</f>
        <v/>
      </c>
      <c r="G1990">
        <f>Skills!G8*IF(Skills!H8&gt;0,Skills!I8/Skills!H8,1)</f>
        <v/>
      </c>
      <c r="H1990">
        <f>1-(1-Skills!J8/100)^Skills!K8</f>
        <v/>
      </c>
      <c r="I1990" t="inlineStr">
        <is>
          <t>1</t>
        </is>
      </c>
      <c r="J1990">
        <f>((Inputs!$B$6*(1+Inputs!$B$7/100))+(((Inputs!$B$12*(1+Inputs!$B$13/100))-(Inputs!$B$12*(1+Inputs!$B$13/100)))+0.25*(Inputs!$B$14-Inputs!$B$14))*(1+Inputs!$B$7/100))*(F1990/100)</f>
        <v/>
      </c>
      <c r="K1990">
        <f>J1990*(1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C2002=TRUE)*(F2002-Calc!F20)),(Inputs!$B$23+0+(IF(ArtifactsInput!$M$15,CHOOSE(ArtifactsInput!$N$15+1,25,30,35,40,45,50)/100*(Inputs!$B$11-Inputs!$B$11),0))))/100+(Inputs!$B$23+0+(IF(ArtifactsInput!$M$15,CHOOSE(ArtifactsInput!$N$15+1,25,30,35,40,45,50)/100*(Inputs!$B$11-Inputs!$B$11),0)))/100)/2</f>
        <v/>
      </c>
      <c r="M1990">
        <f>L1990*(1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(1-Summary!$B$11)*T1990+Summary!$B$11*V1990</f>
        <v/>
      </c>
      <c r="P1990">
        <f>IF(B2018=0,0,O1990/B2018)</f>
        <v/>
      </c>
      <c r="Q1990">
        <f>IFERROR(1/(IF(Inputs!$B$38="pvp",15,MAX(0.1,Skills!D8-IF(Skills!E8=TRUE,Inputs!$B$32,0)))*(1-IF(AND(ArtifactsInput!$M$27,Inputs!$B$4="Chapter Hunt"),CHOOSE(ArtifactsInput!$N$27+1,20,24,28,32,36,40),0)/100)),0)</f>
        <v/>
      </c>
      <c r="R1990">
        <f>IF(AND(Inputs!$B$38&lt;&gt;"pvp",Inputs!$B$43&gt;0),IF(MAX(0,Inputs!$B$43-B2015)&lt;=0,0,(INT(MAX(0,Inputs!$B$43-B2015)/(IF(Inputs!$B$38="pvp",15,MAX(0.1,Skills!D8-IF(Skills!E8=TRUE,Inputs!$B$32,0)))*(1-IF(AND(ArtifactsInput!$M$27,Inputs!$B$4="Chapter Hunt"),CHOOSE(ArtifactsInput!$N$27+1,20,24,28,32,36,40),0)/100)))+1)),0)</f>
        <v/>
      </c>
      <c r="S1990">
        <f>IFERROR(O1990/N1990,0)</f>
        <v/>
      </c>
      <c r="T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$21+Skills!Q8+(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Skills!A9</f>
        <v/>
      </c>
      <c r="B1991">
        <f>Skills!B9</f>
        <v/>
      </c>
      <c r="C1991">
        <f>Inputs!$B$3&gt;=110</f>
        <v/>
      </c>
      <c r="D1991">
        <f>IF(Skills!C9=1,60+Inputs!$B$25+Inputs!$B$29,IF(Skills!C9=2,90+Inputs!$B$26+Inputs!$B$29,IF(Skills!C9=3,120+Inputs!$B$27+Inputs!$B$29,MAX(0,(Inputs!$B$3-100)*3)+Inputs!$B$28+Inputs!$B$29)))</f>
        <v/>
      </c>
      <c r="E1991">
        <f>INDEX(FactorTable!$B$2:$Y$301, MATCH(ROUND(MIN(300,MAX(1,D1991)),0), FactorTable!$A$2:$A$301,0), Skills!M9+1)</f>
        <v/>
      </c>
      <c r="F1991">
        <f>IF(Skills!N9=TRUE,(Skills!L9/10)*(E1991/1000),Skills!L9/10)+Skills!O9</f>
        <v/>
      </c>
      <c r="G1991">
        <f>Skills!G9*IF(Skills!H9&gt;0,Skills!I9/Skills!H9,1)</f>
        <v/>
      </c>
      <c r="H1991">
        <f>1-(1-Skills!J9/100)^Skills!K9</f>
        <v/>
      </c>
      <c r="I1991" t="inlineStr">
        <is>
          <t>1</t>
        </is>
      </c>
      <c r="J1991">
        <f>((Inputs!$B$6*(1+Inputs!$B$7/100))+(((Inputs!$B$12*(1+Inputs!$B$13/100))-(Inputs!$B$12*(1+Inputs!$B$13/100)))+0.25*(Inputs!$B$14-Inputs!$B$14))*(1+Inputs!$B$7/100))*(F1991/100)</f>
        <v/>
      </c>
      <c r="K1991">
        <f>J1991*(1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C2002=TRUE)*(F2002-Calc!F20)),(Inputs!$B$23+0+(IF(ArtifactsInput!$M$15,CHOOSE(ArtifactsInput!$N$15+1,25,30,35,40,45,50)/100*(Inputs!$B$11-Inputs!$B$11),0))))/100+(Inputs!$B$23+0+(IF(ArtifactsInput!$M$15,CHOOSE(ArtifactsInput!$N$15+1,25,30,35,40,45,50)/100*(Inputs!$B$11-Inputs!$B$11),0)))/100)/2</f>
        <v/>
      </c>
      <c r="M1991">
        <f>L1991*(1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1">
        <f>L1991*(1-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(1-Summary!$B$11)*T1991+Summary!$B$11*V1991</f>
        <v/>
      </c>
      <c r="P1991">
        <f>IF(B2018=0,0,O1991/B2018)</f>
        <v/>
      </c>
      <c r="Q1991">
        <f>IFERROR(1/(IF(Inputs!$B$38="pvp",15,MAX(0.1,Skills!D9-IF(Skills!E9=TRUE,Inputs!$B$32,0)))*(1-IF(AND(ArtifactsInput!$M$27,Inputs!$B$4="Chapter Hunt"),CHOOSE(ArtifactsInput!$N$27+1,20,24,28,32,36,40),0)/100)),0)</f>
        <v/>
      </c>
      <c r="R1991">
        <f>IF(AND(Inputs!$B$38&lt;&gt;"pvp",Inputs!$B$43&gt;0),IF(MAX(0,Inputs!$B$43-B2015)&lt;=0,0,(INT(MAX(0,Inputs!$B$43-B2015)/(IF(Inputs!$B$38="pvp",15,MAX(0.1,Skills!D9-IF(Skills!E9=TRUE,Inputs!$B$32,0)))*(1-IF(AND(ArtifactsInput!$M$27,Inputs!$B$4="Chapter Hunt"),CHOOSE(ArtifactsInput!$N$27+1,20,24,28,32,36,40),0)/100)))+1)),0)</f>
        <v/>
      </c>
      <c r="S1991">
        <f>IFERROR(O1991/N1991,0)</f>
        <v/>
      </c>
      <c r="T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$21+Skills!Q9+(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Skills!A10</f>
        <v/>
      </c>
      <c r="B1992">
        <f>Skills!B10</f>
        <v/>
      </c>
      <c r="C1992">
        <f>Inputs!$B$3&gt;=103</f>
        <v/>
      </c>
      <c r="D1992">
        <f>IF(Skills!C10=1,60+Inputs!$B$25+Inputs!$B$29,IF(Skills!C10=2,90+Inputs!$B$26+Inputs!$B$29,IF(Skills!C10=3,120+Inputs!$B$27+Inputs!$B$29,MAX(0,(Inputs!$B$3-100)*3)+Inputs!$B$28+Inputs!$B$29)))</f>
        <v/>
      </c>
      <c r="E1992">
        <f>INDEX(FactorTable!$B$2:$Y$301, MATCH(ROUND(MIN(300,MAX(1,D1992)),0), FactorTable!$A$2:$A$301,0), Skills!M10+1)</f>
        <v/>
      </c>
      <c r="F1992">
        <f>IF(Skills!N10=TRUE,(Skills!L10/10)*(E1992/1000),Skills!L10/10)+Skills!O10</f>
        <v/>
      </c>
      <c r="G1992">
        <f>Skills!G10*IF(Skills!H10&gt;0,Skills!I10/Skills!H10,1)</f>
        <v/>
      </c>
      <c r="H1992">
        <f>1-(1-Skills!J10/100)^Skills!K10</f>
        <v/>
      </c>
      <c r="I1992" t="inlineStr">
        <is>
          <t>1</t>
        </is>
      </c>
      <c r="J1992">
        <f>((Inputs!$B$6*(1+Inputs!$B$7/100))+(((Inputs!$B$12*(1+Inputs!$B$13/100))-(Inputs!$B$12*(1+Inputs!$B$13/100)))+0.25*(Inputs!$B$14-Inputs!$B$14))*(1+Inputs!$B$7/100))*(F1992/100)</f>
        <v/>
      </c>
      <c r="K1992">
        <f>J1992*(1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C2002=TRUE)*(F2002-Calc!F20)),(Inputs!$B$23+0+(IF(ArtifactsInput!$M$15,CHOOSE(ArtifactsInput!$N$15+1,25,30,35,40,45,50)/100*(Inputs!$B$11-Inputs!$B$11),0))))/100+(Inputs!$B$23+0+(IF(ArtifactsInput!$M$15,CHOOSE(ArtifactsInput!$N$15+1,25,30,35,40,45,50)/100*(Inputs!$B$11-Inputs!$B$11),0)))/100)/2</f>
        <v/>
      </c>
      <c r="M1992">
        <f>L1992*(1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(1-Summary!$B$11)*T1992+Summary!$B$11*V1992</f>
        <v/>
      </c>
      <c r="P1992">
        <f>IF(B2018=0,0,O1992/B2018)</f>
        <v/>
      </c>
      <c r="Q1992">
        <f>IFERROR(1/(IF(Inputs!$B$38="pvp",15,MAX(0.1,Skills!D10-IF(Skills!E10=TRUE,Inputs!$B$32,0)))*(1-IF(AND(ArtifactsInput!$M$27,Inputs!$B$4="Chapter Hunt"),CHOOSE(ArtifactsInput!$N$27+1,20,24,28,32,36,40),0)/100)),0)</f>
        <v/>
      </c>
      <c r="R1992">
        <f>IF(AND(Inputs!$B$38&lt;&gt;"pvp",Inputs!$B$43&gt;0),IF(MAX(0,Inputs!$B$43-B2015)&lt;=0,0,(INT(MAX(0,Inputs!$B$43-B2015)/(IF(Inputs!$B$38="pvp",15,MAX(0.1,Skills!D10-IF(Skills!E10=TRUE,Inputs!$B$32,0)))*(1-IF(AND(ArtifactsInput!$M$27,Inputs!$B$4="Chapter Hunt"),CHOOSE(ArtifactsInput!$N$27+1,20,24,28,32,36,40),0)/100)))+1)),0)</f>
        <v/>
      </c>
      <c r="S1992">
        <f>IFERROR(O1992/N1992,0)</f>
        <v/>
      </c>
      <c r="T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$21+Skills!Q10+(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Skills!A11</f>
        <v/>
      </c>
      <c r="B1993">
        <f>Skills!B11</f>
        <v/>
      </c>
      <c r="C1993">
        <f>Inputs!$B$3&gt;=113</f>
        <v/>
      </c>
      <c r="D1993">
        <f>IF(Skills!C11=1,60+Inputs!$B$25+Inputs!$B$29,IF(Skills!C11=2,90+Inputs!$B$26+Inputs!$B$29,IF(Skills!C11=3,120+Inputs!$B$27+Inputs!$B$29,MAX(0,(Inputs!$B$3-100)*3)+Inputs!$B$28+Inputs!$B$29)))</f>
        <v/>
      </c>
      <c r="E1993">
        <f>INDEX(FactorTable!$B$2:$Y$301, MATCH(ROUND(MIN(300,MAX(1,D1993)),0), FactorTable!$A$2:$A$301,0), Skills!M11+1)</f>
        <v/>
      </c>
      <c r="F1993">
        <f>IF(Skills!N11=TRUE,(Skills!L11/10)*(E1993/1000),Skills!L11/10)+Skills!O11</f>
        <v/>
      </c>
      <c r="G1993">
        <f>Skills!G11*IF(Skills!H11&gt;0,Skills!I11/Skills!H11,1)</f>
        <v/>
      </c>
      <c r="H1993">
        <f>1-(1-Skills!J11/100)^Skills!K11</f>
        <v/>
      </c>
      <c r="I1993" t="inlineStr">
        <is>
          <t>1</t>
        </is>
      </c>
      <c r="J1993">
        <f>((Inputs!$B$6*(1+Inputs!$B$7/100))+(((Inputs!$B$12*(1+Inputs!$B$13/100))-(Inputs!$B$12*(1+Inputs!$B$13/100)))+0.25*(Inputs!$B$14-Inputs!$B$14))*(1+Inputs!$B$7/100))*(F1993/100)</f>
        <v/>
      </c>
      <c r="K1993">
        <f>J1993*(1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2002=TRUE)*(F2002-Calc!F20)),(Inputs!$B$23+0+(IF(ArtifactsInput!$M$15,CHOOSE(ArtifactsInput!$N$15+1,25,30,35,40,45,50)/100*(Inputs!$B$11-Inputs!$B$11),0))))/100+(Inputs!$B$23+0+(IF(ArtifactsInput!$M$15,CHOOSE(ArtifactsInput!$N$15+1,25,30,35,40,45,50)/100*(Inputs!$B$11-Inputs!$B$11),0)))/100)/2</f>
        <v/>
      </c>
      <c r="M1993">
        <f>L1993*(1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IF(B2018=0,0,O1993/B2018)</f>
        <v/>
      </c>
      <c r="Q1993">
        <f>IFERROR(1/(IF(Inputs!$B$38="pvp",15,MAX(0.1,Skills!D11-IF(Skills!E11=TRUE,Inputs!$B$32,0)))*(1-IF(AND(ArtifactsInput!$M$27,Inputs!$B$4="Chapter Hunt"),CHOOSE(ArtifactsInput!$N$27+1,20,24,28,32,36,40),0)/100)),0)</f>
        <v/>
      </c>
      <c r="R1993">
        <f>IF(AND(Inputs!$B$38&lt;&gt;"pvp",Inputs!$B$43&gt;0),IF(MAX(0,Inputs!$B$43-B2015)&lt;=0,0,(INT(MAX(0,Inputs!$B$43-B2015)/(IF(Inputs!$B$38="pvp",15,MAX(0.1,Skills!D11-IF(Skills!E11=TRUE,Inputs!$B$32,0)))*(1-IF(AND(ArtifactsInput!$M$27,Inputs!$B$4="Chapter Hunt"),CHOOSE(ArtifactsInput!$N$27+1,20,24,28,32,36,40),0)/100)))+1)),0)</f>
        <v/>
      </c>
      <c r="S1993">
        <f>IFERROR(O1993/N1993,0)</f>
        <v/>
      </c>
      <c r="T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$21+Skills!Q11+(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Skills!A12</f>
        <v/>
      </c>
      <c r="B1994">
        <f>Skills!B12</f>
        <v/>
      </c>
      <c r="C1994">
        <f>Inputs!$B$3&gt;=100</f>
        <v/>
      </c>
      <c r="D1994">
        <f>IF(Skills!C12=1,60+Inputs!$B$25+Inputs!$B$29,IF(Skills!C12=2,90+Inputs!$B$26+Inputs!$B$29,IF(Skills!C12=3,120+Inputs!$B$27+Inputs!$B$29,MAX(0,(Inputs!$B$3-100)*3)+Inputs!$B$28+Inputs!$B$29)))</f>
        <v/>
      </c>
      <c r="E1994">
        <f>INDEX(FactorTable!$B$2:$Y$301, MATCH(ROUND(MIN(300,MAX(1,D1994)),0), FactorTable!$A$2:$A$301,0), Skills!M12+1)</f>
        <v/>
      </c>
      <c r="F1994">
        <f>IF(Skills!N12=TRUE,(Skills!L12/10)*(E1994/1000),Skills!L12/10)+Skills!O12</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T1994" t="inlineStr"/>
      <c r="V1994" t="inlineStr"/>
    </row>
    <row r="1995">
      <c r="A1995">
        <f>Skills!A13</f>
        <v/>
      </c>
      <c r="B1995">
        <f>Skills!B13</f>
        <v/>
      </c>
      <c r="C1995">
        <f>Inputs!$B$3&gt;=66</f>
        <v/>
      </c>
      <c r="D1995">
        <f>IF(Skills!C13=1,60+Inputs!$B$25+Inputs!$B$29,IF(Skills!C13=2,90+Inputs!$B$26+Inputs!$B$29,IF(Skills!C13=3,120+Inputs!$B$27+Inputs!$B$29,MAX(0,(Inputs!$B$3-100)*3)+Inputs!$B$28+Inputs!$B$29)))</f>
        <v/>
      </c>
      <c r="E1995">
        <f>INDEX(FactorTable!$B$2:$Y$301, MATCH(ROUND(MIN(300,MAX(1,D1995)),0), FactorTable!$A$2:$A$301,0), Skills!M13+1)</f>
        <v/>
      </c>
      <c r="F1995">
        <f>IF(Skills!N13=TRUE,(Skills!L13/10)*(E1995/1000),Skills!L13/10)+Skills!O13</f>
        <v/>
      </c>
      <c r="G1995">
        <f>Skills!G13*IF(Skills!H13&gt;0,Skills!I13/Skills!H13,1)</f>
        <v/>
      </c>
      <c r="H1995">
        <f>1-(1-Skills!J13/100)^Skills!K13</f>
        <v/>
      </c>
      <c r="I1995" t="inlineStr">
        <is>
          <t>1</t>
        </is>
      </c>
      <c r="J1995" t="inlineStr"/>
      <c r="K1995" t="inlineStr"/>
      <c r="L1995" t="inlineStr"/>
      <c r="M1995" t="inlineStr"/>
      <c r="N1995" t="inlineStr"/>
      <c r="O1995">
        <f>(1-Summary!$B$11)*T1995+Summary!$B$11*V1995</f>
        <v/>
      </c>
      <c r="P1995">
        <f>IF(B2018=0,0,O1995/B2018)</f>
        <v/>
      </c>
      <c r="Q1995" t="n">
        <v>0</v>
      </c>
      <c r="R1995" t="n">
        <v>0</v>
      </c>
      <c r="S1995">
        <f>IFERROR(O1995/N1995,0)</f>
        <v/>
      </c>
      <c r="T1995" t="n">
        <v>0</v>
      </c>
      <c r="V1995" t="n">
        <v>0</v>
      </c>
    </row>
    <row r="1996">
      <c r="A1996">
        <f>Skills!A14</f>
        <v/>
      </c>
      <c r="B1996">
        <f>Skills!B14</f>
        <v/>
      </c>
      <c r="C1996">
        <f>Inputs!$B$3&gt;=107</f>
        <v/>
      </c>
      <c r="D1996">
        <f>IF(Skills!C14=1,60+Inputs!$B$25+Inputs!$B$29,IF(Skills!C14=2,90+Inputs!$B$26+Inputs!$B$29,IF(Skills!C14=3,120+Inputs!$B$27+Inputs!$B$29,MAX(0,(Inputs!$B$3-100)*3)+Inputs!$B$28+Inputs!$B$29)))</f>
        <v/>
      </c>
      <c r="E1996">
        <f>INDEX(FactorTable!$B$2:$Y$301, MATCH(ROUND(MIN(300,MAX(1,D1996)),0), FactorTable!$A$2:$A$301,0), Skills!M14+1)</f>
        <v/>
      </c>
      <c r="F1996">
        <f>IF(Skills!N14=TRUE,(Skills!L14/10)*(E1996/1000),Skills!L14/10)+Skills!O14</f>
        <v/>
      </c>
      <c r="G1996">
        <f>Skills!G14*IF(Skills!H14&gt;0,Skills!I14/Skills!H14,1)</f>
        <v/>
      </c>
      <c r="H1996">
        <f>1-(1-Skills!J14/100)^Skills!K14</f>
        <v/>
      </c>
      <c r="I1996" t="inlineStr">
        <is>
          <t>1</t>
        </is>
      </c>
      <c r="J1996" t="inlineStr"/>
      <c r="K1996" t="inlineStr"/>
      <c r="L1996" t="inlineStr"/>
      <c r="M1996" t="inlineStr"/>
      <c r="N1996" t="inlineStr"/>
      <c r="O1996">
        <f>(1-Summary!$B$11)*T1996+Summary!$B$11*V1996</f>
        <v/>
      </c>
      <c r="P1996">
        <f>IF(B2018=0,0,O1996/B2018)</f>
        <v/>
      </c>
      <c r="Q1996" t="n">
        <v>0</v>
      </c>
      <c r="R1996" t="n">
        <v>0</v>
      </c>
      <c r="S1996">
        <f>IFERROR(O1996/N1996,0)</f>
        <v/>
      </c>
      <c r="T1996" t="n">
        <v>0</v>
      </c>
      <c r="V1996" t="n">
        <v>0</v>
      </c>
    </row>
    <row r="1997">
      <c r="A1997">
        <f>Skills!A15</f>
        <v/>
      </c>
      <c r="B1997">
        <f>Skills!B15</f>
        <v/>
      </c>
      <c r="C1997">
        <f>Inputs!$B$3&gt;=115</f>
        <v/>
      </c>
      <c r="D1997">
        <f>IF(Skills!C15=1,60+Inputs!$B$25+Inputs!$B$29,IF(Skills!C15=2,90+Inputs!$B$26+Inputs!$B$29,IF(Skills!C15=3,120+Inputs!$B$27+Inputs!$B$29,MAX(0,(Inputs!$B$3-100)*3)+Inputs!$B$28+Inputs!$B$29)))</f>
        <v/>
      </c>
      <c r="E1997">
        <f>INDEX(FactorTable!$B$2:$Y$301, MATCH(ROUND(MIN(300,MAX(1,D1997)),0), FactorTable!$A$2:$A$301,0), Skills!M15+1)</f>
        <v/>
      </c>
      <c r="F1997">
        <f>IF(Skills!N15=TRUE,(Skills!L15/10)*(E1997/1000),Skills!L15/10)+Skills!O15</f>
        <v/>
      </c>
      <c r="G1997">
        <f>Skills!G15*IF(Skills!H15&gt;0,Skills!I15/Skills!H15,1)</f>
        <v/>
      </c>
      <c r="H1997">
        <f>1-(1-Skills!J15/100)^Skills!K15</f>
        <v/>
      </c>
      <c r="I1997" t="inlineStr">
        <is>
          <t>1</t>
        </is>
      </c>
      <c r="J1997" t="inlineStr"/>
      <c r="K1997" t="inlineStr"/>
      <c r="L1997" t="inlineStr"/>
      <c r="M1997" t="inlineStr"/>
      <c r="N1997" t="inlineStr"/>
      <c r="O1997">
        <f>(1-Summary!$B$11)*T1997+Summary!$B$11*V1997</f>
        <v/>
      </c>
      <c r="P1997">
        <f>IF(B2018=0,0,O1997/B2018)</f>
        <v/>
      </c>
      <c r="Q1997" t="n">
        <v>0</v>
      </c>
      <c r="R1997" t="n">
        <v>0</v>
      </c>
      <c r="S1997">
        <f>IFERROR(O1997/N1997,0)</f>
        <v/>
      </c>
      <c r="T1997" t="n">
        <v>0</v>
      </c>
      <c r="V1997" t="n">
        <v>0</v>
      </c>
    </row>
    <row r="1998">
      <c r="A1998">
        <f>Skills!A16</f>
        <v/>
      </c>
      <c r="B1998">
        <f>Skills!B16</f>
        <v/>
      </c>
      <c r="C1998">
        <f>Inputs!$B$3&gt;=15</f>
        <v/>
      </c>
      <c r="D1998">
        <f>IF(Skills!C16=1,60+Inputs!$B$25+Inputs!$B$29,IF(Skills!C16=2,90+Inputs!$B$26+Inputs!$B$29,IF(Skills!C16=3,120+Inputs!$B$27+Inputs!$B$29,MAX(0,(Inputs!$B$3-100)*3)+Inputs!$B$28+Inputs!$B$29)))</f>
        <v/>
      </c>
      <c r="E1998">
        <f>INDEX(FactorTable!$B$2:$Y$301, MATCH(ROUND(MIN(300,MAX(1,D1998)),0), FactorTable!$A$2:$A$301,0), Skills!M16+1)</f>
        <v/>
      </c>
      <c r="F1998">
        <f>IF(Skills!N16=TRUE,(Skills!L16/10)*(E1998/1000),Skills!L16/10)+Skills!O16</f>
        <v/>
      </c>
      <c r="G1998">
        <f>Skills!G16*IF(Skills!H16&gt;0,Skills!I16/Skills!H16,1)</f>
        <v/>
      </c>
      <c r="H1998">
        <f>1-(1-Skills!J16/100)^Skills!K16</f>
        <v/>
      </c>
      <c r="I1998" t="inlineStr">
        <is>
          <t>1</t>
        </is>
      </c>
      <c r="J1998" t="inlineStr"/>
      <c r="K1998" t="inlineStr"/>
      <c r="L1998" t="inlineStr"/>
      <c r="M1998" t="inlineStr"/>
      <c r="N1998" t="inlineStr"/>
      <c r="O1998">
        <f>(1-Summary!$B$11)*T1998+Summary!$B$11*V1998</f>
        <v/>
      </c>
      <c r="P1998">
        <f>IF(B2018=0,0,O1998/B2018)</f>
        <v/>
      </c>
      <c r="Q1998" t="n">
        <v>0</v>
      </c>
      <c r="R1998" t="n">
        <v>0</v>
      </c>
      <c r="S1998">
        <f>IFERROR(O1998/N1998,0)</f>
        <v/>
      </c>
      <c r="T1998" t="n">
        <v>0</v>
      </c>
      <c r="V1998" t="n">
        <v>0</v>
      </c>
    </row>
    <row r="1999">
      <c r="A1999">
        <f>Skills!A17</f>
        <v/>
      </c>
      <c r="B1999">
        <f>Skills!B17</f>
        <v/>
      </c>
      <c r="C1999">
        <f>Inputs!$B$3&gt;=10</f>
        <v/>
      </c>
      <c r="D1999">
        <f>IF(Skills!C17=1,60+Inputs!$B$25+Inputs!$B$29,IF(Skills!C17=2,90+Inputs!$B$26+Inputs!$B$29,IF(Skills!C17=3,120+Inputs!$B$27+Inputs!$B$29,MAX(0,(Inputs!$B$3-100)*3)+Inputs!$B$28+Inputs!$B$29)))</f>
        <v/>
      </c>
      <c r="E1999">
        <f>INDEX(FactorTable!$B$2:$Y$301, MATCH(ROUND(MIN(300,MAX(1,D1999)),0), FactorTable!$A$2:$A$301,0), Skills!M17+1)</f>
        <v/>
      </c>
      <c r="F1999">
        <f>IF(Skills!N17=TRUE,(Skills!L17/10)*(E1999/1000),Skills!L17/10)+Skills!O17</f>
        <v/>
      </c>
      <c r="G1999">
        <f>Skills!G17*IF(Skills!H17&gt;0,Skills!I17/Skills!H17,1)</f>
        <v/>
      </c>
      <c r="H1999">
        <f>1-(1-Skills!J17/100)^Skills!K17</f>
        <v/>
      </c>
      <c r="I1999" t="inlineStr">
        <is>
          <t>1</t>
        </is>
      </c>
      <c r="J1999" t="inlineStr"/>
      <c r="K1999" t="inlineStr"/>
      <c r="L1999" t="inlineStr"/>
      <c r="M1999" t="inlineStr"/>
      <c r="N1999" t="inlineStr"/>
      <c r="O1999">
        <f>(1-Summary!$B$11)*T1999+Summary!$B$11*V1999</f>
        <v/>
      </c>
      <c r="P1999">
        <f>IF(B2018=0,0,O1999/B2018)</f>
        <v/>
      </c>
      <c r="Q1999" t="n">
        <v>0</v>
      </c>
      <c r="R1999" t="n">
        <v>0</v>
      </c>
      <c r="S1999">
        <f>IFERROR(O1999/N1999,0)</f>
        <v/>
      </c>
      <c r="T1999" t="n">
        <v>0</v>
      </c>
      <c r="V1999" t="n">
        <v>0</v>
      </c>
    </row>
    <row r="2000">
      <c r="A2000">
        <f>Skills!A18</f>
        <v/>
      </c>
      <c r="B2000">
        <f>Skills!B18</f>
        <v/>
      </c>
      <c r="C2000">
        <f>Inputs!$B$3&gt;=33</f>
        <v/>
      </c>
      <c r="D2000">
        <f>IF(Skills!C18=1,60+Inputs!$B$25+Inputs!$B$29,IF(Skills!C18=2,90+Inputs!$B$26+Inputs!$B$29,IF(Skills!C18=3,120+Inputs!$B$27+Inputs!$B$29,MAX(0,(Inputs!$B$3-100)*3)+Inputs!$B$28+Inputs!$B$29)))</f>
        <v/>
      </c>
      <c r="E2000">
        <f>INDEX(FactorTable!$B$2:$Y$301, MATCH(ROUND(MIN(300,MAX(1,D2000)),0), FactorTable!$A$2:$A$301,0), Skills!M18+1)</f>
        <v/>
      </c>
      <c r="F2000">
        <f>IF(Skills!N18=TRUE,(Skills!L18/10)*(E2000/1000),Skills!L18/10)+Skills!O18</f>
        <v/>
      </c>
      <c r="G2000">
        <f>Skills!G18*IF(Skills!H18&gt;0,Skills!I18/Skills!H18,1)</f>
        <v/>
      </c>
      <c r="H2000">
        <f>1-(1-Skills!J18/100)^Skills!K18</f>
        <v/>
      </c>
      <c r="I2000" t="inlineStr">
        <is>
          <t>1</t>
        </is>
      </c>
      <c r="J2000" t="inlineStr"/>
      <c r="K2000" t="inlineStr"/>
      <c r="L2000" t="inlineStr"/>
      <c r="M2000" t="inlineStr"/>
      <c r="N2000" t="inlineStr"/>
      <c r="O2000">
        <f>(1-Summary!$B$11)*T2000+Summary!$B$11*V2000</f>
        <v/>
      </c>
      <c r="P2000">
        <f>IF(B2018=0,0,O2000/B2018)</f>
        <v/>
      </c>
      <c r="Q2000" t="n">
        <v>0</v>
      </c>
      <c r="R2000" t="n">
        <v>0</v>
      </c>
      <c r="S2000">
        <f>IFERROR(O2000/N2000,0)</f>
        <v/>
      </c>
      <c r="T2000" t="n">
        <v>0</v>
      </c>
      <c r="V2000" t="n">
        <v>0</v>
      </c>
    </row>
    <row r="2001">
      <c r="A2001">
        <f>Skills!A19</f>
        <v/>
      </c>
      <c r="B2001">
        <f>Skills!B19</f>
        <v/>
      </c>
      <c r="C2001">
        <f>Inputs!$B$3&gt;=40</f>
        <v/>
      </c>
      <c r="D2001">
        <f>IF(Skills!C19=1,60+Inputs!$B$25+Inputs!$B$29,IF(Skills!C19=2,90+Inputs!$B$26+Inputs!$B$29,IF(Skills!C19=3,120+Inputs!$B$27+Inputs!$B$29,MAX(0,(Inputs!$B$3-100)*3)+Inputs!$B$28+Inputs!$B$29)))</f>
        <v/>
      </c>
      <c r="E2001">
        <f>INDEX(FactorTable!$B$2:$Y$301, MATCH(ROUND(MIN(300,MAX(1,D2001)),0), FactorTable!$A$2:$A$301,0), Skills!M19+1)</f>
        <v/>
      </c>
      <c r="F2001">
        <f>IF(Skills!N19=TRUE,(Skills!L19/10)*(E2001/1000),Skills!L19/10)+Skills!O19</f>
        <v/>
      </c>
      <c r="G2001">
        <f>Skills!G19*IF(Skills!H19&gt;0,Skills!I19/Skills!H19,1)</f>
        <v/>
      </c>
      <c r="H2001">
        <f>1-(1-Skills!J19/100)^Skills!K19</f>
        <v/>
      </c>
      <c r="I2001" t="inlineStr">
        <is>
          <t>1</t>
        </is>
      </c>
      <c r="J2001" t="inlineStr"/>
      <c r="K2001" t="inlineStr"/>
      <c r="L2001" t="inlineStr"/>
      <c r="M2001" t="inlineStr"/>
      <c r="N2001" t="inlineStr"/>
      <c r="O2001">
        <f>(1-Summary!$B$11)*T2001+Summary!$B$11*V2001</f>
        <v/>
      </c>
      <c r="P2001">
        <f>IF(B2018=0,0,O2001/B2018)</f>
        <v/>
      </c>
      <c r="Q2001" t="n">
        <v>0</v>
      </c>
      <c r="R2001" t="n">
        <v>0</v>
      </c>
      <c r="S2001">
        <f>IFERROR(O2001/N2001,0)</f>
        <v/>
      </c>
      <c r="T2001" t="n">
        <v>0</v>
      </c>
      <c r="V2001" t="n">
        <v>0</v>
      </c>
    </row>
    <row r="2002">
      <c r="A2002">
        <f>Skills!A20</f>
        <v/>
      </c>
      <c r="B2002">
        <f>Skills!B20</f>
        <v/>
      </c>
      <c r="C2002">
        <f>Inputs!$B$3&gt;=43</f>
        <v/>
      </c>
      <c r="D2002">
        <f>IF(Skills!C20=1,60+Inputs!$B$25+Inputs!$B$29,IF(Skills!C20=2,90+Inputs!$B$26+Inputs!$B$29,IF(Skills!C20=3,120+Inputs!$B$27+Inputs!$B$29,MAX(0,(Inputs!$B$3-100)*3)+Inputs!$B$28+Inputs!$B$29)))</f>
        <v/>
      </c>
      <c r="E2002">
        <f>INDEX(FactorTable!$B$2:$Y$301, MATCH(ROUND(MIN(300,MAX(1,D2002)),0), FactorTable!$A$2:$A$301,0), Skills!M20+1)</f>
        <v/>
      </c>
      <c r="F2002">
        <f>IF(Skills!N20=TRUE,(Skills!L20/10)*(E2002/1000),Skills!L20/10)+Skills!O20</f>
        <v/>
      </c>
      <c r="G2002">
        <f>Skills!G20*IF(Skills!H20&gt;0,Skills!I20/Skills!H20,1)</f>
        <v/>
      </c>
      <c r="H2002">
        <f>1-(1-Skills!J20/100)^Skills!K20</f>
        <v/>
      </c>
      <c r="I2002" t="inlineStr">
        <is>
          <t>1</t>
        </is>
      </c>
      <c r="J2002" t="inlineStr"/>
      <c r="K2002" t="inlineStr"/>
      <c r="L2002" t="inlineStr"/>
      <c r="M2002" t="inlineStr"/>
      <c r="N2002" t="inlineStr"/>
      <c r="O2002">
        <f>(1-Summary!$B$11)*T2002+Summary!$B$11*V2002</f>
        <v/>
      </c>
      <c r="P2002">
        <f>IF(B2018=0,0,O2002/B2018)</f>
        <v/>
      </c>
      <c r="Q2002" t="n">
        <v>0</v>
      </c>
      <c r="R2002" t="n">
        <v>0</v>
      </c>
      <c r="S2002">
        <f>IFERROR(O2002/N2002,0)</f>
        <v/>
      </c>
      <c r="T2002" t="n">
        <v>0</v>
      </c>
      <c r="V2002" t="n">
        <v>0</v>
      </c>
    </row>
    <row r="2003">
      <c r="A2003">
        <f>Skills!A21</f>
        <v/>
      </c>
      <c r="B2003">
        <f>Skills!B21</f>
        <v/>
      </c>
      <c r="C2003">
        <f>Inputs!$B$3&gt;=38</f>
        <v/>
      </c>
      <c r="D2003">
        <f>IF(Skills!C21=1,60+Inputs!$B$25+Inputs!$B$29,IF(Skills!C21=2,90+Inputs!$B$26+Inputs!$B$29,IF(Skills!C21=3,120+Inputs!$B$27+Inputs!$B$29,MAX(0,(Inputs!$B$3-100)*3)+Inputs!$B$28+Inputs!$B$29)))</f>
        <v/>
      </c>
      <c r="E2003">
        <f>INDEX(FactorTable!$B$2:$Y$301, MATCH(ROUND(MIN(300,MAX(1,D2003)),0), FactorTable!$A$2:$A$301,0), Skills!M21+1)</f>
        <v/>
      </c>
      <c r="F2003">
        <f>IF(Skills!N21=TRUE,(Skills!L21/10)*(E2003/1000),Skills!L21/10)+Skills!O21</f>
        <v/>
      </c>
      <c r="G2003">
        <f>Skills!G21*IF(Skills!H21&gt;0,Skills!I21/Skills!H21,1)</f>
        <v/>
      </c>
      <c r="H2003">
        <f>1-(1-Skills!J21/100)^Skills!K21</f>
        <v/>
      </c>
      <c r="I2003" t="inlineStr">
        <is>
          <t>1</t>
        </is>
      </c>
      <c r="J2003" t="inlineStr"/>
      <c r="K2003" t="inlineStr"/>
      <c r="L2003" t="inlineStr"/>
      <c r="M2003" t="inlineStr"/>
      <c r="N2003" t="inlineStr"/>
      <c r="O2003">
        <f>(1-Summary!$B$11)*T2003+Summary!$B$11*V2003</f>
        <v/>
      </c>
      <c r="P2003">
        <f>IF(B2018=0,0,O2003/B2018)</f>
        <v/>
      </c>
      <c r="Q2003" t="n">
        <v>0</v>
      </c>
      <c r="R2003" t="n">
        <v>0</v>
      </c>
      <c r="S2003">
        <f>IFERROR(O2003/N2003,0)</f>
        <v/>
      </c>
      <c r="T2003" t="n">
        <v>0</v>
      </c>
      <c r="V2003" t="n">
        <v>0</v>
      </c>
    </row>
    <row r="2004">
      <c r="A2004">
        <f>Skills!A22</f>
        <v/>
      </c>
      <c r="B2004">
        <f>Skills!B22</f>
        <v/>
      </c>
      <c r="C2004">
        <f>Inputs!$B$3&gt;=75</f>
        <v/>
      </c>
      <c r="D2004">
        <f>IF(Skills!C22=1,60+Inputs!$B$25+Inputs!$B$29,IF(Skills!C22=2,90+Inputs!$B$26+Inputs!$B$29,IF(Skills!C22=3,120+Inputs!$B$27+Inputs!$B$29,MAX(0,(Inputs!$B$3-100)*3)+Inputs!$B$28+Inputs!$B$29)))</f>
        <v/>
      </c>
      <c r="E2004">
        <f>INDEX(FactorTable!$B$2:$Y$301, MATCH(ROUND(MIN(300,MAX(1,D2004)),0), FactorTable!$A$2:$A$301,0), Skills!M22+1)</f>
        <v/>
      </c>
      <c r="F2004">
        <f>IF(Skills!N22=TRUE,(Skills!L22/10)*(E2004/1000),Skills!L22/10)+Skills!O22</f>
        <v/>
      </c>
      <c r="G2004">
        <f>Skills!G22*IF(Skills!H22&gt;0,Skills!I22/Skills!H22,1)</f>
        <v/>
      </c>
      <c r="H2004">
        <f>1-(1-Skills!J22/100)^Skills!K22</f>
        <v/>
      </c>
      <c r="I2004" t="inlineStr">
        <is>
          <t>1</t>
        </is>
      </c>
      <c r="J2004" t="inlineStr"/>
      <c r="K2004" t="inlineStr"/>
      <c r="L2004" t="inlineStr"/>
      <c r="M2004" t="inlineStr"/>
      <c r="N2004" t="inlineStr"/>
      <c r="O2004">
        <f>(1-Summary!$B$11)*T2004+Summary!$B$11*V2004</f>
        <v/>
      </c>
      <c r="P2004">
        <f>IF(B2018=0,0,O2004/B2018)</f>
        <v/>
      </c>
      <c r="Q2004" t="n">
        <v>0</v>
      </c>
      <c r="R2004" t="n">
        <v>0</v>
      </c>
      <c r="S2004">
        <f>IFERROR(O2004/N2004,0)</f>
        <v/>
      </c>
      <c r="T2004" t="n">
        <v>0</v>
      </c>
      <c r="V2004" t="n">
        <v>0</v>
      </c>
    </row>
    <row r="2005">
      <c r="A2005">
        <f>Skills!A23</f>
        <v/>
      </c>
      <c r="B2005">
        <f>Skills!B23</f>
        <v/>
      </c>
      <c r="C2005">
        <f>TRUE</f>
        <v/>
      </c>
      <c r="D2005">
        <f>IF(Skills!C23=1,60+Inputs!$B$25+Inputs!$B$29,IF(Skills!C23=2,90+Inputs!$B$26+Inputs!$B$29,IF(Skills!C23=3,120+Inputs!$B$27+Inputs!$B$29,MAX(0,(Inputs!$B$3-100)*3)+Inputs!$B$28+Inputs!$B$29)))</f>
        <v/>
      </c>
      <c r="E2005">
        <f>INDEX(FactorTable!$B$2:$Y$301, MATCH(ROUND(MIN(300,MAX(1,D2005)),0), FactorTable!$A$2:$A$301,0), Skills!M23+1)</f>
        <v/>
      </c>
      <c r="F2005">
        <f>IF(Skills!N23=TRUE,(Skills!L23/10)*(E2005/1000),Skills!L23/10)+Skills!O23</f>
        <v/>
      </c>
      <c r="G2005">
        <f>Skills!G23*IF(Skills!H23&gt;0,Skills!I23/Skills!H23,1)</f>
        <v/>
      </c>
      <c r="H2005">
        <f>1-(1-Skills!J23/100)^Skills!K23</f>
        <v/>
      </c>
      <c r="I2005" t="inlineStr">
        <is>
          <t>1</t>
        </is>
      </c>
      <c r="J2005" t="inlineStr"/>
      <c r="K2005" t="inlineStr"/>
      <c r="L2005" t="inlineStr"/>
      <c r="M2005" t="inlineStr"/>
      <c r="N2005" t="inlineStr"/>
      <c r="O2005">
        <f>(1-Summary!$B$11)*T2005+Summary!$B$11*V2005</f>
        <v/>
      </c>
      <c r="P2005">
        <f>IF(B2018=0,0,O2005/B2018)</f>
        <v/>
      </c>
      <c r="Q2005">
        <f>IFERROR(1/(IF(Inputs!$B$38="pvp",15,MAX(0.1,Skills!D23-IF(Skills!E23=TRUE,Inputs!$B$32,0)))*(1-IF(AND(ArtifactsInput!$M$27,Inputs!$B$4="Chapter Hunt"),CHOOSE(ArtifactsInput!$N$27+1,20,24,28,32,36,40),0)/100)),0)</f>
        <v/>
      </c>
      <c r="R2005">
        <f>IF(AND(Inputs!$B$38&lt;&gt;"pvp",Inputs!$B$43&gt;0),IF(Inputs!$B$43&lt;=0,0,(INT(Inputs!$B$43/(IF(Inputs!$B$38="pvp",15,MAX(0.1,Skills!D23-IF(Skills!E23=TRUE,Inputs!$B$32,0)))*(1-IF(AND(ArtifactsInput!$M$27,Inputs!$B$4="Chapter Hunt"),CHOOSE(ArtifactsInput!$N$27+1,20,24,28,32,36,40),0)/100)))+1)),0)</f>
        <v/>
      </c>
      <c r="S2005">
        <f>IFERROR(O2005/N2005,0)</f>
        <v/>
      </c>
      <c r="T2005" t="n">
        <v>0</v>
      </c>
      <c r="V2005" t="n">
        <v>0</v>
      </c>
    </row>
    <row r="2007">
      <c r="A2007" t="inlineStr">
        <is>
          <t>Attack% Bucket Multiplier</t>
        </is>
      </c>
      <c r="B2007">
        <f>(1+(((C1995=TRUE)*F1995*5/7)+((C2001=TRUE)*(F2001-Calc!F19))+(IF(ArtifactsInput!$M$21,CHOOSE(ArtifactsInput!$N$21+1,25,30,35,40,45,50)*(IF(OR(Inputs!$B$4="Chapter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08">
      <c r="A2008" t="inlineStr">
        <is>
          <t>Global Crit Rate Bonus %</t>
        </is>
      </c>
      <c r="B2008" t="n">
        <v>0</v>
      </c>
    </row>
    <row r="2009">
      <c r="A2009" t="inlineStr">
        <is>
          <t>Attack Speed Buff Bonus % (Nimble Feet, duty-cycle averaged)</t>
        </is>
      </c>
      <c r="B2009">
        <f>((C2005=TRUE)*F2005*IF(AND(Inputs!$B$38&lt;&gt;"pvp",Inputs!$B$43&gt;0),(((R2005-1)*(Skills!T23*(1+Inputs!$B$34/100))+MIN((Skills!T23*(1+Inputs!$B$34/100)),MAX(0,Inputs!$B$43-((R2005-1)*Skills!D23))))/Inputs!$B$43),IF(Inputs!$B$38="pvp",MIN((Skills!T23*(1+Inputs!$B$34/100)),15)/15,(Skills!T23*(1+Inputs!$B$34/100))/Skills!D23)))</f>
        <v/>
      </c>
    </row>
    <row r="2010">
      <c r="A2010" t="inlineStr">
        <is>
          <t>Actions Per Second</t>
        </is>
      </c>
      <c r="B2010">
        <f>1+MIN(150,150*(1-(1-(Inputs!$B$11+((C1999=TRUE)*(F1999-Calc!F17))+((C2000=TRUE)*(F2000-Calc!F18)))/150)*(1-B2009/150)))/100</f>
        <v/>
      </c>
    </row>
    <row r="2011">
      <c r="A2011" t="inlineStr">
        <is>
          <t>Skill + Buff Cast Rate</t>
        </is>
      </c>
      <c r="B2011">
        <f>IF(AND(Inputs!$B$38&lt;&gt;"pvp",Inputs!$B$43&gt;0),SUMPRODUCT((Skills!E2:E23=TRUE)*(C1984:C2005=TRUE)*R1984:R2005*Skills!F2:F23)/Inputs!$B$43,SUMPRODUCT((Skills!E2:E23=TRUE)*(C1984:C2005=TRUE)*Q1984:Q2005*Skills!F2:F23))</f>
        <v/>
      </c>
    </row>
    <row r="2012">
      <c r="A2012" t="inlineStr">
        <is>
          <t>Hook Bomber Casts Per Second</t>
        </is>
      </c>
      <c r="B2012">
        <f>MAX(0,B2010-B2011)</f>
        <v/>
      </c>
    </row>
    <row r="2013">
      <c r="A2013" t="inlineStr">
        <is>
          <t>Global Critical Damage Bonus % (unused)</t>
        </is>
      </c>
      <c r="B2013" t="n">
        <v>0</v>
      </c>
    </row>
    <row r="2014">
      <c r="A2014" t="inlineStr">
        <is>
          <t>Global Final Damage Bonus % (Serpent Scale + Crossbones + Time Leap + Speed Infusion)</t>
        </is>
      </c>
      <c r="B2014">
        <f>((C1987=TRUE)*F1987*((10+IF(Inputs!$B$3&gt;=94,5,0))/((10+IF(Inputs!$B$3&gt;=94,5,0))+5/(B2012*(1+IF(Inputs!$B$3&gt;=104,1,0))))))+((C1996=TRUE)*F1996)+((C1997=TRUE)*F1997)+((Inputs!$B$3&gt;=110)*20*(B2010-1))</f>
        <v/>
      </c>
    </row>
    <row r="2015">
      <c r="A2015" t="inlineStr">
        <is>
          <t>Buff-Casting Startup Delay (s, fixed-duration only)</t>
        </is>
      </c>
      <c r="B2015">
        <f>IF(AND(Inputs!$B$38&lt;&gt;"pvp",Inputs!$B$43&gt;0),SUMPRODUCT((Skills!T2:T23&gt;0)*(Skills!E2:E23=TRUE)*(C1984:C2005=TRUE))/B2010,0)</f>
        <v/>
      </c>
    </row>
    <row r="2016">
      <c r="A2016" t="inlineStr">
        <is>
          <t>Boss-Only Total DPS (this block's swept value)</t>
        </is>
      </c>
      <c r="B2016">
        <f>SUM(T1984:T2005)</f>
        <v/>
      </c>
    </row>
    <row r="2017">
      <c r="A2017" t="inlineStr">
        <is>
          <t>Normal-Only Total DPS (this block's swept value)</t>
        </is>
      </c>
      <c r="B2017">
        <f>SUM(V1984:V2005)</f>
        <v/>
      </c>
    </row>
    <row r="2018">
      <c r="A2018" s="6" t="inlineStr">
        <is>
          <t>TOTAL DPS</t>
        </is>
      </c>
      <c r="B2018" s="6">
        <f>SUM(O1984:O2005)</f>
        <v/>
      </c>
    </row>
    <row r="2021">
      <c r="A2021" s="6" t="inlineStr">
        <is>
          <t>Stat: Icy Soul Rock (Equip)</t>
        </is>
      </c>
    </row>
    <row r="2022">
      <c r="A2022" s="5" t="inlineStr">
        <is>
          <t>Key</t>
        </is>
      </c>
      <c r="B2022" s="5" t="inlineStr">
        <is>
          <t>Name</t>
        </is>
      </c>
      <c r="C2022" s="5" t="inlineStr">
        <is>
          <t>Unlocked</t>
        </is>
      </c>
      <c r="D2022" s="5" t="inlineStr">
        <is>
          <t>InputLevel</t>
        </is>
      </c>
      <c r="E2022" s="5" t="inlineStr">
        <is>
          <t>Factor</t>
        </is>
      </c>
      <c r="F2022" s="5" t="inlineStr">
        <is>
          <t>CoefficientPercent</t>
        </is>
      </c>
      <c r="G2022" s="5" t="inlineStr">
        <is>
          <t>EffectiveHits</t>
        </is>
      </c>
      <c r="H2022" s="5" t="inlineStr">
        <is>
          <t>ProcProbability</t>
        </is>
      </c>
      <c r="I2022" s="5" t="inlineStr">
        <is>
          <t>MapleHeroMultiplier</t>
        </is>
      </c>
      <c r="J2022" s="5" t="inlineStr">
        <is>
          <t>BaseDamage</t>
        </is>
      </c>
      <c r="K2022" s="5" t="inlineStr">
        <is>
          <t>BaseHitDamage</t>
        </is>
      </c>
      <c r="L2022" s="5" t="inlineStr">
        <is>
          <t>NonCritAvg</t>
        </is>
      </c>
      <c r="M2022" s="5" t="inlineStr">
        <is>
          <t>CritAvg</t>
        </is>
      </c>
      <c r="N2022" s="5" t="inlineStr">
        <is>
          <t>ExpectedDamage(perHit)</t>
        </is>
      </c>
      <c r="O2022" s="5" t="inlineStr">
        <is>
          <t>DPS</t>
        </is>
      </c>
      <c r="P2022" s="5" t="inlineStr">
        <is>
          <t>% of Total</t>
        </is>
      </c>
      <c r="Q2022" s="5" t="inlineStr">
        <is>
          <t>InvCooldown</t>
        </is>
      </c>
      <c r="R2022" s="5" t="inlineStr">
        <is>
          <t>CastsInFight</t>
        </is>
      </c>
      <c r="S2022" s="5" t="inlineStr">
        <is>
          <t>HitRate(perSec)</t>
        </is>
      </c>
      <c r="U2022" t="inlineStr">
        <is>
          <t>helpers</t>
        </is>
      </c>
    </row>
    <row r="2023">
      <c r="A2023">
        <f>Skills!A2</f>
        <v/>
      </c>
      <c r="B2023">
        <f>Skills!B2</f>
        <v/>
      </c>
      <c r="C2023">
        <f>Inputs!$B$3&gt;=100</f>
        <v/>
      </c>
      <c r="D2023" t="inlineStr"/>
      <c r="E2023" t="inlineStr"/>
      <c r="F2023">
        <f>U2025+Skills!O2</f>
        <v/>
      </c>
      <c r="G2023">
        <f>Skills!G2*IF(Skills!H2&gt;0,Skills!I2/Skills!H2,1)</f>
        <v/>
      </c>
      <c r="H2023">
        <f>1-(1-Skills!J2/100)^Skills!K2</f>
        <v/>
      </c>
      <c r="I2023" t="inlineStr">
        <is>
          <t>1</t>
        </is>
      </c>
      <c r="J2023">
        <f>((Inputs!$B$6*(1+Inputs!$B$7/100))+(((Inputs!$B$12*(1+Inputs!$B$13/100))-(Inputs!$B$12*(1+Inputs!$B$13/100)))+0.25*(Inputs!$B$14-Inputs!$B$14))*(1+Inputs!$B$7/100))*(F2023/100)</f>
        <v/>
      </c>
      <c r="K2023">
        <f>J2023*(1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2023)</f>
        <v/>
      </c>
      <c r="L2023">
        <f>K2023*(MIN(Inputs!$B$22+((C2041=TRUE)*(F2041-Calc!F20)),(Inputs!$B$23+0+(IF(ArtifactsInput!$M$15,CHOOSE(ArtifactsInput!$N$15+1,25,30,35,40,45,50)/100*(Inputs!$B$11-Inputs!$B$11),0))))/100+(Inputs!$B$23+0+(IF(ArtifactsInput!$M$15,CHOOSE(ArtifactsInput!$N$15+1,25,30,35,40,45,50)/100*(Inputs!$B$11-Inputs!$B$11),0)))/100)/2</f>
        <v/>
      </c>
      <c r="M2023">
        <f>L2023*(1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3">
        <f>L2023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2023*(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3">
        <f>(1-Summary!$B$11)*T2023+Summary!$B$11*V2023</f>
        <v/>
      </c>
      <c r="P2023">
        <f>IF(B2057=0,0,O2023/B2057)</f>
        <v/>
      </c>
      <c r="Q2023" t="n">
        <v>0</v>
      </c>
      <c r="R2023" t="n">
        <v>0</v>
      </c>
      <c r="S2023">
        <f>IFERROR(O2023/N2023,0)</f>
        <v/>
      </c>
      <c r="T2023">
        <f>IF(C2023,(Skills!G2*N2023*B2051)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3">
        <f>MAX(0,(Inputs!$B$3-100)*3)+Inputs!$B$28+Inputs!$B$29</f>
        <v/>
      </c>
      <c r="V2023">
        <f>IF(C2023,(Skills!G2*N2023*B2051)*IF(Inputs!$B$38="pvp",1,(1+(Inputs!$B$21+Skills!Q2+(IF(ArtifactsInput!$M$33,CHOOSE(ArtifactsInput!$N$33+1,30,36,42,48,54,60),0))+(IF(AND(ArtifactsInput!$M$35,Inputs!$B$4&lt;&gt;"Chapter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4">
      <c r="A2024">
        <f>Skills!A3</f>
        <v/>
      </c>
      <c r="B2024">
        <f>Skills!B3</f>
        <v/>
      </c>
      <c r="C2024">
        <f>Inputs!$B$3&gt;=35</f>
        <v/>
      </c>
      <c r="D2024">
        <f>IF(Skills!C3=1,60+Inputs!$B$25+Inputs!$B$29,IF(Skills!C3=2,90+Inputs!$B$26+Inputs!$B$29,IF(Skills!C3=3,120+Inputs!$B$27+Inputs!$B$29,MAX(0,(Inputs!$B$3-100)*3)+Inputs!$B$28+Inputs!$B$29)))</f>
        <v/>
      </c>
      <c r="E2024">
        <f>INDEX(FactorTable!$B$2:$Y$301, MATCH(ROUND(MIN(300,MAX(1,D2024)),0), FactorTable!$A$2:$A$301,0), Skills!M3+1)</f>
        <v/>
      </c>
      <c r="F2024">
        <f>IF(Skills!N3=TRUE,(Skills!L3/10)*(E2024/1000),Skills!L3/10)+Skills!O3</f>
        <v/>
      </c>
      <c r="G2024">
        <f>Skills!G3*IF(Skills!H3&gt;0,Skills!I3/Skills!H3,1)</f>
        <v/>
      </c>
      <c r="H2024">
        <f>1-(1-Skills!J3/100)^Skills!K3</f>
        <v/>
      </c>
      <c r="I2024" t="inlineStr">
        <is>
          <t>1</t>
        </is>
      </c>
      <c r="J2024">
        <f>((Inputs!$B$6*(1+Inputs!$B$7/100))+(((Inputs!$B$12*(1+Inputs!$B$13/100))-(Inputs!$B$12*(1+Inputs!$B$13/100)))+0.25*(Inputs!$B$14-Inputs!$B$14))*(1+Inputs!$B$7/100))*(F2024/100)</f>
        <v/>
      </c>
      <c r="K2024">
        <f>J2024*(1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2024)</f>
        <v/>
      </c>
      <c r="L2024">
        <f>K2024*(MIN(Inputs!$B$22+((C2041=TRUE)*(F2041-Calc!F20)),(Inputs!$B$23+0+(IF(ArtifactsInput!$M$15,CHOOSE(ArtifactsInput!$N$15+1,25,30,35,40,45,50)/100*(Inputs!$B$11-Inputs!$B$11),0))))/100+(Inputs!$B$23+0+(IF(ArtifactsInput!$M$15,CHOOSE(ArtifactsInput!$N$15+1,25,30,35,40,45,50)/100*(Inputs!$B$11-Inputs!$B$11),0)))/100)/2</f>
        <v/>
      </c>
      <c r="M2024">
        <f>L2024*(1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4">
        <f>L2024*(1-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2024*(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4">
        <f>(1-Summary!$B$11)*T2024+Summary!$B$11*V2024</f>
        <v/>
      </c>
      <c r="P2024">
        <f>IF(B2057=0,0,O2024/B2057)</f>
        <v/>
      </c>
      <c r="Q2024" t="n">
        <v>0</v>
      </c>
      <c r="R2024" t="n">
        <v>0</v>
      </c>
      <c r="S2024">
        <f>IFERROR(O2024/N2024,0)</f>
        <v/>
      </c>
      <c r="T2024">
        <f>IF(C2024,(Skills!G3*H2024*N2024*B2051)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4">
        <f>INDEX(FactorTable!$B$2:$Y$301, MATCH(ROUND(MIN(300,MAX(1,U2023)),0), FactorTable!$A$2:$A$301,0), 22)</f>
        <v/>
      </c>
      <c r="V2024">
        <f>IF(C2024,(Skills!G3*H2024*N2024*B2051)*IF(Inputs!$B$38="pvp",1,(1+(Inputs!$B$21+Skills!Q3+(IF(ArtifactsInput!$M$33,CHOOSE(ArtifactsInput!$N$33+1,30,36,42,48,54,60),0))+(IF(AND(ArtifactsInput!$M$35,Inputs!$B$4&lt;&gt;"Chapter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5">
      <c r="A2025">
        <f>Skills!A4</f>
        <v/>
      </c>
      <c r="B2025">
        <f>Skills!B4</f>
        <v/>
      </c>
      <c r="C2025">
        <f>Inputs!$B$3&gt;=60</f>
        <v/>
      </c>
      <c r="D2025">
        <f>IF(Skills!C4=1,60+Inputs!$B$25+Inputs!$B$29,IF(Skills!C4=2,90+Inputs!$B$26+Inputs!$B$29,IF(Skills!C4=3,120+Inputs!$B$27+Inputs!$B$29,MAX(0,(Inputs!$B$3-100)*3)+Inputs!$B$28+Inputs!$B$29)))</f>
        <v/>
      </c>
      <c r="E2025">
        <f>INDEX(FactorTable!$B$2:$Y$301, MATCH(ROUND(MIN(300,MAX(1,D2025)),0), FactorTable!$A$2:$A$301,0), Skills!M4+1)</f>
        <v/>
      </c>
      <c r="F2025">
        <f>IF(Skills!N4=TRUE,(Skills!L4/10)*(E2025/1000),Skills!L4/10)+Skills!O4</f>
        <v/>
      </c>
      <c r="G2025">
        <f>Skills!G4*IF(Skills!H4&gt;0,Skills!I4/Skills!H4,1)</f>
        <v/>
      </c>
      <c r="H2025">
        <f>1-(1-Skills!J4/100)^Skills!K4</f>
        <v/>
      </c>
      <c r="I2025" t="inlineStr">
        <is>
          <t>1</t>
        </is>
      </c>
      <c r="J2025">
        <f>((Inputs!$B$6*(1+Inputs!$B$7/100))+(((Inputs!$B$12*(1+Inputs!$B$13/100))-(Inputs!$B$12*(1+Inputs!$B$13/100)))+0.25*(Inputs!$B$14-Inputs!$B$14))*(1+Inputs!$B$7/100))*(F2025/100)</f>
        <v/>
      </c>
      <c r="K2025">
        <f>J2025*(1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2033=TRUE,F2033,0)/100)*(1+(IF(Skills!A4="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C2041=TRUE)*(F2041-Calc!F20)),(Inputs!$B$23+0+(IF(ArtifactsInput!$M$15,CHOOSE(ArtifactsInput!$N$15+1,25,30,35,40,45,50)/100*(Inputs!$B$11-Inputs!$B$11),0))))/100+(Inputs!$B$23+0+(IF(ArtifactsInput!$M$15,CHOOSE(ArtifactsInput!$N$15+1,25,30,35,40,45,50)/100*(Inputs!$B$11-Inputs!$B$11),0)))/100)/2</f>
        <v/>
      </c>
      <c r="M2025">
        <f>L2025*(1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5">
        <f>L2025*(1-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(1-Summary!$B$11)*T2025+Summary!$B$11*V2025</f>
        <v/>
      </c>
      <c r="P2025">
        <f>IF(B2057=0,0,O2025/B2057)</f>
        <v/>
      </c>
      <c r="Q2025" t="n">
        <v>0</v>
      </c>
      <c r="R2025" t="n">
        <v>0</v>
      </c>
      <c r="S2025">
        <f>IFERROR(O2025/N2025,0)</f>
        <v/>
      </c>
      <c r="T2025">
        <f>IF(C2025,(Skills!G4*H2025*N2025*B2051)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290*U2024/1000</f>
        <v/>
      </c>
      <c r="V2025">
        <f>IF(C2025,(Skills!G4*H2025*N2025*B2051)*IF(Inputs!$B$38="pvp",1,(1+(Inputs!$B$21+Skills!Q4+(IF(ArtifactsInput!$M$33,CHOOSE(ArtifactsInput!$N$33+1,30,36,42,48,54,60),0))+(IF(AND(ArtifactsInput!$M$35,Inputs!$B$4&lt;&gt;"Chapter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Skills!A5</f>
        <v/>
      </c>
      <c r="B2026">
        <f>Skills!B5</f>
        <v/>
      </c>
      <c r="C2026">
        <f>Inputs!$B$3&gt;=60</f>
        <v/>
      </c>
      <c r="D2026">
        <f>IF(Skills!C5=1,60+Inputs!$B$25+Inputs!$B$29,IF(Skills!C5=2,90+Inputs!$B$26+Inputs!$B$29,IF(Skills!C5=3,120+Inputs!$B$27+Inputs!$B$29,MAX(0,(Inputs!$B$3-100)*3)+Inputs!$B$28+Inputs!$B$29)))</f>
        <v/>
      </c>
      <c r="E2026">
        <f>INDEX(FactorTable!$B$2:$Y$301, MATCH(ROUND(MIN(300,MAX(1,D2026)),0), FactorTable!$A$2:$A$301,0), Skills!M5+1)</f>
        <v/>
      </c>
      <c r="F2026">
        <f>IF(Skills!N5=TRUE,(Skills!L5/10)*(E2026/1000),Skills!L5/10)+Skills!O5</f>
        <v/>
      </c>
      <c r="G2026">
        <f>Skills!G5*IF(Skills!H5&gt;0,Skills!I5/Skills!H5,1)</f>
        <v/>
      </c>
      <c r="H2026">
        <f>1-(1-Skills!J5/100)^Skills!K5</f>
        <v/>
      </c>
      <c r="I2026" t="inlineStr">
        <is>
          <t>1</t>
        </is>
      </c>
      <c r="J2026" t="inlineStr"/>
      <c r="K2026" t="inlineStr"/>
      <c r="L2026" t="inlineStr"/>
      <c r="M2026" t="inlineStr"/>
      <c r="N2026" t="inlineStr"/>
      <c r="O2026">
        <f>(1-Summary!$B$11)*T2026+Summary!$B$11*V2026</f>
        <v/>
      </c>
      <c r="P2026">
        <f>IF(B2057=0,0,O2026/B2057)</f>
        <v/>
      </c>
      <c r="Q2026" t="n">
        <v>0</v>
      </c>
      <c r="R2026" t="n">
        <v>0</v>
      </c>
      <c r="S2026">
        <f>IFERROR(O2026/N2026,0)</f>
        <v/>
      </c>
      <c r="T2026" t="n">
        <v>0</v>
      </c>
      <c r="V2026" t="n">
        <v>0</v>
      </c>
    </row>
    <row r="2027">
      <c r="A2027">
        <f>Skills!A6</f>
        <v/>
      </c>
      <c r="B2027">
        <f>Skills!B6</f>
        <v/>
      </c>
      <c r="C2027">
        <f>Inputs!$B$3&gt;=63</f>
        <v/>
      </c>
      <c r="D2027">
        <f>IF(Skills!C6=1,60+Inputs!$B$25+Inputs!$B$29,IF(Skills!C6=2,90+Inputs!$B$26+Inputs!$B$29,IF(Skills!C6=3,120+Inputs!$B$27+Inputs!$B$29,MAX(0,(Inputs!$B$3-100)*3)+Inputs!$B$28+Inputs!$B$29)))</f>
        <v/>
      </c>
      <c r="E2027">
        <f>INDEX(FactorTable!$B$2:$Y$301, MATCH(ROUND(MIN(300,MAX(1,D2027)),0), FactorTable!$A$2:$A$301,0), Skills!M6+1)</f>
        <v/>
      </c>
      <c r="F2027">
        <f>IF(Skills!N6=TRUE,(Skills!L6/10)*(E2027/1000),Skills!L6/10)+Skills!O6</f>
        <v/>
      </c>
      <c r="G2027">
        <f>Skills!G6*IF(Skills!H6&gt;0,Skills!I6/Skills!H6,1)</f>
        <v/>
      </c>
      <c r="H2027">
        <f>1-(1-Skills!J6/100)^Skills!K6</f>
        <v/>
      </c>
      <c r="I2027" t="inlineStr">
        <is>
          <t>1</t>
        </is>
      </c>
      <c r="J2027">
        <f>((Inputs!$B$6*(1+Inputs!$B$7/100))+(((Inputs!$B$12*(1+Inputs!$B$13/100))-(Inputs!$B$12*(1+Inputs!$B$13/100)))+0.25*(Inputs!$B$14-Inputs!$B$14))*(1+Inputs!$B$7/100))*(F2027/100)</f>
        <v/>
      </c>
      <c r="K2027">
        <f>J2027*(1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C2041=TRUE)*(F2041-Calc!F20)),(Inputs!$B$23+0+(IF(ArtifactsInput!$M$15,CHOOSE(ArtifactsInput!$N$15+1,25,30,35,40,45,50)/100*(Inputs!$B$11-Inputs!$B$11),0))))/100+(Inputs!$B$23+0+(IF(ArtifactsInput!$M$15,CHOOSE(ArtifactsInput!$N$15+1,25,30,35,40,45,50)/100*(Inputs!$B$11-Inputs!$B$11),0)))/100)/2</f>
        <v/>
      </c>
      <c r="M2027">
        <f>L2027*(1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7">
        <f>L2027*(1-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(1-Summary!$B$11)*T2027+Summary!$B$11*V2027</f>
        <v/>
      </c>
      <c r="P2027">
        <f>IF(B2057=0,0,O2027/B2057)</f>
        <v/>
      </c>
      <c r="Q2027">
        <f>IFERROR(1/(IF(Inputs!$B$38="pvp",15,MAX(0.1,Skills!D6-IF(Skills!E6=TRUE,Inputs!$B$32,0)))*(1-IF(AND(ArtifactsInput!$M$27,Inputs!$B$4="Chapter Hunt"),CHOOSE(ArtifactsInput!$N$27+1,20,24,28,32,36,40),0)/100)),0)</f>
        <v/>
      </c>
      <c r="R2027">
        <f>IF(AND(Inputs!$B$38&lt;&gt;"pvp",Inputs!$B$43&gt;0),IF(MAX(0,Inputs!$B$43-B2054)&lt;=0,0,(INT(MAX(0,Inputs!$B$43-B2054)/(IF(Inputs!$B$38="pvp",15,MAX(0.1,Skills!D6-IF(Skills!E6=TRUE,Inputs!$B$32,0)))*(1-IF(AND(ArtifactsInput!$M$27,Inputs!$B$4="Chapter Hunt"),CHOOSE(ArtifactsInput!$N$27+1,20,24,28,32,36,40),0)/100)))+1)),0)</f>
        <v/>
      </c>
      <c r="S2027">
        <f>IFERROR(O2027/N2027,0)</f>
        <v/>
      </c>
      <c r="T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$21+Skills!Q6+(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Skills!A7</f>
        <v/>
      </c>
      <c r="B2028">
        <f>Skills!B7</f>
        <v/>
      </c>
      <c r="C2028">
        <f>Inputs!$B$3&gt;=100</f>
        <v/>
      </c>
      <c r="D2028">
        <f>IF(Skills!C7=1,60+Inputs!$B$25+Inputs!$B$29,IF(Skills!C7=2,90+Inputs!$B$26+Inputs!$B$29,IF(Skills!C7=3,120+Inputs!$B$27+Inputs!$B$29,MAX(0,(Inputs!$B$3-100)*3)+Inputs!$B$28+Inputs!$B$29)))</f>
        <v/>
      </c>
      <c r="E2028">
        <f>INDEX(FactorTable!$B$2:$Y$301, MATCH(ROUND(MIN(300,MAX(1,D2028)),0), FactorTable!$A$2:$A$301,0), Skills!M7+1)</f>
        <v/>
      </c>
      <c r="F2028">
        <f>IF(Skills!N7=TRUE,(Skills!L7/10)*(E2028/1000),Skills!L7/10)+Skills!O7</f>
        <v/>
      </c>
      <c r="G2028">
        <f>Skills!G7*IF(Skills!H7&gt;0,Skills!I7/Skills!H7,1)</f>
        <v/>
      </c>
      <c r="H2028">
        <f>1-(1-Skills!J7/100)^Skills!K7</f>
        <v/>
      </c>
      <c r="I2028" t="inlineStr">
        <is>
          <t>1</t>
        </is>
      </c>
      <c r="J2028">
        <f>((Inputs!$B$6*(1+Inputs!$B$7/100))+(((Inputs!$B$12*(1+Inputs!$B$13/100))-(Inputs!$B$12*(1+Inputs!$B$13/100)))+0.25*(Inputs!$B$14-Inputs!$B$14))*(1+Inputs!$B$7/100))*(F2028/100)</f>
        <v/>
      </c>
      <c r="K2028">
        <f>J2028*(1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C2041=TRUE)*(F2041-Calc!F20)),(Inputs!$B$23+0+(IF(ArtifactsInput!$M$15,CHOOSE(ArtifactsInput!$N$15+1,25,30,35,40,45,50)/100*(Inputs!$B$11-Inputs!$B$11),0))))/100+(Inputs!$B$23+0+(IF(ArtifactsInput!$M$15,CHOOSE(ArtifactsInput!$N$15+1,25,30,35,40,45,50)/100*(Inputs!$B$11-Inputs!$B$11),0)))/100)/2</f>
        <v/>
      </c>
      <c r="M2028">
        <f>L2028*(1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8">
        <f>L2028*(1-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(1-Summary!$B$11)*T2028+Summary!$B$11*V2028</f>
        <v/>
      </c>
      <c r="P2028">
        <f>IF(B2057=0,0,O2028/B2057)</f>
        <v/>
      </c>
      <c r="Q2028">
        <f>IFERROR(1/(IF(Inputs!$B$38="pvp",15,MAX(0.1,Skills!D7-IF(Skills!E7=TRUE,Inputs!$B$32,0)))*(1-IF(AND(ArtifactsInput!$M$27,Inputs!$B$4="Chapter Hunt"),CHOOSE(ArtifactsInput!$N$27+1,20,24,28,32,36,40),0)/100)),0)</f>
        <v/>
      </c>
      <c r="R2028">
        <f>IF(AND(Inputs!$B$38&lt;&gt;"pvp",Inputs!$B$43&gt;0),IF(MAX(0,Inputs!$B$43-B2054)&lt;=0,0,(INT(MAX(0,Inputs!$B$43-B2054)/(IF(Inputs!$B$38="pvp",15,MAX(0.1,Skills!D7-IF(Skills!E7=TRUE,Inputs!$B$32,0)))*(1-IF(AND(ArtifactsInput!$M$27,Inputs!$B$4="Chapter Hunt"),CHOOSE(ArtifactsInput!$N$27+1,20,24,28,32,36,40),0)/100)))+1)),0)</f>
        <v/>
      </c>
      <c r="S2028">
        <f>IFERROR(O2028/N2028,0)</f>
        <v/>
      </c>
      <c r="T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$21+Skills!Q7+(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Skills!A8</f>
        <v/>
      </c>
      <c r="B2029">
        <f>Skills!B8</f>
        <v/>
      </c>
      <c r="C2029">
        <f>Inputs!$B$3&gt;=110</f>
        <v/>
      </c>
      <c r="D2029">
        <f>IF(Skills!C8=1,60+Inputs!$B$25+Inputs!$B$29,IF(Skills!C8=2,90+Inputs!$B$26+Inputs!$B$29,IF(Skills!C8=3,120+Inputs!$B$27+Inputs!$B$29,MAX(0,(Inputs!$B$3-100)*3)+Inputs!$B$28+Inputs!$B$29)))</f>
        <v/>
      </c>
      <c r="E2029">
        <f>INDEX(FactorTable!$B$2:$Y$301, MATCH(ROUND(MIN(300,MAX(1,D2029)),0), FactorTable!$A$2:$A$301,0), Skills!M8+1)</f>
        <v/>
      </c>
      <c r="F2029">
        <f>IF(Skills!N8=TRUE,(Skills!L8/10)*(E2029/1000),Skills!L8/10)+Skills!O8</f>
        <v/>
      </c>
      <c r="G2029">
        <f>Skills!G8*IF(Skills!H8&gt;0,Skills!I8/Skills!H8,1)</f>
        <v/>
      </c>
      <c r="H2029">
        <f>1-(1-Skills!J8/100)^Skills!K8</f>
        <v/>
      </c>
      <c r="I2029" t="inlineStr">
        <is>
          <t>1</t>
        </is>
      </c>
      <c r="J2029">
        <f>((Inputs!$B$6*(1+Inputs!$B$7/100))+(((Inputs!$B$12*(1+Inputs!$B$13/100))-(Inputs!$B$12*(1+Inputs!$B$13/100)))+0.25*(Inputs!$B$14-Inputs!$B$14))*(1+Inputs!$B$7/100))*(F2029/100)</f>
        <v/>
      </c>
      <c r="K2029">
        <f>J2029*(1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C2041=TRUE)*(F2041-Calc!F20)),(Inputs!$B$23+0+(IF(ArtifactsInput!$M$15,CHOOSE(ArtifactsInput!$N$15+1,25,30,35,40,45,50)/100*(Inputs!$B$11-Inputs!$B$11),0))))/100+(Inputs!$B$23+0+(IF(ArtifactsInput!$M$15,CHOOSE(ArtifactsInput!$N$15+1,25,30,35,40,45,50)/100*(Inputs!$B$11-Inputs!$B$11),0)))/100)/2</f>
        <v/>
      </c>
      <c r="M2029">
        <f>L2029*(1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9">
        <f>L2029*(1-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(1-Summary!$B$11)*T2029+Summary!$B$11*V2029</f>
        <v/>
      </c>
      <c r="P2029">
        <f>IF(B2057=0,0,O2029/B2057)</f>
        <v/>
      </c>
      <c r="Q2029">
        <f>IFERROR(1/(IF(Inputs!$B$38="pvp",15,MAX(0.1,Skills!D8-IF(Skills!E8=TRUE,Inputs!$B$32,0)))*(1-IF(AND(ArtifactsInput!$M$27,Inputs!$B$4="Chapter Hunt"),CHOOSE(ArtifactsInput!$N$27+1,20,24,28,32,36,40),0)/100)),0)</f>
        <v/>
      </c>
      <c r="R2029">
        <f>IF(AND(Inputs!$B$38&lt;&gt;"pvp",Inputs!$B$43&gt;0),IF(MAX(0,Inputs!$B$43-B2054)&lt;=0,0,(INT(MAX(0,Inputs!$B$43-B2054)/(IF(Inputs!$B$38="pvp",15,MAX(0.1,Skills!D8-IF(Skills!E8=TRUE,Inputs!$B$32,0)))*(1-IF(AND(ArtifactsInput!$M$27,Inputs!$B$4="Chapter Hunt"),CHOOSE(ArtifactsInput!$N$27+1,20,24,28,32,36,40),0)/100)))+1)),0)</f>
        <v/>
      </c>
      <c r="S2029">
        <f>IFERROR(O2029/N2029,0)</f>
        <v/>
      </c>
      <c r="T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$21+Skills!Q8+(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Skills!A9</f>
        <v/>
      </c>
      <c r="B2030">
        <f>Skills!B9</f>
        <v/>
      </c>
      <c r="C2030">
        <f>Inputs!$B$3&gt;=110</f>
        <v/>
      </c>
      <c r="D2030">
        <f>IF(Skills!C9=1,60+Inputs!$B$25+Inputs!$B$29,IF(Skills!C9=2,90+Inputs!$B$26+Inputs!$B$29,IF(Skills!C9=3,120+Inputs!$B$27+Inputs!$B$29,MAX(0,(Inputs!$B$3-100)*3)+Inputs!$B$28+Inputs!$B$29)))</f>
        <v/>
      </c>
      <c r="E2030">
        <f>INDEX(FactorTable!$B$2:$Y$301, MATCH(ROUND(MIN(300,MAX(1,D2030)),0), FactorTable!$A$2:$A$301,0), Skills!M9+1)</f>
        <v/>
      </c>
      <c r="F2030">
        <f>IF(Skills!N9=TRUE,(Skills!L9/10)*(E2030/1000),Skills!L9/10)+Skills!O9</f>
        <v/>
      </c>
      <c r="G2030">
        <f>Skills!G9*IF(Skills!H9&gt;0,Skills!I9/Skills!H9,1)</f>
        <v/>
      </c>
      <c r="H2030">
        <f>1-(1-Skills!J9/100)^Skills!K9</f>
        <v/>
      </c>
      <c r="I2030" t="inlineStr">
        <is>
          <t>1</t>
        </is>
      </c>
      <c r="J2030">
        <f>((Inputs!$B$6*(1+Inputs!$B$7/100))+(((Inputs!$B$12*(1+Inputs!$B$13/100))-(Inputs!$B$12*(1+Inputs!$B$13/100)))+0.25*(Inputs!$B$14-Inputs!$B$14))*(1+Inputs!$B$7/100))*(F2030/100)</f>
        <v/>
      </c>
      <c r="K2030">
        <f>J2030*(1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C2041=TRUE)*(F2041-Calc!F20)),(Inputs!$B$23+0+(IF(ArtifactsInput!$M$15,CHOOSE(ArtifactsInput!$N$15+1,25,30,35,40,45,50)/100*(Inputs!$B$11-Inputs!$B$11),0))))/100+(Inputs!$B$23+0+(IF(ArtifactsInput!$M$15,CHOOSE(ArtifactsInput!$N$15+1,25,30,35,40,45,50)/100*(Inputs!$B$11-Inputs!$B$11),0)))/100)/2</f>
        <v/>
      </c>
      <c r="M2030">
        <f>L2030*(1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0">
        <f>L2030*(1-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(1-Summary!$B$11)*T2030+Summary!$B$11*V2030</f>
        <v/>
      </c>
      <c r="P2030">
        <f>IF(B2057=0,0,O2030/B2057)</f>
        <v/>
      </c>
      <c r="Q2030">
        <f>IFERROR(1/(IF(Inputs!$B$38="pvp",15,MAX(0.1,Skills!D9-IF(Skills!E9=TRUE,Inputs!$B$32,0)))*(1-IF(AND(ArtifactsInput!$M$27,Inputs!$B$4="Chapter Hunt"),CHOOSE(ArtifactsInput!$N$27+1,20,24,28,32,36,40),0)/100)),0)</f>
        <v/>
      </c>
      <c r="R2030">
        <f>IF(AND(Inputs!$B$38&lt;&gt;"pvp",Inputs!$B$43&gt;0),IF(MAX(0,Inputs!$B$43-B2054)&lt;=0,0,(INT(MAX(0,Inputs!$B$43-B2054)/(IF(Inputs!$B$38="pvp",15,MAX(0.1,Skills!D9-IF(Skills!E9=TRUE,Inputs!$B$32,0)))*(1-IF(AND(ArtifactsInput!$M$27,Inputs!$B$4="Chapter Hunt"),CHOOSE(ArtifactsInput!$N$27+1,20,24,28,32,36,40),0)/100)))+1)),0)</f>
        <v/>
      </c>
      <c r="S2030">
        <f>IFERROR(O2030/N2030,0)</f>
        <v/>
      </c>
      <c r="T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$21+Skills!Q9+(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Skills!A10</f>
        <v/>
      </c>
      <c r="B2031">
        <f>Skills!B10</f>
        <v/>
      </c>
      <c r="C2031">
        <f>Inputs!$B$3&gt;=103</f>
        <v/>
      </c>
      <c r="D2031">
        <f>IF(Skills!C10=1,60+Inputs!$B$25+Inputs!$B$29,IF(Skills!C10=2,90+Inputs!$B$26+Inputs!$B$29,IF(Skills!C10=3,120+Inputs!$B$27+Inputs!$B$29,MAX(0,(Inputs!$B$3-100)*3)+Inputs!$B$28+Inputs!$B$29)))</f>
        <v/>
      </c>
      <c r="E2031">
        <f>INDEX(FactorTable!$B$2:$Y$301, MATCH(ROUND(MIN(300,MAX(1,D2031)),0), FactorTable!$A$2:$A$301,0), Skills!M10+1)</f>
        <v/>
      </c>
      <c r="F2031">
        <f>IF(Skills!N10=TRUE,(Skills!L10/10)*(E2031/1000),Skills!L10/10)+Skills!O10</f>
        <v/>
      </c>
      <c r="G2031">
        <f>Skills!G10*IF(Skills!H10&gt;0,Skills!I10/Skills!H10,1)</f>
        <v/>
      </c>
      <c r="H2031">
        <f>1-(1-Skills!J10/100)^Skills!K10</f>
        <v/>
      </c>
      <c r="I2031" t="inlineStr">
        <is>
          <t>1</t>
        </is>
      </c>
      <c r="J2031">
        <f>((Inputs!$B$6*(1+Inputs!$B$7/100))+(((Inputs!$B$12*(1+Inputs!$B$13/100))-(Inputs!$B$12*(1+Inputs!$B$13/100)))+0.25*(Inputs!$B$14-Inputs!$B$14))*(1+Inputs!$B$7/100))*(F2031/100)</f>
        <v/>
      </c>
      <c r="K2031">
        <f>J2031*(1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C2041=TRUE)*(F2041-Calc!F20)),(Inputs!$B$23+0+(IF(ArtifactsInput!$M$15,CHOOSE(ArtifactsInput!$N$15+1,25,30,35,40,45,50)/100*(Inputs!$B$11-Inputs!$B$11),0))))/100+(Inputs!$B$23+0+(IF(ArtifactsInput!$M$15,CHOOSE(ArtifactsInput!$N$15+1,25,30,35,40,45,50)/100*(Inputs!$B$11-Inputs!$B$11),0)))/100)/2</f>
        <v/>
      </c>
      <c r="M2031">
        <f>L2031*(1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1">
        <f>L2031*(1-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(1-Summary!$B$11)*T2031+Summary!$B$11*V2031</f>
        <v/>
      </c>
      <c r="P2031">
        <f>IF(B2057=0,0,O2031/B2057)</f>
        <v/>
      </c>
      <c r="Q2031">
        <f>IFERROR(1/(IF(Inputs!$B$38="pvp",15,MAX(0.1,Skills!D10-IF(Skills!E10=TRUE,Inputs!$B$32,0)))*(1-IF(AND(ArtifactsInput!$M$27,Inputs!$B$4="Chapter Hunt"),CHOOSE(ArtifactsInput!$N$27+1,20,24,28,32,36,40),0)/100)),0)</f>
        <v/>
      </c>
      <c r="R2031">
        <f>IF(AND(Inputs!$B$38&lt;&gt;"pvp",Inputs!$B$43&gt;0),IF(MAX(0,Inputs!$B$43-B2054)&lt;=0,0,(INT(MAX(0,Inputs!$B$43-B2054)/(IF(Inputs!$B$38="pvp",15,MAX(0.1,Skills!D10-IF(Skills!E10=TRUE,Inputs!$B$32,0)))*(1-IF(AND(ArtifactsInput!$M$27,Inputs!$B$4="Chapter Hunt"),CHOOSE(ArtifactsInput!$N$27+1,20,24,28,32,36,40),0)/100)))+1)),0)</f>
        <v/>
      </c>
      <c r="S2031">
        <f>IFERROR(O2031/N2031,0)</f>
        <v/>
      </c>
      <c r="T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$21+Skills!Q10+(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Skills!A11</f>
        <v/>
      </c>
      <c r="B2032">
        <f>Skills!B11</f>
        <v/>
      </c>
      <c r="C2032">
        <f>Inputs!$B$3&gt;=113</f>
        <v/>
      </c>
      <c r="D2032">
        <f>IF(Skills!C11=1,60+Inputs!$B$25+Inputs!$B$29,IF(Skills!C11=2,90+Inputs!$B$26+Inputs!$B$29,IF(Skills!C11=3,120+Inputs!$B$27+Inputs!$B$29,MAX(0,(Inputs!$B$3-100)*3)+Inputs!$B$28+Inputs!$B$29)))</f>
        <v/>
      </c>
      <c r="E2032">
        <f>INDEX(FactorTable!$B$2:$Y$301, MATCH(ROUND(MIN(300,MAX(1,D2032)),0), FactorTable!$A$2:$A$301,0), Skills!M11+1)</f>
        <v/>
      </c>
      <c r="F2032">
        <f>IF(Skills!N11=TRUE,(Skills!L11/10)*(E2032/1000),Skills!L11/10)+Skills!O11</f>
        <v/>
      </c>
      <c r="G2032">
        <f>Skills!G11*IF(Skills!H11&gt;0,Skills!I11/Skills!H11,1)</f>
        <v/>
      </c>
      <c r="H2032">
        <f>1-(1-Skills!J11/100)^Skills!K11</f>
        <v/>
      </c>
      <c r="I2032" t="inlineStr">
        <is>
          <t>1</t>
        </is>
      </c>
      <c r="J2032">
        <f>((Inputs!$B$6*(1+Inputs!$B$7/100))+(((Inputs!$B$12*(1+Inputs!$B$13/100))-(Inputs!$B$12*(1+Inputs!$B$13/100)))+0.25*(Inputs!$B$14-Inputs!$B$14))*(1+Inputs!$B$7/100))*(F2032/100)</f>
        <v/>
      </c>
      <c r="K2032">
        <f>J2032*(1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C2041=TRUE)*(F2041-Calc!F20)),(Inputs!$B$23+0+(IF(ArtifactsInput!$M$15,CHOOSE(ArtifactsInput!$N$15+1,25,30,35,40,45,50)/100*(Inputs!$B$11-Inputs!$B$11),0))))/100+(Inputs!$B$23+0+(IF(ArtifactsInput!$M$15,CHOOSE(ArtifactsInput!$N$15+1,25,30,35,40,45,50)/100*(Inputs!$B$11-Inputs!$B$11),0)))/100)/2</f>
        <v/>
      </c>
      <c r="M2032">
        <f>L2032*(1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(1-Summary!$B$11)*T2032+Summary!$B$11*V2032</f>
        <v/>
      </c>
      <c r="P2032">
        <f>IF(B2057=0,0,O2032/B2057)</f>
        <v/>
      </c>
      <c r="Q2032">
        <f>IFERROR(1/(IF(Inputs!$B$38="pvp",15,MAX(0.1,Skills!D11-IF(Skills!E11=TRUE,Inputs!$B$32,0)))*(1-IF(AND(ArtifactsInput!$M$27,Inputs!$B$4="Chapter Hunt"),CHOOSE(ArtifactsInput!$N$27+1,20,24,28,32,36,40),0)/100)),0)</f>
        <v/>
      </c>
      <c r="R2032">
        <f>IF(AND(Inputs!$B$38&lt;&gt;"pvp",Inputs!$B$43&gt;0),IF(MAX(0,Inputs!$B$43-B2054)&lt;=0,0,(INT(MAX(0,Inputs!$B$43-B2054)/(IF(Inputs!$B$38="pvp",15,MAX(0.1,Skills!D11-IF(Skills!E11=TRUE,Inputs!$B$32,0)))*(1-IF(AND(ArtifactsInput!$M$27,Inputs!$B$4="Chapter Hunt"),CHOOSE(ArtifactsInput!$N$27+1,20,24,28,32,36,40),0)/100)))+1)),0)</f>
        <v/>
      </c>
      <c r="S2032">
        <f>IFERROR(O2032/N2032,0)</f>
        <v/>
      </c>
      <c r="T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$21+Skills!Q11+(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Skills!A12</f>
        <v/>
      </c>
      <c r="B2033">
        <f>Skills!B12</f>
        <v/>
      </c>
      <c r="C2033">
        <f>Inputs!$B$3&gt;=100</f>
        <v/>
      </c>
      <c r="D2033">
        <f>IF(Skills!C12=1,60+Inputs!$B$25+Inputs!$B$29,IF(Skills!C12=2,90+Inputs!$B$26+Inputs!$B$29,IF(Skills!C12=3,120+Inputs!$B$27+Inputs!$B$29,MAX(0,(Inputs!$B$3-100)*3)+Inputs!$B$28+Inputs!$B$29)))</f>
        <v/>
      </c>
      <c r="E2033">
        <f>INDEX(FactorTable!$B$2:$Y$301, MATCH(ROUND(MIN(300,MAX(1,D2033)),0), FactorTable!$A$2:$A$301,0), Skills!M12+1)</f>
        <v/>
      </c>
      <c r="F2033">
        <f>IF(Skills!N12=TRUE,(Skills!L12/10)*(E2033/1000),Skills!L12/10)+Skills!O12</f>
        <v/>
      </c>
      <c r="G2033" t="inlineStr"/>
      <c r="H2033" t="inlineStr"/>
      <c r="I2033" t="inlineStr">
        <is>
          <t>1</t>
        </is>
      </c>
      <c r="J2033" t="inlineStr"/>
      <c r="K2033" t="inlineStr"/>
      <c r="L2033" t="inlineStr"/>
      <c r="M2033" t="inlineStr"/>
      <c r="N2033" t="inlineStr"/>
      <c r="O2033" t="inlineStr"/>
      <c r="P2033" t="inlineStr"/>
      <c r="Q2033" t="inlineStr"/>
      <c r="R2033" t="inlineStr"/>
      <c r="S2033" t="inlineStr"/>
      <c r="T2033" t="inlineStr"/>
      <c r="V2033" t="inlineStr"/>
    </row>
    <row r="2034">
      <c r="A2034">
        <f>Skills!A13</f>
        <v/>
      </c>
      <c r="B2034">
        <f>Skills!B13</f>
        <v/>
      </c>
      <c r="C2034">
        <f>Inputs!$B$3&gt;=66</f>
        <v/>
      </c>
      <c r="D2034">
        <f>IF(Skills!C13=1,60+Inputs!$B$25+Inputs!$B$29,IF(Skills!C13=2,90+Inputs!$B$26+Inputs!$B$29,IF(Skills!C13=3,120+Inputs!$B$27+Inputs!$B$29,MAX(0,(Inputs!$B$3-100)*3)+Inputs!$B$28+Inputs!$B$29)))</f>
        <v/>
      </c>
      <c r="E2034">
        <f>INDEX(FactorTable!$B$2:$Y$301, MATCH(ROUND(MIN(300,MAX(1,D2034)),0), FactorTable!$A$2:$A$301,0), Skills!M13+1)</f>
        <v/>
      </c>
      <c r="F2034">
        <f>IF(Skills!N13=TRUE,(Skills!L13/10)*(E2034/1000),Skills!L13/10)+Skills!O13</f>
        <v/>
      </c>
      <c r="G2034">
        <f>Skills!G13*IF(Skills!H13&gt;0,Skills!I13/Skills!H13,1)</f>
        <v/>
      </c>
      <c r="H2034">
        <f>1-(1-Skills!J13/100)^Skills!K13</f>
        <v/>
      </c>
      <c r="I2034" t="inlineStr">
        <is>
          <t>1</t>
        </is>
      </c>
      <c r="J2034" t="inlineStr"/>
      <c r="K2034" t="inlineStr"/>
      <c r="L2034" t="inlineStr"/>
      <c r="M2034" t="inlineStr"/>
      <c r="N2034" t="inlineStr"/>
      <c r="O2034">
        <f>(1-Summary!$B$11)*T2034+Summary!$B$11*V2034</f>
        <v/>
      </c>
      <c r="P2034">
        <f>IF(B2057=0,0,O2034/B2057)</f>
        <v/>
      </c>
      <c r="Q2034" t="n">
        <v>0</v>
      </c>
      <c r="R2034" t="n">
        <v>0</v>
      </c>
      <c r="S2034">
        <f>IFERROR(O2034/N2034,0)</f>
        <v/>
      </c>
      <c r="T2034" t="n">
        <v>0</v>
      </c>
      <c r="V2034" t="n">
        <v>0</v>
      </c>
    </row>
    <row r="2035">
      <c r="A2035">
        <f>Skills!A14</f>
        <v/>
      </c>
      <c r="B2035">
        <f>Skills!B14</f>
        <v/>
      </c>
      <c r="C2035">
        <f>Inputs!$B$3&gt;=107</f>
        <v/>
      </c>
      <c r="D2035">
        <f>IF(Skills!C14=1,60+Inputs!$B$25+Inputs!$B$29,IF(Skills!C14=2,90+Inputs!$B$26+Inputs!$B$29,IF(Skills!C14=3,120+Inputs!$B$27+Inputs!$B$29,MAX(0,(Inputs!$B$3-100)*3)+Inputs!$B$28+Inputs!$B$29)))</f>
        <v/>
      </c>
      <c r="E2035">
        <f>INDEX(FactorTable!$B$2:$Y$301, MATCH(ROUND(MIN(300,MAX(1,D2035)),0), FactorTable!$A$2:$A$301,0), Skills!M14+1)</f>
        <v/>
      </c>
      <c r="F2035">
        <f>IF(Skills!N14=TRUE,(Skills!L14/10)*(E2035/1000),Skills!L14/10)+Skills!O14</f>
        <v/>
      </c>
      <c r="G2035">
        <f>Skills!G14*IF(Skills!H14&gt;0,Skills!I14/Skills!H14,1)</f>
        <v/>
      </c>
      <c r="H2035">
        <f>1-(1-Skills!J14/100)^Skills!K14</f>
        <v/>
      </c>
      <c r="I2035" t="inlineStr">
        <is>
          <t>1</t>
        </is>
      </c>
      <c r="J2035" t="inlineStr"/>
      <c r="K2035" t="inlineStr"/>
      <c r="L2035" t="inlineStr"/>
      <c r="M2035" t="inlineStr"/>
      <c r="N2035" t="inlineStr"/>
      <c r="O2035">
        <f>(1-Summary!$B$11)*T2035+Summary!$B$11*V2035</f>
        <v/>
      </c>
      <c r="P2035">
        <f>IF(B2057=0,0,O2035/B2057)</f>
        <v/>
      </c>
      <c r="Q2035" t="n">
        <v>0</v>
      </c>
      <c r="R2035" t="n">
        <v>0</v>
      </c>
      <c r="S2035">
        <f>IFERROR(O2035/N2035,0)</f>
        <v/>
      </c>
      <c r="T2035" t="n">
        <v>0</v>
      </c>
      <c r="V2035" t="n">
        <v>0</v>
      </c>
    </row>
    <row r="2036">
      <c r="A2036">
        <f>Skills!A15</f>
        <v/>
      </c>
      <c r="B2036">
        <f>Skills!B15</f>
        <v/>
      </c>
      <c r="C2036">
        <f>Inputs!$B$3&gt;=115</f>
        <v/>
      </c>
      <c r="D2036">
        <f>IF(Skills!C15=1,60+Inputs!$B$25+Inputs!$B$29,IF(Skills!C15=2,90+Inputs!$B$26+Inputs!$B$29,IF(Skills!C15=3,120+Inputs!$B$27+Inputs!$B$29,MAX(0,(Inputs!$B$3-100)*3)+Inputs!$B$28+Inputs!$B$29)))</f>
        <v/>
      </c>
      <c r="E2036">
        <f>INDEX(FactorTable!$B$2:$Y$301, MATCH(ROUND(MIN(300,MAX(1,D2036)),0), FactorTable!$A$2:$A$301,0), Skills!M15+1)</f>
        <v/>
      </c>
      <c r="F2036">
        <f>IF(Skills!N15=TRUE,(Skills!L15/10)*(E2036/1000),Skills!L15/10)+Skills!O15</f>
        <v/>
      </c>
      <c r="G2036">
        <f>Skills!G15*IF(Skills!H15&gt;0,Skills!I15/Skills!H15,1)</f>
        <v/>
      </c>
      <c r="H2036">
        <f>1-(1-Skills!J15/100)^Skills!K15</f>
        <v/>
      </c>
      <c r="I2036" t="inlineStr">
        <is>
          <t>1</t>
        </is>
      </c>
      <c r="J2036" t="inlineStr"/>
      <c r="K2036" t="inlineStr"/>
      <c r="L2036" t="inlineStr"/>
      <c r="M2036" t="inlineStr"/>
      <c r="N2036" t="inlineStr"/>
      <c r="O2036">
        <f>(1-Summary!$B$11)*T2036+Summary!$B$11*V2036</f>
        <v/>
      </c>
      <c r="P2036">
        <f>IF(B2057=0,0,O2036/B2057)</f>
        <v/>
      </c>
      <c r="Q2036" t="n">
        <v>0</v>
      </c>
      <c r="R2036" t="n">
        <v>0</v>
      </c>
      <c r="S2036">
        <f>IFERROR(O2036/N2036,0)</f>
        <v/>
      </c>
      <c r="T2036" t="n">
        <v>0</v>
      </c>
      <c r="V2036" t="n">
        <v>0</v>
      </c>
    </row>
    <row r="2037">
      <c r="A2037">
        <f>Skills!A16</f>
        <v/>
      </c>
      <c r="B2037">
        <f>Skills!B16</f>
        <v/>
      </c>
      <c r="C2037">
        <f>Inputs!$B$3&gt;=15</f>
        <v/>
      </c>
      <c r="D2037">
        <f>IF(Skills!C16=1,60+Inputs!$B$25+Inputs!$B$29,IF(Skills!C16=2,90+Inputs!$B$26+Inputs!$B$29,IF(Skills!C16=3,120+Inputs!$B$27+Inputs!$B$29,MAX(0,(Inputs!$B$3-100)*3)+Inputs!$B$28+Inputs!$B$29)))</f>
        <v/>
      </c>
      <c r="E2037">
        <f>INDEX(FactorTable!$B$2:$Y$301, MATCH(ROUND(MIN(300,MAX(1,D2037)),0), FactorTable!$A$2:$A$301,0), Skills!M16+1)</f>
        <v/>
      </c>
      <c r="F2037">
        <f>IF(Skills!N16=TRUE,(Skills!L16/10)*(E2037/1000),Skills!L16/10)+Skills!O16</f>
        <v/>
      </c>
      <c r="G2037">
        <f>Skills!G16*IF(Skills!H16&gt;0,Skills!I16/Skills!H16,1)</f>
        <v/>
      </c>
      <c r="H2037">
        <f>1-(1-Skills!J16/100)^Skills!K16</f>
        <v/>
      </c>
      <c r="I2037" t="inlineStr">
        <is>
          <t>1</t>
        </is>
      </c>
      <c r="J2037" t="inlineStr"/>
      <c r="K2037" t="inlineStr"/>
      <c r="L2037" t="inlineStr"/>
      <c r="M2037" t="inlineStr"/>
      <c r="N2037" t="inlineStr"/>
      <c r="O2037">
        <f>(1-Summary!$B$11)*T2037+Summary!$B$11*V2037</f>
        <v/>
      </c>
      <c r="P2037">
        <f>IF(B2057=0,0,O2037/B2057)</f>
        <v/>
      </c>
      <c r="Q2037" t="n">
        <v>0</v>
      </c>
      <c r="R2037" t="n">
        <v>0</v>
      </c>
      <c r="S2037">
        <f>IFERROR(O2037/N2037,0)</f>
        <v/>
      </c>
      <c r="T2037" t="n">
        <v>0</v>
      </c>
      <c r="V2037" t="n">
        <v>0</v>
      </c>
    </row>
    <row r="2038">
      <c r="A2038">
        <f>Skills!A17</f>
        <v/>
      </c>
      <c r="B2038">
        <f>Skills!B17</f>
        <v/>
      </c>
      <c r="C2038">
        <f>Inputs!$B$3&gt;=10</f>
        <v/>
      </c>
      <c r="D2038">
        <f>IF(Skills!C17=1,60+Inputs!$B$25+Inputs!$B$29,IF(Skills!C17=2,90+Inputs!$B$26+Inputs!$B$29,IF(Skills!C17=3,120+Inputs!$B$27+Inputs!$B$29,MAX(0,(Inputs!$B$3-100)*3)+Inputs!$B$28+Inputs!$B$29)))</f>
        <v/>
      </c>
      <c r="E2038">
        <f>INDEX(FactorTable!$B$2:$Y$301, MATCH(ROUND(MIN(300,MAX(1,D2038)),0), FactorTable!$A$2:$A$301,0), Skills!M17+1)</f>
        <v/>
      </c>
      <c r="F2038">
        <f>IF(Skills!N17=TRUE,(Skills!L17/10)*(E2038/1000),Skills!L17/10)+Skills!O17</f>
        <v/>
      </c>
      <c r="G2038">
        <f>Skills!G17*IF(Skills!H17&gt;0,Skills!I17/Skills!H17,1)</f>
        <v/>
      </c>
      <c r="H2038">
        <f>1-(1-Skills!J17/100)^Skills!K17</f>
        <v/>
      </c>
      <c r="I2038" t="inlineStr">
        <is>
          <t>1</t>
        </is>
      </c>
      <c r="J2038" t="inlineStr"/>
      <c r="K2038" t="inlineStr"/>
      <c r="L2038" t="inlineStr"/>
      <c r="M2038" t="inlineStr"/>
      <c r="N2038" t="inlineStr"/>
      <c r="O2038">
        <f>(1-Summary!$B$11)*T2038+Summary!$B$11*V2038</f>
        <v/>
      </c>
      <c r="P2038">
        <f>IF(B2057=0,0,O2038/B2057)</f>
        <v/>
      </c>
      <c r="Q2038" t="n">
        <v>0</v>
      </c>
      <c r="R2038" t="n">
        <v>0</v>
      </c>
      <c r="S2038">
        <f>IFERROR(O2038/N2038,0)</f>
        <v/>
      </c>
      <c r="T2038" t="n">
        <v>0</v>
      </c>
      <c r="V2038" t="n">
        <v>0</v>
      </c>
    </row>
    <row r="2039">
      <c r="A2039">
        <f>Skills!A18</f>
        <v/>
      </c>
      <c r="B2039">
        <f>Skills!B18</f>
        <v/>
      </c>
      <c r="C2039">
        <f>Inputs!$B$3&gt;=33</f>
        <v/>
      </c>
      <c r="D2039">
        <f>IF(Skills!C18=1,60+Inputs!$B$25+Inputs!$B$29,IF(Skills!C18=2,90+Inputs!$B$26+Inputs!$B$29,IF(Skills!C18=3,120+Inputs!$B$27+Inputs!$B$29,MAX(0,(Inputs!$B$3-100)*3)+Inputs!$B$28+Inputs!$B$29)))</f>
        <v/>
      </c>
      <c r="E2039">
        <f>INDEX(FactorTable!$B$2:$Y$301, MATCH(ROUND(MIN(300,MAX(1,D2039)),0), FactorTable!$A$2:$A$301,0), Skills!M18+1)</f>
        <v/>
      </c>
      <c r="F2039">
        <f>IF(Skills!N18=TRUE,(Skills!L18/10)*(E2039/1000),Skills!L18/10)+Skills!O18</f>
        <v/>
      </c>
      <c r="G2039">
        <f>Skills!G18*IF(Skills!H18&gt;0,Skills!I18/Skills!H18,1)</f>
        <v/>
      </c>
      <c r="H2039">
        <f>1-(1-Skills!J18/100)^Skills!K18</f>
        <v/>
      </c>
      <c r="I2039" t="inlineStr">
        <is>
          <t>1</t>
        </is>
      </c>
      <c r="J2039" t="inlineStr"/>
      <c r="K2039" t="inlineStr"/>
      <c r="L2039" t="inlineStr"/>
      <c r="M2039" t="inlineStr"/>
      <c r="N2039" t="inlineStr"/>
      <c r="O2039">
        <f>(1-Summary!$B$11)*T2039+Summary!$B$11*V2039</f>
        <v/>
      </c>
      <c r="P2039">
        <f>IF(B2057=0,0,O2039/B2057)</f>
        <v/>
      </c>
      <c r="Q2039" t="n">
        <v>0</v>
      </c>
      <c r="R2039" t="n">
        <v>0</v>
      </c>
      <c r="S2039">
        <f>IFERROR(O2039/N2039,0)</f>
        <v/>
      </c>
      <c r="T2039" t="n">
        <v>0</v>
      </c>
      <c r="V2039" t="n">
        <v>0</v>
      </c>
    </row>
    <row r="2040">
      <c r="A2040">
        <f>Skills!A19</f>
        <v/>
      </c>
      <c r="B2040">
        <f>Skills!B19</f>
        <v/>
      </c>
      <c r="C2040">
        <f>Inputs!$B$3&gt;=40</f>
        <v/>
      </c>
      <c r="D2040">
        <f>IF(Skills!C19=1,60+Inputs!$B$25+Inputs!$B$29,IF(Skills!C19=2,90+Inputs!$B$26+Inputs!$B$29,IF(Skills!C19=3,120+Inputs!$B$27+Inputs!$B$29,MAX(0,(Inputs!$B$3-100)*3)+Inputs!$B$28+Inputs!$B$29)))</f>
        <v/>
      </c>
      <c r="E2040">
        <f>INDEX(FactorTable!$B$2:$Y$301, MATCH(ROUND(MIN(300,MAX(1,D2040)),0), FactorTable!$A$2:$A$301,0), Skills!M19+1)</f>
        <v/>
      </c>
      <c r="F2040">
        <f>IF(Skills!N19=TRUE,(Skills!L19/10)*(E2040/1000),Skills!L19/10)+Skills!O19</f>
        <v/>
      </c>
      <c r="G2040">
        <f>Skills!G19*IF(Skills!H19&gt;0,Skills!I19/Skills!H19,1)</f>
        <v/>
      </c>
      <c r="H2040">
        <f>1-(1-Skills!J19/100)^Skills!K19</f>
        <v/>
      </c>
      <c r="I2040" t="inlineStr">
        <is>
          <t>1</t>
        </is>
      </c>
      <c r="J2040" t="inlineStr"/>
      <c r="K2040" t="inlineStr"/>
      <c r="L2040" t="inlineStr"/>
      <c r="M2040" t="inlineStr"/>
      <c r="N2040" t="inlineStr"/>
      <c r="O2040">
        <f>(1-Summary!$B$11)*T2040+Summary!$B$11*V2040</f>
        <v/>
      </c>
      <c r="P2040">
        <f>IF(B2057=0,0,O2040/B2057)</f>
        <v/>
      </c>
      <c r="Q2040" t="n">
        <v>0</v>
      </c>
      <c r="R2040" t="n">
        <v>0</v>
      </c>
      <c r="S2040">
        <f>IFERROR(O2040/N2040,0)</f>
        <v/>
      </c>
      <c r="T2040" t="n">
        <v>0</v>
      </c>
      <c r="V2040" t="n">
        <v>0</v>
      </c>
    </row>
    <row r="2041">
      <c r="A2041">
        <f>Skills!A20</f>
        <v/>
      </c>
      <c r="B2041">
        <f>Skills!B20</f>
        <v/>
      </c>
      <c r="C2041">
        <f>Inputs!$B$3&gt;=43</f>
        <v/>
      </c>
      <c r="D2041">
        <f>IF(Skills!C20=1,60+Inputs!$B$25+Inputs!$B$29,IF(Skills!C20=2,90+Inputs!$B$26+Inputs!$B$29,IF(Skills!C20=3,120+Inputs!$B$27+Inputs!$B$29,MAX(0,(Inputs!$B$3-100)*3)+Inputs!$B$28+Inputs!$B$29)))</f>
        <v/>
      </c>
      <c r="E2041">
        <f>INDEX(FactorTable!$B$2:$Y$301, MATCH(ROUND(MIN(300,MAX(1,D2041)),0), FactorTable!$A$2:$A$301,0), Skills!M20+1)</f>
        <v/>
      </c>
      <c r="F2041">
        <f>IF(Skills!N20=TRUE,(Skills!L20/10)*(E2041/1000),Skills!L20/10)+Skills!O20</f>
        <v/>
      </c>
      <c r="G2041">
        <f>Skills!G20*IF(Skills!H20&gt;0,Skills!I20/Skills!H20,1)</f>
        <v/>
      </c>
      <c r="H2041">
        <f>1-(1-Skills!J20/100)^Skills!K20</f>
        <v/>
      </c>
      <c r="I2041" t="inlineStr">
        <is>
          <t>1</t>
        </is>
      </c>
      <c r="J2041" t="inlineStr"/>
      <c r="K2041" t="inlineStr"/>
      <c r="L2041" t="inlineStr"/>
      <c r="M2041" t="inlineStr"/>
      <c r="N2041" t="inlineStr"/>
      <c r="O2041">
        <f>(1-Summary!$B$11)*T2041+Summary!$B$11*V2041</f>
        <v/>
      </c>
      <c r="P2041">
        <f>IF(B2057=0,0,O2041/B2057)</f>
        <v/>
      </c>
      <c r="Q2041" t="n">
        <v>0</v>
      </c>
      <c r="R2041" t="n">
        <v>0</v>
      </c>
      <c r="S2041">
        <f>IFERROR(O2041/N2041,0)</f>
        <v/>
      </c>
      <c r="T2041" t="n">
        <v>0</v>
      </c>
      <c r="V2041" t="n">
        <v>0</v>
      </c>
    </row>
    <row r="2042">
      <c r="A2042">
        <f>Skills!A21</f>
        <v/>
      </c>
      <c r="B2042">
        <f>Skills!B21</f>
        <v/>
      </c>
      <c r="C2042">
        <f>Inputs!$B$3&gt;=38</f>
        <v/>
      </c>
      <c r="D2042">
        <f>IF(Skills!C21=1,60+Inputs!$B$25+Inputs!$B$29,IF(Skills!C21=2,90+Inputs!$B$26+Inputs!$B$29,IF(Skills!C21=3,120+Inputs!$B$27+Inputs!$B$29,MAX(0,(Inputs!$B$3-100)*3)+Inputs!$B$28+Inputs!$B$29)))</f>
        <v/>
      </c>
      <c r="E2042">
        <f>INDEX(FactorTable!$B$2:$Y$301, MATCH(ROUND(MIN(300,MAX(1,D2042)),0), FactorTable!$A$2:$A$301,0), Skills!M21+1)</f>
        <v/>
      </c>
      <c r="F2042">
        <f>IF(Skills!N21=TRUE,(Skills!L21/10)*(E2042/1000),Skills!L21/10)+Skills!O21</f>
        <v/>
      </c>
      <c r="G2042">
        <f>Skills!G21*IF(Skills!H21&gt;0,Skills!I21/Skills!H21,1)</f>
        <v/>
      </c>
      <c r="H2042">
        <f>1-(1-Skills!J21/100)^Skills!K21</f>
        <v/>
      </c>
      <c r="I2042" t="inlineStr">
        <is>
          <t>1</t>
        </is>
      </c>
      <c r="J2042" t="inlineStr"/>
      <c r="K2042" t="inlineStr"/>
      <c r="L2042" t="inlineStr"/>
      <c r="M2042" t="inlineStr"/>
      <c r="N2042" t="inlineStr"/>
      <c r="O2042">
        <f>(1-Summary!$B$11)*T2042+Summary!$B$11*V2042</f>
        <v/>
      </c>
      <c r="P2042">
        <f>IF(B2057=0,0,O2042/B2057)</f>
        <v/>
      </c>
      <c r="Q2042" t="n">
        <v>0</v>
      </c>
      <c r="R2042" t="n">
        <v>0</v>
      </c>
      <c r="S2042">
        <f>IFERROR(O2042/N2042,0)</f>
        <v/>
      </c>
      <c r="T2042" t="n">
        <v>0</v>
      </c>
      <c r="V2042" t="n">
        <v>0</v>
      </c>
    </row>
    <row r="2043">
      <c r="A2043">
        <f>Skills!A22</f>
        <v/>
      </c>
      <c r="B2043">
        <f>Skills!B22</f>
        <v/>
      </c>
      <c r="C2043">
        <f>Inputs!$B$3&gt;=75</f>
        <v/>
      </c>
      <c r="D2043">
        <f>IF(Skills!C22=1,60+Inputs!$B$25+Inputs!$B$29,IF(Skills!C22=2,90+Inputs!$B$26+Inputs!$B$29,IF(Skills!C22=3,120+Inputs!$B$27+Inputs!$B$29,MAX(0,(Inputs!$B$3-100)*3)+Inputs!$B$28+Inputs!$B$29)))</f>
        <v/>
      </c>
      <c r="E2043">
        <f>INDEX(FactorTable!$B$2:$Y$301, MATCH(ROUND(MIN(300,MAX(1,D2043)),0), FactorTable!$A$2:$A$301,0), Skills!M22+1)</f>
        <v/>
      </c>
      <c r="F2043">
        <f>IF(Skills!N22=TRUE,(Skills!L22/10)*(E2043/1000),Skills!L22/10)+Skills!O22</f>
        <v/>
      </c>
      <c r="G2043">
        <f>Skills!G22*IF(Skills!H22&gt;0,Skills!I22/Skills!H22,1)</f>
        <v/>
      </c>
      <c r="H2043">
        <f>1-(1-Skills!J22/100)^Skills!K22</f>
        <v/>
      </c>
      <c r="I2043" t="inlineStr">
        <is>
          <t>1</t>
        </is>
      </c>
      <c r="J2043" t="inlineStr"/>
      <c r="K2043" t="inlineStr"/>
      <c r="L2043" t="inlineStr"/>
      <c r="M2043" t="inlineStr"/>
      <c r="N2043" t="inlineStr"/>
      <c r="O2043">
        <f>(1-Summary!$B$11)*T2043+Summary!$B$11*V2043</f>
        <v/>
      </c>
      <c r="P2043">
        <f>IF(B2057=0,0,O2043/B2057)</f>
        <v/>
      </c>
      <c r="Q2043" t="n">
        <v>0</v>
      </c>
      <c r="R2043" t="n">
        <v>0</v>
      </c>
      <c r="S2043">
        <f>IFERROR(O2043/N2043,0)</f>
        <v/>
      </c>
      <c r="T2043" t="n">
        <v>0</v>
      </c>
      <c r="V2043" t="n">
        <v>0</v>
      </c>
    </row>
    <row r="2044">
      <c r="A2044">
        <f>Skills!A23</f>
        <v/>
      </c>
      <c r="B2044">
        <f>Skills!B23</f>
        <v/>
      </c>
      <c r="C2044">
        <f>TRUE</f>
        <v/>
      </c>
      <c r="D2044">
        <f>IF(Skills!C23=1,60+Inputs!$B$25+Inputs!$B$29,IF(Skills!C23=2,90+Inputs!$B$26+Inputs!$B$29,IF(Skills!C23=3,120+Inputs!$B$27+Inputs!$B$29,MAX(0,(Inputs!$B$3-100)*3)+Inputs!$B$28+Inputs!$B$29)))</f>
        <v/>
      </c>
      <c r="E2044">
        <f>INDEX(FactorTable!$B$2:$Y$301, MATCH(ROUND(MIN(300,MAX(1,D2044)),0), FactorTable!$A$2:$A$301,0), Skills!M23+1)</f>
        <v/>
      </c>
      <c r="F2044">
        <f>IF(Skills!N23=TRUE,(Skills!L23/10)*(E2044/1000),Skills!L23/10)+Skills!O23</f>
        <v/>
      </c>
      <c r="G2044">
        <f>Skills!G23*IF(Skills!H23&gt;0,Skills!I23/Skills!H23,1)</f>
        <v/>
      </c>
      <c r="H2044">
        <f>1-(1-Skills!J23/100)^Skills!K23</f>
        <v/>
      </c>
      <c r="I2044" t="inlineStr">
        <is>
          <t>1</t>
        </is>
      </c>
      <c r="J2044" t="inlineStr"/>
      <c r="K2044" t="inlineStr"/>
      <c r="L2044" t="inlineStr"/>
      <c r="M2044" t="inlineStr"/>
      <c r="N2044" t="inlineStr"/>
      <c r="O2044">
        <f>(1-Summary!$B$11)*T2044+Summary!$B$11*V2044</f>
        <v/>
      </c>
      <c r="P2044">
        <f>IF(B2057=0,0,O2044/B2057)</f>
        <v/>
      </c>
      <c r="Q2044">
        <f>IFERROR(1/(IF(Inputs!$B$38="pvp",15,MAX(0.1,Skills!D23-IF(Skills!E23=TRUE,Inputs!$B$32,0)))*(1-IF(AND(ArtifactsInput!$M$27,Inputs!$B$4="Chapter Hunt"),CHOOSE(ArtifactsInput!$N$27+1,20,24,28,32,36,40),0)/100)),0)</f>
        <v/>
      </c>
      <c r="R2044">
        <f>IF(AND(Inputs!$B$38&lt;&gt;"pvp",Inputs!$B$43&gt;0),IF(Inputs!$B$43&lt;=0,0,(INT(Inputs!$B$43/(IF(Inputs!$B$38="pvp",15,MAX(0.1,Skills!D23-IF(Skills!E23=TRUE,Inputs!$B$32,0)))*(1-IF(AND(ArtifactsInput!$M$27,Inputs!$B$4="Chapter Hunt"),CHOOSE(ArtifactsInput!$N$27+1,20,24,28,32,36,40),0)/100)))+1)),0)</f>
        <v/>
      </c>
      <c r="S2044">
        <f>IFERROR(O2044/N2044,0)</f>
        <v/>
      </c>
      <c r="T2044" t="n">
        <v>0</v>
      </c>
      <c r="V2044" t="n">
        <v>0</v>
      </c>
    </row>
    <row r="2046">
      <c r="A2046" t="inlineStr">
        <is>
          <t>Attack% Bucket Multiplier</t>
        </is>
      </c>
      <c r="B2046">
        <f>(1+(((C2034=TRUE)*F2034*5/7)+((C2040=TRUE)*(F2040-Calc!F19))+(IF(ArtifactsInput!$M$21,CHOOSE(ArtifactsInput!$N$21+1,25,30,35,40,45,50)*(IF(OR(Inputs!$B$4="Chapter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47">
      <c r="A2047" t="inlineStr">
        <is>
          <t>Global Crit Rate Bonus %</t>
        </is>
      </c>
      <c r="B2047" t="n">
        <v>0</v>
      </c>
    </row>
    <row r="2048">
      <c r="A2048" t="inlineStr">
        <is>
          <t>Attack Speed Buff Bonus % (Nimble Feet, duty-cycle averaged)</t>
        </is>
      </c>
      <c r="B2048">
        <f>((C2044=TRUE)*F2044*IF(AND(Inputs!$B$38&lt;&gt;"pvp",Inputs!$B$43&gt;0),(((R2044-1)*(Skills!T23*(1+Inputs!$B$34/100))+MIN((Skills!T23*(1+Inputs!$B$34/100)),MAX(0,Inputs!$B$43-((R2044-1)*Skills!D23))))/Inputs!$B$43),IF(Inputs!$B$38="pvp",MIN((Skills!T23*(1+Inputs!$B$34/100)),15)/15,(Skills!T23*(1+Inputs!$B$34/100))/Skills!D23)))</f>
        <v/>
      </c>
    </row>
    <row r="2049">
      <c r="A2049" t="inlineStr">
        <is>
          <t>Actions Per Second</t>
        </is>
      </c>
      <c r="B2049">
        <f>1+MIN(150,150*(1-(1-(Inputs!$B$11+((C2038=TRUE)*(F2038-Calc!F17))+((C2039=TRUE)*(F2039-Calc!F18)))/150)*(1-B2048/150)))/100</f>
        <v/>
      </c>
    </row>
    <row r="2050">
      <c r="A2050" t="inlineStr">
        <is>
          <t>Skill + Buff Cast Rate</t>
        </is>
      </c>
      <c r="B2050">
        <f>IF(AND(Inputs!$B$38&lt;&gt;"pvp",Inputs!$B$43&gt;0),SUMPRODUCT((Skills!E2:E23=TRUE)*(C2023:C2044=TRUE)*R2023:R2044*Skills!F2:F23)/Inputs!$B$43,SUMPRODUCT((Skills!E2:E23=TRUE)*(C2023:C2044=TRUE)*Q2023:Q2044*Skills!F2:F23))</f>
        <v/>
      </c>
    </row>
    <row r="2051">
      <c r="A2051" t="inlineStr">
        <is>
          <t>Hook Bomber Casts Per Second</t>
        </is>
      </c>
      <c r="B2051">
        <f>MAX(0,B2049-B2050)</f>
        <v/>
      </c>
    </row>
    <row r="2052">
      <c r="A2052" t="inlineStr">
        <is>
          <t>Global Critical Damage Bonus % (unused)</t>
        </is>
      </c>
      <c r="B2052" t="n">
        <v>0</v>
      </c>
    </row>
    <row r="2053">
      <c r="A2053" t="inlineStr">
        <is>
          <t>Global Final Damage Bonus % (Serpent Scale + Crossbones + Time Leap + Speed Infusion)</t>
        </is>
      </c>
      <c r="B2053">
        <f>((C2026=TRUE)*F2026*((10+IF(Inputs!$B$3&gt;=94,5,0))/((10+IF(Inputs!$B$3&gt;=94,5,0))+5/(B2051*(1+IF(Inputs!$B$3&gt;=104,1,0))))))+((C2035=TRUE)*F2035)+((C2036=TRUE)*F2036)+((Inputs!$B$3&gt;=110)*20*(B2049-1))</f>
        <v/>
      </c>
    </row>
    <row r="2054">
      <c r="A2054" t="inlineStr">
        <is>
          <t>Buff-Casting Startup Delay (s, fixed-duration only)</t>
        </is>
      </c>
      <c r="B2054">
        <f>IF(AND(Inputs!$B$38&lt;&gt;"pvp",Inputs!$B$43&gt;0),SUMPRODUCT((Skills!T2:T23&gt;0)*(Skills!E2:E23=TRUE)*(C2023:C2044=TRUE))/B2049,0)</f>
        <v/>
      </c>
    </row>
    <row r="2055">
      <c r="A2055" t="inlineStr">
        <is>
          <t>Boss-Only Total DPS (this block's swept value)</t>
        </is>
      </c>
      <c r="B2055">
        <f>SUM(T2023:T2044)</f>
        <v/>
      </c>
    </row>
    <row r="2056">
      <c r="A2056" t="inlineStr">
        <is>
          <t>Normal-Only Total DPS (this block's swept value)</t>
        </is>
      </c>
      <c r="B2056">
        <f>SUM(V2023:V2044)</f>
        <v/>
      </c>
    </row>
    <row r="2057">
      <c r="A2057" s="6" t="inlineStr">
        <is>
          <t>TOTAL DPS</t>
        </is>
      </c>
      <c r="B2057" s="6">
        <f>SUM(O2023:O2044)</f>
        <v/>
      </c>
    </row>
    <row r="2060">
      <c r="A2060" s="6" t="inlineStr">
        <is>
          <t>Stat: Flaming Lava (Equip)</t>
        </is>
      </c>
    </row>
    <row r="2061">
      <c r="A2061" s="5" t="inlineStr">
        <is>
          <t>Key</t>
        </is>
      </c>
      <c r="B2061" s="5" t="inlineStr">
        <is>
          <t>Name</t>
        </is>
      </c>
      <c r="C2061" s="5" t="inlineStr">
        <is>
          <t>Unlocked</t>
        </is>
      </c>
      <c r="D2061" s="5" t="inlineStr">
        <is>
          <t>InputLevel</t>
        </is>
      </c>
      <c r="E2061" s="5" t="inlineStr">
        <is>
          <t>Factor</t>
        </is>
      </c>
      <c r="F2061" s="5" t="inlineStr">
        <is>
          <t>CoefficientPercent</t>
        </is>
      </c>
      <c r="G2061" s="5" t="inlineStr">
        <is>
          <t>EffectiveHits</t>
        </is>
      </c>
      <c r="H2061" s="5" t="inlineStr">
        <is>
          <t>ProcProbability</t>
        </is>
      </c>
      <c r="I2061" s="5" t="inlineStr">
        <is>
          <t>MapleHeroMultiplier</t>
        </is>
      </c>
      <c r="J2061" s="5" t="inlineStr">
        <is>
          <t>BaseDamage</t>
        </is>
      </c>
      <c r="K2061" s="5" t="inlineStr">
        <is>
          <t>BaseHitDamage</t>
        </is>
      </c>
      <c r="L2061" s="5" t="inlineStr">
        <is>
          <t>NonCritAvg</t>
        </is>
      </c>
      <c r="M2061" s="5" t="inlineStr">
        <is>
          <t>CritAvg</t>
        </is>
      </c>
      <c r="N2061" s="5" t="inlineStr">
        <is>
          <t>ExpectedDamage(perHit)</t>
        </is>
      </c>
      <c r="O2061" s="5" t="inlineStr">
        <is>
          <t>DPS</t>
        </is>
      </c>
      <c r="P2061" s="5" t="inlineStr">
        <is>
          <t>% of Total</t>
        </is>
      </c>
      <c r="Q2061" s="5" t="inlineStr">
        <is>
          <t>InvCooldown</t>
        </is>
      </c>
      <c r="R2061" s="5" t="inlineStr">
        <is>
          <t>CastsInFight</t>
        </is>
      </c>
      <c r="S2061" s="5" t="inlineStr">
        <is>
          <t>HitRate(perSec)</t>
        </is>
      </c>
      <c r="U2061" t="inlineStr">
        <is>
          <t>helpers</t>
        </is>
      </c>
    </row>
    <row r="2062">
      <c r="A2062">
        <f>Skills!A2</f>
        <v/>
      </c>
      <c r="B2062">
        <f>Skills!B2</f>
        <v/>
      </c>
      <c r="C2062">
        <f>Inputs!$B$3&gt;=100</f>
        <v/>
      </c>
      <c r="D2062" t="inlineStr"/>
      <c r="E2062" t="inlineStr"/>
      <c r="F2062">
        <f>U2064+Skills!O2</f>
        <v/>
      </c>
      <c r="G2062">
        <f>Skills!G2*IF(Skills!H2&gt;0,Skills!I2/Skills!H2,1)</f>
        <v/>
      </c>
      <c r="H2062">
        <f>1-(1-Skills!J2/100)^Skills!K2</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2080=TRUE)*(F2080-Calc!F20)),(Inputs!$B$23+0+(IF(ArtifactsInput!$M$15,CHOOSE(ArtifactsInput!$N$15+1,25,30,35,40,45,50)/100*(Inputs!$B$11-Inputs!$B$11),0))))/100+(Inputs!$B$23+0+(IF(ArtifactsInput!$M$15,CHOOSE(ArtifactsInput!$N$15+1,25,30,35,40,45,50)/100*(Inputs!$B$11-Inputs!$B$11),0)))/100)/2</f>
        <v/>
      </c>
      <c r="M2062">
        <f>L2062*(1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IF(B2096=0,0,O2062/B2096)</f>
        <v/>
      </c>
      <c r="Q2062" t="n">
        <v>0</v>
      </c>
      <c r="R2062" t="n">
        <v>0</v>
      </c>
      <c r="S2062">
        <f>IFERROR(O2062/N2062,0)</f>
        <v/>
      </c>
      <c r="T2062">
        <f>IF(C2062,(Skills!G2*N2062*B2090)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2">
        <f>MAX(0,(Inputs!$B$3-100)*3)+Inputs!$B$28+Inputs!$B$29</f>
        <v/>
      </c>
      <c r="V2062">
        <f>IF(C2062,(Skills!G2*N2062*B2090)*IF(Inputs!$B$38="pvp",1,(1+(Inputs!$B$21+Skills!Q2+(IF(ArtifactsInput!$M$33,CHOOSE(ArtifactsInput!$N$33+1,30,36,42,48,54,60),0))+(IF(AND(ArtifactsInput!$M$35,Inputs!$B$4&lt;&gt;"Chapter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Skills!A3</f>
        <v/>
      </c>
      <c r="B2063">
        <f>Skills!B3</f>
        <v/>
      </c>
      <c r="C2063">
        <f>Inputs!$B$3&gt;=35</f>
        <v/>
      </c>
      <c r="D2063">
        <f>IF(Skills!C3=1,60+Inputs!$B$25+Inputs!$B$29,IF(Skills!C3=2,90+Inputs!$B$26+Inputs!$B$29,IF(Skills!C3=3,120+Inputs!$B$27+Inputs!$B$29,MAX(0,(Inputs!$B$3-100)*3)+Inputs!$B$28+Inputs!$B$29)))</f>
        <v/>
      </c>
      <c r="E2063">
        <f>INDEX(FactorTable!$B$2:$Y$301, MATCH(ROUND(MIN(300,MAX(1,D2063)),0), FactorTable!$A$2:$A$301,0), Skills!M3+1)</f>
        <v/>
      </c>
      <c r="F2063">
        <f>IF(Skills!N3=TRUE,(Skills!L3/10)*(E2063/1000),Skills!L3/10)+Skills!O3</f>
        <v/>
      </c>
      <c r="G2063">
        <f>Skills!G3*IF(Skills!H3&gt;0,Skills!I3/Skills!H3,1)</f>
        <v/>
      </c>
      <c r="H2063">
        <f>1-(1-Skills!J3/100)^Skills!K3</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2080=TRUE)*(F2080-Calc!F20)),(Inputs!$B$23+0+(IF(ArtifactsInput!$M$15,CHOOSE(ArtifactsInput!$N$15+1,25,30,35,40,45,50)/100*(Inputs!$B$11-Inputs!$B$11),0))))/100+(Inputs!$B$23+0+(IF(ArtifactsInput!$M$15,CHOOSE(ArtifactsInput!$N$15+1,25,30,35,40,45,50)/100*(Inputs!$B$11-Inputs!$B$11),0)))/100)/2</f>
        <v/>
      </c>
      <c r="M2063">
        <f>L2063*(1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IF(B2096=0,0,O2063/B2096)</f>
        <v/>
      </c>
      <c r="Q2063" t="n">
        <v>0</v>
      </c>
      <c r="R2063" t="n">
        <v>0</v>
      </c>
      <c r="S2063">
        <f>IFERROR(O2063/N2063,0)</f>
        <v/>
      </c>
      <c r="T2063">
        <f>IF(C2063,(Skills!G3*H2063*N2063*B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INDEX(FactorTable!$B$2:$Y$301, MATCH(ROUND(MIN(300,MAX(1,U2062)),0), FactorTable!$A$2:$A$301,0), 22)</f>
        <v/>
      </c>
      <c r="V2063">
        <f>IF(C2063,(Skills!G3*H2063*N2063*B2090)*IF(Inputs!$B$38="pvp",1,(1+(Inputs!$B$21+Skills!Q3+(IF(ArtifactsInput!$M$33,CHOOSE(ArtifactsInput!$N$33+1,30,36,42,48,54,60),0))+(IF(AND(ArtifactsInput!$M$35,Inputs!$B$4&lt;&gt;"Chapter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Skills!A4</f>
        <v/>
      </c>
      <c r="B2064">
        <f>Skills!B4</f>
        <v/>
      </c>
      <c r="C2064">
        <f>Inputs!$B$3&gt;=60</f>
        <v/>
      </c>
      <c r="D2064">
        <f>IF(Skills!C4=1,60+Inputs!$B$25+Inputs!$B$29,IF(Skills!C4=2,90+Inputs!$B$26+Inputs!$B$29,IF(Skills!C4=3,120+Inputs!$B$27+Inputs!$B$29,MAX(0,(Inputs!$B$3-100)*3)+Inputs!$B$28+Inputs!$B$29)))</f>
        <v/>
      </c>
      <c r="E2064">
        <f>INDEX(FactorTable!$B$2:$Y$301, MATCH(ROUND(MIN(300,MAX(1,D2064)),0), FactorTable!$A$2:$A$301,0), Skills!M4+1)</f>
        <v/>
      </c>
      <c r="F2064">
        <f>IF(Skills!N4=TRUE,(Skills!L4/10)*(E2064/1000),Skills!L4/10)+Skills!O4</f>
        <v/>
      </c>
      <c r="G2064">
        <f>Skills!G4*IF(Skills!H4&gt;0,Skills!I4/Skills!H4,1)</f>
        <v/>
      </c>
      <c r="H2064">
        <f>1-(1-Skills!J4/100)^Skills!K4</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2072=TRUE,F2072,0)/100)*(1+(IF(Skills!A4="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2080=TRUE)*(F2080-Calc!F20)),(Inputs!$B$23+0+(IF(ArtifactsInput!$M$15,CHOOSE(ArtifactsInput!$N$15+1,25,30,35,40,45,50)/100*(Inputs!$B$11-Inputs!$B$11),0))))/100+(Inputs!$B$23+0+(IF(ArtifactsInput!$M$15,CHOOSE(ArtifactsInput!$N$15+1,25,30,35,40,45,50)/100*(Inputs!$B$11-Inputs!$B$11),0)))/100)/2</f>
        <v/>
      </c>
      <c r="M2064">
        <f>L2064*(1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IF(B2096=0,0,O2064/B2096)</f>
        <v/>
      </c>
      <c r="Q2064" t="n">
        <v>0</v>
      </c>
      <c r="R2064" t="n">
        <v>0</v>
      </c>
      <c r="S2064">
        <f>IFERROR(O2064/N2064,0)</f>
        <v/>
      </c>
      <c r="T2064">
        <f>IF(C2064,(Skills!G4*H2064*N2064*B2090)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290*U2063/1000</f>
        <v/>
      </c>
      <c r="V2064">
        <f>IF(C2064,(Skills!G4*H2064*N2064*B2090)*IF(Inputs!$B$38="pvp",1,(1+(Inputs!$B$21+Skills!Q4+(IF(ArtifactsInput!$M$33,CHOOSE(ArtifactsInput!$N$33+1,30,36,42,48,54,60),0))+(IF(AND(ArtifactsInput!$M$35,Inputs!$B$4&lt;&gt;"Chapter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Skills!A5</f>
        <v/>
      </c>
      <c r="B2065">
        <f>Skills!B5</f>
        <v/>
      </c>
      <c r="C2065">
        <f>Inputs!$B$3&gt;=60</f>
        <v/>
      </c>
      <c r="D2065">
        <f>IF(Skills!C5=1,60+Inputs!$B$25+Inputs!$B$29,IF(Skills!C5=2,90+Inputs!$B$26+Inputs!$B$29,IF(Skills!C5=3,120+Inputs!$B$27+Inputs!$B$29,MAX(0,(Inputs!$B$3-100)*3)+Inputs!$B$28+Inputs!$B$29)))</f>
        <v/>
      </c>
      <c r="E2065">
        <f>INDEX(FactorTable!$B$2:$Y$301, MATCH(ROUND(MIN(300,MAX(1,D2065)),0), FactorTable!$A$2:$A$301,0), Skills!M5+1)</f>
        <v/>
      </c>
      <c r="F2065">
        <f>IF(Skills!N5=TRUE,(Skills!L5/10)*(E2065/1000),Skills!L5/10)+Skills!O5</f>
        <v/>
      </c>
      <c r="G2065">
        <f>Skills!G5*IF(Skills!H5&gt;0,Skills!I5/Skills!H5,1)</f>
        <v/>
      </c>
      <c r="H2065">
        <f>1-(1-Skills!J5/100)^Skills!K5</f>
        <v/>
      </c>
      <c r="I2065" t="inlineStr">
        <is>
          <t>1</t>
        </is>
      </c>
      <c r="J2065" t="inlineStr"/>
      <c r="K2065" t="inlineStr"/>
      <c r="L2065" t="inlineStr"/>
      <c r="M2065" t="inlineStr"/>
      <c r="N2065" t="inlineStr"/>
      <c r="O2065">
        <f>(1-Summary!$B$11)*T2065+Summary!$B$11*V2065</f>
        <v/>
      </c>
      <c r="P2065">
        <f>IF(B2096=0,0,O2065/B2096)</f>
        <v/>
      </c>
      <c r="Q2065" t="n">
        <v>0</v>
      </c>
      <c r="R2065" t="n">
        <v>0</v>
      </c>
      <c r="S2065">
        <f>IFERROR(O2065/N2065,0)</f>
        <v/>
      </c>
      <c r="T2065" t="n">
        <v>0</v>
      </c>
      <c r="V2065" t="n">
        <v>0</v>
      </c>
    </row>
    <row r="2066">
      <c r="A2066">
        <f>Skills!A6</f>
        <v/>
      </c>
      <c r="B2066">
        <f>Skills!B6</f>
        <v/>
      </c>
      <c r="C2066">
        <f>Inputs!$B$3&gt;=63</f>
        <v/>
      </c>
      <c r="D2066">
        <f>IF(Skills!C6=1,60+Inputs!$B$25+Inputs!$B$29,IF(Skills!C6=2,90+Inputs!$B$26+Inputs!$B$29,IF(Skills!C6=3,120+Inputs!$B$27+Inputs!$B$29,MAX(0,(Inputs!$B$3-100)*3)+Inputs!$B$28+Inputs!$B$29)))</f>
        <v/>
      </c>
      <c r="E2066">
        <f>INDEX(FactorTable!$B$2:$Y$301, MATCH(ROUND(MIN(300,MAX(1,D2066)),0), FactorTable!$A$2:$A$301,0), Skills!M6+1)</f>
        <v/>
      </c>
      <c r="F2066">
        <f>IF(Skills!N6=TRUE,(Skills!L6/10)*(E2066/1000),Skills!L6/10)+Skills!O6</f>
        <v/>
      </c>
      <c r="G2066">
        <f>Skills!G6*IF(Skills!H6&gt;0,Skills!I6/Skills!H6,1)</f>
        <v/>
      </c>
      <c r="H2066">
        <f>1-(1-Skills!J6/100)^Skills!K6</f>
        <v/>
      </c>
      <c r="I2066" t="inlineStr">
        <is>
          <t>1</t>
        </is>
      </c>
      <c r="J2066">
        <f>((Inputs!$B$6*(1+Inputs!$B$7/100))+(((Inputs!$B$12*(1+Inputs!$B$13/100))-(Inputs!$B$12*(1+Inputs!$B$13/100)))+0.25*(Inputs!$B$14-Inputs!$B$14))*(1+Inputs!$B$7/100))*(F2066/100)</f>
        <v/>
      </c>
      <c r="K2066">
        <f>J2066*(1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C2080=TRUE)*(F2080-Calc!F20)),(Inputs!$B$23+0+(IF(ArtifactsInput!$M$15,CHOOSE(ArtifactsInput!$N$15+1,25,30,35,40,45,50)/100*(Inputs!$B$11-Inputs!$B$11),0))))/100+(Inputs!$B$23+0+(IF(ArtifactsInput!$M$15,CHOOSE(ArtifactsInput!$N$15+1,25,30,35,40,45,50)/100*(Inputs!$B$11-Inputs!$B$11),0)))/100)/2</f>
        <v/>
      </c>
      <c r="M2066">
        <f>L2066*(1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(1-Summary!$B$11)*T2066+Summary!$B$11*V2066</f>
        <v/>
      </c>
      <c r="P2066">
        <f>IF(B2096=0,0,O2066/B2096)</f>
        <v/>
      </c>
      <c r="Q2066">
        <f>IFERROR(1/(IF(Inputs!$B$38="pvp",15,MAX(0.1,Skills!D6-IF(Skills!E6=TRUE,Inputs!$B$32,0)))*(1-IF(AND(ArtifactsInput!$M$27,Inputs!$B$4="Chapter Hunt"),CHOOSE(ArtifactsInput!$N$27+1,20,24,28,32,36,40),0)/100)),0)</f>
        <v/>
      </c>
      <c r="R2066">
        <f>IF(AND(Inputs!$B$38&lt;&gt;"pvp",Inputs!$B$43&gt;0),IF(MAX(0,Inputs!$B$43-B2093)&lt;=0,0,(INT(MAX(0,Inputs!$B$43-B2093)/(IF(Inputs!$B$38="pvp",15,MAX(0.1,Skills!D6-IF(Skills!E6=TRUE,Inputs!$B$32,0)))*(1-IF(AND(ArtifactsInput!$M$27,Inputs!$B$4="Chapter Hunt"),CHOOSE(ArtifactsInput!$N$27+1,20,24,28,32,36,40),0)/100)))+1)),0)</f>
        <v/>
      </c>
      <c r="S2066">
        <f>IFERROR(O2066/N2066,0)</f>
        <v/>
      </c>
      <c r="T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$21+Skills!Q6+(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Skills!A7</f>
        <v/>
      </c>
      <c r="B2067">
        <f>Skills!B7</f>
        <v/>
      </c>
      <c r="C2067">
        <f>Inputs!$B$3&gt;=100</f>
        <v/>
      </c>
      <c r="D2067">
        <f>IF(Skills!C7=1,60+Inputs!$B$25+Inputs!$B$29,IF(Skills!C7=2,90+Inputs!$B$26+Inputs!$B$29,IF(Skills!C7=3,120+Inputs!$B$27+Inputs!$B$29,MAX(0,(Inputs!$B$3-100)*3)+Inputs!$B$28+Inputs!$B$29)))</f>
        <v/>
      </c>
      <c r="E2067">
        <f>INDEX(FactorTable!$B$2:$Y$301, MATCH(ROUND(MIN(300,MAX(1,D2067)),0), FactorTable!$A$2:$A$301,0), Skills!M7+1)</f>
        <v/>
      </c>
      <c r="F2067">
        <f>IF(Skills!N7=TRUE,(Skills!L7/10)*(E2067/1000),Skills!L7/10)+Skills!O7</f>
        <v/>
      </c>
      <c r="G2067">
        <f>Skills!G7*IF(Skills!H7&gt;0,Skills!I7/Skills!H7,1)</f>
        <v/>
      </c>
      <c r="H2067">
        <f>1-(1-Skills!J7/100)^Skills!K7</f>
        <v/>
      </c>
      <c r="I2067" t="inlineStr">
        <is>
          <t>1</t>
        </is>
      </c>
      <c r="J2067">
        <f>((Inputs!$B$6*(1+Inputs!$B$7/100))+(((Inputs!$B$12*(1+Inputs!$B$13/100))-(Inputs!$B$12*(1+Inputs!$B$13/100)))+0.25*(Inputs!$B$14-Inputs!$B$14))*(1+Inputs!$B$7/100))*(F2067/100)</f>
        <v/>
      </c>
      <c r="K2067">
        <f>J2067*(1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C2080=TRUE)*(F2080-Calc!F20)),(Inputs!$B$23+0+(IF(ArtifactsInput!$M$15,CHOOSE(ArtifactsInput!$N$15+1,25,30,35,40,45,50)/100*(Inputs!$B$11-Inputs!$B$11),0))))/100+(Inputs!$B$23+0+(IF(ArtifactsInput!$M$15,CHOOSE(ArtifactsInput!$N$15+1,25,30,35,40,45,50)/100*(Inputs!$B$11-Inputs!$B$11),0)))/100)/2</f>
        <v/>
      </c>
      <c r="M2067">
        <f>L2067*(1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(1-Summary!$B$11)*T2067+Summary!$B$11*V2067</f>
        <v/>
      </c>
      <c r="P2067">
        <f>IF(B2096=0,0,O2067/B2096)</f>
        <v/>
      </c>
      <c r="Q2067">
        <f>IFERROR(1/(IF(Inputs!$B$38="pvp",15,MAX(0.1,Skills!D7-IF(Skills!E7=TRUE,Inputs!$B$32,0)))*(1-IF(AND(ArtifactsInput!$M$27,Inputs!$B$4="Chapter Hunt"),CHOOSE(ArtifactsInput!$N$27+1,20,24,28,32,36,40),0)/100)),0)</f>
        <v/>
      </c>
      <c r="R2067">
        <f>IF(AND(Inputs!$B$38&lt;&gt;"pvp",Inputs!$B$43&gt;0),IF(MAX(0,Inputs!$B$43-B2093)&lt;=0,0,(INT(MAX(0,Inputs!$B$43-B2093)/(IF(Inputs!$B$38="pvp",15,MAX(0.1,Skills!D7-IF(Skills!E7=TRUE,Inputs!$B$32,0)))*(1-IF(AND(ArtifactsInput!$M$27,Inputs!$B$4="Chapter Hunt"),CHOOSE(ArtifactsInput!$N$27+1,20,24,28,32,36,40),0)/100)))+1)),0)</f>
        <v/>
      </c>
      <c r="S2067">
        <f>IFERROR(O2067/N2067,0)</f>
        <v/>
      </c>
      <c r="T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$21+Skills!Q7+(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Skills!A8</f>
        <v/>
      </c>
      <c r="B2068">
        <f>Skills!B8</f>
        <v/>
      </c>
      <c r="C2068">
        <f>Inputs!$B$3&gt;=110</f>
        <v/>
      </c>
      <c r="D2068">
        <f>IF(Skills!C8=1,60+Inputs!$B$25+Inputs!$B$29,IF(Skills!C8=2,90+Inputs!$B$26+Inputs!$B$29,IF(Skills!C8=3,120+Inputs!$B$27+Inputs!$B$29,MAX(0,(Inputs!$B$3-100)*3)+Inputs!$B$28+Inputs!$B$29)))</f>
        <v/>
      </c>
      <c r="E2068">
        <f>INDEX(FactorTable!$B$2:$Y$301, MATCH(ROUND(MIN(300,MAX(1,D2068)),0), FactorTable!$A$2:$A$301,0), Skills!M8+1)</f>
        <v/>
      </c>
      <c r="F2068">
        <f>IF(Skills!N8=TRUE,(Skills!L8/10)*(E2068/1000),Skills!L8/10)+Skills!O8</f>
        <v/>
      </c>
      <c r="G2068">
        <f>Skills!G8*IF(Skills!H8&gt;0,Skills!I8/Skills!H8,1)</f>
        <v/>
      </c>
      <c r="H2068">
        <f>1-(1-Skills!J8/100)^Skills!K8</f>
        <v/>
      </c>
      <c r="I2068" t="inlineStr">
        <is>
          <t>1</t>
        </is>
      </c>
      <c r="J2068">
        <f>((Inputs!$B$6*(1+Inputs!$B$7/100))+(((Inputs!$B$12*(1+Inputs!$B$13/100))-(Inputs!$B$12*(1+Inputs!$B$13/100)))+0.25*(Inputs!$B$14-Inputs!$B$14))*(1+Inputs!$B$7/100))*(F2068/100)</f>
        <v/>
      </c>
      <c r="K2068">
        <f>J2068*(1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C2080=TRUE)*(F2080-Calc!F20)),(Inputs!$B$23+0+(IF(ArtifactsInput!$M$15,CHOOSE(ArtifactsInput!$N$15+1,25,30,35,40,45,50)/100*(Inputs!$B$11-Inputs!$B$11),0))))/100+(Inputs!$B$23+0+(IF(ArtifactsInput!$M$15,CHOOSE(ArtifactsInput!$N$15+1,25,30,35,40,45,50)/100*(Inputs!$B$11-Inputs!$B$11),0)))/100)/2</f>
        <v/>
      </c>
      <c r="M2068">
        <f>L2068*(1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(1-Summary!$B$11)*T2068+Summary!$B$11*V2068</f>
        <v/>
      </c>
      <c r="P2068">
        <f>IF(B2096=0,0,O2068/B2096)</f>
        <v/>
      </c>
      <c r="Q2068">
        <f>IFERROR(1/(IF(Inputs!$B$38="pvp",15,MAX(0.1,Skills!D8-IF(Skills!E8=TRUE,Inputs!$B$32,0)))*(1-IF(AND(ArtifactsInput!$M$27,Inputs!$B$4="Chapter Hunt"),CHOOSE(ArtifactsInput!$N$27+1,20,24,28,32,36,40),0)/100)),0)</f>
        <v/>
      </c>
      <c r="R2068">
        <f>IF(AND(Inputs!$B$38&lt;&gt;"pvp",Inputs!$B$43&gt;0),IF(MAX(0,Inputs!$B$43-B2093)&lt;=0,0,(INT(MAX(0,Inputs!$B$43-B2093)/(IF(Inputs!$B$38="pvp",15,MAX(0.1,Skills!D8-IF(Skills!E8=TRUE,Inputs!$B$32,0)))*(1-IF(AND(ArtifactsInput!$M$27,Inputs!$B$4="Chapter Hunt"),CHOOSE(ArtifactsInput!$N$27+1,20,24,28,32,36,40),0)/100)))+1)),0)</f>
        <v/>
      </c>
      <c r="S2068">
        <f>IFERROR(O2068/N2068,0)</f>
        <v/>
      </c>
      <c r="T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$21+Skills!Q8+(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Skills!A9</f>
        <v/>
      </c>
      <c r="B2069">
        <f>Skills!B9</f>
        <v/>
      </c>
      <c r="C2069">
        <f>Inputs!$B$3&gt;=110</f>
        <v/>
      </c>
      <c r="D2069">
        <f>IF(Skills!C9=1,60+Inputs!$B$25+Inputs!$B$29,IF(Skills!C9=2,90+Inputs!$B$26+Inputs!$B$29,IF(Skills!C9=3,120+Inputs!$B$27+Inputs!$B$29,MAX(0,(Inputs!$B$3-100)*3)+Inputs!$B$28+Inputs!$B$29)))</f>
        <v/>
      </c>
      <c r="E2069">
        <f>INDEX(FactorTable!$B$2:$Y$301, MATCH(ROUND(MIN(300,MAX(1,D2069)),0), FactorTable!$A$2:$A$301,0), Skills!M9+1)</f>
        <v/>
      </c>
      <c r="F2069">
        <f>IF(Skills!N9=TRUE,(Skills!L9/10)*(E2069/1000),Skills!L9/10)+Skills!O9</f>
        <v/>
      </c>
      <c r="G2069">
        <f>Skills!G9*IF(Skills!H9&gt;0,Skills!I9/Skills!H9,1)</f>
        <v/>
      </c>
      <c r="H2069">
        <f>1-(1-Skills!J9/100)^Skills!K9</f>
        <v/>
      </c>
      <c r="I2069" t="inlineStr">
        <is>
          <t>1</t>
        </is>
      </c>
      <c r="J2069">
        <f>((Inputs!$B$6*(1+Inputs!$B$7/100))+(((Inputs!$B$12*(1+Inputs!$B$13/100))-(Inputs!$B$12*(1+Inputs!$B$13/100)))+0.25*(Inputs!$B$14-Inputs!$B$14))*(1+Inputs!$B$7/100))*(F2069/100)</f>
        <v/>
      </c>
      <c r="K2069">
        <f>J2069*(1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C2080=TRUE)*(F2080-Calc!F20)),(Inputs!$B$23+0+(IF(ArtifactsInput!$M$15,CHOOSE(ArtifactsInput!$N$15+1,25,30,35,40,45,50)/100*(Inputs!$B$11-Inputs!$B$11),0))))/100+(Inputs!$B$23+0+(IF(ArtifactsInput!$M$15,CHOOSE(ArtifactsInput!$N$15+1,25,30,35,40,45,50)/100*(Inputs!$B$11-Inputs!$B$11),0)))/100)/2</f>
        <v/>
      </c>
      <c r="M2069">
        <f>L2069*(1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(1-Summary!$B$11)*T2069+Summary!$B$11*V2069</f>
        <v/>
      </c>
      <c r="P2069">
        <f>IF(B2096=0,0,O2069/B2096)</f>
        <v/>
      </c>
      <c r="Q2069">
        <f>IFERROR(1/(IF(Inputs!$B$38="pvp",15,MAX(0.1,Skills!D9-IF(Skills!E9=TRUE,Inputs!$B$32,0)))*(1-IF(AND(ArtifactsInput!$M$27,Inputs!$B$4="Chapter Hunt"),CHOOSE(ArtifactsInput!$N$27+1,20,24,28,32,36,40),0)/100)),0)</f>
        <v/>
      </c>
      <c r="R2069">
        <f>IF(AND(Inputs!$B$38&lt;&gt;"pvp",Inputs!$B$43&gt;0),IF(MAX(0,Inputs!$B$43-B2093)&lt;=0,0,(INT(MAX(0,Inputs!$B$43-B2093)/(IF(Inputs!$B$38="pvp",15,MAX(0.1,Skills!D9-IF(Skills!E9=TRUE,Inputs!$B$32,0)))*(1-IF(AND(ArtifactsInput!$M$27,Inputs!$B$4="Chapter Hunt"),CHOOSE(ArtifactsInput!$N$27+1,20,24,28,32,36,40),0)/100)))+1)),0)</f>
        <v/>
      </c>
      <c r="S2069">
        <f>IFERROR(O2069/N2069,0)</f>
        <v/>
      </c>
      <c r="T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$21+Skills!Q9+(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Skills!A10</f>
        <v/>
      </c>
      <c r="B2070">
        <f>Skills!B10</f>
        <v/>
      </c>
      <c r="C2070">
        <f>Inputs!$B$3&gt;=103</f>
        <v/>
      </c>
      <c r="D2070">
        <f>IF(Skills!C10=1,60+Inputs!$B$25+Inputs!$B$29,IF(Skills!C10=2,90+Inputs!$B$26+Inputs!$B$29,IF(Skills!C10=3,120+Inputs!$B$27+Inputs!$B$29,MAX(0,(Inputs!$B$3-100)*3)+Inputs!$B$28+Inputs!$B$29)))</f>
        <v/>
      </c>
      <c r="E2070">
        <f>INDEX(FactorTable!$B$2:$Y$301, MATCH(ROUND(MIN(300,MAX(1,D2070)),0), FactorTable!$A$2:$A$301,0), Skills!M10+1)</f>
        <v/>
      </c>
      <c r="F2070">
        <f>IF(Skills!N10=TRUE,(Skills!L10/10)*(E2070/1000),Skills!L10/10)+Skills!O10</f>
        <v/>
      </c>
      <c r="G2070">
        <f>Skills!G10*IF(Skills!H10&gt;0,Skills!I10/Skills!H10,1)</f>
        <v/>
      </c>
      <c r="H2070">
        <f>1-(1-Skills!J10/100)^Skills!K10</f>
        <v/>
      </c>
      <c r="I2070" t="inlineStr">
        <is>
          <t>1</t>
        </is>
      </c>
      <c r="J2070">
        <f>((Inputs!$B$6*(1+Inputs!$B$7/100))+(((Inputs!$B$12*(1+Inputs!$B$13/100))-(Inputs!$B$12*(1+Inputs!$B$13/100)))+0.25*(Inputs!$B$14-Inputs!$B$14))*(1+Inputs!$B$7/100))*(F2070/100)</f>
        <v/>
      </c>
      <c r="K2070">
        <f>J2070*(1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C2080=TRUE)*(F2080-Calc!F20)),(Inputs!$B$23+0+(IF(ArtifactsInput!$M$15,CHOOSE(ArtifactsInput!$N$15+1,25,30,35,40,45,50)/100*(Inputs!$B$11-Inputs!$B$11),0))))/100+(Inputs!$B$23+0+(IF(ArtifactsInput!$M$15,CHOOSE(ArtifactsInput!$N$15+1,25,30,35,40,45,50)/100*(Inputs!$B$11-Inputs!$B$11),0)))/100)/2</f>
        <v/>
      </c>
      <c r="M2070">
        <f>L2070*(1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(1-Summary!$B$11)*T2070+Summary!$B$11*V2070</f>
        <v/>
      </c>
      <c r="P2070">
        <f>IF(B2096=0,0,O2070/B2096)</f>
        <v/>
      </c>
      <c r="Q2070">
        <f>IFERROR(1/(IF(Inputs!$B$38="pvp",15,MAX(0.1,Skills!D10-IF(Skills!E10=TRUE,Inputs!$B$32,0)))*(1-IF(AND(ArtifactsInput!$M$27,Inputs!$B$4="Chapter Hunt"),CHOOSE(ArtifactsInput!$N$27+1,20,24,28,32,36,40),0)/100)),0)</f>
        <v/>
      </c>
      <c r="R2070">
        <f>IF(AND(Inputs!$B$38&lt;&gt;"pvp",Inputs!$B$43&gt;0),IF(MAX(0,Inputs!$B$43-B2093)&lt;=0,0,(INT(MAX(0,Inputs!$B$43-B2093)/(IF(Inputs!$B$38="pvp",15,MAX(0.1,Skills!D10-IF(Skills!E10=TRUE,Inputs!$B$32,0)))*(1-IF(AND(ArtifactsInput!$M$27,Inputs!$B$4="Chapter Hunt"),CHOOSE(ArtifactsInput!$N$27+1,20,24,28,32,36,40),0)/100)))+1)),0)</f>
        <v/>
      </c>
      <c r="S2070">
        <f>IFERROR(O2070/N2070,0)</f>
        <v/>
      </c>
      <c r="T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$21+Skills!Q10+(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Skills!A11</f>
        <v/>
      </c>
      <c r="B2071">
        <f>Skills!B11</f>
        <v/>
      </c>
      <c r="C2071">
        <f>Inputs!$B$3&gt;=113</f>
        <v/>
      </c>
      <c r="D2071">
        <f>IF(Skills!C11=1,60+Inputs!$B$25+Inputs!$B$29,IF(Skills!C11=2,90+Inputs!$B$26+Inputs!$B$29,IF(Skills!C11=3,120+Inputs!$B$27+Inputs!$B$29,MAX(0,(Inputs!$B$3-100)*3)+Inputs!$B$28+Inputs!$B$29)))</f>
        <v/>
      </c>
      <c r="E2071">
        <f>INDEX(FactorTable!$B$2:$Y$301, MATCH(ROUND(MIN(300,MAX(1,D2071)),0), FactorTable!$A$2:$A$301,0), Skills!M11+1)</f>
        <v/>
      </c>
      <c r="F2071">
        <f>IF(Skills!N11=TRUE,(Skills!L11/10)*(E2071/1000),Skills!L11/10)+Skills!O11</f>
        <v/>
      </c>
      <c r="G2071">
        <f>Skills!G11*IF(Skills!H11&gt;0,Skills!I11/Skills!H11,1)</f>
        <v/>
      </c>
      <c r="H2071">
        <f>1-(1-Skills!J11/100)^Skills!K11</f>
        <v/>
      </c>
      <c r="I2071" t="inlineStr">
        <is>
          <t>1</t>
        </is>
      </c>
      <c r="J2071">
        <f>((Inputs!$B$6*(1+Inputs!$B$7/100))+(((Inputs!$B$12*(1+Inputs!$B$13/100))-(Inputs!$B$12*(1+Inputs!$B$13/100)))+0.25*(Inputs!$B$14-Inputs!$B$14))*(1+Inputs!$B$7/100))*(F2071/100)</f>
        <v/>
      </c>
      <c r="K2071">
        <f>J2071*(1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C2080=TRUE)*(F2080-Calc!F20)),(Inputs!$B$23+0+(IF(ArtifactsInput!$M$15,CHOOSE(ArtifactsInput!$N$15+1,25,30,35,40,45,50)/100*(Inputs!$B$11-Inputs!$B$11),0))))/100+(Inputs!$B$23+0+(IF(ArtifactsInput!$M$15,CHOOSE(ArtifactsInput!$N$15+1,25,30,35,40,45,50)/100*(Inputs!$B$11-Inputs!$B$11),0)))/100)/2</f>
        <v/>
      </c>
      <c r="M2071">
        <f>L2071*(1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(1-Summary!$B$11)*T2071+Summary!$B$11*V2071</f>
        <v/>
      </c>
      <c r="P2071">
        <f>IF(B2096=0,0,O2071/B2096)</f>
        <v/>
      </c>
      <c r="Q2071">
        <f>IFERROR(1/(IF(Inputs!$B$38="pvp",15,MAX(0.1,Skills!D11-IF(Skills!E11=TRUE,Inputs!$B$32,0)))*(1-IF(AND(ArtifactsInput!$M$27,Inputs!$B$4="Chapter Hunt"),CHOOSE(ArtifactsInput!$N$27+1,20,24,28,32,36,40),0)/100)),0)</f>
        <v/>
      </c>
      <c r="R2071">
        <f>IF(AND(Inputs!$B$38&lt;&gt;"pvp",Inputs!$B$43&gt;0),IF(MAX(0,Inputs!$B$43-B2093)&lt;=0,0,(INT(MAX(0,Inputs!$B$43-B2093)/(IF(Inputs!$B$38="pvp",15,MAX(0.1,Skills!D11-IF(Skills!E11=TRUE,Inputs!$B$32,0)))*(1-IF(AND(ArtifactsInput!$M$27,Inputs!$B$4="Chapter Hunt"),CHOOSE(ArtifactsInput!$N$27+1,20,24,28,32,36,40),0)/100)))+1)),0)</f>
        <v/>
      </c>
      <c r="S2071">
        <f>IFERROR(O2071/N2071,0)</f>
        <v/>
      </c>
      <c r="T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$21+Skills!Q11+(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Skills!A12</f>
        <v/>
      </c>
      <c r="B2072">
        <f>Skills!B12</f>
        <v/>
      </c>
      <c r="C2072">
        <f>Inputs!$B$3&gt;=100</f>
        <v/>
      </c>
      <c r="D2072">
        <f>IF(Skills!C12=1,60+Inputs!$B$25+Inputs!$B$29,IF(Skills!C12=2,90+Inputs!$B$26+Inputs!$B$29,IF(Skills!C12=3,120+Inputs!$B$27+Inputs!$B$29,MAX(0,(Inputs!$B$3-100)*3)+Inputs!$B$28+Inputs!$B$29)))</f>
        <v/>
      </c>
      <c r="E2072">
        <f>INDEX(FactorTable!$B$2:$Y$301, MATCH(ROUND(MIN(300,MAX(1,D2072)),0), FactorTable!$A$2:$A$301,0), Skills!M12+1)</f>
        <v/>
      </c>
      <c r="F2072">
        <f>IF(Skills!N12=TRUE,(Skills!L12/10)*(E2072/1000),Skills!L12/10)+Skills!O12</f>
        <v/>
      </c>
      <c r="G2072" t="inlineStr"/>
      <c r="H2072" t="inlineStr"/>
      <c r="I2072" t="inlineStr">
        <is>
          <t>1</t>
        </is>
      </c>
      <c r="J2072" t="inlineStr"/>
      <c r="K2072" t="inlineStr"/>
      <c r="L2072" t="inlineStr"/>
      <c r="M2072" t="inlineStr"/>
      <c r="N2072" t="inlineStr"/>
      <c r="O2072" t="inlineStr"/>
      <c r="P2072" t="inlineStr"/>
      <c r="Q2072" t="inlineStr"/>
      <c r="R2072" t="inlineStr"/>
      <c r="S2072" t="inlineStr"/>
      <c r="T2072" t="inlineStr"/>
      <c r="V2072" t="inlineStr"/>
    </row>
    <row r="2073">
      <c r="A2073">
        <f>Skills!A13</f>
        <v/>
      </c>
      <c r="B2073">
        <f>Skills!B13</f>
        <v/>
      </c>
      <c r="C2073">
        <f>Inputs!$B$3&gt;=66</f>
        <v/>
      </c>
      <c r="D2073">
        <f>IF(Skills!C13=1,60+Inputs!$B$25+Inputs!$B$29,IF(Skills!C13=2,90+Inputs!$B$26+Inputs!$B$29,IF(Skills!C13=3,120+Inputs!$B$27+Inputs!$B$29,MAX(0,(Inputs!$B$3-100)*3)+Inputs!$B$28+Inputs!$B$29)))</f>
        <v/>
      </c>
      <c r="E2073">
        <f>INDEX(FactorTable!$B$2:$Y$301, MATCH(ROUND(MIN(300,MAX(1,D2073)),0), FactorTable!$A$2:$A$301,0), Skills!M13+1)</f>
        <v/>
      </c>
      <c r="F2073">
        <f>IF(Skills!N13=TRUE,(Skills!L13/10)*(E2073/1000),Skills!L13/10)+Skills!O13</f>
        <v/>
      </c>
      <c r="G2073">
        <f>Skills!G13*IF(Skills!H13&gt;0,Skills!I13/Skills!H13,1)</f>
        <v/>
      </c>
      <c r="H2073">
        <f>1-(1-Skills!J13/100)^Skills!K13</f>
        <v/>
      </c>
      <c r="I2073" t="inlineStr">
        <is>
          <t>1</t>
        </is>
      </c>
      <c r="J2073" t="inlineStr"/>
      <c r="K2073" t="inlineStr"/>
      <c r="L2073" t="inlineStr"/>
      <c r="M2073" t="inlineStr"/>
      <c r="N2073" t="inlineStr"/>
      <c r="O2073">
        <f>(1-Summary!$B$11)*T2073+Summary!$B$11*V2073</f>
        <v/>
      </c>
      <c r="P2073">
        <f>IF(B2096=0,0,O2073/B2096)</f>
        <v/>
      </c>
      <c r="Q2073" t="n">
        <v>0</v>
      </c>
      <c r="R2073" t="n">
        <v>0</v>
      </c>
      <c r="S2073">
        <f>IFERROR(O2073/N2073,0)</f>
        <v/>
      </c>
      <c r="T2073" t="n">
        <v>0</v>
      </c>
      <c r="V2073" t="n">
        <v>0</v>
      </c>
    </row>
    <row r="2074">
      <c r="A2074">
        <f>Skills!A14</f>
        <v/>
      </c>
      <c r="B2074">
        <f>Skills!B14</f>
        <v/>
      </c>
      <c r="C2074">
        <f>Inputs!$B$3&gt;=107</f>
        <v/>
      </c>
      <c r="D2074">
        <f>IF(Skills!C14=1,60+Inputs!$B$25+Inputs!$B$29,IF(Skills!C14=2,90+Inputs!$B$26+Inputs!$B$29,IF(Skills!C14=3,120+Inputs!$B$27+Inputs!$B$29,MAX(0,(Inputs!$B$3-100)*3)+Inputs!$B$28+Inputs!$B$29)))</f>
        <v/>
      </c>
      <c r="E2074">
        <f>INDEX(FactorTable!$B$2:$Y$301, MATCH(ROUND(MIN(300,MAX(1,D2074)),0), FactorTable!$A$2:$A$301,0), Skills!M14+1)</f>
        <v/>
      </c>
      <c r="F2074">
        <f>IF(Skills!N14=TRUE,(Skills!L14/10)*(E2074/1000),Skills!L14/10)+Skills!O14</f>
        <v/>
      </c>
      <c r="G2074">
        <f>Skills!G14*IF(Skills!H14&gt;0,Skills!I14/Skills!H14,1)</f>
        <v/>
      </c>
      <c r="H2074">
        <f>1-(1-Skills!J14/100)^Skills!K14</f>
        <v/>
      </c>
      <c r="I2074" t="inlineStr">
        <is>
          <t>1</t>
        </is>
      </c>
      <c r="J2074" t="inlineStr"/>
      <c r="K2074" t="inlineStr"/>
      <c r="L2074" t="inlineStr"/>
      <c r="M2074" t="inlineStr"/>
      <c r="N2074" t="inlineStr"/>
      <c r="O2074">
        <f>(1-Summary!$B$11)*T2074+Summary!$B$11*V2074</f>
        <v/>
      </c>
      <c r="P2074">
        <f>IF(B2096=0,0,O2074/B2096)</f>
        <v/>
      </c>
      <c r="Q2074" t="n">
        <v>0</v>
      </c>
      <c r="R2074" t="n">
        <v>0</v>
      </c>
      <c r="S2074">
        <f>IFERROR(O2074/N2074,0)</f>
        <v/>
      </c>
      <c r="T2074" t="n">
        <v>0</v>
      </c>
      <c r="V2074" t="n">
        <v>0</v>
      </c>
    </row>
    <row r="2075">
      <c r="A2075">
        <f>Skills!A15</f>
        <v/>
      </c>
      <c r="B2075">
        <f>Skills!B15</f>
        <v/>
      </c>
      <c r="C2075">
        <f>Inputs!$B$3&gt;=115</f>
        <v/>
      </c>
      <c r="D2075">
        <f>IF(Skills!C15=1,60+Inputs!$B$25+Inputs!$B$29,IF(Skills!C15=2,90+Inputs!$B$26+Inputs!$B$29,IF(Skills!C15=3,120+Inputs!$B$27+Inputs!$B$29,MAX(0,(Inputs!$B$3-100)*3)+Inputs!$B$28+Inputs!$B$29)))</f>
        <v/>
      </c>
      <c r="E2075">
        <f>INDEX(FactorTable!$B$2:$Y$301, MATCH(ROUND(MIN(300,MAX(1,D2075)),0), FactorTable!$A$2:$A$301,0), Skills!M15+1)</f>
        <v/>
      </c>
      <c r="F2075">
        <f>IF(Skills!N15=TRUE,(Skills!L15/10)*(E2075/1000),Skills!L15/10)+Skills!O15</f>
        <v/>
      </c>
      <c r="G2075">
        <f>Skills!G15*IF(Skills!H15&gt;0,Skills!I15/Skills!H15,1)</f>
        <v/>
      </c>
      <c r="H2075">
        <f>1-(1-Skills!J15/100)^Skills!K15</f>
        <v/>
      </c>
      <c r="I2075" t="inlineStr">
        <is>
          <t>1</t>
        </is>
      </c>
      <c r="J2075" t="inlineStr"/>
      <c r="K2075" t="inlineStr"/>
      <c r="L2075" t="inlineStr"/>
      <c r="M2075" t="inlineStr"/>
      <c r="N2075" t="inlineStr"/>
      <c r="O2075">
        <f>(1-Summary!$B$11)*T2075+Summary!$B$11*V2075</f>
        <v/>
      </c>
      <c r="P2075">
        <f>IF(B2096=0,0,O2075/B2096)</f>
        <v/>
      </c>
      <c r="Q2075" t="n">
        <v>0</v>
      </c>
      <c r="R2075" t="n">
        <v>0</v>
      </c>
      <c r="S2075">
        <f>IFERROR(O2075/N2075,0)</f>
        <v/>
      </c>
      <c r="T2075" t="n">
        <v>0</v>
      </c>
      <c r="V2075" t="n">
        <v>0</v>
      </c>
    </row>
    <row r="2076">
      <c r="A2076">
        <f>Skills!A16</f>
        <v/>
      </c>
      <c r="B2076">
        <f>Skills!B16</f>
        <v/>
      </c>
      <c r="C2076">
        <f>Inputs!$B$3&gt;=15</f>
        <v/>
      </c>
      <c r="D2076">
        <f>IF(Skills!C16=1,60+Inputs!$B$25+Inputs!$B$29,IF(Skills!C16=2,90+Inputs!$B$26+Inputs!$B$29,IF(Skills!C16=3,120+Inputs!$B$27+Inputs!$B$29,MAX(0,(Inputs!$B$3-100)*3)+Inputs!$B$28+Inputs!$B$29)))</f>
        <v/>
      </c>
      <c r="E2076">
        <f>INDEX(FactorTable!$B$2:$Y$301, MATCH(ROUND(MIN(300,MAX(1,D2076)),0), FactorTable!$A$2:$A$301,0), Skills!M16+1)</f>
        <v/>
      </c>
      <c r="F2076">
        <f>IF(Skills!N16=TRUE,(Skills!L16/10)*(E2076/1000),Skills!L16/10)+Skills!O16</f>
        <v/>
      </c>
      <c r="G2076">
        <f>Skills!G16*IF(Skills!H16&gt;0,Skills!I16/Skills!H16,1)</f>
        <v/>
      </c>
      <c r="H2076">
        <f>1-(1-Skills!J16/100)^Skills!K16</f>
        <v/>
      </c>
      <c r="I2076" t="inlineStr">
        <is>
          <t>1</t>
        </is>
      </c>
      <c r="J2076" t="inlineStr"/>
      <c r="K2076" t="inlineStr"/>
      <c r="L2076" t="inlineStr"/>
      <c r="M2076" t="inlineStr"/>
      <c r="N2076" t="inlineStr"/>
      <c r="O2076">
        <f>(1-Summary!$B$11)*T2076+Summary!$B$11*V2076</f>
        <v/>
      </c>
      <c r="P2076">
        <f>IF(B2096=0,0,O2076/B2096)</f>
        <v/>
      </c>
      <c r="Q2076" t="n">
        <v>0</v>
      </c>
      <c r="R2076" t="n">
        <v>0</v>
      </c>
      <c r="S2076">
        <f>IFERROR(O2076/N2076,0)</f>
        <v/>
      </c>
      <c r="T2076" t="n">
        <v>0</v>
      </c>
      <c r="V2076" t="n">
        <v>0</v>
      </c>
    </row>
    <row r="2077">
      <c r="A2077">
        <f>Skills!A17</f>
        <v/>
      </c>
      <c r="B2077">
        <f>Skills!B17</f>
        <v/>
      </c>
      <c r="C2077">
        <f>Inputs!$B$3&gt;=10</f>
        <v/>
      </c>
      <c r="D2077">
        <f>IF(Skills!C17=1,60+Inputs!$B$25+Inputs!$B$29,IF(Skills!C17=2,90+Inputs!$B$26+Inputs!$B$29,IF(Skills!C17=3,120+Inputs!$B$27+Inputs!$B$29,MAX(0,(Inputs!$B$3-100)*3)+Inputs!$B$28+Inputs!$B$29)))</f>
        <v/>
      </c>
      <c r="E2077">
        <f>INDEX(FactorTable!$B$2:$Y$301, MATCH(ROUND(MIN(300,MAX(1,D2077)),0), FactorTable!$A$2:$A$301,0), Skills!M17+1)</f>
        <v/>
      </c>
      <c r="F2077">
        <f>IF(Skills!N17=TRUE,(Skills!L17/10)*(E2077/1000),Skills!L17/10)+Skills!O17</f>
        <v/>
      </c>
      <c r="G2077">
        <f>Skills!G17*IF(Skills!H17&gt;0,Skills!I17/Skills!H17,1)</f>
        <v/>
      </c>
      <c r="H2077">
        <f>1-(1-Skills!J17/100)^Skills!K17</f>
        <v/>
      </c>
      <c r="I2077" t="inlineStr">
        <is>
          <t>1</t>
        </is>
      </c>
      <c r="J2077" t="inlineStr"/>
      <c r="K2077" t="inlineStr"/>
      <c r="L2077" t="inlineStr"/>
      <c r="M2077" t="inlineStr"/>
      <c r="N2077" t="inlineStr"/>
      <c r="O2077">
        <f>(1-Summary!$B$11)*T2077+Summary!$B$11*V2077</f>
        <v/>
      </c>
      <c r="P2077">
        <f>IF(B2096=0,0,O2077/B2096)</f>
        <v/>
      </c>
      <c r="Q2077" t="n">
        <v>0</v>
      </c>
      <c r="R2077" t="n">
        <v>0</v>
      </c>
      <c r="S2077">
        <f>IFERROR(O2077/N2077,0)</f>
        <v/>
      </c>
      <c r="T2077" t="n">
        <v>0</v>
      </c>
      <c r="V2077" t="n">
        <v>0</v>
      </c>
    </row>
    <row r="2078">
      <c r="A2078">
        <f>Skills!A18</f>
        <v/>
      </c>
      <c r="B2078">
        <f>Skills!B18</f>
        <v/>
      </c>
      <c r="C2078">
        <f>Inputs!$B$3&gt;=33</f>
        <v/>
      </c>
      <c r="D2078">
        <f>IF(Skills!C18=1,60+Inputs!$B$25+Inputs!$B$29,IF(Skills!C18=2,90+Inputs!$B$26+Inputs!$B$29,IF(Skills!C18=3,120+Inputs!$B$27+Inputs!$B$29,MAX(0,(Inputs!$B$3-100)*3)+Inputs!$B$28+Inputs!$B$29)))</f>
        <v/>
      </c>
      <c r="E2078">
        <f>INDEX(FactorTable!$B$2:$Y$301, MATCH(ROUND(MIN(300,MAX(1,D2078)),0), FactorTable!$A$2:$A$301,0), Skills!M18+1)</f>
        <v/>
      </c>
      <c r="F2078">
        <f>IF(Skills!N18=TRUE,(Skills!L18/10)*(E2078/1000),Skills!L18/10)+Skills!O18</f>
        <v/>
      </c>
      <c r="G2078">
        <f>Skills!G18*IF(Skills!H18&gt;0,Skills!I18/Skills!H18,1)</f>
        <v/>
      </c>
      <c r="H2078">
        <f>1-(1-Skills!J18/100)^Skills!K18</f>
        <v/>
      </c>
      <c r="I2078" t="inlineStr">
        <is>
          <t>1</t>
        </is>
      </c>
      <c r="J2078" t="inlineStr"/>
      <c r="K2078" t="inlineStr"/>
      <c r="L2078" t="inlineStr"/>
      <c r="M2078" t="inlineStr"/>
      <c r="N2078" t="inlineStr"/>
      <c r="O2078">
        <f>(1-Summary!$B$11)*T2078+Summary!$B$11*V2078</f>
        <v/>
      </c>
      <c r="P2078">
        <f>IF(B2096=0,0,O2078/B2096)</f>
        <v/>
      </c>
      <c r="Q2078" t="n">
        <v>0</v>
      </c>
      <c r="R2078" t="n">
        <v>0</v>
      </c>
      <c r="S2078">
        <f>IFERROR(O2078/N2078,0)</f>
        <v/>
      </c>
      <c r="T2078" t="n">
        <v>0</v>
      </c>
      <c r="V2078" t="n">
        <v>0</v>
      </c>
    </row>
    <row r="2079">
      <c r="A2079">
        <f>Skills!A19</f>
        <v/>
      </c>
      <c r="B2079">
        <f>Skills!B19</f>
        <v/>
      </c>
      <c r="C2079">
        <f>Inputs!$B$3&gt;=40</f>
        <v/>
      </c>
      <c r="D2079">
        <f>IF(Skills!C19=1,60+Inputs!$B$25+Inputs!$B$29,IF(Skills!C19=2,90+Inputs!$B$26+Inputs!$B$29,IF(Skills!C19=3,120+Inputs!$B$27+Inputs!$B$29,MAX(0,(Inputs!$B$3-100)*3)+Inputs!$B$28+Inputs!$B$29)))</f>
        <v/>
      </c>
      <c r="E2079">
        <f>INDEX(FactorTable!$B$2:$Y$301, MATCH(ROUND(MIN(300,MAX(1,D2079)),0), FactorTable!$A$2:$A$301,0), Skills!M19+1)</f>
        <v/>
      </c>
      <c r="F2079">
        <f>IF(Skills!N19=TRUE,(Skills!L19/10)*(E2079/1000),Skills!L19/10)+Skills!O19</f>
        <v/>
      </c>
      <c r="G2079">
        <f>Skills!G19*IF(Skills!H19&gt;0,Skills!I19/Skills!H19,1)</f>
        <v/>
      </c>
      <c r="H2079">
        <f>1-(1-Skills!J19/100)^Skills!K19</f>
        <v/>
      </c>
      <c r="I2079" t="inlineStr">
        <is>
          <t>1</t>
        </is>
      </c>
      <c r="J2079" t="inlineStr"/>
      <c r="K2079" t="inlineStr"/>
      <c r="L2079" t="inlineStr"/>
      <c r="M2079" t="inlineStr"/>
      <c r="N2079" t="inlineStr"/>
      <c r="O2079">
        <f>(1-Summary!$B$11)*T2079+Summary!$B$11*V2079</f>
        <v/>
      </c>
      <c r="P2079">
        <f>IF(B2096=0,0,O2079/B2096)</f>
        <v/>
      </c>
      <c r="Q2079" t="n">
        <v>0</v>
      </c>
      <c r="R2079" t="n">
        <v>0</v>
      </c>
      <c r="S2079">
        <f>IFERROR(O2079/N2079,0)</f>
        <v/>
      </c>
      <c r="T2079" t="n">
        <v>0</v>
      </c>
      <c r="V2079" t="n">
        <v>0</v>
      </c>
    </row>
    <row r="2080">
      <c r="A2080">
        <f>Skills!A20</f>
        <v/>
      </c>
      <c r="B2080">
        <f>Skills!B20</f>
        <v/>
      </c>
      <c r="C2080">
        <f>Inputs!$B$3&gt;=43</f>
        <v/>
      </c>
      <c r="D2080">
        <f>IF(Skills!C20=1,60+Inputs!$B$25+Inputs!$B$29,IF(Skills!C20=2,90+Inputs!$B$26+Inputs!$B$29,IF(Skills!C20=3,120+Inputs!$B$27+Inputs!$B$29,MAX(0,(Inputs!$B$3-100)*3)+Inputs!$B$28+Inputs!$B$29)))</f>
        <v/>
      </c>
      <c r="E2080">
        <f>INDEX(FactorTable!$B$2:$Y$301, MATCH(ROUND(MIN(300,MAX(1,D2080)),0), FactorTable!$A$2:$A$301,0), Skills!M20+1)</f>
        <v/>
      </c>
      <c r="F2080">
        <f>IF(Skills!N20=TRUE,(Skills!L20/10)*(E2080/1000),Skills!L20/10)+Skills!O20</f>
        <v/>
      </c>
      <c r="G2080">
        <f>Skills!G20*IF(Skills!H20&gt;0,Skills!I20/Skills!H20,1)</f>
        <v/>
      </c>
      <c r="H2080">
        <f>1-(1-Skills!J20/100)^Skills!K20</f>
        <v/>
      </c>
      <c r="I2080" t="inlineStr">
        <is>
          <t>1</t>
        </is>
      </c>
      <c r="J2080" t="inlineStr"/>
      <c r="K2080" t="inlineStr"/>
      <c r="L2080" t="inlineStr"/>
      <c r="M2080" t="inlineStr"/>
      <c r="N2080" t="inlineStr"/>
      <c r="O2080">
        <f>(1-Summary!$B$11)*T2080+Summary!$B$11*V2080</f>
        <v/>
      </c>
      <c r="P2080">
        <f>IF(B2096=0,0,O2080/B2096)</f>
        <v/>
      </c>
      <c r="Q2080" t="n">
        <v>0</v>
      </c>
      <c r="R2080" t="n">
        <v>0</v>
      </c>
      <c r="S2080">
        <f>IFERROR(O2080/N2080,0)</f>
        <v/>
      </c>
      <c r="T2080" t="n">
        <v>0</v>
      </c>
      <c r="V2080" t="n">
        <v>0</v>
      </c>
    </row>
    <row r="2081">
      <c r="A2081">
        <f>Skills!A21</f>
        <v/>
      </c>
      <c r="B2081">
        <f>Skills!B21</f>
        <v/>
      </c>
      <c r="C2081">
        <f>Inputs!$B$3&gt;=38</f>
        <v/>
      </c>
      <c r="D2081">
        <f>IF(Skills!C21=1,60+Inputs!$B$25+Inputs!$B$29,IF(Skills!C21=2,90+Inputs!$B$26+Inputs!$B$29,IF(Skills!C21=3,120+Inputs!$B$27+Inputs!$B$29,MAX(0,(Inputs!$B$3-100)*3)+Inputs!$B$28+Inputs!$B$29)))</f>
        <v/>
      </c>
      <c r="E2081">
        <f>INDEX(FactorTable!$B$2:$Y$301, MATCH(ROUND(MIN(300,MAX(1,D2081)),0), FactorTable!$A$2:$A$301,0), Skills!M21+1)</f>
        <v/>
      </c>
      <c r="F2081">
        <f>IF(Skills!N21=TRUE,(Skills!L21/10)*(E2081/1000),Skills!L21/10)+Skills!O21</f>
        <v/>
      </c>
      <c r="G2081">
        <f>Skills!G21*IF(Skills!H21&gt;0,Skills!I21/Skills!H21,1)</f>
        <v/>
      </c>
      <c r="H2081">
        <f>1-(1-Skills!J21/100)^Skills!K21</f>
        <v/>
      </c>
      <c r="I2081" t="inlineStr">
        <is>
          <t>1</t>
        </is>
      </c>
      <c r="J2081" t="inlineStr"/>
      <c r="K2081" t="inlineStr"/>
      <c r="L2081" t="inlineStr"/>
      <c r="M2081" t="inlineStr"/>
      <c r="N2081" t="inlineStr"/>
      <c r="O2081">
        <f>(1-Summary!$B$11)*T2081+Summary!$B$11*V2081</f>
        <v/>
      </c>
      <c r="P2081">
        <f>IF(B2096=0,0,O2081/B2096)</f>
        <v/>
      </c>
      <c r="Q2081" t="n">
        <v>0</v>
      </c>
      <c r="R2081" t="n">
        <v>0</v>
      </c>
      <c r="S2081">
        <f>IFERROR(O2081/N2081,0)</f>
        <v/>
      </c>
      <c r="T2081" t="n">
        <v>0</v>
      </c>
      <c r="V2081" t="n">
        <v>0</v>
      </c>
    </row>
    <row r="2082">
      <c r="A2082">
        <f>Skills!A22</f>
        <v/>
      </c>
      <c r="B2082">
        <f>Skills!B22</f>
        <v/>
      </c>
      <c r="C2082">
        <f>Inputs!$B$3&gt;=75</f>
        <v/>
      </c>
      <c r="D2082">
        <f>IF(Skills!C22=1,60+Inputs!$B$25+Inputs!$B$29,IF(Skills!C22=2,90+Inputs!$B$26+Inputs!$B$29,IF(Skills!C22=3,120+Inputs!$B$27+Inputs!$B$29,MAX(0,(Inputs!$B$3-100)*3)+Inputs!$B$28+Inputs!$B$29)))</f>
        <v/>
      </c>
      <c r="E2082">
        <f>INDEX(FactorTable!$B$2:$Y$301, MATCH(ROUND(MIN(300,MAX(1,D2082)),0), FactorTable!$A$2:$A$301,0), Skills!M22+1)</f>
        <v/>
      </c>
      <c r="F2082">
        <f>IF(Skills!N22=TRUE,(Skills!L22/10)*(E2082/1000),Skills!L22/10)+Skills!O22</f>
        <v/>
      </c>
      <c r="G2082">
        <f>Skills!G22*IF(Skills!H22&gt;0,Skills!I22/Skills!H22,1)</f>
        <v/>
      </c>
      <c r="H2082">
        <f>1-(1-Skills!J22/100)^Skills!K22</f>
        <v/>
      </c>
      <c r="I2082" t="inlineStr">
        <is>
          <t>1</t>
        </is>
      </c>
      <c r="J2082" t="inlineStr"/>
      <c r="K2082" t="inlineStr"/>
      <c r="L2082" t="inlineStr"/>
      <c r="M2082" t="inlineStr"/>
      <c r="N2082" t="inlineStr"/>
      <c r="O2082">
        <f>(1-Summary!$B$11)*T2082+Summary!$B$11*V2082</f>
        <v/>
      </c>
      <c r="P2082">
        <f>IF(B2096=0,0,O2082/B2096)</f>
        <v/>
      </c>
      <c r="Q2082" t="n">
        <v>0</v>
      </c>
      <c r="R2082" t="n">
        <v>0</v>
      </c>
      <c r="S2082">
        <f>IFERROR(O2082/N2082,0)</f>
        <v/>
      </c>
      <c r="T2082" t="n">
        <v>0</v>
      </c>
      <c r="V2082" t="n">
        <v>0</v>
      </c>
    </row>
    <row r="2083">
      <c r="A2083">
        <f>Skills!A23</f>
        <v/>
      </c>
      <c r="B2083">
        <f>Skills!B23</f>
        <v/>
      </c>
      <c r="C2083">
        <f>TRUE</f>
        <v/>
      </c>
      <c r="D2083">
        <f>IF(Skills!C23=1,60+Inputs!$B$25+Inputs!$B$29,IF(Skills!C23=2,90+Inputs!$B$26+Inputs!$B$29,IF(Skills!C23=3,120+Inputs!$B$27+Inputs!$B$29,MAX(0,(Inputs!$B$3-100)*3)+Inputs!$B$28+Inputs!$B$29)))</f>
        <v/>
      </c>
      <c r="E2083">
        <f>INDEX(FactorTable!$B$2:$Y$301, MATCH(ROUND(MIN(300,MAX(1,D2083)),0), FactorTable!$A$2:$A$301,0), Skills!M23+1)</f>
        <v/>
      </c>
      <c r="F2083">
        <f>IF(Skills!N23=TRUE,(Skills!L23/10)*(E2083/1000),Skills!L23/10)+Skills!O23</f>
        <v/>
      </c>
      <c r="G2083">
        <f>Skills!G23*IF(Skills!H23&gt;0,Skills!I23/Skills!H23,1)</f>
        <v/>
      </c>
      <c r="H2083">
        <f>1-(1-Skills!J23/100)^Skills!K23</f>
        <v/>
      </c>
      <c r="I2083" t="inlineStr">
        <is>
          <t>1</t>
        </is>
      </c>
      <c r="J2083" t="inlineStr"/>
      <c r="K2083" t="inlineStr"/>
      <c r="L2083" t="inlineStr"/>
      <c r="M2083" t="inlineStr"/>
      <c r="N2083" t="inlineStr"/>
      <c r="O2083">
        <f>(1-Summary!$B$11)*T2083+Summary!$B$11*V2083</f>
        <v/>
      </c>
      <c r="P2083">
        <f>IF(B2096=0,0,O2083/B2096)</f>
        <v/>
      </c>
      <c r="Q2083">
        <f>IFERROR(1/(IF(Inputs!$B$38="pvp",15,MAX(0.1,Skills!D23-IF(Skills!E23=TRUE,Inputs!$B$32,0)))*(1-IF(AND(ArtifactsInput!$M$27,Inputs!$B$4="Chapter Hunt"),CHOOSE(ArtifactsInput!$N$27+1,20,24,28,32,36,40),0)/100)),0)</f>
        <v/>
      </c>
      <c r="R2083">
        <f>IF(AND(Inputs!$B$38&lt;&gt;"pvp",Inputs!$B$43&gt;0),IF(Inputs!$B$43&lt;=0,0,(INT(Inputs!$B$43/(IF(Inputs!$B$38="pvp",15,MAX(0.1,Skills!D23-IF(Skills!E23=TRUE,Inputs!$B$32,0)))*(1-IF(AND(ArtifactsInput!$M$27,Inputs!$B$4="Chapter Hunt"),CHOOSE(ArtifactsInput!$N$27+1,20,24,28,32,36,40),0)/100)))+1)),0)</f>
        <v/>
      </c>
      <c r="S2083">
        <f>IFERROR(O2083/N2083,0)</f>
        <v/>
      </c>
      <c r="T2083" t="n">
        <v>0</v>
      </c>
      <c r="V2083" t="n">
        <v>0</v>
      </c>
    </row>
    <row r="2085">
      <c r="A2085" t="inlineStr">
        <is>
          <t>Attack% Bucket Multiplier</t>
        </is>
      </c>
      <c r="B2085">
        <f>(1+(((C2073=TRUE)*F2073*5/7)+((C2079=TRUE)*(F2079-Calc!F19))+(IF(ArtifactsInput!$M$21,CHOOSE(ArtifactsInput!$N$21+1,25,30,35,40,45,50)*(IF(OR(Inputs!$B$4="Chapter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6">
      <c r="A2086" t="inlineStr">
        <is>
          <t>Global Crit Rate Bonus %</t>
        </is>
      </c>
      <c r="B2086" t="n">
        <v>0</v>
      </c>
    </row>
    <row r="2087">
      <c r="A2087" t="inlineStr">
        <is>
          <t>Attack Speed Buff Bonus % (Nimble Feet, duty-cycle averaged)</t>
        </is>
      </c>
      <c r="B2087">
        <f>((C2083=TRUE)*F2083*IF(AND(Inputs!$B$38&lt;&gt;"pvp",Inputs!$B$43&gt;0),(((R2083-1)*(Skills!T23*(1+Inputs!$B$34/100))+MIN((Skills!T23*(1+Inputs!$B$34/100)),MAX(0,Inputs!$B$43-((R2083-1)*Skills!D23))))/Inputs!$B$43),IF(Inputs!$B$38="pvp",MIN((Skills!T23*(1+Inputs!$B$34/100)),15)/15,(Skills!T23*(1+Inputs!$B$34/100))/Skills!D23)))</f>
        <v/>
      </c>
    </row>
    <row r="2088">
      <c r="A2088" t="inlineStr">
        <is>
          <t>Actions Per Second</t>
        </is>
      </c>
      <c r="B2088">
        <f>1+MIN(150,150*(1-(1-(Inputs!$B$11+((C2077=TRUE)*(F2077-Calc!F17))+((C2078=TRUE)*(F2078-Calc!F18)))/150)*(1-B2087/150)))/100</f>
        <v/>
      </c>
    </row>
    <row r="2089">
      <c r="A2089" t="inlineStr">
        <is>
          <t>Skill + Buff Cast Rate</t>
        </is>
      </c>
      <c r="B2089">
        <f>IF(AND(Inputs!$B$38&lt;&gt;"pvp",Inputs!$B$43&gt;0),SUMPRODUCT((Skills!E2:E23=TRUE)*(C2062:C2083=TRUE)*R2062:R2083*Skills!F2:F23)/Inputs!$B$43,SUMPRODUCT((Skills!E2:E23=TRUE)*(C2062:C2083=TRUE)*Q2062:Q2083*Skills!F2:F23))</f>
        <v/>
      </c>
    </row>
    <row r="2090">
      <c r="A2090" t="inlineStr">
        <is>
          <t>Hook Bomber Casts Per Second</t>
        </is>
      </c>
      <c r="B2090">
        <f>MAX(0,B2088-B2089)</f>
        <v/>
      </c>
    </row>
    <row r="2091">
      <c r="A2091" t="inlineStr">
        <is>
          <t>Global Critical Damage Bonus % (unused)</t>
        </is>
      </c>
      <c r="B2091" t="n">
        <v>0</v>
      </c>
    </row>
    <row r="2092">
      <c r="A2092" t="inlineStr">
        <is>
          <t>Global Final Damage Bonus % (Serpent Scale + Crossbones + Time Leap + Speed Infusion)</t>
        </is>
      </c>
      <c r="B2092">
        <f>((C2065=TRUE)*F2065*((10+IF(Inputs!$B$3&gt;=94,5,0))/((10+IF(Inputs!$B$3&gt;=94,5,0))+5/(B2090*(1+IF(Inputs!$B$3&gt;=104,1,0))))))+((C2074=TRUE)*F2074)+((C2075=TRUE)*F2075)+((Inputs!$B$3&gt;=110)*20*(B2088-1))</f>
        <v/>
      </c>
    </row>
    <row r="2093">
      <c r="A2093" t="inlineStr">
        <is>
          <t>Buff-Casting Startup Delay (s, fixed-duration only)</t>
        </is>
      </c>
      <c r="B2093">
        <f>IF(AND(Inputs!$B$38&lt;&gt;"pvp",Inputs!$B$43&gt;0),SUMPRODUCT((Skills!T2:T23&gt;0)*(Skills!E2:E23=TRUE)*(C2062:C2083=TRUE))/B2088,0)</f>
        <v/>
      </c>
    </row>
    <row r="2094">
      <c r="A2094" t="inlineStr">
        <is>
          <t>Boss-Only Total DPS (this block's swept value)</t>
        </is>
      </c>
      <c r="B2094">
        <f>SUM(T2062:T2083)</f>
        <v/>
      </c>
    </row>
    <row r="2095">
      <c r="A2095" t="inlineStr">
        <is>
          <t>Normal-Only Total DPS (this block's swept value)</t>
        </is>
      </c>
      <c r="B2095">
        <f>SUM(V2062:V2083)</f>
        <v/>
      </c>
    </row>
    <row r="2096">
      <c r="A2096" s="6" t="inlineStr">
        <is>
          <t>TOTAL DPS</t>
        </is>
      </c>
      <c r="B2096" s="6">
        <f>SUM(O2062:O2083)</f>
        <v/>
      </c>
    </row>
    <row r="2099">
      <c r="A2099" s="6" t="inlineStr">
        <is>
          <t>Stat: Sayram's Necklace (Equip)</t>
        </is>
      </c>
    </row>
    <row r="2100">
      <c r="A2100" s="5" t="inlineStr">
        <is>
          <t>Key</t>
        </is>
      </c>
      <c r="B2100" s="5" t="inlineStr">
        <is>
          <t>Name</t>
        </is>
      </c>
      <c r="C2100" s="5" t="inlineStr">
        <is>
          <t>Unlocked</t>
        </is>
      </c>
      <c r="D2100" s="5" t="inlineStr">
        <is>
          <t>InputLevel</t>
        </is>
      </c>
      <c r="E2100" s="5" t="inlineStr">
        <is>
          <t>Factor</t>
        </is>
      </c>
      <c r="F2100" s="5" t="inlineStr">
        <is>
          <t>CoefficientPercent</t>
        </is>
      </c>
      <c r="G2100" s="5" t="inlineStr">
        <is>
          <t>EffectiveHits</t>
        </is>
      </c>
      <c r="H2100" s="5" t="inlineStr">
        <is>
          <t>ProcProbability</t>
        </is>
      </c>
      <c r="I2100" s="5" t="inlineStr">
        <is>
          <t>MapleHeroMultiplier</t>
        </is>
      </c>
      <c r="J2100" s="5" t="inlineStr">
        <is>
          <t>BaseDamage</t>
        </is>
      </c>
      <c r="K2100" s="5" t="inlineStr">
        <is>
          <t>BaseHitDamage</t>
        </is>
      </c>
      <c r="L2100" s="5" t="inlineStr">
        <is>
          <t>NonCritAvg</t>
        </is>
      </c>
      <c r="M2100" s="5" t="inlineStr">
        <is>
          <t>CritAvg</t>
        </is>
      </c>
      <c r="N2100" s="5" t="inlineStr">
        <is>
          <t>ExpectedDamage(perHit)</t>
        </is>
      </c>
      <c r="O2100" s="5" t="inlineStr">
        <is>
          <t>DPS</t>
        </is>
      </c>
      <c r="P2100" s="5" t="inlineStr">
        <is>
          <t>% of Total</t>
        </is>
      </c>
      <c r="Q2100" s="5" t="inlineStr">
        <is>
          <t>InvCooldown</t>
        </is>
      </c>
      <c r="R2100" s="5" t="inlineStr">
        <is>
          <t>CastsInFight</t>
        </is>
      </c>
      <c r="S2100" s="5" t="inlineStr">
        <is>
          <t>HitRate(perSec)</t>
        </is>
      </c>
      <c r="U2100" t="inlineStr">
        <is>
          <t>helpers</t>
        </is>
      </c>
    </row>
    <row r="2101">
      <c r="A2101">
        <f>Skills!A2</f>
        <v/>
      </c>
      <c r="B2101">
        <f>Skills!B2</f>
        <v/>
      </c>
      <c r="C2101">
        <f>Inputs!$B$3&gt;=100</f>
        <v/>
      </c>
      <c r="D2101" t="inlineStr"/>
      <c r="E2101" t="inlineStr"/>
      <c r="F2101">
        <f>U2103+Skills!O2</f>
        <v/>
      </c>
      <c r="G2101">
        <f>Skills!G2*IF(Skills!H2&gt;0,Skills!I2/Skills!H2,1)</f>
        <v/>
      </c>
      <c r="H2101">
        <f>1-(1-Skills!J2/100)^Skills!K2</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20)),(Inputs!$B$23+0+(IF(ArtifactsInput!$M$15,CHOOSE(ArtifactsInput!$N$15+1,25,30,35,40,45,50)/100*(Inputs!$B$11-Inputs!$B$11),0))))/100+(Inputs!$B$23+0+(IF(ArtifactsInput!$M$15,CHOOSE(ArtifactsInput!$N$15+1,25,30,35,40,45,50)/100*(Inputs!$B$11-Inputs!$B$11),0)))/100)/2</f>
        <v/>
      </c>
      <c r="M2101">
        <f>L2101*(1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IF(B2135=0,0,O2101/B2135)</f>
        <v/>
      </c>
      <c r="Q2101" t="n">
        <v>0</v>
      </c>
      <c r="R2101" t="n">
        <v>0</v>
      </c>
      <c r="S2101">
        <f>IFERROR(O2101/N2101,0)</f>
        <v/>
      </c>
      <c r="T2101">
        <f>IF(C2101,(Skills!G2*N2101*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MAX(0,(Inputs!$B$3-100)*3)+Inputs!$B$28+Inputs!$B$29</f>
        <v/>
      </c>
      <c r="V2101">
        <f>IF(C2101,(Skills!G2*N2101*B2129)*IF(Inputs!$B$38="pvp",1,(1+(Inputs!$B$21+Skills!Q2+(IF(IF(ArtifactsInput!$M$33,FALSE,TRUE),CHOOSE(ArtifactsInput!$N$33+1,30,36,42,48,54,60),0))+(IF(AND(ArtifactsInput!$M$35,Inputs!$B$4&lt;&gt;"Chapter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Skills!A3</f>
        <v/>
      </c>
      <c r="B2102">
        <f>Skills!B3</f>
        <v/>
      </c>
      <c r="C2102">
        <f>Inputs!$B$3&gt;=35</f>
        <v/>
      </c>
      <c r="D2102">
        <f>IF(Skills!C3=1,60+Inputs!$B$25+Inputs!$B$29,IF(Skills!C3=2,90+Inputs!$B$26+Inputs!$B$29,IF(Skills!C3=3,120+Inputs!$B$27+Inputs!$B$29,MAX(0,(Inputs!$B$3-100)*3)+Inputs!$B$28+Inputs!$B$29)))</f>
        <v/>
      </c>
      <c r="E2102">
        <f>INDEX(FactorTable!$B$2:$Y$301, MATCH(ROUND(MIN(300,MAX(1,D2102)),0), FactorTable!$A$2:$A$301,0), Skills!M3+1)</f>
        <v/>
      </c>
      <c r="F2102">
        <f>IF(Skills!N3=TRUE,(Skills!L3/10)*(E2102/1000),Skills!L3/10)+Skills!O3</f>
        <v/>
      </c>
      <c r="G2102">
        <f>Skills!G3*IF(Skills!H3&gt;0,Skills!I3/Skills!H3,1)</f>
        <v/>
      </c>
      <c r="H2102">
        <f>1-(1-Skills!J3/100)^Skills!K3</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t="n">
        <v>0</v>
      </c>
      <c r="R2102" t="n">
        <v>0</v>
      </c>
      <c r="S2102">
        <f>IFERROR(O2102/N2102,0)</f>
        <v/>
      </c>
      <c r="T2102">
        <f>IF(C2102,(Skills!G3*H2102*N2102*B2129)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INDEX(FactorTable!$B$2:$Y$301, MATCH(ROUND(MIN(300,MAX(1,U2101)),0), FactorTable!$A$2:$A$301,0), 22)</f>
        <v/>
      </c>
      <c r="V2102">
        <f>IF(C2102,(Skills!G3*H2102*N2102*B2129)*IF(Inputs!$B$38="pvp",1,(1+(Inputs!$B$21+Skills!Q3+(IF(IF(ArtifactsInput!$M$33,FALSE,TRUE),CHOOSE(ArtifactsInput!$N$33+1,30,36,42,48,54,60),0))+(IF(AND(ArtifactsInput!$M$35,Inputs!$B$4&lt;&gt;"Chapter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Skills!A4</f>
        <v/>
      </c>
      <c r="B2103">
        <f>Skills!B4</f>
        <v/>
      </c>
      <c r="C2103">
        <f>Inputs!$B$3&gt;=60</f>
        <v/>
      </c>
      <c r="D2103">
        <f>IF(Skills!C4=1,60+Inputs!$B$25+Inputs!$B$29,IF(Skills!C4=2,90+Inputs!$B$26+Inputs!$B$29,IF(Skills!C4=3,120+Inputs!$B$27+Inputs!$B$29,MAX(0,(Inputs!$B$3-100)*3)+Inputs!$B$28+Inputs!$B$29)))</f>
        <v/>
      </c>
      <c r="E2103">
        <f>INDEX(FactorTable!$B$2:$Y$301, MATCH(ROUND(MIN(300,MAX(1,D2103)),0), FactorTable!$A$2:$A$301,0), Skills!M4+1)</f>
        <v/>
      </c>
      <c r="F2103">
        <f>IF(Skills!N4=TRUE,(Skills!L4/10)*(E2103/1000),Skills!L4/10)+Skills!O4</f>
        <v/>
      </c>
      <c r="G2103">
        <f>Skills!G4*IF(Skills!H4&gt;0,Skills!I4/Skills!H4,1)</f>
        <v/>
      </c>
      <c r="H2103">
        <f>1-(1-Skills!J4/100)^Skills!K4</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t="n">
        <v>0</v>
      </c>
      <c r="R2103" t="n">
        <v>0</v>
      </c>
      <c r="S2103">
        <f>IFERROR(O2103/N2103,0)</f>
        <v/>
      </c>
      <c r="T2103">
        <f>IF(C2103,(Skills!G4*H2103*N2103*B2129)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290*U2102/1000</f>
        <v/>
      </c>
      <c r="V2103">
        <f>IF(C2103,(Skills!G4*H2103*N2103*B2129)*IF(Inputs!$B$38="pvp",1,(1+(Inputs!$B$21+Skills!Q4+(IF(IF(ArtifactsInput!$M$33,FALSE,TRUE),CHOOSE(ArtifactsInput!$N$33+1,30,36,42,48,54,60),0))+(IF(AND(ArtifactsInput!$M$35,Inputs!$B$4&lt;&gt;"Chapter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Skills!A5</f>
        <v/>
      </c>
      <c r="B2104">
        <f>Skills!B5</f>
        <v/>
      </c>
      <c r="C2104">
        <f>Inputs!$B$3&gt;=60</f>
        <v/>
      </c>
      <c r="D2104">
        <f>IF(Skills!C5=1,60+Inputs!$B$25+Inputs!$B$29,IF(Skills!C5=2,90+Inputs!$B$26+Inputs!$B$29,IF(Skills!C5=3,120+Inputs!$B$27+Inputs!$B$29,MAX(0,(Inputs!$B$3-100)*3)+Inputs!$B$28+Inputs!$B$29)))</f>
        <v/>
      </c>
      <c r="E2104">
        <f>INDEX(FactorTable!$B$2:$Y$301, MATCH(ROUND(MIN(300,MAX(1,D2104)),0), FactorTable!$A$2:$A$301,0), Skills!M5+1)</f>
        <v/>
      </c>
      <c r="F2104">
        <f>IF(Skills!N5=TRUE,(Skills!L5/10)*(E2104/1000),Skills!L5/10)+Skills!O5</f>
        <v/>
      </c>
      <c r="G2104">
        <f>Skills!G5*IF(Skills!H5&gt;0,Skills!I5/Skills!H5,1)</f>
        <v/>
      </c>
      <c r="H2104">
        <f>1-(1-Skills!J5/100)^Skills!K5</f>
        <v/>
      </c>
      <c r="I2104" t="inlineStr">
        <is>
          <t>1</t>
        </is>
      </c>
      <c r="J2104" t="inlineStr"/>
      <c r="K2104" t="inlineStr"/>
      <c r="L2104" t="inlineStr"/>
      <c r="M2104" t="inlineStr"/>
      <c r="N2104" t="inlineStr"/>
      <c r="O2104">
        <f>(1-Summary!$B$11)*T2104+Summary!$B$11*V2104</f>
        <v/>
      </c>
      <c r="P2104">
        <f>IF(B2135=0,0,O2104/B2135)</f>
        <v/>
      </c>
      <c r="Q2104" t="n">
        <v>0</v>
      </c>
      <c r="R2104" t="n">
        <v>0</v>
      </c>
      <c r="S2104">
        <f>IFERROR(O2104/N2104,0)</f>
        <v/>
      </c>
      <c r="T2104" t="n">
        <v>0</v>
      </c>
      <c r="V2104" t="n">
        <v>0</v>
      </c>
    </row>
    <row r="2105">
      <c r="A2105">
        <f>Skills!A6</f>
        <v/>
      </c>
      <c r="B2105">
        <f>Skills!B6</f>
        <v/>
      </c>
      <c r="C2105">
        <f>Inputs!$B$3&gt;=63</f>
        <v/>
      </c>
      <c r="D2105">
        <f>IF(Skills!C6=1,60+Inputs!$B$25+Inputs!$B$29,IF(Skills!C6=2,90+Inputs!$B$26+Inputs!$B$29,IF(Skills!C6=3,120+Inputs!$B$27+Inputs!$B$29,MAX(0,(Inputs!$B$3-100)*3)+Inputs!$B$28+Inputs!$B$29)))</f>
        <v/>
      </c>
      <c r="E2105">
        <f>INDEX(FactorTable!$B$2:$Y$301, MATCH(ROUND(MIN(300,MAX(1,D2105)),0), FactorTable!$A$2:$A$301,0), Skills!M6+1)</f>
        <v/>
      </c>
      <c r="F2105">
        <f>IF(Skills!N6=TRUE,(Skills!L6/10)*(E2105/1000),Skills!L6/10)+Skills!O6</f>
        <v/>
      </c>
      <c r="G2105">
        <f>Skills!G6*IF(Skills!H6&gt;0,Skills!I6/Skills!H6,1)</f>
        <v/>
      </c>
      <c r="H2105">
        <f>1-(1-Skills!J6/100)^Skills!K6</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IFERROR(1/(IF(Inputs!$B$38="pvp",15,MAX(0.1,Skills!D6-IF(Skills!E6=TRUE,Inputs!$B$32,0)))*(1-IF(AND(ArtifactsInput!$M$27,Inputs!$B$4="Chapter Hunt"),CHOOSE(ArtifactsInput!$N$27+1,20,24,28,32,36,40),0)/100)),0)</f>
        <v/>
      </c>
      <c r="R2105">
        <f>IF(AND(Inputs!$B$38&lt;&gt;"pvp",Inputs!$B$43&gt;0),IF(MAX(0,Inputs!$B$43-B2132)&lt;=0,0,(INT(MAX(0,Inputs!$B$43-B2132)/(IF(Inputs!$B$38="pvp",15,MAX(0.1,Skills!D6-IF(Skills!E6=TRUE,Inputs!$B$32,0)))*(1-IF(AND(ArtifactsInput!$M$27,Inputs!$B$4="Chapter Hunt"),CHOOSE(ArtifactsInput!$N$27+1,20,24,28,32,36,40),0)/100)))+1)),0)</f>
        <v/>
      </c>
      <c r="S2105">
        <f>IFERROR(O2105/N2105,0)</f>
        <v/>
      </c>
      <c r="T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$21+Skills!Q6+(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Skills!A7</f>
        <v/>
      </c>
      <c r="B2106">
        <f>Skills!B7</f>
        <v/>
      </c>
      <c r="C2106">
        <f>Inputs!$B$3&gt;=100</f>
        <v/>
      </c>
      <c r="D2106">
        <f>IF(Skills!C7=1,60+Inputs!$B$25+Inputs!$B$29,IF(Skills!C7=2,90+Inputs!$B$26+Inputs!$B$29,IF(Skills!C7=3,120+Inputs!$B$27+Inputs!$B$29,MAX(0,(Inputs!$B$3-100)*3)+Inputs!$B$28+Inputs!$B$29)))</f>
        <v/>
      </c>
      <c r="E2106">
        <f>INDEX(FactorTable!$B$2:$Y$301, MATCH(ROUND(MIN(300,MAX(1,D2106)),0), FactorTable!$A$2:$A$301,0), Skills!M7+1)</f>
        <v/>
      </c>
      <c r="F2106">
        <f>IF(Skills!N7=TRUE,(Skills!L7/10)*(E2106/1000),Skills!L7/10)+Skills!O7</f>
        <v/>
      </c>
      <c r="G2106">
        <f>Skills!G7*IF(Skills!H7&gt;0,Skills!I7/Skills!H7,1)</f>
        <v/>
      </c>
      <c r="H2106">
        <f>1-(1-Skills!J7/100)^Skills!K7</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IFERROR(1/(IF(Inputs!$B$38="pvp",15,MAX(0.1,Skills!D7-IF(Skills!E7=TRUE,Inputs!$B$32,0)))*(1-IF(AND(ArtifactsInput!$M$27,Inputs!$B$4="Chapter Hunt"),CHOOSE(ArtifactsInput!$N$27+1,20,24,28,32,36,40),0)/100)),0)</f>
        <v/>
      </c>
      <c r="R2106">
        <f>IF(AND(Inputs!$B$38&lt;&gt;"pvp",Inputs!$B$43&gt;0),IF(MAX(0,Inputs!$B$43-B2132)&lt;=0,0,(INT(MAX(0,Inputs!$B$43-B2132)/(IF(Inputs!$B$38="pvp",15,MAX(0.1,Skills!D7-IF(Skills!E7=TRUE,Inputs!$B$32,0)))*(1-IF(AND(ArtifactsInput!$M$27,Inputs!$B$4="Chapter Hunt"),CHOOSE(ArtifactsInput!$N$27+1,20,24,28,32,36,40),0)/100)))+1)),0)</f>
        <v/>
      </c>
      <c r="S2106">
        <f>IFERROR(O2106/N2106,0)</f>
        <v/>
      </c>
      <c r="T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$21+Skills!Q7+(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Skills!A8</f>
        <v/>
      </c>
      <c r="B2107">
        <f>Skills!B8</f>
        <v/>
      </c>
      <c r="C2107">
        <f>Inputs!$B$3&gt;=110</f>
        <v/>
      </c>
      <c r="D2107">
        <f>IF(Skills!C8=1,60+Inputs!$B$25+Inputs!$B$29,IF(Skills!C8=2,90+Inputs!$B$26+Inputs!$B$29,IF(Skills!C8=3,120+Inputs!$B$27+Inputs!$B$29,MAX(0,(Inputs!$B$3-100)*3)+Inputs!$B$28+Inputs!$B$29)))</f>
        <v/>
      </c>
      <c r="E2107">
        <f>INDEX(FactorTable!$B$2:$Y$301, MATCH(ROUND(MIN(300,MAX(1,D2107)),0), FactorTable!$A$2:$A$301,0), Skills!M8+1)</f>
        <v/>
      </c>
      <c r="F2107">
        <f>IF(Skills!N8=TRUE,(Skills!L8/10)*(E2107/1000),Skills!L8/10)+Skills!O8</f>
        <v/>
      </c>
      <c r="G2107">
        <f>Skills!G8*IF(Skills!H8&gt;0,Skills!I8/Skills!H8,1)</f>
        <v/>
      </c>
      <c r="H2107">
        <f>1-(1-Skills!J8/100)^Skills!K8</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f>IFERROR(1/(IF(Inputs!$B$38="pvp",15,MAX(0.1,Skills!D8-IF(Skills!E8=TRUE,Inputs!$B$32,0)))*(1-IF(AND(ArtifactsInput!$M$27,Inputs!$B$4="Chapter Hunt"),CHOOSE(ArtifactsInput!$N$27+1,20,24,28,32,36,40),0)/100)),0)</f>
        <v/>
      </c>
      <c r="R2107">
        <f>IF(AND(Inputs!$B$38&lt;&gt;"pvp",Inputs!$B$43&gt;0),IF(MAX(0,Inputs!$B$43-B2132)&lt;=0,0,(INT(MAX(0,Inputs!$B$43-B2132)/(IF(Inputs!$B$38="pvp",15,MAX(0.1,Skills!D8-IF(Skills!E8=TRUE,Inputs!$B$32,0)))*(1-IF(AND(ArtifactsInput!$M$27,Inputs!$B$4="Chapter Hunt"),CHOOSE(ArtifactsInput!$N$27+1,20,24,28,32,36,40),0)/100)))+1)),0)</f>
        <v/>
      </c>
      <c r="S2107">
        <f>IFERROR(O2107/N2107,0)</f>
        <v/>
      </c>
      <c r="T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$21+Skills!Q8+(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Skills!A9</f>
        <v/>
      </c>
      <c r="B2108">
        <f>Skills!B9</f>
        <v/>
      </c>
      <c r="C2108">
        <f>Inputs!$B$3&gt;=110</f>
        <v/>
      </c>
      <c r="D2108">
        <f>IF(Skills!C9=1,60+Inputs!$B$25+Inputs!$B$29,IF(Skills!C9=2,90+Inputs!$B$26+Inputs!$B$29,IF(Skills!C9=3,120+Inputs!$B$27+Inputs!$B$29,MAX(0,(Inputs!$B$3-100)*3)+Inputs!$B$28+Inputs!$B$29)))</f>
        <v/>
      </c>
      <c r="E2108">
        <f>INDEX(FactorTable!$B$2:$Y$301, MATCH(ROUND(MIN(300,MAX(1,D2108)),0), FactorTable!$A$2:$A$301,0), Skills!M9+1)</f>
        <v/>
      </c>
      <c r="F2108">
        <f>IF(Skills!N9=TRUE,(Skills!L9/10)*(E2108/1000),Skills!L9/10)+Skills!O9</f>
        <v/>
      </c>
      <c r="G2108">
        <f>Skills!G9*IF(Skills!H9&gt;0,Skills!I9/Skills!H9,1)</f>
        <v/>
      </c>
      <c r="H2108">
        <f>1-(1-Skills!J9/100)^Skills!K9</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2119=TRUE)*(F2119-Calc!F20)),(Inputs!$B$23+0+(IF(ArtifactsInput!$M$15,CHOOSE(ArtifactsInput!$N$15+1,25,30,35,40,45,50)/100*(Inputs!$B$11-Inputs!$B$11),0))))/100+(Inputs!$B$23+0+(IF(ArtifactsInput!$M$15,CHOOSE(ArtifactsInput!$N$15+1,25,30,35,40,45,50)/100*(Inputs!$B$11-Inputs!$B$11),0)))/100)/2</f>
        <v/>
      </c>
      <c r="M2108">
        <f>L2108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IF(B2135=0,0,O2108/B2135)</f>
        <v/>
      </c>
      <c r="Q2108">
        <f>IFERROR(1/(IF(Inputs!$B$38="pvp",15,MAX(0.1,Skills!D9-IF(Skills!E9=TRUE,Inputs!$B$32,0)))*(1-IF(AND(ArtifactsInput!$M$27,Inputs!$B$4="Chapter Hunt"),CHOOSE(ArtifactsInput!$N$27+1,20,24,28,32,36,40),0)/100)),0)</f>
        <v/>
      </c>
      <c r="R2108">
        <f>IF(AND(Inputs!$B$38&lt;&gt;"pvp",Inputs!$B$43&gt;0),IF(MAX(0,Inputs!$B$43-B2132)&lt;=0,0,(INT(MAX(0,Inputs!$B$43-B2132)/(IF(Inputs!$B$38="pvp",15,MAX(0.1,Skills!D9-IF(Skills!E9=TRUE,Inputs!$B$32,0)))*(1-IF(AND(ArtifactsInput!$M$27,Inputs!$B$4="Chapter Hunt"),CHOOSE(ArtifactsInput!$N$27+1,20,24,28,32,36,40),0)/100)))+1)),0)</f>
        <v/>
      </c>
      <c r="S2108">
        <f>IFERROR(O2108/N2108,0)</f>
        <v/>
      </c>
      <c r="T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$21+Skills!Q9+(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Skills!A10</f>
        <v/>
      </c>
      <c r="B2109">
        <f>Skills!B10</f>
        <v/>
      </c>
      <c r="C2109">
        <f>Inputs!$B$3&gt;=103</f>
        <v/>
      </c>
      <c r="D2109">
        <f>IF(Skills!C10=1,60+Inputs!$B$25+Inputs!$B$29,IF(Skills!C10=2,90+Inputs!$B$26+Inputs!$B$29,IF(Skills!C10=3,120+Inputs!$B$27+Inputs!$B$29,MAX(0,(Inputs!$B$3-100)*3)+Inputs!$B$28+Inputs!$B$29)))</f>
        <v/>
      </c>
      <c r="E2109">
        <f>INDEX(FactorTable!$B$2:$Y$301, MATCH(ROUND(MIN(300,MAX(1,D2109)),0), FactorTable!$A$2:$A$301,0), Skills!M10+1)</f>
        <v/>
      </c>
      <c r="F2109">
        <f>IF(Skills!N10=TRUE,(Skills!L10/10)*(E2109/1000),Skills!L10/10)+Skills!O10</f>
        <v/>
      </c>
      <c r="G2109">
        <f>Skills!G10*IF(Skills!H10&gt;0,Skills!I10/Skills!H10,1)</f>
        <v/>
      </c>
      <c r="H2109">
        <f>1-(1-Skills!J10/100)^Skills!K10</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2119=TRUE)*(F2119-Calc!F20)),(Inputs!$B$23+0+(IF(ArtifactsInput!$M$15,CHOOSE(ArtifactsInput!$N$15+1,25,30,35,40,45,50)/100*(Inputs!$B$11-Inputs!$B$11),0))))/100+(Inputs!$B$23+0+(IF(ArtifactsInput!$M$15,CHOOSE(ArtifactsInput!$N$15+1,25,30,35,40,45,50)/100*(Inputs!$B$11-Inputs!$B$11),0)))/100)/2</f>
        <v/>
      </c>
      <c r="M2109">
        <f>L2109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IF(B2135=0,0,O2109/B2135)</f>
        <v/>
      </c>
      <c r="Q2109">
        <f>IFERROR(1/(IF(Inputs!$B$38="pvp",15,MAX(0.1,Skills!D10-IF(Skills!E10=TRUE,Inputs!$B$32,0)))*(1-IF(AND(ArtifactsInput!$M$27,Inputs!$B$4="Chapter Hunt"),CHOOSE(ArtifactsInput!$N$27+1,20,24,28,32,36,40),0)/100)),0)</f>
        <v/>
      </c>
      <c r="R2109">
        <f>IF(AND(Inputs!$B$38&lt;&gt;"pvp",Inputs!$B$43&gt;0),IF(MAX(0,Inputs!$B$43-B2132)&lt;=0,0,(INT(MAX(0,Inputs!$B$43-B2132)/(IF(Inputs!$B$38="pvp",15,MAX(0.1,Skills!D10-IF(Skills!E10=TRUE,Inputs!$B$32,0)))*(1-IF(AND(ArtifactsInput!$M$27,Inputs!$B$4="Chapter Hunt"),CHOOSE(ArtifactsInput!$N$27+1,20,24,28,32,36,40),0)/100)))+1)),0)</f>
        <v/>
      </c>
      <c r="S2109">
        <f>IFERROR(O2109/N2109,0)</f>
        <v/>
      </c>
      <c r="T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$21+Skills!Q10+(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Skills!A11</f>
        <v/>
      </c>
      <c r="B2110">
        <f>Skills!B11</f>
        <v/>
      </c>
      <c r="C2110">
        <f>Inputs!$B$3&gt;=113</f>
        <v/>
      </c>
      <c r="D2110">
        <f>IF(Skills!C11=1,60+Inputs!$B$25+Inputs!$B$29,IF(Skills!C11=2,90+Inputs!$B$26+Inputs!$B$29,IF(Skills!C11=3,120+Inputs!$B$27+Inputs!$B$29,MAX(0,(Inputs!$B$3-100)*3)+Inputs!$B$28+Inputs!$B$29)))</f>
        <v/>
      </c>
      <c r="E2110">
        <f>INDEX(FactorTable!$B$2:$Y$301, MATCH(ROUND(MIN(300,MAX(1,D2110)),0), FactorTable!$A$2:$A$301,0), Skills!M11+1)</f>
        <v/>
      </c>
      <c r="F2110">
        <f>IF(Skills!N11=TRUE,(Skills!L11/10)*(E2110/1000),Skills!L11/10)+Skills!O11</f>
        <v/>
      </c>
      <c r="G2110">
        <f>Skills!G11*IF(Skills!H11&gt;0,Skills!I11/Skills!H11,1)</f>
        <v/>
      </c>
      <c r="H2110">
        <f>1-(1-Skills!J11/100)^Skills!K11</f>
        <v/>
      </c>
      <c r="I2110" t="inlineStr">
        <is>
          <t>1</t>
        </is>
      </c>
      <c r="J2110">
        <f>((Inputs!$B$6*(1+Inputs!$B$7/100))+(((Inputs!$B$12*(1+Inputs!$B$13/100))-(Inputs!$B$12*(1+Inputs!$B$13/100)))+0.25*(Inputs!$B$14-Inputs!$B$14))*(1+Inputs!$B$7/100))*(F2110/100)</f>
        <v/>
      </c>
      <c r="K2110">
        <f>J2110*(1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C2119=TRUE)*(F2119-Calc!F20)),(Inputs!$B$23+0+(IF(ArtifactsInput!$M$15,CHOOSE(ArtifactsInput!$N$15+1,25,30,35,40,45,50)/100*(Inputs!$B$11-Inputs!$B$11),0))))/100+(Inputs!$B$23+0+(IF(ArtifactsInput!$M$15,CHOOSE(ArtifactsInput!$N$15+1,25,30,35,40,45,50)/100*(Inputs!$B$11-Inputs!$B$11),0)))/100)/2</f>
        <v/>
      </c>
      <c r="M2110">
        <f>L2110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(1-Summary!$B$11)*T2110+Summary!$B$11*V2110</f>
        <v/>
      </c>
      <c r="P2110">
        <f>IF(B2135=0,0,O2110/B2135)</f>
        <v/>
      </c>
      <c r="Q2110">
        <f>IFERROR(1/(IF(Inputs!$B$38="pvp",15,MAX(0.1,Skills!D11-IF(Skills!E11=TRUE,Inputs!$B$32,0)))*(1-IF(AND(ArtifactsInput!$M$27,Inputs!$B$4="Chapter Hunt"),CHOOSE(ArtifactsInput!$N$27+1,20,24,28,32,36,40),0)/100)),0)</f>
        <v/>
      </c>
      <c r="R2110">
        <f>IF(AND(Inputs!$B$38&lt;&gt;"pvp",Inputs!$B$43&gt;0),IF(MAX(0,Inputs!$B$43-B2132)&lt;=0,0,(INT(MAX(0,Inputs!$B$43-B2132)/(IF(Inputs!$B$38="pvp",15,MAX(0.1,Skills!D11-IF(Skills!E11=TRUE,Inputs!$B$32,0)))*(1-IF(AND(ArtifactsInput!$M$27,Inputs!$B$4="Chapter Hunt"),CHOOSE(ArtifactsInput!$N$27+1,20,24,28,32,36,40),0)/100)))+1)),0)</f>
        <v/>
      </c>
      <c r="S2110">
        <f>IFERROR(O2110/N2110,0)</f>
        <v/>
      </c>
      <c r="T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$21+Skills!Q11+(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Skills!A12</f>
        <v/>
      </c>
      <c r="B2111">
        <f>Skills!B12</f>
        <v/>
      </c>
      <c r="C2111">
        <f>Inputs!$B$3&gt;=100</f>
        <v/>
      </c>
      <c r="D2111">
        <f>IF(Skills!C12=1,60+Inputs!$B$25+Inputs!$B$29,IF(Skills!C12=2,90+Inputs!$B$26+Inputs!$B$29,IF(Skills!C12=3,120+Inputs!$B$27+Inputs!$B$29,MAX(0,(Inputs!$B$3-100)*3)+Inputs!$B$28+Inputs!$B$29)))</f>
        <v/>
      </c>
      <c r="E2111">
        <f>INDEX(FactorTable!$B$2:$Y$301, MATCH(ROUND(MIN(300,MAX(1,D2111)),0), FactorTable!$A$2:$A$301,0), Skills!M12+1)</f>
        <v/>
      </c>
      <c r="F2111">
        <f>IF(Skills!N12=TRUE,(Skills!L12/10)*(E2111/1000),Skills!L12/10)+Skills!O12</f>
        <v/>
      </c>
      <c r="G2111" t="inlineStr"/>
      <c r="H2111" t="inlineStr"/>
      <c r="I2111" t="inlineStr">
        <is>
          <t>1</t>
        </is>
      </c>
      <c r="J2111" t="inlineStr"/>
      <c r="K2111" t="inlineStr"/>
      <c r="L2111" t="inlineStr"/>
      <c r="M2111" t="inlineStr"/>
      <c r="N2111" t="inlineStr"/>
      <c r="O2111" t="inlineStr"/>
      <c r="P2111" t="inlineStr"/>
      <c r="Q2111" t="inlineStr"/>
      <c r="R2111" t="inlineStr"/>
      <c r="S2111" t="inlineStr"/>
      <c r="T2111" t="inlineStr"/>
      <c r="V2111" t="inlineStr"/>
    </row>
    <row r="2112">
      <c r="A2112">
        <f>Skills!A13</f>
        <v/>
      </c>
      <c r="B2112">
        <f>Skills!B13</f>
        <v/>
      </c>
      <c r="C2112">
        <f>Inputs!$B$3&gt;=66</f>
        <v/>
      </c>
      <c r="D2112">
        <f>IF(Skills!C13=1,60+Inputs!$B$25+Inputs!$B$29,IF(Skills!C13=2,90+Inputs!$B$26+Inputs!$B$29,IF(Skills!C13=3,120+Inputs!$B$27+Inputs!$B$29,MAX(0,(Inputs!$B$3-100)*3)+Inputs!$B$28+Inputs!$B$29)))</f>
        <v/>
      </c>
      <c r="E2112">
        <f>INDEX(FactorTable!$B$2:$Y$301, MATCH(ROUND(MIN(300,MAX(1,D2112)),0), FactorTable!$A$2:$A$301,0), Skills!M13+1)</f>
        <v/>
      </c>
      <c r="F2112">
        <f>IF(Skills!N13=TRUE,(Skills!L13/10)*(E2112/1000),Skills!L13/10)+Skills!O13</f>
        <v/>
      </c>
      <c r="G2112">
        <f>Skills!G13*IF(Skills!H13&gt;0,Skills!I13/Skills!H13,1)</f>
        <v/>
      </c>
      <c r="H2112">
        <f>1-(1-Skills!J13/100)^Skills!K13</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Skills!A14</f>
        <v/>
      </c>
      <c r="B2113">
        <f>Skills!B14</f>
        <v/>
      </c>
      <c r="C2113">
        <f>Inputs!$B$3&gt;=107</f>
        <v/>
      </c>
      <c r="D2113">
        <f>IF(Skills!C14=1,60+Inputs!$B$25+Inputs!$B$29,IF(Skills!C14=2,90+Inputs!$B$26+Inputs!$B$29,IF(Skills!C14=3,120+Inputs!$B$27+Inputs!$B$29,MAX(0,(Inputs!$B$3-100)*3)+Inputs!$B$28+Inputs!$B$29)))</f>
        <v/>
      </c>
      <c r="E2113">
        <f>INDEX(FactorTable!$B$2:$Y$301, MATCH(ROUND(MIN(300,MAX(1,D2113)),0), FactorTable!$A$2:$A$301,0), Skills!M14+1)</f>
        <v/>
      </c>
      <c r="F2113">
        <f>IF(Skills!N14=TRUE,(Skills!L14/10)*(E2113/1000),Skills!L14/10)+Skills!O14</f>
        <v/>
      </c>
      <c r="G2113">
        <f>Skills!G14*IF(Skills!H14&gt;0,Skills!I14/Skills!H14,1)</f>
        <v/>
      </c>
      <c r="H2113">
        <f>1-(1-Skills!J14/100)^Skills!K14</f>
        <v/>
      </c>
      <c r="I2113" t="inlineStr">
        <is>
          <t>1</t>
        </is>
      </c>
      <c r="J2113" t="inlineStr"/>
      <c r="K2113" t="inlineStr"/>
      <c r="L2113" t="inlineStr"/>
      <c r="M2113" t="inlineStr"/>
      <c r="N2113" t="inlineStr"/>
      <c r="O2113">
        <f>(1-Summary!$B$11)*T2113+Summary!$B$11*V2113</f>
        <v/>
      </c>
      <c r="P2113">
        <f>IF(B2135=0,0,O2113/B2135)</f>
        <v/>
      </c>
      <c r="Q2113" t="n">
        <v>0</v>
      </c>
      <c r="R2113" t="n">
        <v>0</v>
      </c>
      <c r="S2113">
        <f>IFERROR(O2113/N2113,0)</f>
        <v/>
      </c>
      <c r="T2113" t="n">
        <v>0</v>
      </c>
      <c r="V2113" t="n">
        <v>0</v>
      </c>
    </row>
    <row r="2114">
      <c r="A2114">
        <f>Skills!A15</f>
        <v/>
      </c>
      <c r="B2114">
        <f>Skills!B15</f>
        <v/>
      </c>
      <c r="C2114">
        <f>Inputs!$B$3&gt;=115</f>
        <v/>
      </c>
      <c r="D2114">
        <f>IF(Skills!C15=1,60+Inputs!$B$25+Inputs!$B$29,IF(Skills!C15=2,90+Inputs!$B$26+Inputs!$B$29,IF(Skills!C15=3,120+Inputs!$B$27+Inputs!$B$29,MAX(0,(Inputs!$B$3-100)*3)+Inputs!$B$28+Inputs!$B$29)))</f>
        <v/>
      </c>
      <c r="E2114">
        <f>INDEX(FactorTable!$B$2:$Y$301, MATCH(ROUND(MIN(300,MAX(1,D2114)),0), FactorTable!$A$2:$A$301,0), Skills!M15+1)</f>
        <v/>
      </c>
      <c r="F2114">
        <f>IF(Skills!N15=TRUE,(Skills!L15/10)*(E2114/1000),Skills!L15/10)+Skills!O15</f>
        <v/>
      </c>
      <c r="G2114">
        <f>Skills!G15*IF(Skills!H15&gt;0,Skills!I15/Skills!H15,1)</f>
        <v/>
      </c>
      <c r="H2114">
        <f>1-(1-Skills!J15/100)^Skills!K15</f>
        <v/>
      </c>
      <c r="I2114" t="inlineStr">
        <is>
          <t>1</t>
        </is>
      </c>
      <c r="J2114" t="inlineStr"/>
      <c r="K2114" t="inlineStr"/>
      <c r="L2114" t="inlineStr"/>
      <c r="M2114" t="inlineStr"/>
      <c r="N2114" t="inlineStr"/>
      <c r="O2114">
        <f>(1-Summary!$B$11)*T2114+Summary!$B$11*V2114</f>
        <v/>
      </c>
      <c r="P2114">
        <f>IF(B2135=0,0,O2114/B2135)</f>
        <v/>
      </c>
      <c r="Q2114" t="n">
        <v>0</v>
      </c>
      <c r="R2114" t="n">
        <v>0</v>
      </c>
      <c r="S2114">
        <f>IFERROR(O2114/N2114,0)</f>
        <v/>
      </c>
      <c r="T2114" t="n">
        <v>0</v>
      </c>
      <c r="V2114" t="n">
        <v>0</v>
      </c>
    </row>
    <row r="2115">
      <c r="A2115">
        <f>Skills!A16</f>
        <v/>
      </c>
      <c r="B2115">
        <f>Skills!B16</f>
        <v/>
      </c>
      <c r="C2115">
        <f>Inputs!$B$3&gt;=15</f>
        <v/>
      </c>
      <c r="D2115">
        <f>IF(Skills!C16=1,60+Inputs!$B$25+Inputs!$B$29,IF(Skills!C16=2,90+Inputs!$B$26+Inputs!$B$29,IF(Skills!C16=3,120+Inputs!$B$27+Inputs!$B$29,MAX(0,(Inputs!$B$3-100)*3)+Inputs!$B$28+Inputs!$B$29)))</f>
        <v/>
      </c>
      <c r="E2115">
        <f>INDEX(FactorTable!$B$2:$Y$301, MATCH(ROUND(MIN(300,MAX(1,D2115)),0), FactorTable!$A$2:$A$301,0), Skills!M16+1)</f>
        <v/>
      </c>
      <c r="F2115">
        <f>IF(Skills!N16=TRUE,(Skills!L16/10)*(E2115/1000),Skills!L16/10)+Skills!O16</f>
        <v/>
      </c>
      <c r="G2115">
        <f>Skills!G16*IF(Skills!H16&gt;0,Skills!I16/Skills!H16,1)</f>
        <v/>
      </c>
      <c r="H2115">
        <f>1-(1-Skills!J16/100)^Skills!K16</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Skills!A17</f>
        <v/>
      </c>
      <c r="B2116">
        <f>Skills!B17</f>
        <v/>
      </c>
      <c r="C2116">
        <f>Inputs!$B$3&gt;=10</f>
        <v/>
      </c>
      <c r="D2116">
        <f>IF(Skills!C17=1,60+Inputs!$B$25+Inputs!$B$29,IF(Skills!C17=2,90+Inputs!$B$26+Inputs!$B$29,IF(Skills!C17=3,120+Inputs!$B$27+Inputs!$B$29,MAX(0,(Inputs!$B$3-100)*3)+Inputs!$B$28+Inputs!$B$29)))</f>
        <v/>
      </c>
      <c r="E2116">
        <f>INDEX(FactorTable!$B$2:$Y$301, MATCH(ROUND(MIN(300,MAX(1,D2116)),0), FactorTable!$A$2:$A$301,0), Skills!M17+1)</f>
        <v/>
      </c>
      <c r="F2116">
        <f>IF(Skills!N17=TRUE,(Skills!L17/10)*(E2116/1000),Skills!L17/10)+Skills!O17</f>
        <v/>
      </c>
      <c r="G2116">
        <f>Skills!G17*IF(Skills!H17&gt;0,Skills!I17/Skills!H17,1)</f>
        <v/>
      </c>
      <c r="H2116">
        <f>1-(1-Skills!J17/100)^Skills!K17</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Skills!A18</f>
        <v/>
      </c>
      <c r="B2117">
        <f>Skills!B18</f>
        <v/>
      </c>
      <c r="C2117">
        <f>Inputs!$B$3&gt;=33</f>
        <v/>
      </c>
      <c r="D2117">
        <f>IF(Skills!C18=1,60+Inputs!$B$25+Inputs!$B$29,IF(Skills!C18=2,90+Inputs!$B$26+Inputs!$B$29,IF(Skills!C18=3,120+Inputs!$B$27+Inputs!$B$29,MAX(0,(Inputs!$B$3-100)*3)+Inputs!$B$28+Inputs!$B$29)))</f>
        <v/>
      </c>
      <c r="E2117">
        <f>INDEX(FactorTable!$B$2:$Y$301, MATCH(ROUND(MIN(300,MAX(1,D2117)),0), FactorTable!$A$2:$A$301,0), Skills!M18+1)</f>
        <v/>
      </c>
      <c r="F2117">
        <f>IF(Skills!N18=TRUE,(Skills!L18/10)*(E2117/1000),Skills!L18/10)+Skills!O18</f>
        <v/>
      </c>
      <c r="G2117">
        <f>Skills!G18*IF(Skills!H18&gt;0,Skills!I18/Skills!H18,1)</f>
        <v/>
      </c>
      <c r="H2117">
        <f>1-(1-Skills!J18/100)^Skills!K18</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Skills!A19</f>
        <v/>
      </c>
      <c r="B2118">
        <f>Skills!B19</f>
        <v/>
      </c>
      <c r="C2118">
        <f>Inputs!$B$3&gt;=40</f>
        <v/>
      </c>
      <c r="D2118">
        <f>IF(Skills!C19=1,60+Inputs!$B$25+Inputs!$B$29,IF(Skills!C19=2,90+Inputs!$B$26+Inputs!$B$29,IF(Skills!C19=3,120+Inputs!$B$27+Inputs!$B$29,MAX(0,(Inputs!$B$3-100)*3)+Inputs!$B$28+Inputs!$B$29)))</f>
        <v/>
      </c>
      <c r="E2118">
        <f>INDEX(FactorTable!$B$2:$Y$301, MATCH(ROUND(MIN(300,MAX(1,D2118)),0), FactorTable!$A$2:$A$301,0), Skills!M19+1)</f>
        <v/>
      </c>
      <c r="F2118">
        <f>IF(Skills!N19=TRUE,(Skills!L19/10)*(E2118/1000),Skills!L19/10)+Skills!O19</f>
        <v/>
      </c>
      <c r="G2118">
        <f>Skills!G19*IF(Skills!H19&gt;0,Skills!I19/Skills!H19,1)</f>
        <v/>
      </c>
      <c r="H2118">
        <f>1-(1-Skills!J19/100)^Skills!K19</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Skills!A20</f>
        <v/>
      </c>
      <c r="B2119">
        <f>Skills!B20</f>
        <v/>
      </c>
      <c r="C2119">
        <f>Inputs!$B$3&gt;=43</f>
        <v/>
      </c>
      <c r="D2119">
        <f>IF(Skills!C20=1,60+Inputs!$B$25+Inputs!$B$29,IF(Skills!C20=2,90+Inputs!$B$26+Inputs!$B$29,IF(Skills!C20=3,120+Inputs!$B$27+Inputs!$B$29,MAX(0,(Inputs!$B$3-100)*3)+Inputs!$B$28+Inputs!$B$29)))</f>
        <v/>
      </c>
      <c r="E2119">
        <f>INDEX(FactorTable!$B$2:$Y$301, MATCH(ROUND(MIN(300,MAX(1,D2119)),0), FactorTable!$A$2:$A$301,0), Skills!M20+1)</f>
        <v/>
      </c>
      <c r="F2119">
        <f>IF(Skills!N20=TRUE,(Skills!L20/10)*(E2119/1000),Skills!L20/10)+Skills!O20</f>
        <v/>
      </c>
      <c r="G2119">
        <f>Skills!G20*IF(Skills!H20&gt;0,Skills!I20/Skills!H20,1)</f>
        <v/>
      </c>
      <c r="H2119">
        <f>1-(1-Skills!J20/100)^Skills!K20</f>
        <v/>
      </c>
      <c r="I2119" t="inlineStr">
        <is>
          <t>1</t>
        </is>
      </c>
      <c r="J2119" t="inlineStr"/>
      <c r="K2119" t="inlineStr"/>
      <c r="L2119" t="inlineStr"/>
      <c r="M2119" t="inlineStr"/>
      <c r="N2119" t="inlineStr"/>
      <c r="O2119">
        <f>(1-Summary!$B$11)*T2119+Summary!$B$11*V2119</f>
        <v/>
      </c>
      <c r="P2119">
        <f>IF(B2135=0,0,O2119/B2135)</f>
        <v/>
      </c>
      <c r="Q2119" t="n">
        <v>0</v>
      </c>
      <c r="R2119" t="n">
        <v>0</v>
      </c>
      <c r="S2119">
        <f>IFERROR(O2119/N2119,0)</f>
        <v/>
      </c>
      <c r="T2119" t="n">
        <v>0</v>
      </c>
      <c r="V2119" t="n">
        <v>0</v>
      </c>
    </row>
    <row r="2120">
      <c r="A2120">
        <f>Skills!A21</f>
        <v/>
      </c>
      <c r="B2120">
        <f>Skills!B21</f>
        <v/>
      </c>
      <c r="C2120">
        <f>Inputs!$B$3&gt;=38</f>
        <v/>
      </c>
      <c r="D2120">
        <f>IF(Skills!C21=1,60+Inputs!$B$25+Inputs!$B$29,IF(Skills!C21=2,90+Inputs!$B$26+Inputs!$B$29,IF(Skills!C21=3,120+Inputs!$B$27+Inputs!$B$29,MAX(0,(Inputs!$B$3-100)*3)+Inputs!$B$28+Inputs!$B$29)))</f>
        <v/>
      </c>
      <c r="E2120">
        <f>INDEX(FactorTable!$B$2:$Y$301, MATCH(ROUND(MIN(300,MAX(1,D2120)),0), FactorTable!$A$2:$A$301,0), Skills!M21+1)</f>
        <v/>
      </c>
      <c r="F2120">
        <f>IF(Skills!N21=TRUE,(Skills!L21/10)*(E2120/1000),Skills!L21/10)+Skills!O21</f>
        <v/>
      </c>
      <c r="G2120">
        <f>Skills!G21*IF(Skills!H21&gt;0,Skills!I21/Skills!H21,1)</f>
        <v/>
      </c>
      <c r="H2120">
        <f>1-(1-Skills!J21/100)^Skills!K21</f>
        <v/>
      </c>
      <c r="I2120" t="inlineStr">
        <is>
          <t>1</t>
        </is>
      </c>
      <c r="J2120" t="inlineStr"/>
      <c r="K2120" t="inlineStr"/>
      <c r="L2120" t="inlineStr"/>
      <c r="M2120" t="inlineStr"/>
      <c r="N2120" t="inlineStr"/>
      <c r="O2120">
        <f>(1-Summary!$B$11)*T2120+Summary!$B$11*V2120</f>
        <v/>
      </c>
      <c r="P2120">
        <f>IF(B2135=0,0,O2120/B2135)</f>
        <v/>
      </c>
      <c r="Q2120" t="n">
        <v>0</v>
      </c>
      <c r="R2120" t="n">
        <v>0</v>
      </c>
      <c r="S2120">
        <f>IFERROR(O2120/N2120,0)</f>
        <v/>
      </c>
      <c r="T2120" t="n">
        <v>0</v>
      </c>
      <c r="V2120" t="n">
        <v>0</v>
      </c>
    </row>
    <row r="2121">
      <c r="A2121">
        <f>Skills!A22</f>
        <v/>
      </c>
      <c r="B2121">
        <f>Skills!B22</f>
        <v/>
      </c>
      <c r="C2121">
        <f>Inputs!$B$3&gt;=75</f>
        <v/>
      </c>
      <c r="D2121">
        <f>IF(Skills!C22=1,60+Inputs!$B$25+Inputs!$B$29,IF(Skills!C22=2,90+Inputs!$B$26+Inputs!$B$29,IF(Skills!C22=3,120+Inputs!$B$27+Inputs!$B$29,MAX(0,(Inputs!$B$3-100)*3)+Inputs!$B$28+Inputs!$B$29)))</f>
        <v/>
      </c>
      <c r="E2121">
        <f>INDEX(FactorTable!$B$2:$Y$301, MATCH(ROUND(MIN(300,MAX(1,D2121)),0), FactorTable!$A$2:$A$301,0), Skills!M22+1)</f>
        <v/>
      </c>
      <c r="F2121">
        <f>IF(Skills!N22=TRUE,(Skills!L22/10)*(E2121/1000),Skills!L22/10)+Skills!O22</f>
        <v/>
      </c>
      <c r="G2121">
        <f>Skills!G22*IF(Skills!H22&gt;0,Skills!I22/Skills!H22,1)</f>
        <v/>
      </c>
      <c r="H2121">
        <f>1-(1-Skills!J22/100)^Skills!K22</f>
        <v/>
      </c>
      <c r="I2121" t="inlineStr">
        <is>
          <t>1</t>
        </is>
      </c>
      <c r="J2121" t="inlineStr"/>
      <c r="K2121" t="inlineStr"/>
      <c r="L2121" t="inlineStr"/>
      <c r="M2121" t="inlineStr"/>
      <c r="N2121" t="inlineStr"/>
      <c r="O2121">
        <f>(1-Summary!$B$11)*T2121+Summary!$B$11*V2121</f>
        <v/>
      </c>
      <c r="P2121">
        <f>IF(B2135=0,0,O2121/B2135)</f>
        <v/>
      </c>
      <c r="Q2121" t="n">
        <v>0</v>
      </c>
      <c r="R2121" t="n">
        <v>0</v>
      </c>
      <c r="S2121">
        <f>IFERROR(O2121/N2121,0)</f>
        <v/>
      </c>
      <c r="T2121" t="n">
        <v>0</v>
      </c>
      <c r="V2121" t="n">
        <v>0</v>
      </c>
    </row>
    <row r="2122">
      <c r="A2122">
        <f>Skills!A23</f>
        <v/>
      </c>
      <c r="B2122">
        <f>Skills!B23</f>
        <v/>
      </c>
      <c r="C2122">
        <f>TRUE</f>
        <v/>
      </c>
      <c r="D2122">
        <f>IF(Skills!C23=1,60+Inputs!$B$25+Inputs!$B$29,IF(Skills!C23=2,90+Inputs!$B$26+Inputs!$B$29,IF(Skills!C23=3,120+Inputs!$B$27+Inputs!$B$29,MAX(0,(Inputs!$B$3-100)*3)+Inputs!$B$28+Inputs!$B$29)))</f>
        <v/>
      </c>
      <c r="E2122">
        <f>INDEX(FactorTable!$B$2:$Y$301, MATCH(ROUND(MIN(300,MAX(1,D2122)),0), FactorTable!$A$2:$A$301,0), Skills!M23+1)</f>
        <v/>
      </c>
      <c r="F2122">
        <f>IF(Skills!N23=TRUE,(Skills!L23/10)*(E2122/1000),Skills!L23/10)+Skills!O23</f>
        <v/>
      </c>
      <c r="G2122">
        <f>Skills!G23*IF(Skills!H23&gt;0,Skills!I23/Skills!H23,1)</f>
        <v/>
      </c>
      <c r="H2122">
        <f>1-(1-Skills!J23/100)^Skills!K23</f>
        <v/>
      </c>
      <c r="I2122" t="inlineStr">
        <is>
          <t>1</t>
        </is>
      </c>
      <c r="J2122" t="inlineStr"/>
      <c r="K2122" t="inlineStr"/>
      <c r="L2122" t="inlineStr"/>
      <c r="M2122" t="inlineStr"/>
      <c r="N2122" t="inlineStr"/>
      <c r="O2122">
        <f>(1-Summary!$B$11)*T2122+Summary!$B$11*V2122</f>
        <v/>
      </c>
      <c r="P2122">
        <f>IF(B2135=0,0,O2122/B2135)</f>
        <v/>
      </c>
      <c r="Q2122">
        <f>IFERROR(1/(IF(Inputs!$B$38="pvp",15,MAX(0.1,Skills!D23-IF(Skills!E23=TRUE,Inputs!$B$32,0)))*(1-IF(AND(ArtifactsInput!$M$27,Inputs!$B$4="Chapter Hunt"),CHOOSE(ArtifactsInput!$N$27+1,20,24,28,32,36,40),0)/100)),0)</f>
        <v/>
      </c>
      <c r="R2122">
        <f>IF(AND(Inputs!$B$38&lt;&gt;"pvp",Inputs!$B$43&gt;0),IF(Inputs!$B$43&lt;=0,0,(INT(Inputs!$B$43/(IF(Inputs!$B$38="pvp",15,MAX(0.1,Skills!D23-IF(Skills!E23=TRUE,Inputs!$B$32,0)))*(1-IF(AND(ArtifactsInput!$M$27,Inputs!$B$4="Chapter Hunt"),CHOOSE(ArtifactsInput!$N$27+1,20,24,28,32,36,40),0)/100)))+1)),0)</f>
        <v/>
      </c>
      <c r="S2122">
        <f>IFERROR(O2122/N2122,0)</f>
        <v/>
      </c>
      <c r="T2122" t="n">
        <v>0</v>
      </c>
      <c r="V2122" t="n">
        <v>0</v>
      </c>
    </row>
    <row r="2124">
      <c r="A2124" t="inlineStr">
        <is>
          <t>Attack% Bucket Multiplier</t>
        </is>
      </c>
      <c r="B2124">
        <f>(1+(((C2112=TRUE)*F2112*5/7)+((C2118=TRUE)*(F2118-Calc!F19))+(IF(ArtifactsInput!$M$21,CHOOSE(ArtifactsInput!$N$21+1,25,30,35,40,45,50)*(IF(OR(Inputs!$B$4="Chapter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duty-cycle averaged)</t>
        </is>
      </c>
      <c r="B2126">
        <f>((C2122=TRUE)*F2122*IF(AND(Inputs!$B$38&lt;&gt;"pvp",Inputs!$B$43&gt;0),(((R2122-1)*(Skills!T23*(1+Inputs!$B$34/100))+MIN((Skills!T23*(1+Inputs!$B$34/100)),MAX(0,Inputs!$B$43-((R2122-1)*Skills!D23))))/Inputs!$B$43),IF(Inputs!$B$38="pvp",MIN((Skills!T23*(1+Inputs!$B$34/100)),15)/15,(Skills!T23*(1+Inputs!$B$34/100))/Skills!D23)))</f>
        <v/>
      </c>
    </row>
    <row r="2127">
      <c r="A2127" t="inlineStr">
        <is>
          <t>Actions Per Second</t>
        </is>
      </c>
      <c r="B2127">
        <f>1+MIN(150,150*(1-(1-(Inputs!$B$11+((C2116=TRUE)*(F2116-Calc!F17))+((C2117=TRUE)*(F2117-Calc!F18)))/150)*(1-B2126/150)))/100</f>
        <v/>
      </c>
    </row>
    <row r="2128">
      <c r="A2128" t="inlineStr">
        <is>
          <t>Skill + Buff Cast Rate</t>
        </is>
      </c>
      <c r="B2128">
        <f>IF(AND(Inputs!$B$38&lt;&gt;"pvp",Inputs!$B$43&gt;0),SUMPRODUCT((Skills!E2:E23=TRUE)*(C2101:C2122=TRUE)*R2101:R2122*Skills!F2:F23)/Inputs!$B$43,SUMPRODUCT((Skills!E2:E23=TRUE)*(C2101:C2122=TRUE)*Q2101:Q2122*Skills!F2:F23))</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((C2104=TRUE)*F2104*((10+IF(Inputs!$B$3&gt;=94,5,0))/((10+IF(Inputs!$B$3&gt;=94,5,0))+5/(B2129*(1+IF(Inputs!$B$3&gt;=104,1,0))))))+((C2113=TRUE)*F2113)+((C2114=TRUE)*F2114)+((Inputs!$B$3&gt;=110)*20*(B2127-1))</f>
        <v/>
      </c>
    </row>
    <row r="2132">
      <c r="A2132" t="inlineStr">
        <is>
          <t>Buff-Casting Startup Delay (s, fixed-duration only)</t>
        </is>
      </c>
      <c r="B2132">
        <f>IF(AND(Inputs!$B$38&lt;&gt;"pvp",Inputs!$B$43&gt;0),SUMPRODUCT((Skills!T2:T23&gt;0)*(Skills!E2:E23=TRUE)*(C2101:C2122=TRUE))/B2127,0)</f>
        <v/>
      </c>
    </row>
    <row r="2133">
      <c r="A2133" t="inlineStr">
        <is>
          <t>Boss-Only Total DPS (this block's swept value)</t>
        </is>
      </c>
      <c r="B2133">
        <f>SUM(T2101:T2122)</f>
        <v/>
      </c>
    </row>
    <row r="2134">
      <c r="A2134" t="inlineStr">
        <is>
          <t>Normal-Only Total DPS (this block's swept value)</t>
        </is>
      </c>
      <c r="B2134">
        <f>SUM(V2101:V2122)</f>
        <v/>
      </c>
    </row>
    <row r="2135">
      <c r="A2135" s="6" t="inlineStr">
        <is>
          <t>TOTAL DPS</t>
        </is>
      </c>
      <c r="B2135" s="6">
        <f>SUM(O2101:O2122)</f>
        <v/>
      </c>
    </row>
    <row r="2138">
      <c r="A2138" s="6" t="inlineStr">
        <is>
          <t>Stat: Bottle of Emotion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Q2139" s="5" t="inlineStr">
        <is>
          <t>InvCooldown</t>
        </is>
      </c>
      <c r="R2139" s="5" t="inlineStr">
        <is>
          <t>CastsInFight</t>
        </is>
      </c>
      <c r="S2139" s="5" t="inlineStr">
        <is>
          <t>HitRate(perSec)</t>
        </is>
      </c>
      <c r="U2139" t="inlineStr">
        <is>
          <t>helpers</t>
        </is>
      </c>
    </row>
    <row r="2140">
      <c r="A2140">
        <f>Skills!A2</f>
        <v/>
      </c>
      <c r="B2140">
        <f>Skills!B2</f>
        <v/>
      </c>
      <c r="C2140">
        <f>Inputs!$B$3&gt;=100</f>
        <v/>
      </c>
      <c r="D2140" t="inlineStr"/>
      <c r="E2140" t="inlineStr"/>
      <c r="F2140">
        <f>U2142+Skills!O2</f>
        <v/>
      </c>
      <c r="G2140">
        <f>Skills!G2*IF(Skills!H2&gt;0,Skills!I2/Skills!H2,1)</f>
        <v/>
      </c>
      <c r="H2140">
        <f>1-(1-Skills!J2/100)^Skills!K2</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2158=TRUE)*(F2158-Calc!F20)),(Inputs!$B$23+0+(IF(ArtifactsInput!$M$15,CHOOSE(ArtifactsInput!$N$15+1,25,30,35,40,45,50)/100*(Inputs!$B$11-Inputs!$B$11),0))))/100+(Inputs!$B$23+0+(IF(ArtifactsInput!$M$15,CHOOSE(ArtifactsInput!$N$15+1,25,30,35,40,45,50)/100*(Inputs!$B$11-Inputs!$B$11),0)))/100)/2</f>
        <v/>
      </c>
      <c r="M2140">
        <f>L2140*(1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IF(B2174=0,0,O2140/B2174)</f>
        <v/>
      </c>
      <c r="Q2140" t="n">
        <v>0</v>
      </c>
      <c r="R2140" t="n">
        <v>0</v>
      </c>
      <c r="S2140">
        <f>IFERROR(O2140/N2140,0)</f>
        <v/>
      </c>
      <c r="T2140">
        <f>IF(C2140,(Skills!G2*N2140*B2168)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0">
        <f>MAX(0,(Inputs!$B$3-100)*3)+Inputs!$B$28+Inputs!$B$29</f>
        <v/>
      </c>
      <c r="V2140">
        <f>IF(C2140,(Skills!G2*N2140*B2168)*IF(Inputs!$B$38="pvp",1,(1+(Inputs!$B$21+Skills!Q2+(IF(ArtifactsInput!$M$33,CHOOSE(ArtifactsInput!$N$33+1,30,36,42,48,54,60),0))+(IF(AND(ArtifactsInput!$M$35,Inputs!$B$4&lt;&gt;"Chapter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Skills!A3</f>
        <v/>
      </c>
      <c r="B2141">
        <f>Skills!B3</f>
        <v/>
      </c>
      <c r="C2141">
        <f>Inputs!$B$3&gt;=35</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Skills!G3*IF(Skills!H3&gt;0,Skills!I3/Skills!H3,1)</f>
        <v/>
      </c>
      <c r="H2141">
        <f>1-(1-Skills!J3/100)^Skills!K3</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2158=TRUE)*(F2158-Calc!F20)),(Inputs!$B$23+0+(IF(ArtifactsInput!$M$15,CHOOSE(ArtifactsInput!$N$15+1,25,30,35,40,45,50)/100*(Inputs!$B$11-Inputs!$B$11),0))))/100+(Inputs!$B$23+0+(IF(ArtifactsInput!$M$15,CHOOSE(ArtifactsInput!$N$15+1,25,30,35,40,45,50)/100*(Inputs!$B$11-Inputs!$B$11),0)))/100)/2</f>
        <v/>
      </c>
      <c r="M2141">
        <f>L2141*(1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IF(B2174=0,0,O2141/B2174)</f>
        <v/>
      </c>
      <c r="Q2141" t="n">
        <v>0</v>
      </c>
      <c r="R2141" t="n">
        <v>0</v>
      </c>
      <c r="S2141">
        <f>IFERROR(O2141/N2141,0)</f>
        <v/>
      </c>
      <c r="T2141">
        <f>IF(C2141,(Skills!G3*H2141*N2141*B2168)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INDEX(FactorTable!$B$2:$Y$301, MATCH(ROUND(MIN(300,MAX(1,U2140)),0), FactorTable!$A$2:$A$301,0), 22)</f>
        <v/>
      </c>
      <c r="V2141">
        <f>IF(C2141,(Skills!G3*H2141*N2141*B2168)*IF(Inputs!$B$38="pvp",1,(1+(Inputs!$B$21+Skills!Q3+(IF(ArtifactsInput!$M$33,CHOOSE(ArtifactsInput!$N$33+1,30,36,42,48,54,60),0))+(IF(AND(ArtifactsInput!$M$35,Inputs!$B$4&lt;&gt;"Chapter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Skills!A4</f>
        <v/>
      </c>
      <c r="B2142">
        <f>Skills!B4</f>
        <v/>
      </c>
      <c r="C2142">
        <f>Inputs!$B$3&gt;=60</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Skills!G4*IF(Skills!H4&gt;0,Skills!I4/Skills!H4,1)</f>
        <v/>
      </c>
      <c r="H2142">
        <f>1-(1-Skills!J4/100)^Skills!K4</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2150=TRUE,F2150,0)/100)*(1+(IF(Skills!A4="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2158=TRUE)*(F2158-Calc!F20)),(Inputs!$B$23+0+(IF(ArtifactsInput!$M$15,CHOOSE(ArtifactsInput!$N$15+1,25,30,35,40,45,50)/100*(Inputs!$B$11-Inputs!$B$11),0))))/100+(Inputs!$B$23+0+(IF(ArtifactsInput!$M$15,CHOOSE(ArtifactsInput!$N$15+1,25,30,35,40,45,50)/100*(Inputs!$B$11-Inputs!$B$11),0)))/100)/2</f>
        <v/>
      </c>
      <c r="M2142">
        <f>L2142*(1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IF(B2174=0,0,O2142/B2174)</f>
        <v/>
      </c>
      <c r="Q2142" t="n">
        <v>0</v>
      </c>
      <c r="R2142" t="n">
        <v>0</v>
      </c>
      <c r="S2142">
        <f>IFERROR(O2142/N2142,0)</f>
        <v/>
      </c>
      <c r="T2142">
        <f>IF(C2142,(Skills!G4*H2142*N2142*B2168)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290*U2141/1000</f>
        <v/>
      </c>
      <c r="V2142">
        <f>IF(C2142,(Skills!G4*H2142*N2142*B2168)*IF(Inputs!$B$38="pvp",1,(1+(Inputs!$B$21+Skills!Q4+(IF(ArtifactsInput!$M$33,CHOOSE(ArtifactsInput!$N$33+1,30,36,42,48,54,60),0))+(IF(AND(ArtifactsInput!$M$35,Inputs!$B$4&lt;&gt;"Chapter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Inputs!$B$3&gt;=60</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Skills!G5*IF(Skills!H5&gt;0,Skills!I5/Skills!H5,1)</f>
        <v/>
      </c>
      <c r="H2143">
        <f>1-(1-Skills!J5/100)^Skills!K5</f>
        <v/>
      </c>
      <c r="I2143" t="inlineStr">
        <is>
          <t>1</t>
        </is>
      </c>
      <c r="J2143" t="inlineStr"/>
      <c r="K2143" t="inlineStr"/>
      <c r="L2143" t="inlineStr"/>
      <c r="M2143" t="inlineStr"/>
      <c r="N2143" t="inlineStr"/>
      <c r="O2143">
        <f>(1-Summary!$B$11)*T2143+Summary!$B$11*V2143</f>
        <v/>
      </c>
      <c r="P2143">
        <f>IF(B2174=0,0,O2143/B2174)</f>
        <v/>
      </c>
      <c r="Q2143" t="n">
        <v>0</v>
      </c>
      <c r="R2143" t="n">
        <v>0</v>
      </c>
      <c r="S2143">
        <f>IFERROR(O2143/N2143,0)</f>
        <v/>
      </c>
      <c r="T2143" t="n">
        <v>0</v>
      </c>
      <c r="V2143" t="n">
        <v>0</v>
      </c>
    </row>
    <row r="2144">
      <c r="A2144">
        <f>Skills!A6</f>
        <v/>
      </c>
      <c r="B2144">
        <f>Skills!B6</f>
        <v/>
      </c>
      <c r="C2144">
        <f>Inputs!$B$3&gt;=63</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Skills!G6*IF(Skills!H6&gt;0,Skills!I6/Skills!H6,1)</f>
        <v/>
      </c>
      <c r="H2144">
        <f>1-(1-Skills!J6/100)^Skills!K6</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2158=TRUE)*(F2158-Calc!F20)),(Inputs!$B$23+0+(IF(ArtifactsInput!$M$15,CHOOSE(ArtifactsInput!$N$15+1,25,30,35,40,45,50)/100*(Inputs!$B$11-Inputs!$B$11),0))))/100+(Inputs!$B$23+0+(IF(ArtifactsInput!$M$15,CHOOSE(ArtifactsInput!$N$15+1,25,30,35,40,45,50)/100*(Inputs!$B$11-Inputs!$B$11),0)))/100)/2</f>
        <v/>
      </c>
      <c r="M2144">
        <f>L2144*(1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IF(B2174=0,0,O2144/B2174)</f>
        <v/>
      </c>
      <c r="Q2144">
        <f>IFERROR(1/(IF(Inputs!$B$38="pvp",15,MAX(0.1,Skills!D6-IF(Skills!E6=TRUE,Inputs!$B$32,0)))*(1-IF(AND(ArtifactsInput!$M$27,Inputs!$B$4="Chapter Hunt"),CHOOSE(ArtifactsInput!$N$27+1,20,24,28,32,36,40),0)/100)),0)</f>
        <v/>
      </c>
      <c r="R2144">
        <f>IF(AND(Inputs!$B$38&lt;&gt;"pvp",Inputs!$B$43&gt;0),IF(MAX(0,Inputs!$B$43-B2171)&lt;=0,0,(INT(MAX(0,Inputs!$B$43-B2171)/(IF(Inputs!$B$38="pvp",15,MAX(0.1,Skills!D6-IF(Skills!E6=TRUE,Inputs!$B$32,0)))*(1-IF(AND(ArtifactsInput!$M$27,Inputs!$B$4="Chapter Hunt"),CHOOSE(ArtifactsInput!$N$27+1,20,24,28,32,36,40),0)/100)))+1)),0)</f>
        <v/>
      </c>
      <c r="S2144">
        <f>IFERROR(O2144/N2144,0)</f>
        <v/>
      </c>
      <c r="T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$21+Skills!Q6+(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Skills!A7</f>
        <v/>
      </c>
      <c r="B2145">
        <f>Skills!B7</f>
        <v/>
      </c>
      <c r="C2145">
        <f>Inputs!$B$3&gt;=100</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Skills!G7*IF(Skills!H7&gt;0,Skills!I7/Skills!H7,1)</f>
        <v/>
      </c>
      <c r="H2145">
        <f>1-(1-Skills!J7/100)^Skills!K7</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2158=TRUE)*(F2158-Calc!F20)),(Inputs!$B$23+0+(IF(ArtifactsInput!$M$15,CHOOSE(ArtifactsInput!$N$15+1,25,30,35,40,45,50)/100*(Inputs!$B$11-Inputs!$B$11),0))))/100+(Inputs!$B$23+0+(IF(ArtifactsInput!$M$15,CHOOSE(ArtifactsInput!$N$15+1,25,30,35,40,45,50)/100*(Inputs!$B$11-Inputs!$B$11),0)))/100)/2</f>
        <v/>
      </c>
      <c r="M2145">
        <f>L2145*(1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IF(B2174=0,0,O2145/B2174)</f>
        <v/>
      </c>
      <c r="Q2145">
        <f>IFERROR(1/(IF(Inputs!$B$38="pvp",15,MAX(0.1,Skills!D7-IF(Skills!E7=TRUE,Inputs!$B$32,0)))*(1-IF(AND(ArtifactsInput!$M$27,Inputs!$B$4="Chapter Hunt"),CHOOSE(ArtifactsInput!$N$27+1,20,24,28,32,36,40),0)/100)),0)</f>
        <v/>
      </c>
      <c r="R2145">
        <f>IF(AND(Inputs!$B$38&lt;&gt;"pvp",Inputs!$B$43&gt;0),IF(MAX(0,Inputs!$B$43-B2171)&lt;=0,0,(INT(MAX(0,Inputs!$B$43-B2171)/(IF(Inputs!$B$38="pvp",15,MAX(0.1,Skills!D7-IF(Skills!E7=TRUE,Inputs!$B$32,0)))*(1-IF(AND(ArtifactsInput!$M$27,Inputs!$B$4="Chapter Hunt"),CHOOSE(ArtifactsInput!$N$27+1,20,24,28,32,36,40),0)/100)))+1)),0)</f>
        <v/>
      </c>
      <c r="S2145">
        <f>IFERROR(O2145/N2145,0)</f>
        <v/>
      </c>
      <c r="T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$21+Skills!Q7+(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Inputs!$B$3&gt;=110</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Skills!G8*IF(Skills!H8&gt;0,Skills!I8/Skills!H8,1)</f>
        <v/>
      </c>
      <c r="H2146">
        <f>1-(1-Skills!J8/100)^Skills!K8</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2158=TRUE)*(F2158-Calc!F20)),(Inputs!$B$23+0+(IF(ArtifactsInput!$M$15,CHOOSE(ArtifactsInput!$N$15+1,25,30,35,40,45,50)/100*(Inputs!$B$11-Inputs!$B$11),0))))/100+(Inputs!$B$23+0+(IF(ArtifactsInput!$M$15,CHOOSE(ArtifactsInput!$N$15+1,25,30,35,40,45,50)/100*(Inputs!$B$11-Inputs!$B$11),0)))/100)/2</f>
        <v/>
      </c>
      <c r="M2146">
        <f>L2146*(1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IF(B2174=0,0,O2146/B2174)</f>
        <v/>
      </c>
      <c r="Q2146">
        <f>IFERROR(1/(IF(Inputs!$B$38="pvp",15,MAX(0.1,Skills!D8-IF(Skills!E8=TRUE,Inputs!$B$32,0)))*(1-IF(AND(ArtifactsInput!$M$27,Inputs!$B$4="Chapter Hunt"),CHOOSE(ArtifactsInput!$N$27+1,20,24,28,32,36,40),0)/100)),0)</f>
        <v/>
      </c>
      <c r="R2146">
        <f>IF(AND(Inputs!$B$38&lt;&gt;"pvp",Inputs!$B$43&gt;0),IF(MAX(0,Inputs!$B$43-B2171)&lt;=0,0,(INT(MAX(0,Inputs!$B$43-B2171)/(IF(Inputs!$B$38="pvp",15,MAX(0.1,Skills!D8-IF(Skills!E8=TRUE,Inputs!$B$32,0)))*(1-IF(AND(ArtifactsInput!$M$27,Inputs!$B$4="Chapter Hunt"),CHOOSE(ArtifactsInput!$N$27+1,20,24,28,32,36,40),0)/100)))+1)),0)</f>
        <v/>
      </c>
      <c r="S2146">
        <f>IFERROR(O2146/N2146,0)</f>
        <v/>
      </c>
      <c r="T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$21+Skills!Q8+(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Inputs!$B$3&gt;=110</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Skills!G9*IF(Skills!H9&gt;0,Skills!I9/Skills!H9,1)</f>
        <v/>
      </c>
      <c r="H2147">
        <f>1-(1-Skills!J9/100)^Skills!K9</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2158=TRUE)*(F2158-Calc!F20)),(Inputs!$B$23+0+(IF(ArtifactsInput!$M$15,CHOOSE(ArtifactsInput!$N$15+1,25,30,35,40,45,50)/100*(Inputs!$B$11-Inputs!$B$11),0))))/100+(Inputs!$B$23+0+(IF(ArtifactsInput!$M$15,CHOOSE(ArtifactsInput!$N$15+1,25,30,35,40,45,50)/100*(Inputs!$B$11-Inputs!$B$11),0)))/100)/2</f>
        <v/>
      </c>
      <c r="M2147">
        <f>L2147*(1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IF(B2174=0,0,O2147/B2174)</f>
        <v/>
      </c>
      <c r="Q2147">
        <f>IFERROR(1/(IF(Inputs!$B$38="pvp",15,MAX(0.1,Skills!D9-IF(Skills!E9=TRUE,Inputs!$B$32,0)))*(1-IF(AND(ArtifactsInput!$M$27,Inputs!$B$4="Chapter Hunt"),CHOOSE(ArtifactsInput!$N$27+1,20,24,28,32,36,40),0)/100)),0)</f>
        <v/>
      </c>
      <c r="R2147">
        <f>IF(AND(Inputs!$B$38&lt;&gt;"pvp",Inputs!$B$43&gt;0),IF(MAX(0,Inputs!$B$43-B2171)&lt;=0,0,(INT(MAX(0,Inputs!$B$43-B2171)/(IF(Inputs!$B$38="pvp",15,MAX(0.1,Skills!D9-IF(Skills!E9=TRUE,Inputs!$B$32,0)))*(1-IF(AND(ArtifactsInput!$M$27,Inputs!$B$4="Chapter Hunt"),CHOOSE(ArtifactsInput!$N$27+1,20,24,28,32,36,40),0)/100)))+1)),0)</f>
        <v/>
      </c>
      <c r="S2147">
        <f>IFERROR(O2147/N2147,0)</f>
        <v/>
      </c>
      <c r="T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$21+Skills!Q9+(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Inputs!$B$3&gt;=103</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Skills!G10*IF(Skills!H10&gt;0,Skills!I10/Skills!H10,1)</f>
        <v/>
      </c>
      <c r="H2148">
        <f>1-(1-Skills!J10/100)^Skills!K10</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2158=TRUE)*(F2158-Calc!F20)),(Inputs!$B$23+0+(IF(ArtifactsInput!$M$15,CHOOSE(ArtifactsInput!$N$15+1,25,30,35,40,45,50)/100*(Inputs!$B$11-Inputs!$B$11),0))))/100+(Inputs!$B$23+0+(IF(ArtifactsInput!$M$15,CHOOSE(ArtifactsInput!$N$15+1,25,30,35,40,45,50)/100*(Inputs!$B$11-Inputs!$B$11),0)))/100)/2</f>
        <v/>
      </c>
      <c r="M2148">
        <f>L2148*(1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IF(B2174=0,0,O2148/B2174)</f>
        <v/>
      </c>
      <c r="Q2148">
        <f>IFERROR(1/(IF(Inputs!$B$38="pvp",15,MAX(0.1,Skills!D10-IF(Skills!E10=TRUE,Inputs!$B$32,0)))*(1-IF(AND(ArtifactsInput!$M$27,Inputs!$B$4="Chapter Hunt"),CHOOSE(ArtifactsInput!$N$27+1,20,24,28,32,36,40),0)/100)),0)</f>
        <v/>
      </c>
      <c r="R2148">
        <f>IF(AND(Inputs!$B$38&lt;&gt;"pvp",Inputs!$B$43&gt;0),IF(MAX(0,Inputs!$B$43-B2171)&lt;=0,0,(INT(MAX(0,Inputs!$B$43-B2171)/(IF(Inputs!$B$38="pvp",15,MAX(0.1,Skills!D10-IF(Skills!E10=TRUE,Inputs!$B$32,0)))*(1-IF(AND(ArtifactsInput!$M$27,Inputs!$B$4="Chapter Hunt"),CHOOSE(ArtifactsInput!$N$27+1,20,24,28,32,36,40),0)/100)))+1)),0)</f>
        <v/>
      </c>
      <c r="S2148">
        <f>IFERROR(O2148/N2148,0)</f>
        <v/>
      </c>
      <c r="T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$21+Skills!Q10+(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Inputs!$B$3&gt;=113</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Skills!G11*IF(Skills!H11&gt;0,Skills!I11/Skills!H11,1)</f>
        <v/>
      </c>
      <c r="H2149">
        <f>1-(1-Skills!J11/100)^Skills!K11</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2158=TRUE)*(F2158-Calc!F20)),(Inputs!$B$23+0+(IF(ArtifactsInput!$M$15,CHOOSE(ArtifactsInput!$N$15+1,25,30,35,40,45,50)/100*(Inputs!$B$11-Inputs!$B$11),0))))/100+(Inputs!$B$23+0+(IF(ArtifactsInput!$M$15,CHOOSE(ArtifactsInput!$N$15+1,25,30,35,40,45,50)/100*(Inputs!$B$11-Inputs!$B$11),0)))/100)/2</f>
        <v/>
      </c>
      <c r="M2149">
        <f>L2149*(1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IF(B2174=0,0,O2149/B2174)</f>
        <v/>
      </c>
      <c r="Q2149">
        <f>IFERROR(1/(IF(Inputs!$B$38="pvp",15,MAX(0.1,Skills!D11-IF(Skills!E11=TRUE,Inputs!$B$32,0)))*(1-IF(AND(ArtifactsInput!$M$27,Inputs!$B$4="Chapter Hunt"),CHOOSE(ArtifactsInput!$N$27+1,20,24,28,32,36,40),0)/100)),0)</f>
        <v/>
      </c>
      <c r="R2149">
        <f>IF(AND(Inputs!$B$38&lt;&gt;"pvp",Inputs!$B$43&gt;0),IF(MAX(0,Inputs!$B$43-B2171)&lt;=0,0,(INT(MAX(0,Inputs!$B$43-B2171)/(IF(Inputs!$B$38="pvp",15,MAX(0.1,Skills!D11-IF(Skills!E11=TRUE,Inputs!$B$32,0)))*(1-IF(AND(ArtifactsInput!$M$27,Inputs!$B$4="Chapter Hunt"),CHOOSE(ArtifactsInput!$N$27+1,20,24,28,32,36,40),0)/100)))+1)),0)</f>
        <v/>
      </c>
      <c r="S2149">
        <f>IFERROR(O2149/N2149,0)</f>
        <v/>
      </c>
      <c r="T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$21+Skills!Q11+(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Skills!A12</f>
        <v/>
      </c>
      <c r="B2150">
        <f>Skills!B12</f>
        <v/>
      </c>
      <c r="C2150">
        <f>Inputs!$B$3&gt;=100</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Skills!A13</f>
        <v/>
      </c>
      <c r="B2151">
        <f>Skills!B13</f>
        <v/>
      </c>
      <c r="C2151">
        <f>Inputs!$B$3&gt;=66</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Skills!G13*IF(Skills!H13&gt;0,Skills!I13/Skills!H13,1)</f>
        <v/>
      </c>
      <c r="H2151">
        <f>1-(1-Skills!J13/100)^Skills!K13</f>
        <v/>
      </c>
      <c r="I2151" t="inlineStr">
        <is>
          <t>1</t>
        </is>
      </c>
      <c r="J2151" t="inlineStr"/>
      <c r="K2151" t="inlineStr"/>
      <c r="L2151" t="inlineStr"/>
      <c r="M2151" t="inlineStr"/>
      <c r="N2151" t="inlineStr"/>
      <c r="O2151">
        <f>(1-Summary!$B$11)*T2151+Summary!$B$11*V2151</f>
        <v/>
      </c>
      <c r="P2151">
        <f>IF(B2174=0,0,O2151/B2174)</f>
        <v/>
      </c>
      <c r="Q2151" t="n">
        <v>0</v>
      </c>
      <c r="R2151" t="n">
        <v>0</v>
      </c>
      <c r="S2151">
        <f>IFERROR(O2151/N2151,0)</f>
        <v/>
      </c>
      <c r="T2151" t="n">
        <v>0</v>
      </c>
      <c r="V2151" t="n">
        <v>0</v>
      </c>
    </row>
    <row r="2152">
      <c r="A2152">
        <f>Skills!A14</f>
        <v/>
      </c>
      <c r="B2152">
        <f>Skills!B14</f>
        <v/>
      </c>
      <c r="C2152">
        <f>Inputs!$B$3&gt;=107</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Skills!G14*IF(Skills!H14&gt;0,Skills!I14/Skills!H14,1)</f>
        <v/>
      </c>
      <c r="H2152">
        <f>1-(1-Skills!J14/100)^Skills!K14</f>
        <v/>
      </c>
      <c r="I2152" t="inlineStr">
        <is>
          <t>1</t>
        </is>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Skills!A15</f>
        <v/>
      </c>
      <c r="B2153">
        <f>Skills!B15</f>
        <v/>
      </c>
      <c r="C2153">
        <f>Inputs!$B$3&gt;=115</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Skills!G15*IF(Skills!H15&gt;0,Skills!I15/Skills!H15,1)</f>
        <v/>
      </c>
      <c r="H2153">
        <f>1-(1-Skills!J15/100)^Skills!K15</f>
        <v/>
      </c>
      <c r="I2153" t="inlineStr">
        <is>
          <t>1</t>
        </is>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Skills!A16</f>
        <v/>
      </c>
      <c r="B2154">
        <f>Skills!B16</f>
        <v/>
      </c>
      <c r="C2154">
        <f>Inputs!$B$3&gt;=15</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Skills!G16*IF(Skills!H16&gt;0,Skills!I16/Skills!H16,1)</f>
        <v/>
      </c>
      <c r="H2154">
        <f>1-(1-Skills!J16/100)^Skills!K16</f>
        <v/>
      </c>
      <c r="I2154" t="inlineStr">
        <is>
          <t>1</t>
        </is>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Skills!A17</f>
        <v/>
      </c>
      <c r="B2155">
        <f>Skills!B17</f>
        <v/>
      </c>
      <c r="C2155">
        <f>Inputs!$B$3&gt;=10</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Skills!G17*IF(Skills!H17&gt;0,Skills!I17/Skills!H17,1)</f>
        <v/>
      </c>
      <c r="H2155">
        <f>1-(1-Skills!J17/100)^Skills!K17</f>
        <v/>
      </c>
      <c r="I2155" t="inlineStr">
        <is>
          <t>1</t>
        </is>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Skills!A18</f>
        <v/>
      </c>
      <c r="B2156">
        <f>Skills!B18</f>
        <v/>
      </c>
      <c r="C2156">
        <f>Inputs!$B$3&gt;=33</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Skills!G18*IF(Skills!H18&gt;0,Skills!I18/Skills!H18,1)</f>
        <v/>
      </c>
      <c r="H2156">
        <f>1-(1-Skills!J18/100)^Skills!K18</f>
        <v/>
      </c>
      <c r="I2156" t="inlineStr">
        <is>
          <t>1</t>
        </is>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Skills!A19</f>
        <v/>
      </c>
      <c r="B2157">
        <f>Skills!B19</f>
        <v/>
      </c>
      <c r="C2157">
        <f>Inputs!$B$3&gt;=40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Skills!G19*IF(Skills!H19&gt;0,Skills!I19/Skills!H19,1)</f>
        <v/>
      </c>
      <c r="H2157">
        <f>1-(1-Skills!J19/100)^Skills!K19</f>
        <v/>
      </c>
      <c r="I2157" t="inlineStr">
        <is>
          <t>1</t>
        </is>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Skills!A20</f>
        <v/>
      </c>
      <c r="B2158">
        <f>Skills!B20</f>
        <v/>
      </c>
      <c r="C2158">
        <f>Inputs!$B$3&gt;=43</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Skills!G20*IF(Skills!H20&gt;0,Skills!I20/Skills!H20,1)</f>
        <v/>
      </c>
      <c r="H2158">
        <f>1-(1-Skills!J20/100)^Skills!K20</f>
        <v/>
      </c>
      <c r="I2158" t="inlineStr">
        <is>
          <t>1</t>
        </is>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Skills!A21</f>
        <v/>
      </c>
      <c r="B2159">
        <f>Skills!B21</f>
        <v/>
      </c>
      <c r="C2159">
        <f>Inputs!$B$3&gt;=38</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Skills!G21*IF(Skills!H21&gt;0,Skills!I21/Skills!H21,1)</f>
        <v/>
      </c>
      <c r="H2159">
        <f>1-(1-Skills!J21/100)^Skills!K21</f>
        <v/>
      </c>
      <c r="I2159" t="inlineStr">
        <is>
          <t>1</t>
        </is>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Skills!A22</f>
        <v/>
      </c>
      <c r="B2160">
        <f>Skills!B22</f>
        <v/>
      </c>
      <c r="C2160">
        <f>Inputs!$B$3&gt;=75</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Skills!G22*IF(Skills!H22&gt;0,Skills!I22/Skills!H22,1)</f>
        <v/>
      </c>
      <c r="H2160">
        <f>1-(1-Skills!J22/100)^Skills!K22</f>
        <v/>
      </c>
      <c r="I2160" t="inlineStr">
        <is>
          <t>1</t>
        </is>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Skills!G23*IF(Skills!H23&gt;0,Skills!I23/Skills!H23,1)</f>
        <v/>
      </c>
      <c r="H2161">
        <f>1-(1-Skills!J23/100)^Skills!K23</f>
        <v/>
      </c>
      <c r="I2161" t="inlineStr">
        <is>
          <t>1</t>
        </is>
      </c>
      <c r="J2161" t="inlineStr"/>
      <c r="K2161" t="inlineStr"/>
      <c r="L2161" t="inlineStr"/>
      <c r="M2161" t="inlineStr"/>
      <c r="N2161" t="inlineStr"/>
      <c r="O2161">
        <f>(1-Summary!$B$11)*T2161+Summary!$B$11*V2161</f>
        <v/>
      </c>
      <c r="P2161">
        <f>IF(B2174=0,0,O2161/B2174)</f>
        <v/>
      </c>
      <c r="Q2161">
        <f>IFERROR(1/(IF(Inputs!$B$38="pvp",15,MAX(0.1,Skills!D23-IF(Skills!E23=TRUE,Inputs!$B$32,0)))*(1-IF(AND(ArtifactsInput!$M$27,Inputs!$B$4="Chapter Hunt"),CHOOSE(ArtifactsInput!$N$27+1,20,24,28,32,36,40),0)/100)),0)</f>
        <v/>
      </c>
      <c r="R2161">
        <f>IF(AND(Inputs!$B$38&lt;&gt;"pvp",Inputs!$B$43&gt;0),IF(Inputs!$B$43&lt;=0,0,(INT(Inputs!$B$43/(IF(Inputs!$B$38="pvp",15,MAX(0.1,Skills!D23-IF(Skills!E23=TRUE,Inputs!$B$32,0)))*(1-IF(AND(ArtifactsInput!$M$27,Inputs!$B$4="Chapter Hunt"),CHOOSE(ArtifactsInput!$N$27+1,20,24,28,32,36,40),0)/100)))+1)),0)</f>
        <v/>
      </c>
      <c r="S2161">
        <f>IFERROR(O2161/N2161,0)</f>
        <v/>
      </c>
      <c r="T2161" t="n">
        <v>0</v>
      </c>
      <c r="V2161" t="n">
        <v>0</v>
      </c>
    </row>
    <row r="2163">
      <c r="A2163" t="inlineStr">
        <is>
          <t>Attack% Bucket Multiplier</t>
        </is>
      </c>
      <c r="B2163">
        <f>(1+(((C2151=TRUE)*F2151*5/7)+((C2157=TRUE)*(F2157-Calc!F19))+(IF(ArtifactsInput!$M$21,CHOOSE(ArtifactsInput!$N$21+1,25,30,35,40,45,50)*(IF(OR(Inputs!$B$4="Chapter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4">
      <c r="A2164" t="inlineStr">
        <is>
          <t>Global Crit Rate Bonus %</t>
        </is>
      </c>
      <c r="B2164" t="n">
        <v>0</v>
      </c>
    </row>
    <row r="2165">
      <c r="A2165" t="inlineStr">
        <is>
          <t>Attack Speed Buff Bonus % (Nimble Feet, duty-cycle averaged)</t>
        </is>
      </c>
      <c r="B2165">
        <f>((C2161=TRUE)*F2161*IF(AND(Inputs!$B$38&lt;&gt;"pvp",Inputs!$B$43&gt;0),(((R2161-1)*(Skills!T23*(1+Inputs!$B$34/100))+MIN((Skills!T23*(1+Inputs!$B$34/100)),MAX(0,Inputs!$B$43-((R2161-1)*Skills!D23))))/Inputs!$B$43),IF(Inputs!$B$38="pvp",MIN((Skills!T23*(1+Inputs!$B$34/100)),15)/15,(Skills!T23*(1+Inputs!$B$34/100))/Skills!D23)))</f>
        <v/>
      </c>
    </row>
    <row r="2166">
      <c r="A2166" t="inlineStr">
        <is>
          <t>Actions Per Second</t>
        </is>
      </c>
      <c r="B2166">
        <f>1+MIN(150,150*(1-(1-(Inputs!$B$11+((C2155=TRUE)*(F2155-Calc!F17))+((C2156=TRUE)*(F2156-Calc!F18)))/150)*(1-B2165/150)))/100</f>
        <v/>
      </c>
    </row>
    <row r="2167">
      <c r="A2167" t="inlineStr">
        <is>
          <t>Skill + Buff Cast Rate</t>
        </is>
      </c>
      <c r="B2167">
        <f>IF(AND(Inputs!$B$38&lt;&gt;"pvp",Inputs!$B$43&gt;0),SUMPRODUCT((Skills!E2:E23=TRUE)*(C2140:C2161=TRUE)*R2140:R2161*Skills!F2:F23)/Inputs!$B$43,SUMPRODUCT((Skills!E2:E23=TRUE)*(C2140:C2161=TRUE)*Q2140:Q2161*Skills!F2:F23))</f>
        <v/>
      </c>
    </row>
    <row r="2168">
      <c r="A2168" t="inlineStr">
        <is>
          <t>Hook Bomber Casts Per Second</t>
        </is>
      </c>
      <c r="B2168">
        <f>MAX(0,B2166-B2167)</f>
        <v/>
      </c>
    </row>
    <row r="2169">
      <c r="A2169" t="inlineStr">
        <is>
          <t>Global Critical Damage Bonus % (unused)</t>
        </is>
      </c>
      <c r="B2169" t="n">
        <v>0</v>
      </c>
    </row>
    <row r="2170">
      <c r="A2170" t="inlineStr">
        <is>
          <t>Global Final Damage Bonus % (Serpent Scale + Crossbones + Time Leap + Speed Infusion)</t>
        </is>
      </c>
      <c r="B2170">
        <f>((C2143=TRUE)*F2143*((10+IF(Inputs!$B$3&gt;=94,5,0))/((10+IF(Inputs!$B$3&gt;=94,5,0))+5/(B2168*(1+IF(Inputs!$B$3&gt;=104,1,0))))))+((C2152=TRUE)*F2152)+((C2153=TRUE)*F2153)+((Inputs!$B$3&gt;=110)*20*(B2166-1))</f>
        <v/>
      </c>
    </row>
    <row r="2171">
      <c r="A2171" t="inlineStr">
        <is>
          <t>Buff-Casting Startup Delay (s, fixed-duration only)</t>
        </is>
      </c>
      <c r="B2171">
        <f>IF(AND(Inputs!$B$38&lt;&gt;"pvp",Inputs!$B$43&gt;0),SUMPRODUCT((Skills!T2:T23&gt;0)*(Skills!E2:E23=TRUE)*(C2140:C2161=TRUE))/B2166,0)</f>
        <v/>
      </c>
    </row>
    <row r="2172">
      <c r="A2172" t="inlineStr">
        <is>
          <t>Boss-Only Total DPS (this block's swept value)</t>
        </is>
      </c>
      <c r="B2172">
        <f>SUM(T2140:T2161)</f>
        <v/>
      </c>
    </row>
    <row r="2173">
      <c r="A2173" t="inlineStr">
        <is>
          <t>Normal-Only Total DPS (this block's swept value)</t>
        </is>
      </c>
      <c r="B2173">
        <f>SUM(V2140:V2161)</f>
        <v/>
      </c>
    </row>
    <row r="2174">
      <c r="A2174" s="6" t="inlineStr">
        <is>
          <t>TOTAL DPS</t>
        </is>
      </c>
      <c r="B2174" s="6">
        <f>SUM(O2140:O2161)</f>
        <v/>
      </c>
    </row>
    <row r="2177">
      <c r="A2177" s="6" t="inlineStr">
        <is>
          <t>Stat: Peach Tree Herb Pouch (Equip)</t>
        </is>
      </c>
    </row>
    <row r="2178">
      <c r="A2178" s="5" t="inlineStr">
        <is>
          <t>Key</t>
        </is>
      </c>
      <c r="B2178" s="5" t="inlineStr">
        <is>
          <t>Name</t>
        </is>
      </c>
      <c r="C2178" s="5" t="inlineStr">
        <is>
          <t>Unlocked</t>
        </is>
      </c>
      <c r="D2178" s="5" t="inlineStr">
        <is>
          <t>InputLevel</t>
        </is>
      </c>
      <c r="E2178" s="5" t="inlineStr">
        <is>
          <t>Factor</t>
        </is>
      </c>
      <c r="F2178" s="5" t="inlineStr">
        <is>
          <t>CoefficientPercent</t>
        </is>
      </c>
      <c r="G2178" s="5" t="inlineStr">
        <is>
          <t>EffectiveHits</t>
        </is>
      </c>
      <c r="H2178" s="5" t="inlineStr">
        <is>
          <t>ProcProbability</t>
        </is>
      </c>
      <c r="I2178" s="5" t="inlineStr">
        <is>
          <t>MapleHeroMultiplier</t>
        </is>
      </c>
      <c r="J2178" s="5" t="inlineStr">
        <is>
          <t>BaseDamage</t>
        </is>
      </c>
      <c r="K2178" s="5" t="inlineStr">
        <is>
          <t>BaseHitDamage</t>
        </is>
      </c>
      <c r="L2178" s="5" t="inlineStr">
        <is>
          <t>NonCritAvg</t>
        </is>
      </c>
      <c r="M2178" s="5" t="inlineStr">
        <is>
          <t>CritAvg</t>
        </is>
      </c>
      <c r="N2178" s="5" t="inlineStr">
        <is>
          <t>ExpectedDamage(perHit)</t>
        </is>
      </c>
      <c r="O2178" s="5" t="inlineStr">
        <is>
          <t>DPS</t>
        </is>
      </c>
      <c r="P2178" s="5" t="inlineStr">
        <is>
          <t>% of Total</t>
        </is>
      </c>
      <c r="Q2178" s="5" t="inlineStr">
        <is>
          <t>InvCooldown</t>
        </is>
      </c>
      <c r="R2178" s="5" t="inlineStr">
        <is>
          <t>CastsInFight</t>
        </is>
      </c>
      <c r="S2178" s="5" t="inlineStr">
        <is>
          <t>HitRate(perSec)</t>
        </is>
      </c>
      <c r="U2178" t="inlineStr">
        <is>
          <t>helpers</t>
        </is>
      </c>
    </row>
    <row r="2179">
      <c r="A2179">
        <f>Skills!A2</f>
        <v/>
      </c>
      <c r="B2179">
        <f>Skills!B2</f>
        <v/>
      </c>
      <c r="C2179">
        <f>Inputs!$B$3&gt;=100</f>
        <v/>
      </c>
      <c r="D2179" t="inlineStr"/>
      <c r="E2179" t="inlineStr"/>
      <c r="F2179">
        <f>U2181+Skills!O2</f>
        <v/>
      </c>
      <c r="G2179">
        <f>Skills!G2*IF(Skills!H2&gt;0,Skills!I2/Skills!H2,1)</f>
        <v/>
      </c>
      <c r="H2179">
        <f>1-(1-Skills!J2/100)^Skills!K2</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2197=TRUE)*(F2197-Calc!F20)),(Inputs!$B$23+0+(IF(ArtifactsInput!$M$15,CHOOSE(ArtifactsInput!$N$15+1,25,30,35,40,45,50)/100*(Inputs!$B$11-Inputs!$B$11),0))))/100+(Inputs!$B$23+0+(IF(ArtifactsInput!$M$15,CHOOSE(ArtifactsInput!$N$15+1,25,30,35,40,45,50)/100*(Inputs!$B$11-Inputs!$B$11),0)))/100)/2</f>
        <v/>
      </c>
      <c r="M2179">
        <f>L2179*(1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9">
        <f>L2179*(1-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IF(B2213=0,0,O2179/B2213)</f>
        <v/>
      </c>
      <c r="Q2179" t="n">
        <v>0</v>
      </c>
      <c r="R2179" t="n">
        <v>0</v>
      </c>
      <c r="S2179">
        <f>IFERROR(O2179/N2179,0)</f>
        <v/>
      </c>
      <c r="T2179">
        <f>IF(C2179,(Skills!G2*N2179*B2207)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9">
        <f>MAX(0,(Inputs!$B$3-100)*3)+Inputs!$B$28+Inputs!$B$29</f>
        <v/>
      </c>
      <c r="V2179">
        <f>IF(C2179,(Skills!G2*N2179*B2207)*IF(Inputs!$B$38="pvp",1,(1+(Inputs!$B$21+Skills!Q2+(IF(ArtifactsInput!$M$33,CHOOSE(ArtifactsInput!$N$33+1,30,36,42,48,54,60),0))+(IF(AND(IF(ArtifactsInput!$M$35,FALSE,TRUE),Inputs!$B$4&lt;&gt;"Chapter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Skills!A3</f>
        <v/>
      </c>
      <c r="B2180">
        <f>Skills!B3</f>
        <v/>
      </c>
      <c r="C2180">
        <f>Inputs!$B$3&gt;=35</f>
        <v/>
      </c>
      <c r="D2180">
        <f>IF(Skills!C3=1,60+Inputs!$B$25+Inputs!$B$29,IF(Skills!C3=2,90+Inputs!$B$26+Inputs!$B$29,IF(Skills!C3=3,120+Inputs!$B$27+Inputs!$B$29,MAX(0,(Inputs!$B$3-100)*3)+Inputs!$B$28+Inputs!$B$29)))</f>
        <v/>
      </c>
      <c r="E2180">
        <f>INDEX(FactorTable!$B$2:$Y$301, MATCH(ROUND(MIN(300,MAX(1,D2180)),0), FactorTable!$A$2:$A$301,0), Skills!M3+1)</f>
        <v/>
      </c>
      <c r="F2180">
        <f>IF(Skills!N3=TRUE,(Skills!L3/10)*(E2180/1000),Skills!L3/10)+Skills!O3</f>
        <v/>
      </c>
      <c r="G2180">
        <f>Skills!G3*IF(Skills!H3&gt;0,Skills!I3/Skills!H3,1)</f>
        <v/>
      </c>
      <c r="H2180">
        <f>1-(1-Skills!J3/100)^Skills!K3</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2197=TRUE)*(F2197-Calc!F20)),(Inputs!$B$23+0+(IF(ArtifactsInput!$M$15,CHOOSE(ArtifactsInput!$N$15+1,25,30,35,40,45,50)/100*(Inputs!$B$11-Inputs!$B$11),0))))/100+(Inputs!$B$23+0+(IF(ArtifactsInput!$M$15,CHOOSE(ArtifactsInput!$N$15+1,25,30,35,40,45,50)/100*(Inputs!$B$11-Inputs!$B$11),0)))/100)/2</f>
        <v/>
      </c>
      <c r="M2180">
        <f>L2180*(1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IF(B2213=0,0,O2180/B2213)</f>
        <v/>
      </c>
      <c r="Q2180" t="n">
        <v>0</v>
      </c>
      <c r="R2180" t="n">
        <v>0</v>
      </c>
      <c r="S2180">
        <f>IFERROR(O2180/N2180,0)</f>
        <v/>
      </c>
      <c r="T2180">
        <f>IF(C2180,(Skills!G3*H2180*N2180*B2207)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INDEX(FactorTable!$B$2:$Y$301, MATCH(ROUND(MIN(300,MAX(1,U2179)),0), FactorTable!$A$2:$A$301,0), 22)</f>
        <v/>
      </c>
      <c r="V2180">
        <f>IF(C2180,(Skills!G3*H2180*N2180*B2207)*IF(Inputs!$B$38="pvp",1,(1+(Inputs!$B$21+Skills!Q3+(IF(ArtifactsInput!$M$33,CHOOSE(ArtifactsInput!$N$33+1,30,36,42,48,54,60),0))+(IF(AND(IF(ArtifactsInput!$M$35,FALSE,TRUE),Inputs!$B$4&lt;&gt;"Chapter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Skills!A4</f>
        <v/>
      </c>
      <c r="B2181">
        <f>Skills!B4</f>
        <v/>
      </c>
      <c r="C2181">
        <f>Inputs!$B$3&gt;=60</f>
        <v/>
      </c>
      <c r="D2181">
        <f>IF(Skills!C4=1,60+Inputs!$B$25+Inputs!$B$29,IF(Skills!C4=2,90+Inputs!$B$26+Inputs!$B$29,IF(Skills!C4=3,120+Inputs!$B$27+Inputs!$B$29,MAX(0,(Inputs!$B$3-100)*3)+Inputs!$B$28+Inputs!$B$29)))</f>
        <v/>
      </c>
      <c r="E2181">
        <f>INDEX(FactorTable!$B$2:$Y$301, MATCH(ROUND(MIN(300,MAX(1,D2181)),0), FactorTable!$A$2:$A$301,0), Skills!M4+1)</f>
        <v/>
      </c>
      <c r="F2181">
        <f>IF(Skills!N4=TRUE,(Skills!L4/10)*(E2181/1000),Skills!L4/10)+Skills!O4</f>
        <v/>
      </c>
      <c r="G2181">
        <f>Skills!G4*IF(Skills!H4&gt;0,Skills!I4/Skills!H4,1)</f>
        <v/>
      </c>
      <c r="H2181">
        <f>1-(1-Skills!J4/100)^Skills!K4</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2189=TRUE,F2189,0)/100)*(1+(IF(Skills!A4="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2197=TRUE)*(F2197-Calc!F20)),(Inputs!$B$23+0+(IF(ArtifactsInput!$M$15,CHOOSE(ArtifactsInput!$N$15+1,25,30,35,40,45,50)/100*(Inputs!$B$11-Inputs!$B$11),0))))/100+(Inputs!$B$23+0+(IF(ArtifactsInput!$M$15,CHOOSE(ArtifactsInput!$N$15+1,25,30,35,40,45,50)/100*(Inputs!$B$11-Inputs!$B$11),0)))/100)/2</f>
        <v/>
      </c>
      <c r="M2181">
        <f>L2181*(1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IF(B2213=0,0,O2181/B2213)</f>
        <v/>
      </c>
      <c r="Q2181" t="n">
        <v>0</v>
      </c>
      <c r="R2181" t="n">
        <v>0</v>
      </c>
      <c r="S2181">
        <f>IFERROR(O2181/N2181,0)</f>
        <v/>
      </c>
      <c r="T2181">
        <f>IF(C2181,(Skills!G4*H2181*N2181*B2207)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290*U2180/1000</f>
        <v/>
      </c>
      <c r="V2181">
        <f>IF(C2181,(Skills!G4*H2181*N2181*B2207)*IF(Inputs!$B$38="pvp",1,(1+(Inputs!$B$21+Skills!Q4+(IF(ArtifactsInput!$M$33,CHOOSE(ArtifactsInput!$N$33+1,30,36,42,48,54,60),0))+(IF(AND(IF(ArtifactsInput!$M$35,FALSE,TRUE),Inputs!$B$4&lt;&gt;"Chapter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Skills!A5</f>
        <v/>
      </c>
      <c r="B2182">
        <f>Skills!B5</f>
        <v/>
      </c>
      <c r="C2182">
        <f>Inputs!$B$3&gt;=60</f>
        <v/>
      </c>
      <c r="D2182">
        <f>IF(Skills!C5=1,60+Inputs!$B$25+Inputs!$B$29,IF(Skills!C5=2,90+Inputs!$B$26+Inputs!$B$29,IF(Skills!C5=3,120+Inputs!$B$27+Inputs!$B$29,MAX(0,(Inputs!$B$3-100)*3)+Inputs!$B$28+Inputs!$B$29)))</f>
        <v/>
      </c>
      <c r="E2182">
        <f>INDEX(FactorTable!$B$2:$Y$301, MATCH(ROUND(MIN(300,MAX(1,D2182)),0), FactorTable!$A$2:$A$301,0), Skills!M5+1)</f>
        <v/>
      </c>
      <c r="F2182">
        <f>IF(Skills!N5=TRUE,(Skills!L5/10)*(E2182/1000),Skills!L5/10)+Skills!O5</f>
        <v/>
      </c>
      <c r="G2182">
        <f>Skills!G5*IF(Skills!H5&gt;0,Skills!I5/Skills!H5,1)</f>
        <v/>
      </c>
      <c r="H2182">
        <f>1-(1-Skills!J5/100)^Skills!K5</f>
        <v/>
      </c>
      <c r="I2182" t="inlineStr">
        <is>
          <t>1</t>
        </is>
      </c>
      <c r="J2182" t="inlineStr"/>
      <c r="K2182" t="inlineStr"/>
      <c r="L2182" t="inlineStr"/>
      <c r="M2182" t="inlineStr"/>
      <c r="N2182" t="inlineStr"/>
      <c r="O2182">
        <f>(1-Summary!$B$11)*T2182+Summary!$B$11*V2182</f>
        <v/>
      </c>
      <c r="P2182">
        <f>IF(B2213=0,0,O2182/B2213)</f>
        <v/>
      </c>
      <c r="Q2182" t="n">
        <v>0</v>
      </c>
      <c r="R2182" t="n">
        <v>0</v>
      </c>
      <c r="S2182">
        <f>IFERROR(O2182/N2182,0)</f>
        <v/>
      </c>
      <c r="T2182" t="n">
        <v>0</v>
      </c>
      <c r="V2182" t="n">
        <v>0</v>
      </c>
    </row>
    <row r="2183">
      <c r="A2183">
        <f>Skills!A6</f>
        <v/>
      </c>
      <c r="B2183">
        <f>Skills!B6</f>
        <v/>
      </c>
      <c r="C2183">
        <f>Inputs!$B$3&gt;=63</f>
        <v/>
      </c>
      <c r="D2183">
        <f>IF(Skills!C6=1,60+Inputs!$B$25+Inputs!$B$29,IF(Skills!C6=2,90+Inputs!$B$26+Inputs!$B$29,IF(Skills!C6=3,120+Inputs!$B$27+Inputs!$B$29,MAX(0,(Inputs!$B$3-100)*3)+Inputs!$B$28+Inputs!$B$29)))</f>
        <v/>
      </c>
      <c r="E2183">
        <f>INDEX(FactorTable!$B$2:$Y$301, MATCH(ROUND(MIN(300,MAX(1,D2183)),0), FactorTable!$A$2:$A$301,0), Skills!M6+1)</f>
        <v/>
      </c>
      <c r="F2183">
        <f>IF(Skills!N6=TRUE,(Skills!L6/10)*(E2183/1000),Skills!L6/10)+Skills!O6</f>
        <v/>
      </c>
      <c r="G2183">
        <f>Skills!G6*IF(Skills!H6&gt;0,Skills!I6/Skills!H6,1)</f>
        <v/>
      </c>
      <c r="H2183">
        <f>1-(1-Skills!J6/100)^Skills!K6</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2197=TRUE)*(F2197-Calc!F20)),(Inputs!$B$23+0+(IF(ArtifactsInput!$M$15,CHOOSE(ArtifactsInput!$N$15+1,25,30,35,40,45,50)/100*(Inputs!$B$11-Inputs!$B$11),0))))/100+(Inputs!$B$23+0+(IF(ArtifactsInput!$M$15,CHOOSE(ArtifactsInput!$N$15+1,25,30,35,40,45,50)/100*(Inputs!$B$11-Inputs!$B$11),0)))/100)/2</f>
        <v/>
      </c>
      <c r="M2183">
        <f>L2183*(1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IF(B2213=0,0,O2183/B2213)</f>
        <v/>
      </c>
      <c r="Q2183">
        <f>IFERROR(1/(IF(Inputs!$B$38="pvp",15,MAX(0.1,Skills!D6-IF(Skills!E6=TRUE,Inputs!$B$32,0)))*(1-IF(AND(ArtifactsInput!$M$27,Inputs!$B$4="Chapter Hunt"),CHOOSE(ArtifactsInput!$N$27+1,20,24,28,32,36,40),0)/100)),0)</f>
        <v/>
      </c>
      <c r="R2183">
        <f>IF(AND(Inputs!$B$38&lt;&gt;"pvp",Inputs!$B$43&gt;0),IF(MAX(0,Inputs!$B$43-B2210)&lt;=0,0,(INT(MAX(0,Inputs!$B$43-B2210)/(IF(Inputs!$B$38="pvp",15,MAX(0.1,Skills!D6-IF(Skills!E6=TRUE,Inputs!$B$32,0)))*(1-IF(AND(ArtifactsInput!$M$27,Inputs!$B$4="Chapter Hunt"),CHOOSE(ArtifactsInput!$N$27+1,20,24,28,32,36,40),0)/100)))+1)),0)</f>
        <v/>
      </c>
      <c r="S2183">
        <f>IFERROR(O2183/N2183,0)</f>
        <v/>
      </c>
      <c r="T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$21+Skills!Q6+(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Skills!A7</f>
        <v/>
      </c>
      <c r="B2184">
        <f>Skills!B7</f>
        <v/>
      </c>
      <c r="C2184">
        <f>Inputs!$B$3&gt;=100</f>
        <v/>
      </c>
      <c r="D2184">
        <f>IF(Skills!C7=1,60+Inputs!$B$25+Inputs!$B$29,IF(Skills!C7=2,90+Inputs!$B$26+Inputs!$B$29,IF(Skills!C7=3,120+Inputs!$B$27+Inputs!$B$29,MAX(0,(Inputs!$B$3-100)*3)+Inputs!$B$28+Inputs!$B$29)))</f>
        <v/>
      </c>
      <c r="E2184">
        <f>INDEX(FactorTable!$B$2:$Y$301, MATCH(ROUND(MIN(300,MAX(1,D2184)),0), FactorTable!$A$2:$A$301,0), Skills!M7+1)</f>
        <v/>
      </c>
      <c r="F2184">
        <f>IF(Skills!N7=TRUE,(Skills!L7/10)*(E2184/1000),Skills!L7/10)+Skills!O7</f>
        <v/>
      </c>
      <c r="G2184">
        <f>Skills!G7*IF(Skills!H7&gt;0,Skills!I7/Skills!H7,1)</f>
        <v/>
      </c>
      <c r="H2184">
        <f>1-(1-Skills!J7/100)^Skills!K7</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2197=TRUE)*(F2197-Calc!F20)),(Inputs!$B$23+0+(IF(ArtifactsInput!$M$15,CHOOSE(ArtifactsInput!$N$15+1,25,30,35,40,45,50)/100*(Inputs!$B$11-Inputs!$B$11),0))))/100+(Inputs!$B$23+0+(IF(ArtifactsInput!$M$15,CHOOSE(ArtifactsInput!$N$15+1,25,30,35,40,45,50)/100*(Inputs!$B$11-Inputs!$B$11),0)))/100)/2</f>
        <v/>
      </c>
      <c r="M2184">
        <f>L2184*(1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IF(B2213=0,0,O2184/B2213)</f>
        <v/>
      </c>
      <c r="Q2184">
        <f>IFERROR(1/(IF(Inputs!$B$38="pvp",15,MAX(0.1,Skills!D7-IF(Skills!E7=TRUE,Inputs!$B$32,0)))*(1-IF(AND(ArtifactsInput!$M$27,Inputs!$B$4="Chapter Hunt"),CHOOSE(ArtifactsInput!$N$27+1,20,24,28,32,36,40),0)/100)),0)</f>
        <v/>
      </c>
      <c r="R2184">
        <f>IF(AND(Inputs!$B$38&lt;&gt;"pvp",Inputs!$B$43&gt;0),IF(MAX(0,Inputs!$B$43-B2210)&lt;=0,0,(INT(MAX(0,Inputs!$B$43-B2210)/(IF(Inputs!$B$38="pvp",15,MAX(0.1,Skills!D7-IF(Skills!E7=TRUE,Inputs!$B$32,0)))*(1-IF(AND(ArtifactsInput!$M$27,Inputs!$B$4="Chapter Hunt"),CHOOSE(ArtifactsInput!$N$27+1,20,24,28,32,36,40),0)/100)))+1)),0)</f>
        <v/>
      </c>
      <c r="S2184">
        <f>IFERROR(O2184/N2184,0)</f>
        <v/>
      </c>
      <c r="T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$21+Skills!Q7+(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Skills!A8</f>
        <v/>
      </c>
      <c r="B2185">
        <f>Skills!B8</f>
        <v/>
      </c>
      <c r="C2185">
        <f>Inputs!$B$3&gt;=110</f>
        <v/>
      </c>
      <c r="D2185">
        <f>IF(Skills!C8=1,60+Inputs!$B$25+Inputs!$B$29,IF(Skills!C8=2,90+Inputs!$B$26+Inputs!$B$29,IF(Skills!C8=3,120+Inputs!$B$27+Inputs!$B$29,MAX(0,(Inputs!$B$3-100)*3)+Inputs!$B$28+Inputs!$B$29)))</f>
        <v/>
      </c>
      <c r="E2185">
        <f>INDEX(FactorTable!$B$2:$Y$301, MATCH(ROUND(MIN(300,MAX(1,D2185)),0), FactorTable!$A$2:$A$301,0), Skills!M8+1)</f>
        <v/>
      </c>
      <c r="F2185">
        <f>IF(Skills!N8=TRUE,(Skills!L8/10)*(E2185/1000),Skills!L8/10)+Skills!O8</f>
        <v/>
      </c>
      <c r="G2185">
        <f>Skills!G8*IF(Skills!H8&gt;0,Skills!I8/Skills!H8,1)</f>
        <v/>
      </c>
      <c r="H2185">
        <f>1-(1-Skills!J8/100)^Skills!K8</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2197=TRUE)*(F2197-Calc!F20)),(Inputs!$B$23+0+(IF(ArtifactsInput!$M$15,CHOOSE(ArtifactsInput!$N$15+1,25,30,35,40,45,50)/100*(Inputs!$B$11-Inputs!$B$11),0))))/100+(Inputs!$B$23+0+(IF(ArtifactsInput!$M$15,CHOOSE(ArtifactsInput!$N$15+1,25,30,35,40,45,50)/100*(Inputs!$B$11-Inputs!$B$11),0)))/100)/2</f>
        <v/>
      </c>
      <c r="M2185">
        <f>L2185*(1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IF(B2213=0,0,O2185/B2213)</f>
        <v/>
      </c>
      <c r="Q2185">
        <f>IFERROR(1/(IF(Inputs!$B$38="pvp",15,MAX(0.1,Skills!D8-IF(Skills!E8=TRUE,Inputs!$B$32,0)))*(1-IF(AND(ArtifactsInput!$M$27,Inputs!$B$4="Chapter Hunt"),CHOOSE(ArtifactsInput!$N$27+1,20,24,28,32,36,40),0)/100)),0)</f>
        <v/>
      </c>
      <c r="R2185">
        <f>IF(AND(Inputs!$B$38&lt;&gt;"pvp",Inputs!$B$43&gt;0),IF(MAX(0,Inputs!$B$43-B2210)&lt;=0,0,(INT(MAX(0,Inputs!$B$43-B2210)/(IF(Inputs!$B$38="pvp",15,MAX(0.1,Skills!D8-IF(Skills!E8=TRUE,Inputs!$B$32,0)))*(1-IF(AND(ArtifactsInput!$M$27,Inputs!$B$4="Chapter Hunt"),CHOOSE(ArtifactsInput!$N$27+1,20,24,28,32,36,40),0)/100)))+1)),0)</f>
        <v/>
      </c>
      <c r="S2185">
        <f>IFERROR(O2185/N2185,0)</f>
        <v/>
      </c>
      <c r="T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$21+Skills!Q8+(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Skills!A9</f>
        <v/>
      </c>
      <c r="B2186">
        <f>Skills!B9</f>
        <v/>
      </c>
      <c r="C2186">
        <f>Inputs!$B$3&gt;=110</f>
        <v/>
      </c>
      <c r="D2186">
        <f>IF(Skills!C9=1,60+Inputs!$B$25+Inputs!$B$29,IF(Skills!C9=2,90+Inputs!$B$26+Inputs!$B$29,IF(Skills!C9=3,120+Inputs!$B$27+Inputs!$B$29,MAX(0,(Inputs!$B$3-100)*3)+Inputs!$B$28+Inputs!$B$29)))</f>
        <v/>
      </c>
      <c r="E2186">
        <f>INDEX(FactorTable!$B$2:$Y$301, MATCH(ROUND(MIN(300,MAX(1,D2186)),0), FactorTable!$A$2:$A$301,0), Skills!M9+1)</f>
        <v/>
      </c>
      <c r="F2186">
        <f>IF(Skills!N9=TRUE,(Skills!L9/10)*(E2186/1000),Skills!L9/10)+Skills!O9</f>
        <v/>
      </c>
      <c r="G2186">
        <f>Skills!G9*IF(Skills!H9&gt;0,Skills!I9/Skills!H9,1)</f>
        <v/>
      </c>
      <c r="H2186">
        <f>1-(1-Skills!J9/100)^Skills!K9</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2197=TRUE)*(F2197-Calc!F20)),(Inputs!$B$23+0+(IF(ArtifactsInput!$M$15,CHOOSE(ArtifactsInput!$N$15+1,25,30,35,40,45,50)/100*(Inputs!$B$11-Inputs!$B$11),0))))/100+(Inputs!$B$23+0+(IF(ArtifactsInput!$M$15,CHOOSE(ArtifactsInput!$N$15+1,25,30,35,40,45,50)/100*(Inputs!$B$11-Inputs!$B$11),0)))/100)/2</f>
        <v/>
      </c>
      <c r="M2186">
        <f>L2186*(1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IF(B2213=0,0,O2186/B2213)</f>
        <v/>
      </c>
      <c r="Q2186">
        <f>IFERROR(1/(IF(Inputs!$B$38="pvp",15,MAX(0.1,Skills!D9-IF(Skills!E9=TRUE,Inputs!$B$32,0)))*(1-IF(AND(ArtifactsInput!$M$27,Inputs!$B$4="Chapter Hunt"),CHOOSE(ArtifactsInput!$N$27+1,20,24,28,32,36,40),0)/100)),0)</f>
        <v/>
      </c>
      <c r="R2186">
        <f>IF(AND(Inputs!$B$38&lt;&gt;"pvp",Inputs!$B$43&gt;0),IF(MAX(0,Inputs!$B$43-B2210)&lt;=0,0,(INT(MAX(0,Inputs!$B$43-B2210)/(IF(Inputs!$B$38="pvp",15,MAX(0.1,Skills!D9-IF(Skills!E9=TRUE,Inputs!$B$32,0)))*(1-IF(AND(ArtifactsInput!$M$27,Inputs!$B$4="Chapter Hunt"),CHOOSE(ArtifactsInput!$N$27+1,20,24,28,32,36,40),0)/100)))+1)),0)</f>
        <v/>
      </c>
      <c r="S2186">
        <f>IFERROR(O2186/N2186,0)</f>
        <v/>
      </c>
      <c r="T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$21+Skills!Q9+(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Skills!A10</f>
        <v/>
      </c>
      <c r="B2187">
        <f>Skills!B10</f>
        <v/>
      </c>
      <c r="C2187">
        <f>Inputs!$B$3&gt;=103</f>
        <v/>
      </c>
      <c r="D2187">
        <f>IF(Skills!C10=1,60+Inputs!$B$25+Inputs!$B$29,IF(Skills!C10=2,90+Inputs!$B$26+Inputs!$B$29,IF(Skills!C10=3,120+Inputs!$B$27+Inputs!$B$29,MAX(0,(Inputs!$B$3-100)*3)+Inputs!$B$28+Inputs!$B$29)))</f>
        <v/>
      </c>
      <c r="E2187">
        <f>INDEX(FactorTable!$B$2:$Y$301, MATCH(ROUND(MIN(300,MAX(1,D2187)),0), FactorTable!$A$2:$A$301,0), Skills!M10+1)</f>
        <v/>
      </c>
      <c r="F2187">
        <f>IF(Skills!N10=TRUE,(Skills!L10/10)*(E2187/1000),Skills!L10/10)+Skills!O10</f>
        <v/>
      </c>
      <c r="G2187">
        <f>Skills!G10*IF(Skills!H10&gt;0,Skills!I10/Skills!H10,1)</f>
        <v/>
      </c>
      <c r="H2187">
        <f>1-(1-Skills!J10/100)^Skills!K10</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2197=TRUE)*(F2197-Calc!F20)),(Inputs!$B$23+0+(IF(ArtifactsInput!$M$15,CHOOSE(ArtifactsInput!$N$15+1,25,30,35,40,45,50)/100*(Inputs!$B$11-Inputs!$B$11),0))))/100+(Inputs!$B$23+0+(IF(ArtifactsInput!$M$15,CHOOSE(ArtifactsInput!$N$15+1,25,30,35,40,45,50)/100*(Inputs!$B$11-Inputs!$B$11),0)))/100)/2</f>
        <v/>
      </c>
      <c r="M2187">
        <f>L2187*(1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IF(B2213=0,0,O2187/B2213)</f>
        <v/>
      </c>
      <c r="Q2187">
        <f>IFERROR(1/(IF(Inputs!$B$38="pvp",15,MAX(0.1,Skills!D10-IF(Skills!E10=TRUE,Inputs!$B$32,0)))*(1-IF(AND(ArtifactsInput!$M$27,Inputs!$B$4="Chapter Hunt"),CHOOSE(ArtifactsInput!$N$27+1,20,24,28,32,36,40),0)/100)),0)</f>
        <v/>
      </c>
      <c r="R2187">
        <f>IF(AND(Inputs!$B$38&lt;&gt;"pvp",Inputs!$B$43&gt;0),IF(MAX(0,Inputs!$B$43-B2210)&lt;=0,0,(INT(MAX(0,Inputs!$B$43-B2210)/(IF(Inputs!$B$38="pvp",15,MAX(0.1,Skills!D10-IF(Skills!E10=TRUE,Inputs!$B$32,0)))*(1-IF(AND(ArtifactsInput!$M$27,Inputs!$B$4="Chapter Hunt"),CHOOSE(ArtifactsInput!$N$27+1,20,24,28,32,36,40),0)/100)))+1)),0)</f>
        <v/>
      </c>
      <c r="S2187">
        <f>IFERROR(O2187/N2187,0)</f>
        <v/>
      </c>
      <c r="T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$21+Skills!Q10+(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Skills!A11</f>
        <v/>
      </c>
      <c r="B2188">
        <f>Skills!B11</f>
        <v/>
      </c>
      <c r="C2188">
        <f>Inputs!$B$3&gt;=113</f>
        <v/>
      </c>
      <c r="D2188">
        <f>IF(Skills!C11=1,60+Inputs!$B$25+Inputs!$B$29,IF(Skills!C11=2,90+Inputs!$B$26+Inputs!$B$29,IF(Skills!C11=3,120+Inputs!$B$27+Inputs!$B$29,MAX(0,(Inputs!$B$3-100)*3)+Inputs!$B$28+Inputs!$B$29)))</f>
        <v/>
      </c>
      <c r="E2188">
        <f>INDEX(FactorTable!$B$2:$Y$301, MATCH(ROUND(MIN(300,MAX(1,D2188)),0), FactorTable!$A$2:$A$301,0), Skills!M11+1)</f>
        <v/>
      </c>
      <c r="F2188">
        <f>IF(Skills!N11=TRUE,(Skills!L11/10)*(E2188/1000),Skills!L11/10)+Skills!O11</f>
        <v/>
      </c>
      <c r="G2188">
        <f>Skills!G11*IF(Skills!H11&gt;0,Skills!I11/Skills!H11,1)</f>
        <v/>
      </c>
      <c r="H2188">
        <f>1-(1-Skills!J11/100)^Skills!K11</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2197=TRUE)*(F2197-Calc!F20)),(Inputs!$B$23+0+(IF(ArtifactsInput!$M$15,CHOOSE(ArtifactsInput!$N$15+1,25,30,35,40,45,50)/100*(Inputs!$B$11-Inputs!$B$11),0))))/100+(Inputs!$B$23+0+(IF(ArtifactsInput!$M$15,CHOOSE(ArtifactsInput!$N$15+1,25,30,35,40,45,50)/100*(Inputs!$B$11-Inputs!$B$11),0)))/100)/2</f>
        <v/>
      </c>
      <c r="M2188">
        <f>L2188*(1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IF(B2213=0,0,O2188/B2213)</f>
        <v/>
      </c>
      <c r="Q2188">
        <f>IFERROR(1/(IF(Inputs!$B$38="pvp",15,MAX(0.1,Skills!D11-IF(Skills!E11=TRUE,Inputs!$B$32,0)))*(1-IF(AND(ArtifactsInput!$M$27,Inputs!$B$4="Chapter Hunt"),CHOOSE(ArtifactsInput!$N$27+1,20,24,28,32,36,40),0)/100)),0)</f>
        <v/>
      </c>
      <c r="R2188">
        <f>IF(AND(Inputs!$B$38&lt;&gt;"pvp",Inputs!$B$43&gt;0),IF(MAX(0,Inputs!$B$43-B2210)&lt;=0,0,(INT(MAX(0,Inputs!$B$43-B2210)/(IF(Inputs!$B$38="pvp",15,MAX(0.1,Skills!D11-IF(Skills!E11=TRUE,Inputs!$B$32,0)))*(1-IF(AND(ArtifactsInput!$M$27,Inputs!$B$4="Chapter Hunt"),CHOOSE(ArtifactsInput!$N$27+1,20,24,28,32,36,40),0)/100)))+1)),0)</f>
        <v/>
      </c>
      <c r="S2188">
        <f>IFERROR(O2188/N2188,0)</f>
        <v/>
      </c>
      <c r="T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$21+Skills!Q11+(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Skills!A12</f>
        <v/>
      </c>
      <c r="B2189">
        <f>Skills!B12</f>
        <v/>
      </c>
      <c r="C2189">
        <f>Inputs!$B$3&gt;=100</f>
        <v/>
      </c>
      <c r="D2189">
        <f>IF(Skills!C12=1,60+Inputs!$B$25+Inputs!$B$29,IF(Skills!C12=2,90+Inputs!$B$26+Inputs!$B$29,IF(Skills!C12=3,120+Inputs!$B$27+Inputs!$B$29,MAX(0,(Inputs!$B$3-100)*3)+Inputs!$B$28+Inputs!$B$29)))</f>
        <v/>
      </c>
      <c r="E2189">
        <f>INDEX(FactorTable!$B$2:$Y$301, MATCH(ROUND(MIN(300,MAX(1,D2189)),0), FactorTable!$A$2:$A$301,0), Skills!M12+1)</f>
        <v/>
      </c>
      <c r="F2189">
        <f>IF(Skills!N12=TRUE,(Skills!L12/10)*(E2189/1000),Skills!L12/10)+Skills!O12</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V2189" t="inlineStr"/>
    </row>
    <row r="2190">
      <c r="A2190">
        <f>Skills!A13</f>
        <v/>
      </c>
      <c r="B2190">
        <f>Skills!B13</f>
        <v/>
      </c>
      <c r="C2190">
        <f>Inputs!$B$3&gt;=66</f>
        <v/>
      </c>
      <c r="D2190">
        <f>IF(Skills!C13=1,60+Inputs!$B$25+Inputs!$B$29,IF(Skills!C13=2,90+Inputs!$B$26+Inputs!$B$29,IF(Skills!C13=3,120+Inputs!$B$27+Inputs!$B$29,MAX(0,(Inputs!$B$3-100)*3)+Inputs!$B$28+Inputs!$B$29)))</f>
        <v/>
      </c>
      <c r="E2190">
        <f>INDEX(FactorTable!$B$2:$Y$301, MATCH(ROUND(MIN(300,MAX(1,D2190)),0), FactorTable!$A$2:$A$301,0), Skills!M13+1)</f>
        <v/>
      </c>
      <c r="F2190">
        <f>IF(Skills!N13=TRUE,(Skills!L13/10)*(E2190/1000),Skills!L13/10)+Skills!O13</f>
        <v/>
      </c>
      <c r="G2190">
        <f>Skills!G13*IF(Skills!H13&gt;0,Skills!I13/Skills!H13,1)</f>
        <v/>
      </c>
      <c r="H2190">
        <f>1-(1-Skills!J13/100)^Skills!K13</f>
        <v/>
      </c>
      <c r="I2190" t="inlineStr">
        <is>
          <t>1</t>
        </is>
      </c>
      <c r="J2190" t="inlineStr"/>
      <c r="K2190" t="inlineStr"/>
      <c r="L2190" t="inlineStr"/>
      <c r="M2190" t="inlineStr"/>
      <c r="N2190" t="inlineStr"/>
      <c r="O2190">
        <f>(1-Summary!$B$11)*T2190+Summary!$B$11*V2190</f>
        <v/>
      </c>
      <c r="P2190">
        <f>IF(B2213=0,0,O2190/B2213)</f>
        <v/>
      </c>
      <c r="Q2190" t="n">
        <v>0</v>
      </c>
      <c r="R2190" t="n">
        <v>0</v>
      </c>
      <c r="S2190">
        <f>IFERROR(O2190/N2190,0)</f>
        <v/>
      </c>
      <c r="T2190" t="n">
        <v>0</v>
      </c>
      <c r="V2190" t="n">
        <v>0</v>
      </c>
    </row>
    <row r="2191">
      <c r="A2191">
        <f>Skills!A14</f>
        <v/>
      </c>
      <c r="B2191">
        <f>Skills!B14</f>
        <v/>
      </c>
      <c r="C2191">
        <f>Inputs!$B$3&gt;=107</f>
        <v/>
      </c>
      <c r="D2191">
        <f>IF(Skills!C14=1,60+Inputs!$B$25+Inputs!$B$29,IF(Skills!C14=2,90+Inputs!$B$26+Inputs!$B$29,IF(Skills!C14=3,120+Inputs!$B$27+Inputs!$B$29,MAX(0,(Inputs!$B$3-100)*3)+Inputs!$B$28+Inputs!$B$29)))</f>
        <v/>
      </c>
      <c r="E2191">
        <f>INDEX(FactorTable!$B$2:$Y$301, MATCH(ROUND(MIN(300,MAX(1,D2191)),0), FactorTable!$A$2:$A$301,0), Skills!M14+1)</f>
        <v/>
      </c>
      <c r="F2191">
        <f>IF(Skills!N14=TRUE,(Skills!L14/10)*(E2191/1000),Skills!L14/10)+Skills!O14</f>
        <v/>
      </c>
      <c r="G2191">
        <f>Skills!G14*IF(Skills!H14&gt;0,Skills!I14/Skills!H14,1)</f>
        <v/>
      </c>
      <c r="H2191">
        <f>1-(1-Skills!J14/100)^Skills!K14</f>
        <v/>
      </c>
      <c r="I2191" t="inlineStr">
        <is>
          <t>1</t>
        </is>
      </c>
      <c r="J2191" t="inlineStr"/>
      <c r="K2191" t="inlineStr"/>
      <c r="L2191" t="inlineStr"/>
      <c r="M2191" t="inlineStr"/>
      <c r="N2191" t="inlineStr"/>
      <c r="O2191">
        <f>(1-Summary!$B$11)*T2191+Summary!$B$11*V2191</f>
        <v/>
      </c>
      <c r="P2191">
        <f>IF(B2213=0,0,O2191/B2213)</f>
        <v/>
      </c>
      <c r="Q2191" t="n">
        <v>0</v>
      </c>
      <c r="R2191" t="n">
        <v>0</v>
      </c>
      <c r="S2191">
        <f>IFERROR(O2191/N2191,0)</f>
        <v/>
      </c>
      <c r="T2191" t="n">
        <v>0</v>
      </c>
      <c r="V2191" t="n">
        <v>0</v>
      </c>
    </row>
    <row r="2192">
      <c r="A2192">
        <f>Skills!A15</f>
        <v/>
      </c>
      <c r="B2192">
        <f>Skills!B15</f>
        <v/>
      </c>
      <c r="C2192">
        <f>Inputs!$B$3&gt;=115</f>
        <v/>
      </c>
      <c r="D2192">
        <f>IF(Skills!C15=1,60+Inputs!$B$25+Inputs!$B$29,IF(Skills!C15=2,90+Inputs!$B$26+Inputs!$B$29,IF(Skills!C15=3,120+Inputs!$B$27+Inputs!$B$29,MAX(0,(Inputs!$B$3-100)*3)+Inputs!$B$28+Inputs!$B$29)))</f>
        <v/>
      </c>
      <c r="E2192">
        <f>INDEX(FactorTable!$B$2:$Y$301, MATCH(ROUND(MIN(300,MAX(1,D2192)),0), FactorTable!$A$2:$A$301,0), Skills!M15+1)</f>
        <v/>
      </c>
      <c r="F2192">
        <f>IF(Skills!N15=TRUE,(Skills!L15/10)*(E2192/1000),Skills!L15/10)+Skills!O15</f>
        <v/>
      </c>
      <c r="G2192">
        <f>Skills!G15*IF(Skills!H15&gt;0,Skills!I15/Skills!H15,1)</f>
        <v/>
      </c>
      <c r="H2192">
        <f>1-(1-Skills!J15/100)^Skills!K15</f>
        <v/>
      </c>
      <c r="I2192" t="inlineStr">
        <is>
          <t>1</t>
        </is>
      </c>
      <c r="J2192" t="inlineStr"/>
      <c r="K2192" t="inlineStr"/>
      <c r="L2192" t="inlineStr"/>
      <c r="M2192" t="inlineStr"/>
      <c r="N2192" t="inlineStr"/>
      <c r="O2192">
        <f>(1-Summary!$B$11)*T2192+Summary!$B$11*V2192</f>
        <v/>
      </c>
      <c r="P2192">
        <f>IF(B2213=0,0,O2192/B2213)</f>
        <v/>
      </c>
      <c r="Q2192" t="n">
        <v>0</v>
      </c>
      <c r="R2192" t="n">
        <v>0</v>
      </c>
      <c r="S2192">
        <f>IFERROR(O2192/N2192,0)</f>
        <v/>
      </c>
      <c r="T2192" t="n">
        <v>0</v>
      </c>
      <c r="V2192" t="n">
        <v>0</v>
      </c>
    </row>
    <row r="2193">
      <c r="A2193">
        <f>Skills!A16</f>
        <v/>
      </c>
      <c r="B2193">
        <f>Skills!B16</f>
        <v/>
      </c>
      <c r="C2193">
        <f>Inputs!$B$3&gt;=15</f>
        <v/>
      </c>
      <c r="D2193">
        <f>IF(Skills!C16=1,60+Inputs!$B$25+Inputs!$B$29,IF(Skills!C16=2,90+Inputs!$B$26+Inputs!$B$29,IF(Skills!C16=3,120+Inputs!$B$27+Inputs!$B$29,MAX(0,(Inputs!$B$3-100)*3)+Inputs!$B$28+Inputs!$B$29)))</f>
        <v/>
      </c>
      <c r="E2193">
        <f>INDEX(FactorTable!$B$2:$Y$301, MATCH(ROUND(MIN(300,MAX(1,D2193)),0), FactorTable!$A$2:$A$301,0), Skills!M16+1)</f>
        <v/>
      </c>
      <c r="F2193">
        <f>IF(Skills!N16=TRUE,(Skills!L16/10)*(E2193/1000),Skills!L16/10)+Skills!O16</f>
        <v/>
      </c>
      <c r="G2193">
        <f>Skills!G16*IF(Skills!H16&gt;0,Skills!I16/Skills!H16,1)</f>
        <v/>
      </c>
      <c r="H2193">
        <f>1-(1-Skills!J16/100)^Skills!K16</f>
        <v/>
      </c>
      <c r="I2193" t="inlineStr">
        <is>
          <t>1</t>
        </is>
      </c>
      <c r="J2193" t="inlineStr"/>
      <c r="K2193" t="inlineStr"/>
      <c r="L2193" t="inlineStr"/>
      <c r="M2193" t="inlineStr"/>
      <c r="N2193" t="inlineStr"/>
      <c r="O2193">
        <f>(1-Summary!$B$11)*T2193+Summary!$B$11*V2193</f>
        <v/>
      </c>
      <c r="P2193">
        <f>IF(B2213=0,0,O2193/B2213)</f>
        <v/>
      </c>
      <c r="Q2193" t="n">
        <v>0</v>
      </c>
      <c r="R2193" t="n">
        <v>0</v>
      </c>
      <c r="S2193">
        <f>IFERROR(O2193/N2193,0)</f>
        <v/>
      </c>
      <c r="T2193" t="n">
        <v>0</v>
      </c>
      <c r="V2193" t="n">
        <v>0</v>
      </c>
    </row>
    <row r="2194">
      <c r="A2194">
        <f>Skills!A17</f>
        <v/>
      </c>
      <c r="B2194">
        <f>Skills!B17</f>
        <v/>
      </c>
      <c r="C2194">
        <f>Inputs!$B$3&gt;=10</f>
        <v/>
      </c>
      <c r="D2194">
        <f>IF(Skills!C17=1,60+Inputs!$B$25+Inputs!$B$29,IF(Skills!C17=2,90+Inputs!$B$26+Inputs!$B$29,IF(Skills!C17=3,120+Inputs!$B$27+Inputs!$B$29,MAX(0,(Inputs!$B$3-100)*3)+Inputs!$B$28+Inputs!$B$29)))</f>
        <v/>
      </c>
      <c r="E2194">
        <f>INDEX(FactorTable!$B$2:$Y$301, MATCH(ROUND(MIN(300,MAX(1,D2194)),0), FactorTable!$A$2:$A$301,0), Skills!M17+1)</f>
        <v/>
      </c>
      <c r="F2194">
        <f>IF(Skills!N17=TRUE,(Skills!L17/10)*(E2194/1000),Skills!L17/10)+Skills!O17</f>
        <v/>
      </c>
      <c r="G2194">
        <f>Skills!G17*IF(Skills!H17&gt;0,Skills!I17/Skills!H17,1)</f>
        <v/>
      </c>
      <c r="H2194">
        <f>1-(1-Skills!J17/100)^Skills!K17</f>
        <v/>
      </c>
      <c r="I2194" t="inlineStr">
        <is>
          <t>1</t>
        </is>
      </c>
      <c r="J2194" t="inlineStr"/>
      <c r="K2194" t="inlineStr"/>
      <c r="L2194" t="inlineStr"/>
      <c r="M2194" t="inlineStr"/>
      <c r="N2194" t="inlineStr"/>
      <c r="O2194">
        <f>(1-Summary!$B$11)*T2194+Summary!$B$11*V2194</f>
        <v/>
      </c>
      <c r="P2194">
        <f>IF(B2213=0,0,O2194/B2213)</f>
        <v/>
      </c>
      <c r="Q2194" t="n">
        <v>0</v>
      </c>
      <c r="R2194" t="n">
        <v>0</v>
      </c>
      <c r="S2194">
        <f>IFERROR(O2194/N2194,0)</f>
        <v/>
      </c>
      <c r="T2194" t="n">
        <v>0</v>
      </c>
      <c r="V2194" t="n">
        <v>0</v>
      </c>
    </row>
    <row r="2195">
      <c r="A2195">
        <f>Skills!A18</f>
        <v/>
      </c>
      <c r="B2195">
        <f>Skills!B18</f>
        <v/>
      </c>
      <c r="C2195">
        <f>Inputs!$B$3&gt;=33</f>
        <v/>
      </c>
      <c r="D2195">
        <f>IF(Skills!C18=1,60+Inputs!$B$25+Inputs!$B$29,IF(Skills!C18=2,90+Inputs!$B$26+Inputs!$B$29,IF(Skills!C18=3,120+Inputs!$B$27+Inputs!$B$29,MAX(0,(Inputs!$B$3-100)*3)+Inputs!$B$28+Inputs!$B$29)))</f>
        <v/>
      </c>
      <c r="E2195">
        <f>INDEX(FactorTable!$B$2:$Y$301, MATCH(ROUND(MIN(300,MAX(1,D2195)),0), FactorTable!$A$2:$A$301,0), Skills!M18+1)</f>
        <v/>
      </c>
      <c r="F2195">
        <f>IF(Skills!N18=TRUE,(Skills!L18/10)*(E2195/1000),Skills!L18/10)+Skills!O18</f>
        <v/>
      </c>
      <c r="G2195">
        <f>Skills!G18*IF(Skills!H18&gt;0,Skills!I18/Skills!H18,1)</f>
        <v/>
      </c>
      <c r="H2195">
        <f>1-(1-Skills!J18/100)^Skills!K18</f>
        <v/>
      </c>
      <c r="I2195" t="inlineStr">
        <is>
          <t>1</t>
        </is>
      </c>
      <c r="J2195" t="inlineStr"/>
      <c r="K2195" t="inlineStr"/>
      <c r="L2195" t="inlineStr"/>
      <c r="M2195" t="inlineStr"/>
      <c r="N2195" t="inlineStr"/>
      <c r="O2195">
        <f>(1-Summary!$B$11)*T2195+Summary!$B$11*V2195</f>
        <v/>
      </c>
      <c r="P2195">
        <f>IF(B2213=0,0,O2195/B2213)</f>
        <v/>
      </c>
      <c r="Q2195" t="n">
        <v>0</v>
      </c>
      <c r="R2195" t="n">
        <v>0</v>
      </c>
      <c r="S2195">
        <f>IFERROR(O2195/N2195,0)</f>
        <v/>
      </c>
      <c r="T2195" t="n">
        <v>0</v>
      </c>
      <c r="V2195" t="n">
        <v>0</v>
      </c>
    </row>
    <row r="2196">
      <c r="A2196">
        <f>Skills!A19</f>
        <v/>
      </c>
      <c r="B2196">
        <f>Skills!B19</f>
        <v/>
      </c>
      <c r="C2196">
        <f>Inputs!$B$3&gt;=40</f>
        <v/>
      </c>
      <c r="D2196">
        <f>IF(Skills!C19=1,60+Inputs!$B$25+Inputs!$B$29,IF(Skills!C19=2,90+Inputs!$B$26+Inputs!$B$29,IF(Skills!C19=3,120+Inputs!$B$27+Inputs!$B$29,MAX(0,(Inputs!$B$3-100)*3)+Inputs!$B$28+Inputs!$B$29)))</f>
        <v/>
      </c>
      <c r="E2196">
        <f>INDEX(FactorTable!$B$2:$Y$301, MATCH(ROUND(MIN(300,MAX(1,D2196)),0), FactorTable!$A$2:$A$301,0), Skills!M19+1)</f>
        <v/>
      </c>
      <c r="F2196">
        <f>IF(Skills!N19=TRUE,(Skills!L19/10)*(E2196/1000),Skills!L19/10)+Skills!O19</f>
        <v/>
      </c>
      <c r="G2196">
        <f>Skills!G19*IF(Skills!H19&gt;0,Skills!I19/Skills!H19,1)</f>
        <v/>
      </c>
      <c r="H2196">
        <f>1-(1-Skills!J19/100)^Skills!K19</f>
        <v/>
      </c>
      <c r="I2196" t="inlineStr">
        <is>
          <t>1</t>
        </is>
      </c>
      <c r="J2196" t="inlineStr"/>
      <c r="K2196" t="inlineStr"/>
      <c r="L2196" t="inlineStr"/>
      <c r="M2196" t="inlineStr"/>
      <c r="N2196" t="inlineStr"/>
      <c r="O2196">
        <f>(1-Summary!$B$11)*T2196+Summary!$B$11*V2196</f>
        <v/>
      </c>
      <c r="P2196">
        <f>IF(B2213=0,0,O2196/B2213)</f>
        <v/>
      </c>
      <c r="Q2196" t="n">
        <v>0</v>
      </c>
      <c r="R2196" t="n">
        <v>0</v>
      </c>
      <c r="S2196">
        <f>IFERROR(O2196/N2196,0)</f>
        <v/>
      </c>
      <c r="T2196" t="n">
        <v>0</v>
      </c>
      <c r="V2196" t="n">
        <v>0</v>
      </c>
    </row>
    <row r="2197">
      <c r="A2197">
        <f>Skills!A20</f>
        <v/>
      </c>
      <c r="B2197">
        <f>Skills!B20</f>
        <v/>
      </c>
      <c r="C2197">
        <f>Inputs!$B$3&gt;=43</f>
        <v/>
      </c>
      <c r="D2197">
        <f>IF(Skills!C20=1,60+Inputs!$B$25+Inputs!$B$29,IF(Skills!C20=2,90+Inputs!$B$26+Inputs!$B$29,IF(Skills!C20=3,120+Inputs!$B$27+Inputs!$B$29,MAX(0,(Inputs!$B$3-100)*3)+Inputs!$B$28+Inputs!$B$29)))</f>
        <v/>
      </c>
      <c r="E2197">
        <f>INDEX(FactorTable!$B$2:$Y$301, MATCH(ROUND(MIN(300,MAX(1,D2197)),0), FactorTable!$A$2:$A$301,0), Skills!M20+1)</f>
        <v/>
      </c>
      <c r="F2197">
        <f>IF(Skills!N20=TRUE,(Skills!L20/10)*(E2197/1000),Skills!L20/10)+Skills!O20</f>
        <v/>
      </c>
      <c r="G2197">
        <f>Skills!G20*IF(Skills!H20&gt;0,Skills!I20/Skills!H20,1)</f>
        <v/>
      </c>
      <c r="H2197">
        <f>1-(1-Skills!J20/100)^Skills!K20</f>
        <v/>
      </c>
      <c r="I2197" t="inlineStr">
        <is>
          <t>1</t>
        </is>
      </c>
      <c r="J2197" t="inlineStr"/>
      <c r="K2197" t="inlineStr"/>
      <c r="L2197" t="inlineStr"/>
      <c r="M2197" t="inlineStr"/>
      <c r="N2197" t="inlineStr"/>
      <c r="O2197">
        <f>(1-Summary!$B$11)*T2197+Summary!$B$11*V2197</f>
        <v/>
      </c>
      <c r="P2197">
        <f>IF(B2213=0,0,O2197/B2213)</f>
        <v/>
      </c>
      <c r="Q2197" t="n">
        <v>0</v>
      </c>
      <c r="R2197" t="n">
        <v>0</v>
      </c>
      <c r="S2197">
        <f>IFERROR(O2197/N2197,0)</f>
        <v/>
      </c>
      <c r="T2197" t="n">
        <v>0</v>
      </c>
      <c r="V2197" t="n">
        <v>0</v>
      </c>
    </row>
    <row r="2198">
      <c r="A2198">
        <f>Skills!A21</f>
        <v/>
      </c>
      <c r="B2198">
        <f>Skills!B21</f>
        <v/>
      </c>
      <c r="C2198">
        <f>Inputs!$B$3&gt;=38</f>
        <v/>
      </c>
      <c r="D2198">
        <f>IF(Skills!C21=1,60+Inputs!$B$25+Inputs!$B$29,IF(Skills!C21=2,90+Inputs!$B$26+Inputs!$B$29,IF(Skills!C21=3,120+Inputs!$B$27+Inputs!$B$29,MAX(0,(Inputs!$B$3-100)*3)+Inputs!$B$28+Inputs!$B$29)))</f>
        <v/>
      </c>
      <c r="E2198">
        <f>INDEX(FactorTable!$B$2:$Y$301, MATCH(ROUND(MIN(300,MAX(1,D2198)),0), FactorTable!$A$2:$A$301,0), Skills!M21+1)</f>
        <v/>
      </c>
      <c r="F2198">
        <f>IF(Skills!N21=TRUE,(Skills!L21/10)*(E2198/1000),Skills!L21/10)+Skills!O21</f>
        <v/>
      </c>
      <c r="G2198">
        <f>Skills!G21*IF(Skills!H21&gt;0,Skills!I21/Skills!H21,1)</f>
        <v/>
      </c>
      <c r="H2198">
        <f>1-(1-Skills!J21/100)^Skills!K21</f>
        <v/>
      </c>
      <c r="I2198" t="inlineStr">
        <is>
          <t>1</t>
        </is>
      </c>
      <c r="J2198" t="inlineStr"/>
      <c r="K2198" t="inlineStr"/>
      <c r="L2198" t="inlineStr"/>
      <c r="M2198" t="inlineStr"/>
      <c r="N2198" t="inlineStr"/>
      <c r="O2198">
        <f>(1-Summary!$B$11)*T2198+Summary!$B$11*V2198</f>
        <v/>
      </c>
      <c r="P2198">
        <f>IF(B2213=0,0,O2198/B2213)</f>
        <v/>
      </c>
      <c r="Q2198" t="n">
        <v>0</v>
      </c>
      <c r="R2198" t="n">
        <v>0</v>
      </c>
      <c r="S2198">
        <f>IFERROR(O2198/N2198,0)</f>
        <v/>
      </c>
      <c r="T2198" t="n">
        <v>0</v>
      </c>
      <c r="V2198" t="n">
        <v>0</v>
      </c>
    </row>
    <row r="2199">
      <c r="A2199">
        <f>Skills!A22</f>
        <v/>
      </c>
      <c r="B2199">
        <f>Skills!B22</f>
        <v/>
      </c>
      <c r="C2199">
        <f>Inputs!$B$3&gt;=75</f>
        <v/>
      </c>
      <c r="D2199">
        <f>IF(Skills!C22=1,60+Inputs!$B$25+Inputs!$B$29,IF(Skills!C22=2,90+Inputs!$B$26+Inputs!$B$29,IF(Skills!C22=3,120+Inputs!$B$27+Inputs!$B$29,MAX(0,(Inputs!$B$3-100)*3)+Inputs!$B$28+Inputs!$B$29)))</f>
        <v/>
      </c>
      <c r="E2199">
        <f>INDEX(FactorTable!$B$2:$Y$301, MATCH(ROUND(MIN(300,MAX(1,D2199)),0), FactorTable!$A$2:$A$301,0), Skills!M22+1)</f>
        <v/>
      </c>
      <c r="F2199">
        <f>IF(Skills!N22=TRUE,(Skills!L22/10)*(E2199/1000),Skills!L22/10)+Skills!O22</f>
        <v/>
      </c>
      <c r="G2199">
        <f>Skills!G22*IF(Skills!H22&gt;0,Skills!I22/Skills!H22,1)</f>
        <v/>
      </c>
      <c r="H2199">
        <f>1-(1-Skills!J22/100)^Skills!K22</f>
        <v/>
      </c>
      <c r="I2199" t="inlineStr">
        <is>
          <t>1</t>
        </is>
      </c>
      <c r="J2199" t="inlineStr"/>
      <c r="K2199" t="inlineStr"/>
      <c r="L2199" t="inlineStr"/>
      <c r="M2199" t="inlineStr"/>
      <c r="N2199" t="inlineStr"/>
      <c r="O2199">
        <f>(1-Summary!$B$11)*T2199+Summary!$B$11*V2199</f>
        <v/>
      </c>
      <c r="P2199">
        <f>IF(B2213=0,0,O2199/B2213)</f>
        <v/>
      </c>
      <c r="Q2199" t="n">
        <v>0</v>
      </c>
      <c r="R2199" t="n">
        <v>0</v>
      </c>
      <c r="S2199">
        <f>IFERROR(O2199/N2199,0)</f>
        <v/>
      </c>
      <c r="T2199" t="n">
        <v>0</v>
      </c>
      <c r="V2199" t="n">
        <v>0</v>
      </c>
    </row>
    <row r="2200">
      <c r="A2200">
        <f>Skills!A23</f>
        <v/>
      </c>
      <c r="B2200">
        <f>Skills!B23</f>
        <v/>
      </c>
      <c r="C2200">
        <f>TRUE</f>
        <v/>
      </c>
      <c r="D2200">
        <f>IF(Skills!C23=1,60+Inputs!$B$25+Inputs!$B$29,IF(Skills!C23=2,90+Inputs!$B$26+Inputs!$B$29,IF(Skills!C23=3,120+Inputs!$B$27+Inputs!$B$29,MAX(0,(Inputs!$B$3-100)*3)+Inputs!$B$28+Inputs!$B$29)))</f>
        <v/>
      </c>
      <c r="E2200">
        <f>INDEX(FactorTable!$B$2:$Y$301, MATCH(ROUND(MIN(300,MAX(1,D2200)),0), FactorTable!$A$2:$A$301,0), Skills!M23+1)</f>
        <v/>
      </c>
      <c r="F2200">
        <f>IF(Skills!N23=TRUE,(Skills!L23/10)*(E2200/1000),Skills!L23/10)+Skills!O23</f>
        <v/>
      </c>
      <c r="G2200">
        <f>Skills!G23*IF(Skills!H23&gt;0,Skills!I23/Skills!H23,1)</f>
        <v/>
      </c>
      <c r="H2200">
        <f>1-(1-Skills!J23/100)^Skills!K23</f>
        <v/>
      </c>
      <c r="I2200" t="inlineStr">
        <is>
          <t>1</t>
        </is>
      </c>
      <c r="J2200" t="inlineStr"/>
      <c r="K2200" t="inlineStr"/>
      <c r="L2200" t="inlineStr"/>
      <c r="M2200" t="inlineStr"/>
      <c r="N2200" t="inlineStr"/>
      <c r="O2200">
        <f>(1-Summary!$B$11)*T2200+Summary!$B$11*V2200</f>
        <v/>
      </c>
      <c r="P2200">
        <f>IF(B2213=0,0,O2200/B2213)</f>
        <v/>
      </c>
      <c r="Q2200">
        <f>IFERROR(1/(IF(Inputs!$B$38="pvp",15,MAX(0.1,Skills!D23-IF(Skills!E23=TRUE,Inputs!$B$32,0)))*(1-IF(AND(ArtifactsInput!$M$27,Inputs!$B$4="Chapter Hunt"),CHOOSE(ArtifactsInput!$N$27+1,20,24,28,32,36,40),0)/100)),0)</f>
        <v/>
      </c>
      <c r="R2200">
        <f>IF(AND(Inputs!$B$38&lt;&gt;"pvp",Inputs!$B$43&gt;0),IF(Inputs!$B$43&lt;=0,0,(INT(Inputs!$B$43/(IF(Inputs!$B$38="pvp",15,MAX(0.1,Skills!D23-IF(Skills!E23=TRUE,Inputs!$B$32,0)))*(1-IF(AND(ArtifactsInput!$M$27,Inputs!$B$4="Chapter Hunt"),CHOOSE(ArtifactsInput!$N$27+1,20,24,28,32,36,40),0)/100)))+1)),0)</f>
        <v/>
      </c>
      <c r="S2200">
        <f>IFERROR(O2200/N2200,0)</f>
        <v/>
      </c>
      <c r="T2200" t="n">
        <v>0</v>
      </c>
      <c r="V2200" t="n">
        <v>0</v>
      </c>
    </row>
    <row r="2202">
      <c r="A2202" t="inlineStr">
        <is>
          <t>Attack% Bucket Multiplier</t>
        </is>
      </c>
      <c r="B2202">
        <f>(1+(((C2190=TRUE)*F2190*5/7)+((C2196=TRUE)*(F2196-Calc!F19))+(IF(ArtifactsInput!$M$21,CHOOSE(ArtifactsInput!$N$21+1,25,30,35,40,45,50)*(IF(OR(Inputs!$B$4="Chapter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3">
      <c r="A2203" t="inlineStr">
        <is>
          <t>Global Crit Rate Bonus %</t>
        </is>
      </c>
      <c r="B2203" t="n">
        <v>0</v>
      </c>
    </row>
    <row r="2204">
      <c r="A2204" t="inlineStr">
        <is>
          <t>Attack Speed Buff Bonus % (Nimble Feet, duty-cycle averaged)</t>
        </is>
      </c>
      <c r="B2204">
        <f>((C2200=TRUE)*F2200*IF(AND(Inputs!$B$38&lt;&gt;"pvp",Inputs!$B$43&gt;0),(((R2200-1)*(Skills!T23*(1+Inputs!$B$34/100))+MIN((Skills!T23*(1+Inputs!$B$34/100)),MAX(0,Inputs!$B$43-((R2200-1)*Skills!D23))))/Inputs!$B$43),IF(Inputs!$B$38="pvp",MIN((Skills!T23*(1+Inputs!$B$34/100)),15)/15,(Skills!T23*(1+Inputs!$B$34/100))/Skills!D23)))</f>
        <v/>
      </c>
    </row>
    <row r="2205">
      <c r="A2205" t="inlineStr">
        <is>
          <t>Actions Per Second</t>
        </is>
      </c>
      <c r="B2205">
        <f>1+MIN(150,150*(1-(1-(Inputs!$B$11+((C2194=TRUE)*(F2194-Calc!F17))+((C2195=TRUE)*(F2195-Calc!F18)))/150)*(1-B2204/150)))/100</f>
        <v/>
      </c>
    </row>
    <row r="2206">
      <c r="A2206" t="inlineStr">
        <is>
          <t>Skill + Buff Cast Rate</t>
        </is>
      </c>
      <c r="B2206">
        <f>IF(AND(Inputs!$B$38&lt;&gt;"pvp",Inputs!$B$43&gt;0),SUMPRODUCT((Skills!E2:E23=TRUE)*(C2179:C2200=TRUE)*R2179:R2200*Skills!F2:F23)/Inputs!$B$43,SUMPRODUCT((Skills!E2:E23=TRUE)*(C2179:C2200=TRUE)*Q2179:Q2200*Skills!F2:F23))</f>
        <v/>
      </c>
    </row>
    <row r="2207">
      <c r="A2207" t="inlineStr">
        <is>
          <t>Hook Bomber Casts Per Second</t>
        </is>
      </c>
      <c r="B2207">
        <f>MAX(0,B2205-B2206)</f>
        <v/>
      </c>
    </row>
    <row r="2208">
      <c r="A2208" t="inlineStr">
        <is>
          <t>Global Critical Damage Bonus % (unused)</t>
        </is>
      </c>
      <c r="B2208" t="n">
        <v>0</v>
      </c>
    </row>
    <row r="2209">
      <c r="A2209" t="inlineStr">
        <is>
          <t>Global Final Damage Bonus % (Serpent Scale + Crossbones + Time Leap + Speed Infusion)</t>
        </is>
      </c>
      <c r="B2209">
        <f>((C2182=TRUE)*F2182*((10+IF(Inputs!$B$3&gt;=94,5,0))/((10+IF(Inputs!$B$3&gt;=94,5,0))+5/(B2207*(1+IF(Inputs!$B$3&gt;=104,1,0))))))+((C2191=TRUE)*F2191)+((C2192=TRUE)*F2192)+((Inputs!$B$3&gt;=110)*20*(B2205-1))</f>
        <v/>
      </c>
    </row>
    <row r="2210">
      <c r="A2210" t="inlineStr">
        <is>
          <t>Buff-Casting Startup Delay (s, fixed-duration only)</t>
        </is>
      </c>
      <c r="B2210">
        <f>IF(AND(Inputs!$B$38&lt;&gt;"pvp",Inputs!$B$43&gt;0),SUMPRODUCT((Skills!T2:T23&gt;0)*(Skills!E2:E23=TRUE)*(C2179:C2200=TRUE))/B2205,0)</f>
        <v/>
      </c>
    </row>
    <row r="2211">
      <c r="A2211" t="inlineStr">
        <is>
          <t>Boss-Only Total DPS (this block's swept value)</t>
        </is>
      </c>
      <c r="B2211">
        <f>SUM(T2179:T2200)</f>
        <v/>
      </c>
    </row>
    <row r="2212">
      <c r="A2212" t="inlineStr">
        <is>
          <t>Normal-Only Total DPS (this block's swept value)</t>
        </is>
      </c>
      <c r="B2212">
        <f>SUM(V2179:V2200)</f>
        <v/>
      </c>
    </row>
    <row r="2213">
      <c r="A2213" s="6" t="inlineStr">
        <is>
          <t>TOTAL DPS</t>
        </is>
      </c>
      <c r="B2213" s="6">
        <f>SUM(O2179:O2200)</f>
        <v/>
      </c>
    </row>
    <row r="2216">
      <c r="A2216" s="6" t="inlineStr">
        <is>
          <t>Stat: Candle (Equip)</t>
        </is>
      </c>
    </row>
    <row r="2217">
      <c r="A2217" s="5" t="inlineStr">
        <is>
          <t>Key</t>
        </is>
      </c>
      <c r="B2217" s="5" t="inlineStr">
        <is>
          <t>Name</t>
        </is>
      </c>
      <c r="C2217" s="5" t="inlineStr">
        <is>
          <t>Unlocked</t>
        </is>
      </c>
      <c r="D2217" s="5" t="inlineStr">
        <is>
          <t>InputLevel</t>
        </is>
      </c>
      <c r="E2217" s="5" t="inlineStr">
        <is>
          <t>Factor</t>
        </is>
      </c>
      <c r="F2217" s="5" t="inlineStr">
        <is>
          <t>CoefficientPercent</t>
        </is>
      </c>
      <c r="G2217" s="5" t="inlineStr">
        <is>
          <t>EffectiveHits</t>
        </is>
      </c>
      <c r="H2217" s="5" t="inlineStr">
        <is>
          <t>ProcProbability</t>
        </is>
      </c>
      <c r="I2217" s="5" t="inlineStr">
        <is>
          <t>MapleHeroMultiplier</t>
        </is>
      </c>
      <c r="J2217" s="5" t="inlineStr">
        <is>
          <t>BaseDamage</t>
        </is>
      </c>
      <c r="K2217" s="5" t="inlineStr">
        <is>
          <t>BaseHitDamage</t>
        </is>
      </c>
      <c r="L2217" s="5" t="inlineStr">
        <is>
          <t>NonCritAvg</t>
        </is>
      </c>
      <c r="M2217" s="5" t="inlineStr">
        <is>
          <t>CritAvg</t>
        </is>
      </c>
      <c r="N2217" s="5" t="inlineStr">
        <is>
          <t>ExpectedDamage(perHit)</t>
        </is>
      </c>
      <c r="O2217" s="5" t="inlineStr">
        <is>
          <t>DPS</t>
        </is>
      </c>
      <c r="P2217" s="5" t="inlineStr">
        <is>
          <t>% of Total</t>
        </is>
      </c>
      <c r="Q2217" s="5" t="inlineStr">
        <is>
          <t>InvCooldown</t>
        </is>
      </c>
      <c r="R2217" s="5" t="inlineStr">
        <is>
          <t>CastsInFight</t>
        </is>
      </c>
      <c r="S2217" s="5" t="inlineStr">
        <is>
          <t>HitRate(perSec)</t>
        </is>
      </c>
      <c r="U2217" t="inlineStr">
        <is>
          <t>helpers</t>
        </is>
      </c>
    </row>
    <row r="2218">
      <c r="A2218">
        <f>Skills!A2</f>
        <v/>
      </c>
      <c r="B2218">
        <f>Skills!B2</f>
        <v/>
      </c>
      <c r="C2218">
        <f>Inputs!$B$3&gt;=100</f>
        <v/>
      </c>
      <c r="D2218" t="inlineStr"/>
      <c r="E2218" t="inlineStr"/>
      <c r="F2218">
        <f>U2220+Skills!O2</f>
        <v/>
      </c>
      <c r="G2218">
        <f>Skills!G2*IF(Skills!H2&gt;0,Skills!I2/Skills!H2,1)</f>
        <v/>
      </c>
      <c r="H2218">
        <f>1-(1-Skills!J2/100)^Skills!K2</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2236=TRUE)*(F2236-Calc!F20)),(Inputs!$B$23+0+(IF(ArtifactsInput!$M$15,CHOOSE(ArtifactsInput!$N$15+1,25,30,35,40,45,50)/100*(Inputs!$B$11-Inputs!$B$11),0))))/100+(Inputs!$B$23+0+(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t="n">
        <v>0</v>
      </c>
      <c r="R2218" t="n">
        <v>0</v>
      </c>
      <c r="S2218">
        <f>IFERROR(O2218/N2218,0)</f>
        <v/>
      </c>
      <c r="T2218">
        <f>IF(C2218,(Skills!G2*N2218*B2246)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8">
        <f>MAX(0,(Inputs!$B$3-100)*3)+Inputs!$B$28+Inputs!$B$29</f>
        <v/>
      </c>
      <c r="V2218">
        <f>IF(C2218,(Skills!G2*N2218*B2246)*IF(Inputs!$B$38="pvp",1,(1+(Inputs!$B$21+Skills!Q2+(IF(ArtifactsInput!$M$33,CHOOSE(ArtifactsInput!$N$33+1,30,36,42,48,54,60),0))+(IF(AND(ArtifactsInput!$M$35,Inputs!$B$4&lt;&gt;"Chapter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Skills!A3</f>
        <v/>
      </c>
      <c r="B2219">
        <f>Skills!B3</f>
        <v/>
      </c>
      <c r="C2219">
        <f>Inputs!$B$3&gt;=35</f>
        <v/>
      </c>
      <c r="D2219">
        <f>IF(Skills!C3=1,60+Inputs!$B$25+Inputs!$B$29,IF(Skills!C3=2,90+Inputs!$B$26+Inputs!$B$29,IF(Skills!C3=3,120+Inputs!$B$27+Inputs!$B$29,MAX(0,(Inputs!$B$3-100)*3)+Inputs!$B$28+Inputs!$B$29)))</f>
        <v/>
      </c>
      <c r="E2219">
        <f>INDEX(FactorTable!$B$2:$Y$301, MATCH(ROUND(MIN(300,MAX(1,D2219)),0), FactorTable!$A$2:$A$301,0), Skills!M3+1)</f>
        <v/>
      </c>
      <c r="F2219">
        <f>IF(Skills!N3=TRUE,(Skills!L3/10)*(E2219/1000),Skills!L3/10)+Skills!O3</f>
        <v/>
      </c>
      <c r="G2219">
        <f>Skills!G3*IF(Skills!H3&gt;0,Skills!I3/Skills!H3,1)</f>
        <v/>
      </c>
      <c r="H2219">
        <f>1-(1-Skills!J3/100)^Skills!K3</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2236=TRUE)*(F2236-Calc!F20)),(Inputs!$B$23+0+(IF(ArtifactsInput!$M$15,CHOOSE(ArtifactsInput!$N$15+1,25,30,35,40,45,50)/100*(Inputs!$B$11-Inputs!$B$11),0))))/100+(Inputs!$B$23+0+(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t="n">
        <v>0</v>
      </c>
      <c r="R2219" t="n">
        <v>0</v>
      </c>
      <c r="S2219">
        <f>IFERROR(O2219/N2219,0)</f>
        <v/>
      </c>
      <c r="T2219">
        <f>IF(C2219,(Skills!G3*H2219*N2219*B2246)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9">
        <f>INDEX(FactorTable!$B$2:$Y$301, MATCH(ROUND(MIN(300,MAX(1,U2218)),0), FactorTable!$A$2:$A$301,0), 22)</f>
        <v/>
      </c>
      <c r="V2219">
        <f>IF(C2219,(Skills!G3*H2219*N2219*B2246)*IF(Inputs!$B$38="pvp",1,(1+(Inputs!$B$21+Skills!Q3+(IF(ArtifactsInput!$M$33,CHOOSE(ArtifactsInput!$N$33+1,30,36,42,48,54,60),0))+(IF(AND(ArtifactsInput!$M$35,Inputs!$B$4&lt;&gt;"Chapter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Skills!A4</f>
        <v/>
      </c>
      <c r="B2220">
        <f>Skills!B4</f>
        <v/>
      </c>
      <c r="C2220">
        <f>Inputs!$B$3&gt;=60</f>
        <v/>
      </c>
      <c r="D2220">
        <f>IF(Skills!C4=1,60+Inputs!$B$25+Inputs!$B$29,IF(Skills!C4=2,90+Inputs!$B$26+Inputs!$B$29,IF(Skills!C4=3,120+Inputs!$B$27+Inputs!$B$29,MAX(0,(Inputs!$B$3-100)*3)+Inputs!$B$28+Inputs!$B$29)))</f>
        <v/>
      </c>
      <c r="E2220">
        <f>INDEX(FactorTable!$B$2:$Y$301, MATCH(ROUND(MIN(300,MAX(1,D2220)),0), FactorTable!$A$2:$A$301,0), Skills!M4+1)</f>
        <v/>
      </c>
      <c r="F2220">
        <f>IF(Skills!N4=TRUE,(Skills!L4/10)*(E2220/1000),Skills!L4/10)+Skills!O4</f>
        <v/>
      </c>
      <c r="G2220">
        <f>Skills!G4*IF(Skills!H4&gt;0,Skills!I4/Skills!H4,1)</f>
        <v/>
      </c>
      <c r="H2220">
        <f>1-(1-Skills!J4/100)^Skills!K4</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2228=TRUE,F2228,0)/100)*(1+(IF(Skills!A4="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2236=TRUE)*(F2236-Calc!F20)),(Inputs!$B$23+0+(IF(ArtifactsInput!$M$15,CHOOSE(ArtifactsInput!$N$15+1,25,30,35,40,45,50)/100*(Inputs!$B$11-Inputs!$B$11),0))))/100+(Inputs!$B$23+0+(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t="n">
        <v>0</v>
      </c>
      <c r="R2220" t="n">
        <v>0</v>
      </c>
      <c r="S2220">
        <f>IFERROR(O2220/N2220,0)</f>
        <v/>
      </c>
      <c r="T2220">
        <f>IF(C2220,(Skills!G4*H2220*N2220*B2246)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290*U2219/1000</f>
        <v/>
      </c>
      <c r="V2220">
        <f>IF(C2220,(Skills!G4*H2220*N2220*B2246)*IF(Inputs!$B$38="pvp",1,(1+(Inputs!$B$21+Skills!Q4+(IF(ArtifactsInput!$M$33,CHOOSE(ArtifactsInput!$N$33+1,30,36,42,48,54,60),0))+(IF(AND(ArtifactsInput!$M$35,Inputs!$B$4&lt;&gt;"Chapter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Skills!A5</f>
        <v/>
      </c>
      <c r="B2221">
        <f>Skills!B5</f>
        <v/>
      </c>
      <c r="C2221">
        <f>Inputs!$B$3&gt;=60</f>
        <v/>
      </c>
      <c r="D2221">
        <f>IF(Skills!C5=1,60+Inputs!$B$25+Inputs!$B$29,IF(Skills!C5=2,90+Inputs!$B$26+Inputs!$B$29,IF(Skills!C5=3,120+Inputs!$B$27+Inputs!$B$29,MAX(0,(Inputs!$B$3-100)*3)+Inputs!$B$28+Inputs!$B$29)))</f>
        <v/>
      </c>
      <c r="E2221">
        <f>INDEX(FactorTable!$B$2:$Y$301, MATCH(ROUND(MIN(300,MAX(1,D2221)),0), FactorTable!$A$2:$A$301,0), Skills!M5+1)</f>
        <v/>
      </c>
      <c r="F2221">
        <f>IF(Skills!N5=TRUE,(Skills!L5/10)*(E2221/1000),Skills!L5/10)+Skills!O5</f>
        <v/>
      </c>
      <c r="G2221">
        <f>Skills!G5*IF(Skills!H5&gt;0,Skills!I5/Skills!H5,1)</f>
        <v/>
      </c>
      <c r="H2221">
        <f>1-(1-Skills!J5/100)^Skills!K5</f>
        <v/>
      </c>
      <c r="I2221" t="inlineStr">
        <is>
          <t>1</t>
        </is>
      </c>
      <c r="J2221" t="inlineStr"/>
      <c r="K2221" t="inlineStr"/>
      <c r="L2221" t="inlineStr"/>
      <c r="M2221" t="inlineStr"/>
      <c r="N2221" t="inlineStr"/>
      <c r="O2221">
        <f>(1-Summary!$B$11)*T2221+Summary!$B$11*V2221</f>
        <v/>
      </c>
      <c r="P2221">
        <f>IF(B2252=0,0,O2221/B2252)</f>
        <v/>
      </c>
      <c r="Q2221" t="n">
        <v>0</v>
      </c>
      <c r="R2221" t="n">
        <v>0</v>
      </c>
      <c r="S2221">
        <f>IFERROR(O2221/N2221,0)</f>
        <v/>
      </c>
      <c r="T2221" t="n">
        <v>0</v>
      </c>
      <c r="V2221" t="n">
        <v>0</v>
      </c>
    </row>
    <row r="2222">
      <c r="A2222">
        <f>Skills!A6</f>
        <v/>
      </c>
      <c r="B2222">
        <f>Skills!B6</f>
        <v/>
      </c>
      <c r="C2222">
        <f>Inputs!$B$3&gt;=63</f>
        <v/>
      </c>
      <c r="D2222">
        <f>IF(Skills!C6=1,60+Inputs!$B$25+Inputs!$B$29,IF(Skills!C6=2,90+Inputs!$B$26+Inputs!$B$29,IF(Skills!C6=3,120+Inputs!$B$27+Inputs!$B$29,MAX(0,(Inputs!$B$3-100)*3)+Inputs!$B$28+Inputs!$B$29)))</f>
        <v/>
      </c>
      <c r="E2222">
        <f>INDEX(FactorTable!$B$2:$Y$301, MATCH(ROUND(MIN(300,MAX(1,D2222)),0), FactorTable!$A$2:$A$301,0), Skills!M6+1)</f>
        <v/>
      </c>
      <c r="F2222">
        <f>IF(Skills!N6=TRUE,(Skills!L6/10)*(E2222/1000),Skills!L6/10)+Skills!O6</f>
        <v/>
      </c>
      <c r="G2222">
        <f>Skills!G6*IF(Skills!H6&gt;0,Skills!I6/Skills!H6,1)</f>
        <v/>
      </c>
      <c r="H2222">
        <f>1-(1-Skills!J6/100)^Skills!K6</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2236=TRUE)*(F2236-Calc!F20)),(Inputs!$B$23+0+(IF(ArtifactsInput!$M$15,CHOOSE(ArtifactsInput!$N$15+1,25,30,35,40,45,50)/100*(Inputs!$B$11-Inputs!$B$11),0))))/100+(Inputs!$B$23+0+(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IFERROR(1/(IF(Inputs!$B$38="pvp",15,MAX(0.1,Skills!D6-IF(Skills!E6=TRUE,Inputs!$B$32,0)))*(1-IF(AND(ArtifactsInput!$M$27,Inputs!$B$4="Chapter Hunt"),CHOOSE(ArtifactsInput!$N$27+1,20,24,28,32,36,40),0)/100)),0)</f>
        <v/>
      </c>
      <c r="R2222">
        <f>IF(AND(Inputs!$B$38&lt;&gt;"pvp",Inputs!$B$43&gt;0),IF(MAX(0,Inputs!$B$43-B2249)&lt;=0,0,(INT(MAX(0,Inputs!$B$43-B2249)/(IF(Inputs!$B$38="pvp",15,MAX(0.1,Skills!D6-IF(Skills!E6=TRUE,Inputs!$B$32,0)))*(1-IF(AND(ArtifactsInput!$M$27,Inputs!$B$4="Chapter Hunt"),CHOOSE(ArtifactsInput!$N$27+1,20,24,28,32,36,40),0)/100)))+1)),0)</f>
        <v/>
      </c>
      <c r="S2222">
        <f>IFERROR(O2222/N2222,0)</f>
        <v/>
      </c>
      <c r="T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Skills!A7</f>
        <v/>
      </c>
      <c r="B2223">
        <f>Skills!B7</f>
        <v/>
      </c>
      <c r="C2223">
        <f>Inputs!$B$3&gt;=100</f>
        <v/>
      </c>
      <c r="D2223">
        <f>IF(Skills!C7=1,60+Inputs!$B$25+Inputs!$B$29,IF(Skills!C7=2,90+Inputs!$B$26+Inputs!$B$29,IF(Skills!C7=3,120+Inputs!$B$27+Inputs!$B$29,MAX(0,(Inputs!$B$3-100)*3)+Inputs!$B$28+Inputs!$B$29)))</f>
        <v/>
      </c>
      <c r="E2223">
        <f>INDEX(FactorTable!$B$2:$Y$301, MATCH(ROUND(MIN(300,MAX(1,D2223)),0), FactorTable!$A$2:$A$301,0), Skills!M7+1)</f>
        <v/>
      </c>
      <c r="F2223">
        <f>IF(Skills!N7=TRUE,(Skills!L7/10)*(E2223/1000),Skills!L7/10)+Skills!O7</f>
        <v/>
      </c>
      <c r="G2223">
        <f>Skills!G7*IF(Skills!H7&gt;0,Skills!I7/Skills!H7,1)</f>
        <v/>
      </c>
      <c r="H2223">
        <f>1-(1-Skills!J7/100)^Skills!K7</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2236=TRUE)*(F2236-Calc!F20)),(Inputs!$B$23+0+(IF(ArtifactsInput!$M$15,CHOOSE(ArtifactsInput!$N$15+1,25,30,35,40,45,50)/100*(Inputs!$B$11-Inputs!$B$11),0))))/100+(Inputs!$B$23+0+(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IFERROR(1/(IF(Inputs!$B$38="pvp",15,MAX(0.1,Skills!D7-IF(Skills!E7=TRUE,Inputs!$B$32,0)))*(1-IF(AND(ArtifactsInput!$M$27,Inputs!$B$4="Chapter Hunt"),CHOOSE(ArtifactsInput!$N$27+1,20,24,28,32,36,40),0)/100)),0)</f>
        <v/>
      </c>
      <c r="R2223">
        <f>IF(AND(Inputs!$B$38&lt;&gt;"pvp",Inputs!$B$43&gt;0),IF(MAX(0,Inputs!$B$43-B2249)&lt;=0,0,(INT(MAX(0,Inputs!$B$43-B2249)/(IF(Inputs!$B$38="pvp",15,MAX(0.1,Skills!D7-IF(Skills!E7=TRUE,Inputs!$B$32,0)))*(1-IF(AND(ArtifactsInput!$M$27,Inputs!$B$4="Chapter Hunt"),CHOOSE(ArtifactsInput!$N$27+1,20,24,28,32,36,40),0)/100)))+1)),0)</f>
        <v/>
      </c>
      <c r="S2223">
        <f>IFERROR(O2223/N2223,0)</f>
        <v/>
      </c>
      <c r="T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Skills!A8</f>
        <v/>
      </c>
      <c r="B2224">
        <f>Skills!B8</f>
        <v/>
      </c>
      <c r="C2224">
        <f>Inputs!$B$3&gt;=110</f>
        <v/>
      </c>
      <c r="D2224">
        <f>IF(Skills!C8=1,60+Inputs!$B$25+Inputs!$B$29,IF(Skills!C8=2,90+Inputs!$B$26+Inputs!$B$29,IF(Skills!C8=3,120+Inputs!$B$27+Inputs!$B$29,MAX(0,(Inputs!$B$3-100)*3)+Inputs!$B$28+Inputs!$B$29)))</f>
        <v/>
      </c>
      <c r="E2224">
        <f>INDEX(FactorTable!$B$2:$Y$301, MATCH(ROUND(MIN(300,MAX(1,D2224)),0), FactorTable!$A$2:$A$301,0), Skills!M8+1)</f>
        <v/>
      </c>
      <c r="F2224">
        <f>IF(Skills!N8=TRUE,(Skills!L8/10)*(E2224/1000),Skills!L8/10)+Skills!O8</f>
        <v/>
      </c>
      <c r="G2224">
        <f>Skills!G8*IF(Skills!H8&gt;0,Skills!I8/Skills!H8,1)</f>
        <v/>
      </c>
      <c r="H2224">
        <f>1-(1-Skills!J8/100)^Skills!K8</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2236=TRUE)*(F2236-Calc!F20)),(Inputs!$B$23+0+(IF(ArtifactsInput!$M$15,CHOOSE(ArtifactsInput!$N$15+1,25,30,35,40,45,50)/100*(Inputs!$B$11-Inputs!$B$11),0))))/100+(Inputs!$B$23+0+(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IFERROR(1/(IF(Inputs!$B$38="pvp",15,MAX(0.1,Skills!D8-IF(Skills!E8=TRUE,Inputs!$B$32,0)))*(1-IF(AND(ArtifactsInput!$M$27,Inputs!$B$4="Chapter Hunt"),CHOOSE(ArtifactsInput!$N$27+1,20,24,28,32,36,40),0)/100)),0)</f>
        <v/>
      </c>
      <c r="R2224">
        <f>IF(AND(Inputs!$B$38&lt;&gt;"pvp",Inputs!$B$43&gt;0),IF(MAX(0,Inputs!$B$43-B2249)&lt;=0,0,(INT(MAX(0,Inputs!$B$43-B2249)/(IF(Inputs!$B$38="pvp",15,MAX(0.1,Skills!D8-IF(Skills!E8=TRUE,Inputs!$B$32,0)))*(1-IF(AND(ArtifactsInput!$M$27,Inputs!$B$4="Chapter Hunt"),CHOOSE(ArtifactsInput!$N$27+1,20,24,28,32,36,40),0)/100)))+1)),0)</f>
        <v/>
      </c>
      <c r="S2224">
        <f>IFERROR(O2224/N2224,0)</f>
        <v/>
      </c>
      <c r="T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Skills!A9</f>
        <v/>
      </c>
      <c r="B2225">
        <f>Skills!B9</f>
        <v/>
      </c>
      <c r="C2225">
        <f>Inputs!$B$3&gt;=110</f>
        <v/>
      </c>
      <c r="D2225">
        <f>IF(Skills!C9=1,60+Inputs!$B$25+Inputs!$B$29,IF(Skills!C9=2,90+Inputs!$B$26+Inputs!$B$29,IF(Skills!C9=3,120+Inputs!$B$27+Inputs!$B$29,MAX(0,(Inputs!$B$3-100)*3)+Inputs!$B$28+Inputs!$B$29)))</f>
        <v/>
      </c>
      <c r="E2225">
        <f>INDEX(FactorTable!$B$2:$Y$301, MATCH(ROUND(MIN(300,MAX(1,D2225)),0), FactorTable!$A$2:$A$301,0), Skills!M9+1)</f>
        <v/>
      </c>
      <c r="F2225">
        <f>IF(Skills!N9=TRUE,(Skills!L9/10)*(E2225/1000),Skills!L9/10)+Skills!O9</f>
        <v/>
      </c>
      <c r="G2225">
        <f>Skills!G9*IF(Skills!H9&gt;0,Skills!I9/Skills!H9,1)</f>
        <v/>
      </c>
      <c r="H2225">
        <f>1-(1-Skills!J9/100)^Skills!K9</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2236=TRUE)*(F2236-Calc!F20)),(Inputs!$B$23+0+(IF(ArtifactsInput!$M$15,CHOOSE(ArtifactsInput!$N$15+1,25,30,35,40,45,50)/100*(Inputs!$B$11-Inputs!$B$11),0))))/100+(Inputs!$B$23+0+(IF(ArtifactsInput!$M$15,CHOOSE(ArtifactsInput!$N$15+1,25,30,35,40,45,50)/100*(Inputs!$B$11-Inputs!$B$11),0)))/100)/2</f>
        <v/>
      </c>
      <c r="M2225">
        <f>L2225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IF(B2252=0,0,O2225/B2252)</f>
        <v/>
      </c>
      <c r="Q2225">
        <f>IFERROR(1/(IF(Inputs!$B$38="pvp",15,MAX(0.1,Skills!D9-IF(Skills!E9=TRUE,Inputs!$B$32,0)))*(1-IF(AND(ArtifactsInput!$M$27,Inputs!$B$4="Chapter Hunt"),CHOOSE(ArtifactsInput!$N$27+1,20,24,28,32,36,40),0)/100)),0)</f>
        <v/>
      </c>
      <c r="R2225">
        <f>IF(AND(Inputs!$B$38&lt;&gt;"pvp",Inputs!$B$43&gt;0),IF(MAX(0,Inputs!$B$43-B2249)&lt;=0,0,(INT(MAX(0,Inputs!$B$43-B2249)/(IF(Inputs!$B$38="pvp",15,MAX(0.1,Skills!D9-IF(Skills!E9=TRUE,Inputs!$B$32,0)))*(1-IF(AND(ArtifactsInput!$M$27,Inputs!$B$4="Chapter Hunt"),CHOOSE(ArtifactsInput!$N$27+1,20,24,28,32,36,40),0)/100)))+1)),0)</f>
        <v/>
      </c>
      <c r="S2225">
        <f>IFERROR(O2225/N2225,0)</f>
        <v/>
      </c>
      <c r="T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Skills!A10</f>
        <v/>
      </c>
      <c r="B2226">
        <f>Skills!B10</f>
        <v/>
      </c>
      <c r="C2226">
        <f>Inputs!$B$3&gt;=103</f>
        <v/>
      </c>
      <c r="D2226">
        <f>IF(Skills!C10=1,60+Inputs!$B$25+Inputs!$B$29,IF(Skills!C10=2,90+Inputs!$B$26+Inputs!$B$29,IF(Skills!C10=3,120+Inputs!$B$27+Inputs!$B$29,MAX(0,(Inputs!$B$3-100)*3)+Inputs!$B$28+Inputs!$B$29)))</f>
        <v/>
      </c>
      <c r="E2226">
        <f>INDEX(FactorTable!$B$2:$Y$301, MATCH(ROUND(MIN(300,MAX(1,D2226)),0), FactorTable!$A$2:$A$301,0), Skills!M10+1)</f>
        <v/>
      </c>
      <c r="F2226">
        <f>IF(Skills!N10=TRUE,(Skills!L10/10)*(E2226/1000),Skills!L10/10)+Skills!O10</f>
        <v/>
      </c>
      <c r="G2226">
        <f>Skills!G10*IF(Skills!H10&gt;0,Skills!I10/Skills!H10,1)</f>
        <v/>
      </c>
      <c r="H2226">
        <f>1-(1-Skills!J10/100)^Skills!K10</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2236=TRUE)*(F2236-Calc!F20)),(Inputs!$B$23+0+(IF(ArtifactsInput!$M$15,CHOOSE(ArtifactsInput!$N$15+1,25,30,35,40,45,50)/100*(Inputs!$B$11-Inputs!$B$11),0))))/100+(Inputs!$B$23+0+(IF(ArtifactsInput!$M$15,CHOOSE(ArtifactsInput!$N$15+1,25,30,35,40,45,50)/100*(Inputs!$B$11-Inputs!$B$11),0)))/100)/2</f>
        <v/>
      </c>
      <c r="M2226">
        <f>L2226*(1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IF(B2252=0,0,O2226/B2252)</f>
        <v/>
      </c>
      <c r="Q2226">
        <f>IFERROR(1/(IF(Inputs!$B$38="pvp",15,MAX(0.1,Skills!D10-IF(Skills!E10=TRUE,Inputs!$B$32,0)))*(1-IF(AND(ArtifactsInput!$M$27,Inputs!$B$4="Chapter Hunt"),CHOOSE(ArtifactsInput!$N$27+1,20,24,28,32,36,40),0)/100)),0)</f>
        <v/>
      </c>
      <c r="R2226">
        <f>IF(AND(Inputs!$B$38&lt;&gt;"pvp",Inputs!$B$43&gt;0),IF(MAX(0,Inputs!$B$43-B2249)&lt;=0,0,(INT(MAX(0,Inputs!$B$43-B2249)/(IF(Inputs!$B$38="pvp",15,MAX(0.1,Skills!D10-IF(Skills!E10=TRUE,Inputs!$B$32,0)))*(1-IF(AND(ArtifactsInput!$M$27,Inputs!$B$4="Chapter Hunt"),CHOOSE(ArtifactsInput!$N$27+1,20,24,28,32,36,40),0)/100)))+1)),0)</f>
        <v/>
      </c>
      <c r="S2226">
        <f>IFERROR(O2226/N2226,0)</f>
        <v/>
      </c>
      <c r="T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Skills!A11</f>
        <v/>
      </c>
      <c r="B2227">
        <f>Skills!B11</f>
        <v/>
      </c>
      <c r="C2227">
        <f>Inputs!$B$3&gt;=113</f>
        <v/>
      </c>
      <c r="D2227">
        <f>IF(Skills!C11=1,60+Inputs!$B$25+Inputs!$B$29,IF(Skills!C11=2,90+Inputs!$B$26+Inputs!$B$29,IF(Skills!C11=3,120+Inputs!$B$27+Inputs!$B$29,MAX(0,(Inputs!$B$3-100)*3)+Inputs!$B$28+Inputs!$B$29)))</f>
        <v/>
      </c>
      <c r="E2227">
        <f>INDEX(FactorTable!$B$2:$Y$301, MATCH(ROUND(MIN(300,MAX(1,D2227)),0), FactorTable!$A$2:$A$301,0), Skills!M11+1)</f>
        <v/>
      </c>
      <c r="F2227">
        <f>IF(Skills!N11=TRUE,(Skills!L11/10)*(E2227/1000),Skills!L11/10)+Skills!O11</f>
        <v/>
      </c>
      <c r="G2227">
        <f>Skills!G11*IF(Skills!H11&gt;0,Skills!I11/Skills!H11,1)</f>
        <v/>
      </c>
      <c r="H2227">
        <f>1-(1-Skills!J11/100)^Skills!K11</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2236=TRUE)*(F2236-Calc!F20)),(Inputs!$B$23+0+(IF(ArtifactsInput!$M$15,CHOOSE(ArtifactsInput!$N$15+1,25,30,35,40,45,50)/100*(Inputs!$B$11-Inputs!$B$11),0))))/100+(Inputs!$B$23+0+(IF(ArtifactsInput!$M$15,CHOOSE(ArtifactsInput!$N$15+1,25,30,35,40,45,50)/100*(Inputs!$B$11-Inputs!$B$11),0)))/100)/2</f>
        <v/>
      </c>
      <c r="M2227">
        <f>L2227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IF(B2252=0,0,O2227/B2252)</f>
        <v/>
      </c>
      <c r="Q2227">
        <f>IFERROR(1/(IF(Inputs!$B$38="pvp",15,MAX(0.1,Skills!D11-IF(Skills!E11=TRUE,Inputs!$B$32,0)))*(1-IF(AND(ArtifactsInput!$M$27,Inputs!$B$4="Chapter Hunt"),CHOOSE(ArtifactsInput!$N$27+1,20,24,28,32,36,40),0)/100)),0)</f>
        <v/>
      </c>
      <c r="R2227">
        <f>IF(AND(Inputs!$B$38&lt;&gt;"pvp",Inputs!$B$43&gt;0),IF(MAX(0,Inputs!$B$43-B2249)&lt;=0,0,(INT(MAX(0,Inputs!$B$43-B2249)/(IF(Inputs!$B$38="pvp",15,MAX(0.1,Skills!D11-IF(Skills!E11=TRUE,Inputs!$B$32,0)))*(1-IF(AND(ArtifactsInput!$M$27,Inputs!$B$4="Chapter Hunt"),CHOOSE(ArtifactsInput!$N$27+1,20,24,28,32,36,40),0)/100)))+1)),0)</f>
        <v/>
      </c>
      <c r="S2227">
        <f>IFERROR(O2227/N2227,0)</f>
        <v/>
      </c>
      <c r="T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Skills!A12</f>
        <v/>
      </c>
      <c r="B2228">
        <f>Skills!B12</f>
        <v/>
      </c>
      <c r="C2228">
        <f>Inputs!$B$3&gt;=100</f>
        <v/>
      </c>
      <c r="D2228">
        <f>IF(Skills!C12=1,60+Inputs!$B$25+Inputs!$B$29,IF(Skills!C12=2,90+Inputs!$B$26+Inputs!$B$29,IF(Skills!C12=3,120+Inputs!$B$27+Inputs!$B$29,MAX(0,(Inputs!$B$3-100)*3)+Inputs!$B$28+Inputs!$B$29)))</f>
        <v/>
      </c>
      <c r="E2228">
        <f>INDEX(FactorTable!$B$2:$Y$301, MATCH(ROUND(MIN(300,MAX(1,D2228)),0), FactorTable!$A$2:$A$301,0), Skills!M12+1)</f>
        <v/>
      </c>
      <c r="F2228">
        <f>IF(Skills!N12=TRUE,(Skills!L12/10)*(E2228/1000),Skills!L12/10)+Skills!O12</f>
        <v/>
      </c>
      <c r="G2228" t="inlineStr"/>
      <c r="H2228" t="inlineStr"/>
      <c r="I2228" t="inlineStr">
        <is>
          <t>1</t>
        </is>
      </c>
      <c r="J2228" t="inlineStr"/>
      <c r="K2228" t="inlineStr"/>
      <c r="L2228" t="inlineStr"/>
      <c r="M2228" t="inlineStr"/>
      <c r="N2228" t="inlineStr"/>
      <c r="O2228" t="inlineStr"/>
      <c r="P2228" t="inlineStr"/>
      <c r="Q2228" t="inlineStr"/>
      <c r="R2228" t="inlineStr"/>
      <c r="S2228" t="inlineStr"/>
      <c r="T2228" t="inlineStr"/>
      <c r="V2228" t="inlineStr"/>
    </row>
    <row r="2229">
      <c r="A2229">
        <f>Skills!A13</f>
        <v/>
      </c>
      <c r="B2229">
        <f>Skills!B13</f>
        <v/>
      </c>
      <c r="C2229">
        <f>Inputs!$B$3&gt;=66</f>
        <v/>
      </c>
      <c r="D2229">
        <f>IF(Skills!C13=1,60+Inputs!$B$25+Inputs!$B$29,IF(Skills!C13=2,90+Inputs!$B$26+Inputs!$B$29,IF(Skills!C13=3,120+Inputs!$B$27+Inputs!$B$29,MAX(0,(Inputs!$B$3-100)*3)+Inputs!$B$28+Inputs!$B$29)))</f>
        <v/>
      </c>
      <c r="E2229">
        <f>INDEX(FactorTable!$B$2:$Y$301, MATCH(ROUND(MIN(300,MAX(1,D2229)),0), FactorTable!$A$2:$A$301,0), Skills!M13+1)</f>
        <v/>
      </c>
      <c r="F2229">
        <f>IF(Skills!N13=TRUE,(Skills!L13/10)*(E2229/1000),Skills!L13/10)+Skills!O13</f>
        <v/>
      </c>
      <c r="G2229">
        <f>Skills!G13*IF(Skills!H13&gt;0,Skills!I13/Skills!H13,1)</f>
        <v/>
      </c>
      <c r="H2229">
        <f>1-(1-Skills!J13/100)^Skills!K13</f>
        <v/>
      </c>
      <c r="I2229" t="inlineStr">
        <is>
          <t>1</t>
        </is>
      </c>
      <c r="J2229" t="inlineStr"/>
      <c r="K2229" t="inlineStr"/>
      <c r="L2229" t="inlineStr"/>
      <c r="M2229" t="inlineStr"/>
      <c r="N2229" t="inlineStr"/>
      <c r="O2229">
        <f>(1-Summary!$B$11)*T2229+Summary!$B$11*V2229</f>
        <v/>
      </c>
      <c r="P2229">
        <f>IF(B2252=0,0,O2229/B2252)</f>
        <v/>
      </c>
      <c r="Q2229" t="n">
        <v>0</v>
      </c>
      <c r="R2229" t="n">
        <v>0</v>
      </c>
      <c r="S2229">
        <f>IFERROR(O2229/N2229,0)</f>
        <v/>
      </c>
      <c r="T2229" t="n">
        <v>0</v>
      </c>
      <c r="V2229" t="n">
        <v>0</v>
      </c>
    </row>
    <row r="2230">
      <c r="A2230">
        <f>Skills!A14</f>
        <v/>
      </c>
      <c r="B2230">
        <f>Skills!B14</f>
        <v/>
      </c>
      <c r="C2230">
        <f>Inputs!$B$3&gt;=107</f>
        <v/>
      </c>
      <c r="D2230">
        <f>IF(Skills!C14=1,60+Inputs!$B$25+Inputs!$B$29,IF(Skills!C14=2,90+Inputs!$B$26+Inputs!$B$29,IF(Skills!C14=3,120+Inputs!$B$27+Inputs!$B$29,MAX(0,(Inputs!$B$3-100)*3)+Inputs!$B$28+Inputs!$B$29)))</f>
        <v/>
      </c>
      <c r="E2230">
        <f>INDEX(FactorTable!$B$2:$Y$301, MATCH(ROUND(MIN(300,MAX(1,D2230)),0), FactorTable!$A$2:$A$301,0), Skills!M14+1)</f>
        <v/>
      </c>
      <c r="F2230">
        <f>IF(Skills!N14=TRUE,(Skills!L14/10)*(E2230/1000),Skills!L14/10)+Skills!O14</f>
        <v/>
      </c>
      <c r="G2230">
        <f>Skills!G14*IF(Skills!H14&gt;0,Skills!I14/Skills!H14,1)</f>
        <v/>
      </c>
      <c r="H2230">
        <f>1-(1-Skills!J14/100)^Skills!K14</f>
        <v/>
      </c>
      <c r="I2230" t="inlineStr">
        <is>
          <t>1</t>
        </is>
      </c>
      <c r="J2230" t="inlineStr"/>
      <c r="K2230" t="inlineStr"/>
      <c r="L2230" t="inlineStr"/>
      <c r="M2230" t="inlineStr"/>
      <c r="N2230" t="inlineStr"/>
      <c r="O2230">
        <f>(1-Summary!$B$11)*T2230+Summary!$B$11*V2230</f>
        <v/>
      </c>
      <c r="P2230">
        <f>IF(B2252=0,0,O2230/B2252)</f>
        <v/>
      </c>
      <c r="Q2230" t="n">
        <v>0</v>
      </c>
      <c r="R2230" t="n">
        <v>0</v>
      </c>
      <c r="S2230">
        <f>IFERROR(O2230/N2230,0)</f>
        <v/>
      </c>
      <c r="T2230" t="n">
        <v>0</v>
      </c>
      <c r="V2230" t="n">
        <v>0</v>
      </c>
    </row>
    <row r="2231">
      <c r="A2231">
        <f>Skills!A15</f>
        <v/>
      </c>
      <c r="B2231">
        <f>Skills!B15</f>
        <v/>
      </c>
      <c r="C2231">
        <f>Inputs!$B$3&gt;=115</f>
        <v/>
      </c>
      <c r="D2231">
        <f>IF(Skills!C15=1,60+Inputs!$B$25+Inputs!$B$29,IF(Skills!C15=2,90+Inputs!$B$26+Inputs!$B$29,IF(Skills!C15=3,120+Inputs!$B$27+Inputs!$B$29,MAX(0,(Inputs!$B$3-100)*3)+Inputs!$B$28+Inputs!$B$29)))</f>
        <v/>
      </c>
      <c r="E2231">
        <f>INDEX(FactorTable!$B$2:$Y$301, MATCH(ROUND(MIN(300,MAX(1,D2231)),0), FactorTable!$A$2:$A$301,0), Skills!M15+1)</f>
        <v/>
      </c>
      <c r="F2231">
        <f>IF(Skills!N15=TRUE,(Skills!L15/10)*(E2231/1000),Skills!L15/10)+Skills!O15</f>
        <v/>
      </c>
      <c r="G2231">
        <f>Skills!G15*IF(Skills!H15&gt;0,Skills!I15/Skills!H15,1)</f>
        <v/>
      </c>
      <c r="H2231">
        <f>1-(1-Skills!J15/100)^Skills!K15</f>
        <v/>
      </c>
      <c r="I2231" t="inlineStr">
        <is>
          <t>1</t>
        </is>
      </c>
      <c r="J2231" t="inlineStr"/>
      <c r="K2231" t="inlineStr"/>
      <c r="L2231" t="inlineStr"/>
      <c r="M2231" t="inlineStr"/>
      <c r="N2231" t="inlineStr"/>
      <c r="O2231">
        <f>(1-Summary!$B$11)*T2231+Summary!$B$11*V2231</f>
        <v/>
      </c>
      <c r="P2231">
        <f>IF(B2252=0,0,O2231/B2252)</f>
        <v/>
      </c>
      <c r="Q2231" t="n">
        <v>0</v>
      </c>
      <c r="R2231" t="n">
        <v>0</v>
      </c>
      <c r="S2231">
        <f>IFERROR(O2231/N2231,0)</f>
        <v/>
      </c>
      <c r="T2231" t="n">
        <v>0</v>
      </c>
      <c r="V2231" t="n">
        <v>0</v>
      </c>
    </row>
    <row r="2232">
      <c r="A2232">
        <f>Skills!A16</f>
        <v/>
      </c>
      <c r="B2232">
        <f>Skills!B16</f>
        <v/>
      </c>
      <c r="C2232">
        <f>Inputs!$B$3&gt;=15</f>
        <v/>
      </c>
      <c r="D2232">
        <f>IF(Skills!C16=1,60+Inputs!$B$25+Inputs!$B$29,IF(Skills!C16=2,90+Inputs!$B$26+Inputs!$B$29,IF(Skills!C16=3,120+Inputs!$B$27+Inputs!$B$29,MAX(0,(Inputs!$B$3-100)*3)+Inputs!$B$28+Inputs!$B$29)))</f>
        <v/>
      </c>
      <c r="E2232">
        <f>INDEX(FactorTable!$B$2:$Y$301, MATCH(ROUND(MIN(300,MAX(1,D2232)),0), FactorTable!$A$2:$A$301,0), Skills!M16+1)</f>
        <v/>
      </c>
      <c r="F2232">
        <f>IF(Skills!N16=TRUE,(Skills!L16/10)*(E2232/1000),Skills!L16/10)+Skills!O16</f>
        <v/>
      </c>
      <c r="G2232">
        <f>Skills!G16*IF(Skills!H16&gt;0,Skills!I16/Skills!H16,1)</f>
        <v/>
      </c>
      <c r="H2232">
        <f>1-(1-Skills!J16/100)^Skills!K16</f>
        <v/>
      </c>
      <c r="I2232" t="inlineStr">
        <is>
          <t>1</t>
        </is>
      </c>
      <c r="J2232" t="inlineStr"/>
      <c r="K2232" t="inlineStr"/>
      <c r="L2232" t="inlineStr"/>
      <c r="M2232" t="inlineStr"/>
      <c r="N2232" t="inlineStr"/>
      <c r="O2232">
        <f>(1-Summary!$B$11)*T2232+Summary!$B$11*V2232</f>
        <v/>
      </c>
      <c r="P2232">
        <f>IF(B2252=0,0,O2232/B2252)</f>
        <v/>
      </c>
      <c r="Q2232" t="n">
        <v>0</v>
      </c>
      <c r="R2232" t="n">
        <v>0</v>
      </c>
      <c r="S2232">
        <f>IFERROR(O2232/N2232,0)</f>
        <v/>
      </c>
      <c r="T2232" t="n">
        <v>0</v>
      </c>
      <c r="V2232" t="n">
        <v>0</v>
      </c>
    </row>
    <row r="2233">
      <c r="A2233">
        <f>Skills!A17</f>
        <v/>
      </c>
      <c r="B2233">
        <f>Skills!B17</f>
        <v/>
      </c>
      <c r="C2233">
        <f>Inputs!$B$3&gt;=10</f>
        <v/>
      </c>
      <c r="D2233">
        <f>IF(Skills!C17=1,60+Inputs!$B$25+Inputs!$B$29,IF(Skills!C17=2,90+Inputs!$B$26+Inputs!$B$29,IF(Skills!C17=3,120+Inputs!$B$27+Inputs!$B$29,MAX(0,(Inputs!$B$3-100)*3)+Inputs!$B$28+Inputs!$B$29)))</f>
        <v/>
      </c>
      <c r="E2233">
        <f>INDEX(FactorTable!$B$2:$Y$301, MATCH(ROUND(MIN(300,MAX(1,D2233)),0), FactorTable!$A$2:$A$301,0), Skills!M17+1)</f>
        <v/>
      </c>
      <c r="F2233">
        <f>IF(Skills!N17=TRUE,(Skills!L17/10)*(E2233/1000),Skills!L17/10)+Skills!O17</f>
        <v/>
      </c>
      <c r="G2233">
        <f>Skills!G17*IF(Skills!H17&gt;0,Skills!I17/Skills!H17,1)</f>
        <v/>
      </c>
      <c r="H2233">
        <f>1-(1-Skills!J17/100)^Skills!K17</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Skills!A18</f>
        <v/>
      </c>
      <c r="B2234">
        <f>Skills!B18</f>
        <v/>
      </c>
      <c r="C2234">
        <f>Inputs!$B$3&gt;=33</f>
        <v/>
      </c>
      <c r="D2234">
        <f>IF(Skills!C18=1,60+Inputs!$B$25+Inputs!$B$29,IF(Skills!C18=2,90+Inputs!$B$26+Inputs!$B$29,IF(Skills!C18=3,120+Inputs!$B$27+Inputs!$B$29,MAX(0,(Inputs!$B$3-100)*3)+Inputs!$B$28+Inputs!$B$29)))</f>
        <v/>
      </c>
      <c r="E2234">
        <f>INDEX(FactorTable!$B$2:$Y$301, MATCH(ROUND(MIN(300,MAX(1,D2234)),0), FactorTable!$A$2:$A$301,0), Skills!M18+1)</f>
        <v/>
      </c>
      <c r="F2234">
        <f>IF(Skills!N18=TRUE,(Skills!L18/10)*(E2234/1000),Skills!L18/10)+Skills!O18</f>
        <v/>
      </c>
      <c r="G2234">
        <f>Skills!G18*IF(Skills!H18&gt;0,Skills!I18/Skills!H18,1)</f>
        <v/>
      </c>
      <c r="H2234">
        <f>1-(1-Skills!J18/100)^Skills!K18</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Skills!A19</f>
        <v/>
      </c>
      <c r="B2235">
        <f>Skills!B19</f>
        <v/>
      </c>
      <c r="C2235">
        <f>Inputs!$B$3&gt;=40</f>
        <v/>
      </c>
      <c r="D2235">
        <f>IF(Skills!C19=1,60+Inputs!$B$25+Inputs!$B$29,IF(Skills!C19=2,90+Inputs!$B$26+Inputs!$B$29,IF(Skills!C19=3,120+Inputs!$B$27+Inputs!$B$29,MAX(0,(Inputs!$B$3-100)*3)+Inputs!$B$28+Inputs!$B$29)))</f>
        <v/>
      </c>
      <c r="E2235">
        <f>INDEX(FactorTable!$B$2:$Y$301, MATCH(ROUND(MIN(300,MAX(1,D2235)),0), FactorTable!$A$2:$A$301,0), Skills!M19+1)</f>
        <v/>
      </c>
      <c r="F2235">
        <f>IF(Skills!N19=TRUE,(Skills!L19/10)*(E2235/1000),Skills!L19/10)+Skills!O19</f>
        <v/>
      </c>
      <c r="G2235">
        <f>Skills!G19*IF(Skills!H19&gt;0,Skills!I19/Skills!H19,1)</f>
        <v/>
      </c>
      <c r="H2235">
        <f>1-(1-Skills!J19/100)^Skills!K19</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Skills!A20</f>
        <v/>
      </c>
      <c r="B2236">
        <f>Skills!B20</f>
        <v/>
      </c>
      <c r="C2236">
        <f>Inputs!$B$3&gt;=43</f>
        <v/>
      </c>
      <c r="D2236">
        <f>IF(Skills!C20=1,60+Inputs!$B$25+Inputs!$B$29,IF(Skills!C20=2,90+Inputs!$B$26+Inputs!$B$29,IF(Skills!C20=3,120+Inputs!$B$27+Inputs!$B$29,MAX(0,(Inputs!$B$3-100)*3)+Inputs!$B$28+Inputs!$B$29)))</f>
        <v/>
      </c>
      <c r="E2236">
        <f>INDEX(FactorTable!$B$2:$Y$301, MATCH(ROUND(MIN(300,MAX(1,D2236)),0), FactorTable!$A$2:$A$301,0), Skills!M20+1)</f>
        <v/>
      </c>
      <c r="F2236">
        <f>IF(Skills!N20=TRUE,(Skills!L20/10)*(E2236/1000),Skills!L20/10)+Skills!O20</f>
        <v/>
      </c>
      <c r="G2236">
        <f>Skills!G20*IF(Skills!H20&gt;0,Skills!I20/Skills!H20,1)</f>
        <v/>
      </c>
      <c r="H2236">
        <f>1-(1-Skills!J20/100)^Skills!K20</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Skills!A21</f>
        <v/>
      </c>
      <c r="B2237">
        <f>Skills!B21</f>
        <v/>
      </c>
      <c r="C2237">
        <f>Inputs!$B$3&gt;=38</f>
        <v/>
      </c>
      <c r="D2237">
        <f>IF(Skills!C21=1,60+Inputs!$B$25+Inputs!$B$29,IF(Skills!C21=2,90+Inputs!$B$26+Inputs!$B$29,IF(Skills!C21=3,120+Inputs!$B$27+Inputs!$B$29,MAX(0,(Inputs!$B$3-100)*3)+Inputs!$B$28+Inputs!$B$29)))</f>
        <v/>
      </c>
      <c r="E2237">
        <f>INDEX(FactorTable!$B$2:$Y$301, MATCH(ROUND(MIN(300,MAX(1,D2237)),0), FactorTable!$A$2:$A$301,0), Skills!M21+1)</f>
        <v/>
      </c>
      <c r="F2237">
        <f>IF(Skills!N21=TRUE,(Skills!L21/10)*(E2237/1000),Skills!L21/10)+Skills!O21</f>
        <v/>
      </c>
      <c r="G2237">
        <f>Skills!G21*IF(Skills!H21&gt;0,Skills!I21/Skills!H21,1)</f>
        <v/>
      </c>
      <c r="H2237">
        <f>1-(1-Skills!J21/100)^Skills!K21</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Skills!A22</f>
        <v/>
      </c>
      <c r="B2238">
        <f>Skills!B22</f>
        <v/>
      </c>
      <c r="C2238">
        <f>Inputs!$B$3&gt;=75</f>
        <v/>
      </c>
      <c r="D2238">
        <f>IF(Skills!C22=1,60+Inputs!$B$25+Inputs!$B$29,IF(Skills!C22=2,90+Inputs!$B$26+Inputs!$B$29,IF(Skills!C22=3,120+Inputs!$B$27+Inputs!$B$29,MAX(0,(Inputs!$B$3-100)*3)+Inputs!$B$28+Inputs!$B$29)))</f>
        <v/>
      </c>
      <c r="E2238">
        <f>INDEX(FactorTable!$B$2:$Y$301, MATCH(ROUND(MIN(300,MAX(1,D2238)),0), FactorTable!$A$2:$A$301,0), Skills!M22+1)</f>
        <v/>
      </c>
      <c r="F2238">
        <f>IF(Skills!N22=TRUE,(Skills!L22/10)*(E2238/1000),Skills!L22/10)+Skills!O22</f>
        <v/>
      </c>
      <c r="G2238">
        <f>Skills!G22*IF(Skills!H22&gt;0,Skills!I22/Skills!H22,1)</f>
        <v/>
      </c>
      <c r="H2238">
        <f>1-(1-Skills!J22/100)^Skills!K22</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Skills!A23</f>
        <v/>
      </c>
      <c r="B2239">
        <f>Skills!B23</f>
        <v/>
      </c>
      <c r="C2239">
        <f>TRUE</f>
        <v/>
      </c>
      <c r="D2239">
        <f>IF(Skills!C23=1,60+Inputs!$B$25+Inputs!$B$29,IF(Skills!C23=2,90+Inputs!$B$26+Inputs!$B$29,IF(Skills!C23=3,120+Inputs!$B$27+Inputs!$B$29,MAX(0,(Inputs!$B$3-100)*3)+Inputs!$B$28+Inputs!$B$29)))</f>
        <v/>
      </c>
      <c r="E2239">
        <f>INDEX(FactorTable!$B$2:$Y$301, MATCH(ROUND(MIN(300,MAX(1,D2239)),0), FactorTable!$A$2:$A$301,0), Skills!M23+1)</f>
        <v/>
      </c>
      <c r="F2239">
        <f>IF(Skills!N23=TRUE,(Skills!L23/10)*(E2239/1000),Skills!L23/10)+Skills!O23</f>
        <v/>
      </c>
      <c r="G2239">
        <f>Skills!G23*IF(Skills!H23&gt;0,Skills!I23/Skills!H23,1)</f>
        <v/>
      </c>
      <c r="H2239">
        <f>1-(1-Skills!J23/100)^Skills!K23</f>
        <v/>
      </c>
      <c r="I2239" t="inlineStr">
        <is>
          <t>1</t>
        </is>
      </c>
      <c r="J2239" t="inlineStr"/>
      <c r="K2239" t="inlineStr"/>
      <c r="L2239" t="inlineStr"/>
      <c r="M2239" t="inlineStr"/>
      <c r="N2239" t="inlineStr"/>
      <c r="O2239">
        <f>(1-Summary!$B$11)*T2239+Summary!$B$11*V2239</f>
        <v/>
      </c>
      <c r="P2239">
        <f>IF(B2252=0,0,O2239/B2252)</f>
        <v/>
      </c>
      <c r="Q2239">
        <f>IFERROR(1/(IF(Inputs!$B$38="pvp",15,MAX(0.1,Skills!D23-IF(Skills!E23=TRUE,Inputs!$B$32,0)))*(1-IF(AND(ArtifactsInput!$M$27,Inputs!$B$4="Chapter Hunt"),CHOOSE(ArtifactsInput!$N$27+1,20,24,28,32,36,40),0)/100)),0)</f>
        <v/>
      </c>
      <c r="R2239">
        <f>IF(AND(Inputs!$B$38&lt;&gt;"pvp",Inputs!$B$43&gt;0),IF(Inputs!$B$43&lt;=0,0,(INT(Inputs!$B$43/(IF(Inputs!$B$38="pvp",15,MAX(0.1,Skills!D23-IF(Skills!E23=TRUE,Inputs!$B$32,0)))*(1-IF(AND(ArtifactsInput!$M$27,Inputs!$B$4="Chapter Hunt"),CHOOSE(ArtifactsInput!$N$27+1,20,24,28,32,36,40),0)/100)))+1)),0)</f>
        <v/>
      </c>
      <c r="S2239">
        <f>IFERROR(O2239/N2239,0)</f>
        <v/>
      </c>
      <c r="T2239" t="n">
        <v>0</v>
      </c>
      <c r="V2239" t="n">
        <v>0</v>
      </c>
    </row>
    <row r="2241">
      <c r="A2241" t="inlineStr">
        <is>
          <t>Attack% Bucket Multiplier</t>
        </is>
      </c>
      <c r="B2241">
        <f>(1+(((C2229=TRUE)*F2229*5/7)+((C2235=TRUE)*(F2235-Calc!F19))+(IF(ArtifactsInput!$M$21,CHOOSE(ArtifactsInput!$N$21+1,25,30,35,40,45,50)*(IF(OR(Inputs!$B$4="Chapter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 (Nimble Feet, duty-cycle averaged)</t>
        </is>
      </c>
      <c r="B2243">
        <f>((C2239=TRUE)*F2239*IF(AND(Inputs!$B$38&lt;&gt;"pvp",Inputs!$B$43&gt;0),(((R2239-1)*(Skills!T23*(1+Inputs!$B$34/100))+MIN((Skills!T23*(1+Inputs!$B$34/100)),MAX(0,Inputs!$B$43-((R2239-1)*Skills!D23))))/Inputs!$B$43),IF(Inputs!$B$38="pvp",MIN((Skills!T23*(1+Inputs!$B$34/100)),15)/15,(Skills!T23*(1+Inputs!$B$34/100))/Skills!D23)))</f>
        <v/>
      </c>
    </row>
    <row r="2244">
      <c r="A2244" t="inlineStr">
        <is>
          <t>Actions Per Second</t>
        </is>
      </c>
      <c r="B2244">
        <f>1+MIN(150,150*(1-(1-(Inputs!$B$11+((C2233=TRUE)*(F2233-Calc!F17))+((C2234=TRUE)*(F2234-Calc!F18)))/150)*(1-B2243/150)))/100</f>
        <v/>
      </c>
    </row>
    <row r="2245">
      <c r="A2245" t="inlineStr">
        <is>
          <t>Skill + Buff Cast Rate</t>
        </is>
      </c>
      <c r="B2245">
        <f>IF(AND(Inputs!$B$38&lt;&gt;"pvp",Inputs!$B$43&gt;0),SUMPRODUCT((Skills!E2:E23=TRUE)*(C2218:C2239=TRUE)*R2218:R2239*Skills!F2:F23)/Inputs!$B$43,SUMPRODUCT((Skills!E2:E23=TRUE)*(C2218:C2239=TRUE)*Q2218:Q2239*Skills!F2:F23))</f>
        <v/>
      </c>
    </row>
    <row r="2246">
      <c r="A2246" t="inlineStr">
        <is>
          <t>Hook Bomber Casts Per Second</t>
        </is>
      </c>
      <c r="B2246">
        <f>MAX(0,B2244-B2245)</f>
        <v/>
      </c>
    </row>
    <row r="2247">
      <c r="A2247" t="inlineStr">
        <is>
          <t>Global Critical Damage Bonus % (unused)</t>
        </is>
      </c>
      <c r="B2247" t="n">
        <v>0</v>
      </c>
    </row>
    <row r="2248">
      <c r="A2248" t="inlineStr">
        <is>
          <t>Global Final Damage Bonus % (Serpent Scale + Crossbones + Time Leap + Speed Infusion)</t>
        </is>
      </c>
      <c r="B2248">
        <f>((C2221=TRUE)*F2221*((10+IF(Inputs!$B$3&gt;=94,5,0))/((10+IF(Inputs!$B$3&gt;=94,5,0))+5/(B2246*(1+IF(Inputs!$B$3&gt;=104,1,0))))))+((C2230=TRUE)*F2230)+((C2231=TRUE)*F2231)+((Inputs!$B$3&gt;=110)*20*(B2244-1))</f>
        <v/>
      </c>
    </row>
    <row r="2249">
      <c r="A2249" t="inlineStr">
        <is>
          <t>Buff-Casting Startup Delay (s, fixed-duration only)</t>
        </is>
      </c>
      <c r="B2249">
        <f>IF(AND(Inputs!$B$38&lt;&gt;"pvp",Inputs!$B$43&gt;0),SUMPRODUCT((Skills!T2:T23&gt;0)*(Skills!E2:E23=TRUE)*(C2218:C2239=TRUE))/B2244,0)</f>
        <v/>
      </c>
    </row>
    <row r="2250">
      <c r="A2250" t="inlineStr">
        <is>
          <t>Boss-Only Total DPS (this block's swept value)</t>
        </is>
      </c>
      <c r="B2250">
        <f>SUM(T2218:T2239)</f>
        <v/>
      </c>
    </row>
    <row r="2251">
      <c r="A2251" t="inlineStr">
        <is>
          <t>Normal-Only Total DPS (this block's swept value)</t>
        </is>
      </c>
      <c r="B2251">
        <f>SUM(V2218:V2239)</f>
        <v/>
      </c>
    </row>
    <row r="2252">
      <c r="A2252" s="6" t="inlineStr">
        <is>
          <t>TOTAL DPS</t>
        </is>
      </c>
      <c r="B2252" s="6">
        <f>SUM(O2218:O2239)</f>
        <v/>
      </c>
    </row>
    <row r="2255">
      <c r="A2255" s="6" t="inlineStr">
        <is>
          <t>Stat: Alliance Badge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2275=TRUE)*(F2275-Calc!F20)),(Inputs!$B$23+0+(IF(ArtifactsInput!$M$15,CHOOSE(ArtifactsInput!$N$15+1,25,30,35,40,45,50)/100*(Inputs!$B$11-Inputs!$B$11),0))))/100+(Inputs!$B$23+0+(IF(ArtifactsInput!$M$15,CHOOSE(ArtifactsInput!$N$15+1,25,30,35,40,45,50)/100*(Inputs!$B$11-Inputs!$B$11),0)))/100)/2</f>
        <v/>
      </c>
      <c r="M2257">
        <f>L2257*(1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IF(B2291=0,0,O2257/B2291)</f>
        <v/>
      </c>
      <c r="Q2257" t="n">
        <v>0</v>
      </c>
      <c r="R2257" t="n">
        <v>0</v>
      </c>
      <c r="S2257">
        <f>IFERROR(O2257/N2257,0)</f>
        <v/>
      </c>
      <c r="T2257">
        <f>IF(C2257,(Skills!G2*N2257*B2285)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IF(C2257,(Skills!G2*N2257*B2285)*IF(Inputs!$B$38="pvp",1,(1+(Inputs!$B$21+Skills!Q2+(IF(ArtifactsInput!$M$33,CHOOSE(ArtifactsInput!$N$33+1,30,36,42,48,54,60),0))+(IF(AND(ArtifactsInput!$M$35,Inputs!$B$4&lt;&gt;"Chapter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Inputs!$B$3&gt;=35</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f>Skills!G3*IF(Skills!H3&gt;0,Skills!I3/Skills!H3,1)</f>
        <v/>
      </c>
      <c r="H2258">
        <f>1-(1-Skills!J3/100)^Skills!K3</f>
        <v/>
      </c>
      <c r="I2258" t="inlineStr">
        <is>
          <t>1</t>
        </is>
      </c>
      <c r="J2258">
        <f>((Inputs!$B$6*(1+Inputs!$B$7/100))+(((Inputs!$B$12*(1+Inputs!$B$13/100))-(Inputs!$B$12*(1+Inputs!$B$13/100)))+0.25*(Inputs!$B$14-Inputs!$B$14))*(1+Inputs!$B$7/100))*(F2258/100)</f>
        <v/>
      </c>
      <c r="K2258">
        <f>J2258*(1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2258)</f>
        <v/>
      </c>
      <c r="L2258">
        <f>K2258*(MIN(Inputs!$B$22+((C2275=TRUE)*(F2275-Calc!F20)),(Inputs!$B$23+0+(IF(ArtifactsInput!$M$15,CHOOSE(ArtifactsInput!$N$15+1,25,30,35,40,45,50)/100*(Inputs!$B$11-Inputs!$B$11),0))))/100+(Inputs!$B$23+0+(IF(ArtifactsInput!$M$15,CHOOSE(ArtifactsInput!$N$15+1,25,30,35,40,45,50)/100*(Inputs!$B$11-Inputs!$B$11),0)))/100)/2</f>
        <v/>
      </c>
      <c r="M2258">
        <f>L2258*(1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8">
        <f>L2258*(1-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2258*(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8">
        <f>(1-Summary!$B$11)*T2258+Summary!$B$11*V2258</f>
        <v/>
      </c>
      <c r="P2258">
        <f>IF(B2291=0,0,O2258/B2291)</f>
        <v/>
      </c>
      <c r="Q2258" t="n">
        <v>0</v>
      </c>
      <c r="R2258" t="n">
        <v>0</v>
      </c>
      <c r="S2258">
        <f>IFERROR(O2258/N2258,0)</f>
        <v/>
      </c>
      <c r="T2258">
        <f>IF(C2258,(Skills!G3*H2258*N2258*B2285)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8">
        <f>INDEX(FactorTable!$B$2:$Y$301, MATCH(ROUND(MIN(300,MAX(1,U2257)),0), FactorTable!$A$2:$A$301,0), 22)</f>
        <v/>
      </c>
      <c r="V2258">
        <f>IF(C2258,(Skills!G3*H2258*N2258*B2285)*IF(Inputs!$B$38="pvp",1,(1+(Inputs!$B$21+Skills!Q3+(IF(ArtifactsInput!$M$33,CHOOSE(ArtifactsInput!$N$33+1,30,36,42,48,54,60),0))+(IF(AND(ArtifactsInput!$M$35,Inputs!$B$4&lt;&gt;"Chapter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9">
      <c r="A2259">
        <f>Skills!A4</f>
        <v/>
      </c>
      <c r="B2259">
        <f>Skills!B4</f>
        <v/>
      </c>
      <c r="C2259">
        <f>Inputs!$B$3&gt;=60</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f>Skills!G4*IF(Skills!H4&gt;0,Skills!I4/Skills!H4,1)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4="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2275=TRUE)*(F2275-Calc!F20)),(Inputs!$B$23+0+(IF(ArtifactsInput!$M$15,CHOOSE(ArtifactsInput!$N$15+1,25,30,35,40,45,50)/100*(Inputs!$B$11-Inputs!$B$11),0))))/100+(Inputs!$B$23+0+(IF(ArtifactsInput!$M$15,CHOOSE(ArtifactsInput!$N$15+1,25,30,35,40,45,50)/100*(Inputs!$B$11-Inputs!$B$11),0)))/100)/2</f>
        <v/>
      </c>
      <c r="M2259">
        <f>L2259*(1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IF(B2291=0,0,O2259/B2291)</f>
        <v/>
      </c>
      <c r="Q2259" t="n">
        <v>0</v>
      </c>
      <c r="R2259" t="n">
        <v>0</v>
      </c>
      <c r="S2259">
        <f>IFERROR(O2259/N2259,0)</f>
        <v/>
      </c>
      <c r="T2259">
        <f>IF(C2259,(Skills!G4*H2259*N2259*B2285)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IF(C2259,(Skills!G4*H2259*N2259*B2285)*IF(Inputs!$B$38="pvp",1,(1+(Inputs!$B$21+Skills!Q4+(IF(ArtifactsInput!$M$33,CHOOSE(ArtifactsInput!$N$33+1,30,36,42,48,54,60),0))+(IF(AND(ArtifactsInput!$M$35,Inputs!$B$4&lt;&gt;"Chapter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Inputs!$B$3&gt;=60</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t="inlineStr"/>
      <c r="K2260" t="inlineStr"/>
      <c r="L2260" t="inlineStr"/>
      <c r="M2260" t="inlineStr"/>
      <c r="N2260" t="inlineStr"/>
      <c r="O2260">
        <f>(1-Summary!$B$11)*T2260+Summary!$B$11*V2260</f>
        <v/>
      </c>
      <c r="P2260">
        <f>IF(B2291=0,0,O2260/B2291)</f>
        <v/>
      </c>
      <c r="Q2260" t="n">
        <v>0</v>
      </c>
      <c r="R2260" t="n">
        <v>0</v>
      </c>
      <c r="S2260">
        <f>IFERROR(O2260/N2260,0)</f>
        <v/>
      </c>
      <c r="T2260" t="n">
        <v>0</v>
      </c>
      <c r="V2260" t="n">
        <v>0</v>
      </c>
    </row>
    <row r="2261">
      <c r="A2261">
        <f>Skills!A6</f>
        <v/>
      </c>
      <c r="B2261">
        <f>Skills!B6</f>
        <v/>
      </c>
      <c r="C2261">
        <f>Inputs!$B$3&gt;=63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2275=TRUE)*(F2275-Calc!F20)),(Inputs!$B$23+0+(IF(ArtifactsInput!$M$15,CHOOSE(ArtifactsInput!$N$15+1,25,30,35,40,45,50)/100*(Inputs!$B$11-Inputs!$B$11),0))))/100+(Inputs!$B$23+0+(IF(ArtifactsInput!$M$15,CHOOSE(ArtifactsInput!$N$15+1,25,30,35,40,45,50)/100*(Inputs!$B$11-Inputs!$B$11),0)))/100)/2</f>
        <v/>
      </c>
      <c r="M2261">
        <f>L2261*(1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IF(B2291=0,0,O2261/B2291)</f>
        <v/>
      </c>
      <c r="Q2261">
        <f>IFERROR(1/(IF(Inputs!$B$38="pvp",15,MAX(0.1,Skills!D6-IF(Skills!E6=TRUE,Inputs!$B$32,0)))*(1-IF(AND(ArtifactsInput!$M$27,Inputs!$B$4="Chapter Hunt"),CHOOSE(ArtifactsInput!$N$27+1,20,24,28,32,36,40),0)/100)),0)</f>
        <v/>
      </c>
      <c r="R2261">
        <f>IF(AND(Inputs!$B$38&lt;&gt;"pvp",Inputs!$B$43&gt;0),IF(MAX(0,Inputs!$B$43-B2288)&lt;=0,0,(INT(MAX(0,Inputs!$B$43-B2288)/(IF(Inputs!$B$38="pvp",15,MAX(0.1,Skills!D6-IF(Skills!E6=TRUE,Inputs!$B$32,0)))*(1-IF(AND(ArtifactsInput!$M$27,Inputs!$B$4="Chapter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$21+Skills!Q6+(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Inputs!$B$3&gt;=100</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2275=TRUE)*(F2275-Calc!F20)),(Inputs!$B$23+0+(IF(ArtifactsInput!$M$15,CHOOSE(ArtifactsInput!$N$15+1,25,30,35,40,45,50)/100*(Inputs!$B$11-Inputs!$B$11),0))))/100+(Inputs!$B$23+0+(IF(ArtifactsInput!$M$15,CHOOSE(ArtifactsInput!$N$15+1,25,30,35,40,45,50)/100*(Inputs!$B$11-Inputs!$B$11),0)))/100)/2</f>
        <v/>
      </c>
      <c r="M2262">
        <f>L2262*(1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IF(B2291=0,0,O2262/B2291)</f>
        <v/>
      </c>
      <c r="Q2262">
        <f>IFERROR(1/(IF(Inputs!$B$38="pvp",15,MAX(0.1,Skills!D7-IF(Skills!E7=TRUE,Inputs!$B$32,0)))*(1-IF(AND(ArtifactsInput!$M$27,Inputs!$B$4="Chapter Hunt"),CHOOSE(ArtifactsInput!$N$27+1,20,24,28,32,36,40),0)/100)),0)</f>
        <v/>
      </c>
      <c r="R2262">
        <f>IF(AND(Inputs!$B$38&lt;&gt;"pvp",Inputs!$B$43&gt;0),IF(MAX(0,Inputs!$B$43-B2288)&lt;=0,0,(INT(MAX(0,Inputs!$B$43-B2288)/(IF(Inputs!$B$38="pvp",15,MAX(0.1,Skills!D7-IF(Skills!E7=TRUE,Inputs!$B$32,0)))*(1-IF(AND(ArtifactsInput!$M$27,Inputs!$B$4="Chapter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$21+Skills!Q7+(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Inputs!$B$3&gt;=110</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2275=TRUE)*(F2275-Calc!F20)),(Inputs!$B$23+0+(IF(ArtifactsInput!$M$15,CHOOSE(ArtifactsInput!$N$15+1,25,30,35,40,45,50)/100*(Inputs!$B$11-Inputs!$B$11),0))))/100+(Inputs!$B$23+0+(IF(ArtifactsInput!$M$15,CHOOSE(ArtifactsInput!$N$15+1,25,30,35,40,45,50)/100*(Inputs!$B$11-Inputs!$B$11),0)))/100)/2</f>
        <v/>
      </c>
      <c r="M2263">
        <f>L2263*(1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IF(B2291=0,0,O2263/B2291)</f>
        <v/>
      </c>
      <c r="Q2263">
        <f>IFERROR(1/(IF(Inputs!$B$38="pvp",15,MAX(0.1,Skills!D8-IF(Skills!E8=TRUE,Inputs!$B$32,0)))*(1-IF(AND(ArtifactsInput!$M$27,Inputs!$B$4="Chapter Hunt"),CHOOSE(ArtifactsInput!$N$27+1,20,24,28,32,36,40),0)/100)),0)</f>
        <v/>
      </c>
      <c r="R2263">
        <f>IF(AND(Inputs!$B$38&lt;&gt;"pvp",Inputs!$B$43&gt;0),IF(MAX(0,Inputs!$B$43-B2288)&lt;=0,0,(INT(MAX(0,Inputs!$B$43-B2288)/(IF(Inputs!$B$38="pvp",15,MAX(0.1,Skills!D8-IF(Skills!E8=TRUE,Inputs!$B$32,0)))*(1-IF(AND(ArtifactsInput!$M$27,Inputs!$B$4="Chapter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$21+Skills!Q8+(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Inputs!$B$3&gt;=110</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2275=TRUE)*(F2275-Calc!F20)),(Inputs!$B$23+0+(IF(ArtifactsInput!$M$15,CHOOSE(ArtifactsInput!$N$15+1,25,30,35,40,45,50)/100*(Inputs!$B$11-Inputs!$B$11),0))))/100+(Inputs!$B$23+0+(IF(ArtifactsInput!$M$15,CHOOSE(ArtifactsInput!$N$15+1,25,30,35,40,45,50)/100*(Inputs!$B$11-Inputs!$B$11),0)))/100)/2</f>
        <v/>
      </c>
      <c r="M2264">
        <f>L2264*(1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IF(B2291=0,0,O2264/B2291)</f>
        <v/>
      </c>
      <c r="Q2264">
        <f>IFERROR(1/(IF(Inputs!$B$38="pvp",15,MAX(0.1,Skills!D9-IF(Skills!E9=TRUE,Inputs!$B$32,0)))*(1-IF(AND(ArtifactsInput!$M$27,Inputs!$B$4="Chapter Hunt"),CHOOSE(ArtifactsInput!$N$27+1,20,24,28,32,36,40),0)/100)),0)</f>
        <v/>
      </c>
      <c r="R2264">
        <f>IF(AND(Inputs!$B$38&lt;&gt;"pvp",Inputs!$B$43&gt;0),IF(MAX(0,Inputs!$B$43-B2288)&lt;=0,0,(INT(MAX(0,Inputs!$B$43-B2288)/(IF(Inputs!$B$38="pvp",15,MAX(0.1,Skills!D9-IF(Skills!E9=TRUE,Inputs!$B$32,0)))*(1-IF(AND(ArtifactsInput!$M$27,Inputs!$B$4="Chapter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$21+Skills!Q9+(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Inputs!$B$3&gt;=103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2275=TRUE)*(F2275-Calc!F20)),(Inputs!$B$23+0+(IF(ArtifactsInput!$M$15,CHOOSE(ArtifactsInput!$N$15+1,25,30,35,40,45,50)/100*(Inputs!$B$11-Inputs!$B$11),0))))/100+(Inputs!$B$23+0+(IF(ArtifactsInput!$M$15,CHOOSE(ArtifactsInput!$N$15+1,25,30,35,40,45,50)/100*(Inputs!$B$11-Inputs!$B$11),0)))/100)/2</f>
        <v/>
      </c>
      <c r="M2265">
        <f>L2265*(1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IF(B2291=0,0,O2265/B2291)</f>
        <v/>
      </c>
      <c r="Q2265">
        <f>IFERROR(1/(IF(Inputs!$B$38="pvp",15,MAX(0.1,Skills!D10-IF(Skills!E10=TRUE,Inputs!$B$32,0)))*(1-IF(AND(ArtifactsInput!$M$27,Inputs!$B$4="Chapter Hunt"),CHOOSE(ArtifactsInput!$N$27+1,20,24,28,32,36,40),0)/100)),0)</f>
        <v/>
      </c>
      <c r="R2265">
        <f>IF(AND(Inputs!$B$38&lt;&gt;"pvp",Inputs!$B$43&gt;0),IF(MAX(0,Inputs!$B$43-B2288)&lt;=0,0,(INT(MAX(0,Inputs!$B$43-B2288)/(IF(Inputs!$B$38="pvp",15,MAX(0.1,Skills!D10-IF(Skills!E10=TRUE,Inputs!$B$32,0)))*(1-IF(AND(ArtifactsInput!$M$27,Inputs!$B$4="Chapter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$21+Skills!Q10+(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Inputs!$B$3&gt;=113</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2275=TRUE)*(F2275-Calc!F20)),(Inputs!$B$23+0+(IF(ArtifactsInput!$M$15,CHOOSE(ArtifactsInput!$N$15+1,25,30,35,40,45,50)/100*(Inputs!$B$11-Inputs!$B$11),0))))/100+(Inputs!$B$23+0+(IF(ArtifactsInput!$M$15,CHOOSE(ArtifactsInput!$N$15+1,25,30,35,40,45,50)/100*(Inputs!$B$11-Inputs!$B$11),0)))/100)/2</f>
        <v/>
      </c>
      <c r="M2266">
        <f>L2266*(1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IF(B2291=0,0,O2266/B2291)</f>
        <v/>
      </c>
      <c r="Q2266">
        <f>IFERROR(1/(IF(Inputs!$B$38="pvp",15,MAX(0.1,Skills!D11-IF(Skills!E11=TRUE,Inputs!$B$32,0)))*(1-IF(AND(ArtifactsInput!$M$27,Inputs!$B$4="Chapter Hunt"),CHOOSE(ArtifactsInput!$N$27+1,20,24,28,32,36,40),0)/100)),0)</f>
        <v/>
      </c>
      <c r="R2266">
        <f>IF(AND(Inputs!$B$38&lt;&gt;"pvp",Inputs!$B$43&gt;0),IF(MAX(0,Inputs!$B$43-B2288)&lt;=0,0,(INT(MAX(0,Inputs!$B$43-B2288)/(IF(Inputs!$B$38="pvp",15,MAX(0.1,Skills!D11-IF(Skills!E11=TRUE,Inputs!$B$32,0)))*(1-IF(AND(ArtifactsInput!$M$27,Inputs!$B$4="Chapter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$21+Skills!Q11+(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c r="T2267" t="inlineStr"/>
      <c r="V2267" t="inlineStr"/>
    </row>
    <row r="2268">
      <c r="A2268">
        <f>Skills!A13</f>
        <v/>
      </c>
      <c r="B2268">
        <f>Skills!B13</f>
        <v/>
      </c>
      <c r="C2268">
        <f>Inputs!$B$3&gt;=66</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IF(B2291=0,0,O2268/B2291)</f>
        <v/>
      </c>
      <c r="Q2268" t="n">
        <v>0</v>
      </c>
      <c r="R2268" t="n">
        <v>0</v>
      </c>
      <c r="S2268">
        <f>IFERROR(O2268/N2268,0)</f>
        <v/>
      </c>
      <c r="T2268" t="n">
        <v>0</v>
      </c>
      <c r="V2268" t="n">
        <v>0</v>
      </c>
    </row>
    <row r="2269">
      <c r="A2269">
        <f>Skills!A14</f>
        <v/>
      </c>
      <c r="B2269">
        <f>Skills!B14</f>
        <v/>
      </c>
      <c r="C2269">
        <f>Inputs!$B$3&gt;=107</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IF(B2291=0,0,O2269/B2291)</f>
        <v/>
      </c>
      <c r="Q2269" t="n">
        <v>0</v>
      </c>
      <c r="R2269" t="n">
        <v>0</v>
      </c>
      <c r="S2269">
        <f>IFERROR(O2269/N2269,0)</f>
        <v/>
      </c>
      <c r="T2269" t="n">
        <v>0</v>
      </c>
      <c r="V2269" t="n">
        <v>0</v>
      </c>
    </row>
    <row r="2270">
      <c r="A2270">
        <f>Skills!A15</f>
        <v/>
      </c>
      <c r="B2270">
        <f>Skills!B15</f>
        <v/>
      </c>
      <c r="C2270">
        <f>Inputs!$B$3&gt;=115</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IF(B2291=0,0,O2270/B2291)</f>
        <v/>
      </c>
      <c r="Q2270" t="n">
        <v>0</v>
      </c>
      <c r="R2270" t="n">
        <v>0</v>
      </c>
      <c r="S2270">
        <f>IFERROR(O2270/N2270,0)</f>
        <v/>
      </c>
      <c r="T2270" t="n">
        <v>0</v>
      </c>
      <c r="V2270" t="n">
        <v>0</v>
      </c>
    </row>
    <row r="2271">
      <c r="A2271">
        <f>Skills!A16</f>
        <v/>
      </c>
      <c r="B2271">
        <f>Skills!B16</f>
        <v/>
      </c>
      <c r="C2271">
        <f>Inputs!$B$3&gt;=15</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IF(B2291=0,0,O2271/B2291)</f>
        <v/>
      </c>
      <c r="Q2271" t="n">
        <v>0</v>
      </c>
      <c r="R2271" t="n">
        <v>0</v>
      </c>
      <c r="S2271">
        <f>IFERROR(O2271/N2271,0)</f>
        <v/>
      </c>
      <c r="T2271" t="n">
        <v>0</v>
      </c>
      <c r="V2271" t="n">
        <v>0</v>
      </c>
    </row>
    <row r="2272">
      <c r="A2272">
        <f>Skills!A17</f>
        <v/>
      </c>
      <c r="B2272">
        <f>Skills!B17</f>
        <v/>
      </c>
      <c r="C2272">
        <f>Inputs!$B$3&gt;=10</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IF(B2291=0,0,O2272/B2291)</f>
        <v/>
      </c>
      <c r="Q2272" t="n">
        <v>0</v>
      </c>
      <c r="R2272" t="n">
        <v>0</v>
      </c>
      <c r="S2272">
        <f>IFERROR(O2272/N2272,0)</f>
        <v/>
      </c>
      <c r="T2272" t="n">
        <v>0</v>
      </c>
      <c r="V2272" t="n">
        <v>0</v>
      </c>
    </row>
    <row r="2273">
      <c r="A2273">
        <f>Skills!A18</f>
        <v/>
      </c>
      <c r="B2273">
        <f>Skills!B18</f>
        <v/>
      </c>
      <c r="C2273">
        <f>Inputs!$B$3&gt;=33</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IF(B2291=0,0,O2273/B2291)</f>
        <v/>
      </c>
      <c r="Q2273" t="n">
        <v>0</v>
      </c>
      <c r="R2273" t="n">
        <v>0</v>
      </c>
      <c r="S2273">
        <f>IFERROR(O2273/N2273,0)</f>
        <v/>
      </c>
      <c r="T2273" t="n">
        <v>0</v>
      </c>
      <c r="V2273" t="n">
        <v>0</v>
      </c>
    </row>
    <row r="2274">
      <c r="A2274">
        <f>Skills!A19</f>
        <v/>
      </c>
      <c r="B2274">
        <f>Skills!B19</f>
        <v/>
      </c>
      <c r="C2274">
        <f>Inputs!$B$3&gt;=40</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IF(B2291=0,0,O2274/B2291)</f>
        <v/>
      </c>
      <c r="Q2274" t="n">
        <v>0</v>
      </c>
      <c r="R2274" t="n">
        <v>0</v>
      </c>
      <c r="S2274">
        <f>IFERROR(O2274/N2274,0)</f>
        <v/>
      </c>
      <c r="T2274" t="n">
        <v>0</v>
      </c>
      <c r="V2274" t="n">
        <v>0</v>
      </c>
    </row>
    <row r="2275">
      <c r="A2275">
        <f>Skills!A20</f>
        <v/>
      </c>
      <c r="B2275">
        <f>Skills!B20</f>
        <v/>
      </c>
      <c r="C2275">
        <f>Inputs!$B$3&gt;=43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IF(B2291=0,0,O2275/B2291)</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IF(B2291=0,0,O2276/B2291)</f>
        <v/>
      </c>
      <c r="Q2276" t="n">
        <v>0</v>
      </c>
      <c r="R2276" t="n">
        <v>0</v>
      </c>
      <c r="S2276">
        <f>IFERROR(O2276/N2276,0)</f>
        <v/>
      </c>
      <c r="T2276" t="n">
        <v>0</v>
      </c>
      <c r="V2276" t="n">
        <v>0</v>
      </c>
    </row>
    <row r="2277">
      <c r="A2277">
        <f>Skills!A22</f>
        <v/>
      </c>
      <c r="B2277">
        <f>Skills!B22</f>
        <v/>
      </c>
      <c r="C2277">
        <f>Inputs!$B$3&gt;=75</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IF(B2291=0,0,O2277/B2291)</f>
        <v/>
      </c>
      <c r="Q2277" t="n">
        <v>0</v>
      </c>
      <c r="R2277" t="n">
        <v>0</v>
      </c>
      <c r="S2277">
        <f>IFERROR(O2277/N2277,0)</f>
        <v/>
      </c>
      <c r="T2277" t="n">
        <v>0</v>
      </c>
      <c r="V2277" t="n">
        <v>0</v>
      </c>
    </row>
    <row r="2278">
      <c r="A2278">
        <f>Skills!A23</f>
        <v/>
      </c>
      <c r="B2278">
        <f>Skills!B23</f>
        <v/>
      </c>
      <c r="C2278">
        <f>TRUE</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IF(B2291=0,0,O2278/B2291)</f>
        <v/>
      </c>
      <c r="Q2278">
        <f>IFERROR(1/(IF(Inputs!$B$38="pvp",15,MAX(0.1,Skills!D23-IF(Skills!E23=TRUE,Inputs!$B$32,0)))*(1-IF(AND(ArtifactsInput!$M$27,Inputs!$B$4="Chapter Hunt"),CHOOSE(ArtifactsInput!$N$27+1,20,24,28,32,36,40),0)/100)),0)</f>
        <v/>
      </c>
      <c r="R2278">
        <f>IF(AND(Inputs!$B$38&lt;&gt;"pvp",Inputs!$B$43&gt;0),IF(Inputs!$B$43&lt;=0,0,(INT(Inputs!$B$43/(IF(Inputs!$B$38="pvp",15,MAX(0.1,Skills!D23-IF(Skills!E23=TRUE,Inputs!$B$32,0)))*(1-IF(AND(ArtifactsInput!$M$27,Inputs!$B$4="Chapter Hunt"),CHOOSE(ArtifactsInput!$N$27+1,20,24,28,32,36,40),0)/100)))+1)),0)</f>
        <v/>
      </c>
      <c r="S2278">
        <f>IFERROR(O2278/N2278,0)</f>
        <v/>
      </c>
      <c r="T2278" t="n">
        <v>0</v>
      </c>
      <c r="V2278" t="n">
        <v>0</v>
      </c>
    </row>
    <row r="2280">
      <c r="A2280" t="inlineStr">
        <is>
          <t>Attack% Bucket Multiplier</t>
        </is>
      </c>
      <c r="B2280">
        <f>(1+(((C2268=TRUE)*F2268*5/7)+((C2274=TRUE)*(F2274-Calc!F19))+(IF(ArtifactsInput!$M$21,CHOOSE(ArtifactsInput!$N$21+1,25,30,35,40,45,50)*(IF(OR(Inputs!$B$4="Chapter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1">
      <c r="A2281" t="inlineStr">
        <is>
          <t>Global Crit Rate Bonus %</t>
        </is>
      </c>
      <c r="B2281" t="n">
        <v>0</v>
      </c>
    </row>
    <row r="2282">
      <c r="A2282" t="inlineStr">
        <is>
          <t>Attack Speed Buff Bonus % (Nimble Feet, duty-cycle averaged)</t>
        </is>
      </c>
      <c r="B2282">
        <f>((C2278=TRUE)*F2278*IF(AND(Inputs!$B$38&lt;&gt;"pvp",Inputs!$B$43&gt;0),(((R2278-1)*(Skills!T23*(1+Inputs!$B$34/100))+MIN((Skills!T23*(1+Inputs!$B$34/100)),MAX(0,Inputs!$B$43-((R2278-1)*Skills!D23))))/Inputs!$B$43),IF(Inputs!$B$38="pvp",MIN((Skills!T23*(1+Inputs!$B$34/100)),15)/15,(Skills!T23*(1+Inputs!$B$34/100))/Skills!D23)))</f>
        <v/>
      </c>
    </row>
    <row r="2283">
      <c r="A2283" t="inlineStr">
        <is>
          <t>Actions Per Second</t>
        </is>
      </c>
      <c r="B2283">
        <f>1+MIN(150,150*(1-(1-(Inputs!$B$11+((C2272=TRUE)*(F2272-Calc!F17))+((C2273=TRUE)*(F2273-Calc!F18)))/150)*(1-B2282/150)))/100</f>
        <v/>
      </c>
    </row>
    <row r="2284">
      <c r="A2284" t="inlineStr">
        <is>
          <t>Skill + Buff Cast Rate</t>
        </is>
      </c>
      <c r="B2284">
        <f>IF(AND(Inputs!$B$38&lt;&gt;"pvp",Inputs!$B$43&gt;0),SUMPRODUCT((Skills!E2:E23=TRUE)*(C2257:C2278=TRUE)*R2257:R2278*Skills!F2:F23)/Inputs!$B$43,SUMPRODUCT((Skills!E2:E23=TRUE)*(C2257:C2278=TRUE)*Q2257:Q2278*Skills!F2:F23))</f>
        <v/>
      </c>
    </row>
    <row r="2285">
      <c r="A2285" t="inlineStr">
        <is>
          <t>Hook Bomber Casts Per Second</t>
        </is>
      </c>
      <c r="B2285">
        <f>MAX(0,B2283-B2284)</f>
        <v/>
      </c>
    </row>
    <row r="2286">
      <c r="A2286" t="inlineStr">
        <is>
          <t>Global Critical Damage Bonus % (unused)</t>
        </is>
      </c>
      <c r="B2286" t="n">
        <v>0</v>
      </c>
    </row>
    <row r="2287">
      <c r="A2287" t="inlineStr">
        <is>
          <t>Global Final Damage Bonus % (Serpent Scale + Crossbones + Time Leap + Speed Infusion)</t>
        </is>
      </c>
      <c r="B2287">
        <f>((C2260=TRUE)*F2260*((10+IF(Inputs!$B$3&gt;=94,5,0))/((10+IF(Inputs!$B$3&gt;=94,5,0))+5/(B2285*(1+IF(Inputs!$B$3&gt;=104,1,0))))))+((C2269=TRUE)*F2269)+((C2270=TRUE)*F2270)+((Inputs!$B$3&gt;=110)*20*(B2283-1))</f>
        <v/>
      </c>
    </row>
    <row r="2288">
      <c r="A2288" t="inlineStr">
        <is>
          <t>Buff-Casting Startup Delay (s, fixed-duration only)</t>
        </is>
      </c>
      <c r="B2288">
        <f>IF(AND(Inputs!$B$38&lt;&gt;"pvp",Inputs!$B$43&gt;0),SUMPRODUCT((Skills!T2:T23&gt;0)*(Skills!E2:E23=TRUE)*(C2257:C2278=TRUE))/B2283,0)</f>
        <v/>
      </c>
    </row>
    <row r="2289">
      <c r="A2289" t="inlineStr">
        <is>
          <t>Boss-Only Total DPS (this block's swept value)</t>
        </is>
      </c>
      <c r="B2289">
        <f>SUM(T2257:T2278)</f>
        <v/>
      </c>
    </row>
    <row r="2290">
      <c r="A2290" t="inlineStr">
        <is>
          <t>Normal-Only Total DPS (this block's swept value)</t>
        </is>
      </c>
      <c r="B2290">
        <f>SUM(V2257:V2278)</f>
        <v/>
      </c>
    </row>
    <row r="2291">
      <c r="A2291" s="6" t="inlineStr">
        <is>
          <t>TOTAL DPS</t>
        </is>
      </c>
      <c r="B2291" s="6">
        <f>SUM(O2257:O2278)</f>
        <v/>
      </c>
    </row>
    <row r="2294">
      <c r="A2294" s="6" t="inlineStr">
        <is>
          <t>Stat: Horn Flute (Equip)</t>
        </is>
      </c>
    </row>
    <row r="2295">
      <c r="A2295" s="5" t="inlineStr">
        <is>
          <t>Key</t>
        </is>
      </c>
      <c r="B2295" s="5" t="inlineStr">
        <is>
          <t>Name</t>
        </is>
      </c>
      <c r="C2295" s="5" t="inlineStr">
        <is>
          <t>Unlocked</t>
        </is>
      </c>
      <c r="D2295" s="5" t="inlineStr">
        <is>
          <t>InputLevel</t>
        </is>
      </c>
      <c r="E2295" s="5" t="inlineStr">
        <is>
          <t>Factor</t>
        </is>
      </c>
      <c r="F2295" s="5" t="inlineStr">
        <is>
          <t>CoefficientPercent</t>
        </is>
      </c>
      <c r="G2295" s="5" t="inlineStr">
        <is>
          <t>EffectiveHits</t>
        </is>
      </c>
      <c r="H2295" s="5" t="inlineStr">
        <is>
          <t>ProcProbability</t>
        </is>
      </c>
      <c r="I2295" s="5" t="inlineStr">
        <is>
          <t>MapleHeroMultiplier</t>
        </is>
      </c>
      <c r="J2295" s="5" t="inlineStr">
        <is>
          <t>BaseDamage</t>
        </is>
      </c>
      <c r="K2295" s="5" t="inlineStr">
        <is>
          <t>BaseHitDamage</t>
        </is>
      </c>
      <c r="L2295" s="5" t="inlineStr">
        <is>
          <t>NonCritAvg</t>
        </is>
      </c>
      <c r="M2295" s="5" t="inlineStr">
        <is>
          <t>CritAvg</t>
        </is>
      </c>
      <c r="N2295" s="5" t="inlineStr">
        <is>
          <t>ExpectedDamage(perHit)</t>
        </is>
      </c>
      <c r="O2295" s="5" t="inlineStr">
        <is>
          <t>DPS</t>
        </is>
      </c>
      <c r="P2295" s="5" t="inlineStr">
        <is>
          <t>% of Total</t>
        </is>
      </c>
      <c r="Q2295" s="5" t="inlineStr">
        <is>
          <t>InvCooldown</t>
        </is>
      </c>
      <c r="R2295" s="5" t="inlineStr">
        <is>
          <t>CastsInFight</t>
        </is>
      </c>
      <c r="S2295" s="5" t="inlineStr">
        <is>
          <t>HitRate(perSec)</t>
        </is>
      </c>
      <c r="U2295" t="inlineStr">
        <is>
          <t>helpers</t>
        </is>
      </c>
    </row>
    <row r="2296">
      <c r="A2296">
        <f>Skills!A2</f>
        <v/>
      </c>
      <c r="B2296">
        <f>Skills!B2</f>
        <v/>
      </c>
      <c r="C2296">
        <f>Inputs!$B$3&gt;=100</f>
        <v/>
      </c>
      <c r="D2296" t="inlineStr"/>
      <c r="E2296" t="inlineStr"/>
      <c r="F2296">
        <f>U2298+Skills!O2</f>
        <v/>
      </c>
      <c r="G2296">
        <f>Skills!G2*IF(Skills!H2&gt;0,Skills!I2/Skills!H2,1)</f>
        <v/>
      </c>
      <c r="H2296">
        <f>1-(1-Skills!J2/100)^Skills!K2</f>
        <v/>
      </c>
      <c r="I2296" t="inlineStr">
        <is>
          <t>1</t>
        </is>
      </c>
      <c r="J2296">
        <f>((Inputs!$B$6*(1+Inputs!$B$7/100))+(((Inputs!$B$12*(1+Inputs!$B$13/100))-(Inputs!$B$12*(1+Inputs!$B$13/100)))+0.25*(Inputs!$B$14-Inputs!$B$14))*(1+Inputs!$B$7/100))*(F2296/100)</f>
        <v/>
      </c>
      <c r="K2296">
        <f>J2296*(1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C2314=TRUE)*(F2314-Calc!F20)),(Inputs!$B$23+0+(IF(ArtifactsInput!$M$15,CHOOSE(ArtifactsInput!$N$15+1,25,30,35,40,45,50)/100*(Inputs!$B$11-Inputs!$B$11),0))))/100+(Inputs!$B$23+0+(IF(ArtifactsInput!$M$15,CHOOSE(ArtifactsInput!$N$15+1,25,30,35,40,45,50)/100*(Inputs!$B$11-Inputs!$B$11),0)))/100)/2</f>
        <v/>
      </c>
      <c r="M2296">
        <f>L2296*(1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(1-Summary!$B$11)*T2296+Summary!$B$11*V2296</f>
        <v/>
      </c>
      <c r="P2296">
        <f>IF(B2330=0,0,O2296/B2330)</f>
        <v/>
      </c>
      <c r="Q2296" t="n">
        <v>0</v>
      </c>
      <c r="R2296" t="n">
        <v>0</v>
      </c>
      <c r="S2296">
        <f>IFERROR(O2296/N2296,0)</f>
        <v/>
      </c>
      <c r="T2296">
        <f>IF(C2296,(Skills!G2*N2296*B2324)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MAX(0,(Inputs!$B$3-100)*3)+Inputs!$B$28+Inputs!$B$29</f>
        <v/>
      </c>
      <c r="V2296">
        <f>IF(C2296,(Skills!G2*N2296*B2324)*IF(Inputs!$B$38="pvp",1,(1+(Inputs!$B$21+Skills!Q2+(IF(ArtifactsInput!$M$33,CHOOSE(ArtifactsInput!$N$33+1,30,36,42,48,54,60),0))+(IF(AND(ArtifactsInput!$M$35,Inputs!$B$4&lt;&gt;"Chapter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Skills!A3</f>
        <v/>
      </c>
      <c r="B2297">
        <f>Skills!B3</f>
        <v/>
      </c>
      <c r="C2297">
        <f>Inputs!$B$3&gt;=35</f>
        <v/>
      </c>
      <c r="D2297">
        <f>IF(Skills!C3=1,60+Inputs!$B$25+Inputs!$B$29,IF(Skills!C3=2,90+Inputs!$B$26+Inputs!$B$29,IF(Skills!C3=3,120+Inputs!$B$27+Inputs!$B$29,MAX(0,(Inputs!$B$3-100)*3)+Inputs!$B$28+Inputs!$B$29)))</f>
        <v/>
      </c>
      <c r="E2297">
        <f>INDEX(FactorTable!$B$2:$Y$301, MATCH(ROUND(MIN(300,MAX(1,D2297)),0), FactorTable!$A$2:$A$301,0), Skills!M3+1)</f>
        <v/>
      </c>
      <c r="F2297">
        <f>IF(Skills!N3=TRUE,(Skills!L3/10)*(E2297/1000),Skills!L3/10)+Skills!O3</f>
        <v/>
      </c>
      <c r="G2297">
        <f>Skills!G3*IF(Skills!H3&gt;0,Skills!I3/Skills!H3,1)</f>
        <v/>
      </c>
      <c r="H2297">
        <f>1-(1-Skills!J3/100)^Skills!K3</f>
        <v/>
      </c>
      <c r="I2297" t="inlineStr">
        <is>
          <t>1</t>
        </is>
      </c>
      <c r="J2297">
        <f>((Inputs!$B$6*(1+Inputs!$B$7/100))+(((Inputs!$B$12*(1+Inputs!$B$13/100))-(Inputs!$B$12*(1+Inputs!$B$13/100)))+0.25*(Inputs!$B$14-Inputs!$B$14))*(1+Inputs!$B$7/100))*(F2297/100)</f>
        <v/>
      </c>
      <c r="K2297">
        <f>J2297*(1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2297)</f>
        <v/>
      </c>
      <c r="L2297">
        <f>K2297*(MIN(Inputs!$B$22+((C2314=TRUE)*(F2314-Calc!F20)),(Inputs!$B$23+0+(IF(ArtifactsInput!$M$15,CHOOSE(ArtifactsInput!$N$15+1,25,30,35,40,45,50)/100*(Inputs!$B$11-Inputs!$B$11),0))))/100+(Inputs!$B$23+0+(IF(ArtifactsInput!$M$15,CHOOSE(ArtifactsInput!$N$15+1,25,30,35,40,45,50)/100*(Inputs!$B$11-Inputs!$B$11),0)))/100)/2</f>
        <v/>
      </c>
      <c r="M2297">
        <f>L2297*(1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7">
        <f>L2297*(1-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2297*(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7">
        <f>(1-Summary!$B$11)*T2297+Summary!$B$11*V2297</f>
        <v/>
      </c>
      <c r="P2297">
        <f>IF(B2330=0,0,O2297/B2330)</f>
        <v/>
      </c>
      <c r="Q2297" t="n">
        <v>0</v>
      </c>
      <c r="R2297" t="n">
        <v>0</v>
      </c>
      <c r="S2297">
        <f>IFERROR(O2297/N2297,0)</f>
        <v/>
      </c>
      <c r="T2297">
        <f>IF(C2297,(Skills!G3*H2297*N2297*B2324)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7">
        <f>INDEX(FactorTable!$B$2:$Y$301, MATCH(ROUND(MIN(300,MAX(1,U2296)),0), FactorTable!$A$2:$A$301,0), 22)</f>
        <v/>
      </c>
      <c r="V2297">
        <f>IF(C2297,(Skills!G3*H2297*N2297*B2324)*IF(Inputs!$B$38="pvp",1,(1+(Inputs!$B$21+Skills!Q3+(IF(ArtifactsInput!$M$33,CHOOSE(ArtifactsInput!$N$33+1,30,36,42,48,54,60),0))+(IF(AND(ArtifactsInput!$M$35,Inputs!$B$4&lt;&gt;"Chapter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8">
      <c r="A2298">
        <f>Skills!A4</f>
        <v/>
      </c>
      <c r="B2298">
        <f>Skills!B4</f>
        <v/>
      </c>
      <c r="C2298">
        <f>Inputs!$B$3&gt;=60</f>
        <v/>
      </c>
      <c r="D2298">
        <f>IF(Skills!C4=1,60+Inputs!$B$25+Inputs!$B$29,IF(Skills!C4=2,90+Inputs!$B$26+Inputs!$B$29,IF(Skills!C4=3,120+Inputs!$B$27+Inputs!$B$29,MAX(0,(Inputs!$B$3-100)*3)+Inputs!$B$28+Inputs!$B$29)))</f>
        <v/>
      </c>
      <c r="E2298">
        <f>INDEX(FactorTable!$B$2:$Y$301, MATCH(ROUND(MIN(300,MAX(1,D2298)),0), FactorTable!$A$2:$A$301,0), Skills!M4+1)</f>
        <v/>
      </c>
      <c r="F2298">
        <f>IF(Skills!N4=TRUE,(Skills!L4/10)*(E2298/1000),Skills!L4/10)+Skills!O4</f>
        <v/>
      </c>
      <c r="G2298">
        <f>Skills!G4*IF(Skills!H4&gt;0,Skills!I4/Skills!H4,1)</f>
        <v/>
      </c>
      <c r="H2298">
        <f>1-(1-Skills!J4/100)^Skills!K4</f>
        <v/>
      </c>
      <c r="I2298" t="inlineStr">
        <is>
          <t>1</t>
        </is>
      </c>
      <c r="J2298">
        <f>((Inputs!$B$6*(1+Inputs!$B$7/100))+(((Inputs!$B$12*(1+Inputs!$B$13/100))-(Inputs!$B$12*(1+Inputs!$B$13/100)))+0.25*(Inputs!$B$14-Inputs!$B$14))*(1+Inputs!$B$7/100))*(F2298/100)</f>
        <v/>
      </c>
      <c r="K2298">
        <f>J2298*(1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2306=TRUE,F2306,0)/100)*(1+(IF(Skills!A4="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C2314=TRUE)*(F2314-Calc!F20)),(Inputs!$B$23+0+(IF(ArtifactsInput!$M$15,CHOOSE(ArtifactsInput!$N$15+1,25,30,35,40,45,50)/100*(Inputs!$B$11-Inputs!$B$11),0))))/100+(Inputs!$B$23+0+(IF(ArtifactsInput!$M$15,CHOOSE(ArtifactsInput!$N$15+1,25,30,35,40,45,50)/100*(Inputs!$B$11-Inputs!$B$11),0)))/100)/2</f>
        <v/>
      </c>
      <c r="M2298">
        <f>L2298*(1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(1-Summary!$B$11)*T2298+Summary!$B$11*V2298</f>
        <v/>
      </c>
      <c r="P2298">
        <f>IF(B2330=0,0,O2298/B2330)</f>
        <v/>
      </c>
      <c r="Q2298" t="n">
        <v>0</v>
      </c>
      <c r="R2298" t="n">
        <v>0</v>
      </c>
      <c r="S2298">
        <f>IFERROR(O2298/N2298,0)</f>
        <v/>
      </c>
      <c r="T2298">
        <f>IF(C2298,(Skills!G4*H2298*N2298*B2324)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290*U2297/1000</f>
        <v/>
      </c>
      <c r="V2298">
        <f>IF(C2298,(Skills!G4*H2298*N2298*B2324)*IF(Inputs!$B$38="pvp",1,(1+(Inputs!$B$21+Skills!Q4+(IF(ArtifactsInput!$M$33,CHOOSE(ArtifactsInput!$N$33+1,30,36,42,48,54,60),0))+(IF(AND(ArtifactsInput!$M$35,Inputs!$B$4&lt;&gt;"Chapter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Skills!A5</f>
        <v/>
      </c>
      <c r="B2299">
        <f>Skills!B5</f>
        <v/>
      </c>
      <c r="C2299">
        <f>Inputs!$B$3&gt;=60</f>
        <v/>
      </c>
      <c r="D2299">
        <f>IF(Skills!C5=1,60+Inputs!$B$25+Inputs!$B$29,IF(Skills!C5=2,90+Inputs!$B$26+Inputs!$B$29,IF(Skills!C5=3,120+Inputs!$B$27+Inputs!$B$29,MAX(0,(Inputs!$B$3-100)*3)+Inputs!$B$28+Inputs!$B$29)))</f>
        <v/>
      </c>
      <c r="E2299">
        <f>INDEX(FactorTable!$B$2:$Y$301, MATCH(ROUND(MIN(300,MAX(1,D2299)),0), FactorTable!$A$2:$A$301,0), Skills!M5+1)</f>
        <v/>
      </c>
      <c r="F2299">
        <f>IF(Skills!N5=TRUE,(Skills!L5/10)*(E2299/1000),Skills!L5/10)+Skills!O5</f>
        <v/>
      </c>
      <c r="G2299">
        <f>Skills!G5*IF(Skills!H5&gt;0,Skills!I5/Skills!H5,1)</f>
        <v/>
      </c>
      <c r="H2299">
        <f>1-(1-Skills!J5/100)^Skills!K5</f>
        <v/>
      </c>
      <c r="I2299" t="inlineStr">
        <is>
          <t>1</t>
        </is>
      </c>
      <c r="J2299" t="inlineStr"/>
      <c r="K2299" t="inlineStr"/>
      <c r="L2299" t="inlineStr"/>
      <c r="M2299" t="inlineStr"/>
      <c r="N2299" t="inlineStr"/>
      <c r="O2299">
        <f>(1-Summary!$B$11)*T2299+Summary!$B$11*V2299</f>
        <v/>
      </c>
      <c r="P2299">
        <f>IF(B2330=0,0,O2299/B2330)</f>
        <v/>
      </c>
      <c r="Q2299" t="n">
        <v>0</v>
      </c>
      <c r="R2299" t="n">
        <v>0</v>
      </c>
      <c r="S2299">
        <f>IFERROR(O2299/N2299,0)</f>
        <v/>
      </c>
      <c r="T2299" t="n">
        <v>0</v>
      </c>
      <c r="V2299" t="n">
        <v>0</v>
      </c>
    </row>
    <row r="2300">
      <c r="A2300">
        <f>Skills!A6</f>
        <v/>
      </c>
      <c r="B2300">
        <f>Skills!B6</f>
        <v/>
      </c>
      <c r="C2300">
        <f>Inputs!$B$3&gt;=63</f>
        <v/>
      </c>
      <c r="D2300">
        <f>IF(Skills!C6=1,60+Inputs!$B$25+Inputs!$B$29,IF(Skills!C6=2,90+Inputs!$B$26+Inputs!$B$29,IF(Skills!C6=3,120+Inputs!$B$27+Inputs!$B$29,MAX(0,(Inputs!$B$3-100)*3)+Inputs!$B$28+Inputs!$B$29)))</f>
        <v/>
      </c>
      <c r="E2300">
        <f>INDEX(FactorTable!$B$2:$Y$301, MATCH(ROUND(MIN(300,MAX(1,D2300)),0), FactorTable!$A$2:$A$301,0), Skills!M6+1)</f>
        <v/>
      </c>
      <c r="F2300">
        <f>IF(Skills!N6=TRUE,(Skills!L6/10)*(E2300/1000),Skills!L6/10)+Skills!O6</f>
        <v/>
      </c>
      <c r="G2300">
        <f>Skills!G6*IF(Skills!H6&gt;0,Skills!I6/Skills!H6,1)</f>
        <v/>
      </c>
      <c r="H2300">
        <f>1-(1-Skills!J6/100)^Skills!K6</f>
        <v/>
      </c>
      <c r="I2300" t="inlineStr">
        <is>
          <t>1</t>
        </is>
      </c>
      <c r="J2300">
        <f>((Inputs!$B$6*(1+Inputs!$B$7/100))+(((Inputs!$B$12*(1+Inputs!$B$13/100))-(Inputs!$B$12*(1+Inputs!$B$13/100)))+0.25*(Inputs!$B$14-Inputs!$B$14))*(1+Inputs!$B$7/100))*(F2300/100)</f>
        <v/>
      </c>
      <c r="K2300">
        <f>J2300*(1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C2314=TRUE)*(F2314-Calc!F20)),(Inputs!$B$23+0+(IF(ArtifactsInput!$M$15,CHOOSE(ArtifactsInput!$N$15+1,25,30,35,40,45,50)/100*(Inputs!$B$11-Inputs!$B$11),0))))/100+(Inputs!$B$23+0+(IF(ArtifactsInput!$M$15,CHOOSE(ArtifactsInput!$N$15+1,25,30,35,40,45,50)/100*(Inputs!$B$11-Inputs!$B$11),0)))/100)/2</f>
        <v/>
      </c>
      <c r="M2300">
        <f>L2300*(1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(1-Summary!$B$11)*T2300+Summary!$B$11*V2300</f>
        <v/>
      </c>
      <c r="P2300">
        <f>IF(B2330=0,0,O2300/B2330)</f>
        <v/>
      </c>
      <c r="Q2300">
        <f>IFERROR(1/(IF(Inputs!$B$38="pvp",15,MAX(0.1,Skills!D6-IF(Skills!E6=TRUE,Inputs!$B$32,0)))*(1-IF(AND(ArtifactsInput!$M$27,Inputs!$B$4="Chapter Hunt"),CHOOSE(ArtifactsInput!$N$27+1,20,24,28,32,36,40),0)/100)),0)</f>
        <v/>
      </c>
      <c r="R2300">
        <f>IF(AND(Inputs!$B$38&lt;&gt;"pvp",Inputs!$B$43&gt;0),IF(MAX(0,Inputs!$B$43-B2327)&lt;=0,0,(INT(MAX(0,Inputs!$B$43-B2327)/(IF(Inputs!$B$38="pvp",15,MAX(0.1,Skills!D6-IF(Skills!E6=TRUE,Inputs!$B$32,0)))*(1-IF(AND(ArtifactsInput!$M$27,Inputs!$B$4="Chapter Hunt"),CHOOSE(ArtifactsInput!$N$27+1,20,24,28,32,36,40),0)/100)))+1)),0)</f>
        <v/>
      </c>
      <c r="S2300">
        <f>IFERROR(O2300/N2300,0)</f>
        <v/>
      </c>
      <c r="T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$21+Skills!Q6+(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Skills!A7</f>
        <v/>
      </c>
      <c r="B2301">
        <f>Skills!B7</f>
        <v/>
      </c>
      <c r="C2301">
        <f>Inputs!$B$3&gt;=100</f>
        <v/>
      </c>
      <c r="D2301">
        <f>IF(Skills!C7=1,60+Inputs!$B$25+Inputs!$B$29,IF(Skills!C7=2,90+Inputs!$B$26+Inputs!$B$29,IF(Skills!C7=3,120+Inputs!$B$27+Inputs!$B$29,MAX(0,(Inputs!$B$3-100)*3)+Inputs!$B$28+Inputs!$B$29)))</f>
        <v/>
      </c>
      <c r="E2301">
        <f>INDEX(FactorTable!$B$2:$Y$301, MATCH(ROUND(MIN(300,MAX(1,D2301)),0), FactorTable!$A$2:$A$301,0), Skills!M7+1)</f>
        <v/>
      </c>
      <c r="F2301">
        <f>IF(Skills!N7=TRUE,(Skills!L7/10)*(E2301/1000),Skills!L7/10)+Skills!O7</f>
        <v/>
      </c>
      <c r="G2301">
        <f>Skills!G7*IF(Skills!H7&gt;0,Skills!I7/Skills!H7,1)</f>
        <v/>
      </c>
      <c r="H2301">
        <f>1-(1-Skills!J7/100)^Skills!K7</f>
        <v/>
      </c>
      <c r="I2301" t="inlineStr">
        <is>
          <t>1</t>
        </is>
      </c>
      <c r="J2301">
        <f>((Inputs!$B$6*(1+Inputs!$B$7/100))+(((Inputs!$B$12*(1+Inputs!$B$13/100))-(Inputs!$B$12*(1+Inputs!$B$13/100)))+0.25*(Inputs!$B$14-Inputs!$B$14))*(1+Inputs!$B$7/100))*(F2301/100)</f>
        <v/>
      </c>
      <c r="K2301">
        <f>J2301*(1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2314=TRUE)*(F2314-Calc!F20)),(Inputs!$B$23+0+(IF(ArtifactsInput!$M$15,CHOOSE(ArtifactsInput!$N$15+1,25,30,35,40,45,50)/100*(Inputs!$B$11-Inputs!$B$11),0))))/100+(Inputs!$B$23+0+(IF(ArtifactsInput!$M$15,CHOOSE(ArtifactsInput!$N$15+1,25,30,35,40,45,50)/100*(Inputs!$B$11-Inputs!$B$11),0)))/100)/2</f>
        <v/>
      </c>
      <c r="M2301">
        <f>L2301*(1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IF(B2330=0,0,O2301/B2330)</f>
        <v/>
      </c>
      <c r="Q2301">
        <f>IFERROR(1/(IF(Inputs!$B$38="pvp",15,MAX(0.1,Skills!D7-IF(Skills!E7=TRUE,Inputs!$B$32,0)))*(1-IF(AND(ArtifactsInput!$M$27,Inputs!$B$4="Chapter Hunt"),CHOOSE(ArtifactsInput!$N$27+1,20,24,28,32,36,40),0)/100)),0)</f>
        <v/>
      </c>
      <c r="R2301">
        <f>IF(AND(Inputs!$B$38&lt;&gt;"pvp",Inputs!$B$43&gt;0),IF(MAX(0,Inputs!$B$43-B2327)&lt;=0,0,(INT(MAX(0,Inputs!$B$43-B2327)/(IF(Inputs!$B$38="pvp",15,MAX(0.1,Skills!D7-IF(Skills!E7=TRUE,Inputs!$B$32,0)))*(1-IF(AND(ArtifactsInput!$M$27,Inputs!$B$4="Chapter Hunt"),CHOOSE(ArtifactsInput!$N$27+1,20,24,28,32,36,40),0)/100)))+1)),0)</f>
        <v/>
      </c>
      <c r="S2301">
        <f>IFERROR(O2301/N2301,0)</f>
        <v/>
      </c>
      <c r="T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$21+Skills!Q7+(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Skills!A8</f>
        <v/>
      </c>
      <c r="B2302">
        <f>Skills!B8</f>
        <v/>
      </c>
      <c r="C2302">
        <f>Inputs!$B$3&gt;=110</f>
        <v/>
      </c>
      <c r="D2302">
        <f>IF(Skills!C8=1,60+Inputs!$B$25+Inputs!$B$29,IF(Skills!C8=2,90+Inputs!$B$26+Inputs!$B$29,IF(Skills!C8=3,120+Inputs!$B$27+Inputs!$B$29,MAX(0,(Inputs!$B$3-100)*3)+Inputs!$B$28+Inputs!$B$29)))</f>
        <v/>
      </c>
      <c r="E2302">
        <f>INDEX(FactorTable!$B$2:$Y$301, MATCH(ROUND(MIN(300,MAX(1,D2302)),0), FactorTable!$A$2:$A$301,0), Skills!M8+1)</f>
        <v/>
      </c>
      <c r="F2302">
        <f>IF(Skills!N8=TRUE,(Skills!L8/10)*(E2302/1000),Skills!L8/10)+Skills!O8</f>
        <v/>
      </c>
      <c r="G2302">
        <f>Skills!G8*IF(Skills!H8&gt;0,Skills!I8/Skills!H8,1)</f>
        <v/>
      </c>
      <c r="H2302">
        <f>1-(1-Skills!J8/100)^Skills!K8</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2314=TRUE)*(F2314-Calc!F20)),(Inputs!$B$23+0+(IF(ArtifactsInput!$M$15,CHOOSE(ArtifactsInput!$N$15+1,25,30,35,40,45,50)/100*(Inputs!$B$11-Inputs!$B$11),0))))/100+(Inputs!$B$23+0+(IF(ArtifactsInput!$M$15,CHOOSE(ArtifactsInput!$N$15+1,25,30,35,40,45,50)/100*(Inputs!$B$11-Inputs!$B$11),0)))/100)/2</f>
        <v/>
      </c>
      <c r="M2302">
        <f>L2302*(1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IF(B2330=0,0,O2302/B2330)</f>
        <v/>
      </c>
      <c r="Q2302">
        <f>IFERROR(1/(IF(Inputs!$B$38="pvp",15,MAX(0.1,Skills!D8-IF(Skills!E8=TRUE,Inputs!$B$32,0)))*(1-IF(AND(ArtifactsInput!$M$27,Inputs!$B$4="Chapter Hunt"),CHOOSE(ArtifactsInput!$N$27+1,20,24,28,32,36,40),0)/100)),0)</f>
        <v/>
      </c>
      <c r="R2302">
        <f>IF(AND(Inputs!$B$38&lt;&gt;"pvp",Inputs!$B$43&gt;0),IF(MAX(0,Inputs!$B$43-B2327)&lt;=0,0,(INT(MAX(0,Inputs!$B$43-B2327)/(IF(Inputs!$B$38="pvp",15,MAX(0.1,Skills!D8-IF(Skills!E8=TRUE,Inputs!$B$32,0)))*(1-IF(AND(ArtifactsInput!$M$27,Inputs!$B$4="Chapter Hunt"),CHOOSE(ArtifactsInput!$N$27+1,20,24,28,32,36,40),0)/100)))+1)),0)</f>
        <v/>
      </c>
      <c r="S2302">
        <f>IFERROR(O2302/N2302,0)</f>
        <v/>
      </c>
      <c r="T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$21+Skills!Q8+(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Skills!A9</f>
        <v/>
      </c>
      <c r="B2303">
        <f>Skills!B9</f>
        <v/>
      </c>
      <c r="C2303">
        <f>Inputs!$B$3&gt;=110</f>
        <v/>
      </c>
      <c r="D2303">
        <f>IF(Skills!C9=1,60+Inputs!$B$25+Inputs!$B$29,IF(Skills!C9=2,90+Inputs!$B$26+Inputs!$B$29,IF(Skills!C9=3,120+Inputs!$B$27+Inputs!$B$29,MAX(0,(Inputs!$B$3-100)*3)+Inputs!$B$28+Inputs!$B$29)))</f>
        <v/>
      </c>
      <c r="E2303">
        <f>INDEX(FactorTable!$B$2:$Y$301, MATCH(ROUND(MIN(300,MAX(1,D2303)),0), FactorTable!$A$2:$A$301,0), Skills!M9+1)</f>
        <v/>
      </c>
      <c r="F2303">
        <f>IF(Skills!N9=TRUE,(Skills!L9/10)*(E2303/1000),Skills!L9/10)+Skills!O9</f>
        <v/>
      </c>
      <c r="G2303">
        <f>Skills!G9*IF(Skills!H9&gt;0,Skills!I9/Skills!H9,1)</f>
        <v/>
      </c>
      <c r="H2303">
        <f>1-(1-Skills!J9/100)^Skills!K9</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2314=TRUE)*(F2314-Calc!F20)),(Inputs!$B$23+0+(IF(ArtifactsInput!$M$15,CHOOSE(ArtifactsInput!$N$15+1,25,30,35,40,45,50)/100*(Inputs!$B$11-Inputs!$B$11),0))))/100+(Inputs!$B$23+0+(IF(ArtifactsInput!$M$15,CHOOSE(ArtifactsInput!$N$15+1,25,30,35,40,45,50)/100*(Inputs!$B$11-Inputs!$B$11),0)))/100)/2</f>
        <v/>
      </c>
      <c r="M2303">
        <f>L2303*(1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IF(B2330=0,0,O2303/B2330)</f>
        <v/>
      </c>
      <c r="Q2303">
        <f>IFERROR(1/(IF(Inputs!$B$38="pvp",15,MAX(0.1,Skills!D9-IF(Skills!E9=TRUE,Inputs!$B$32,0)))*(1-IF(AND(ArtifactsInput!$M$27,Inputs!$B$4="Chapter Hunt"),CHOOSE(ArtifactsInput!$N$27+1,20,24,28,32,36,40),0)/100)),0)</f>
        <v/>
      </c>
      <c r="R2303">
        <f>IF(AND(Inputs!$B$38&lt;&gt;"pvp",Inputs!$B$43&gt;0),IF(MAX(0,Inputs!$B$43-B2327)&lt;=0,0,(INT(MAX(0,Inputs!$B$43-B2327)/(IF(Inputs!$B$38="pvp",15,MAX(0.1,Skills!D9-IF(Skills!E9=TRUE,Inputs!$B$32,0)))*(1-IF(AND(ArtifactsInput!$M$27,Inputs!$B$4="Chapter Hunt"),CHOOSE(ArtifactsInput!$N$27+1,20,24,28,32,36,40),0)/100)))+1)),0)</f>
        <v/>
      </c>
      <c r="S2303">
        <f>IFERROR(O2303/N2303,0)</f>
        <v/>
      </c>
      <c r="T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$21+Skills!Q9+(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Skills!A10</f>
        <v/>
      </c>
      <c r="B2304">
        <f>Skills!B10</f>
        <v/>
      </c>
      <c r="C2304">
        <f>Inputs!$B$3&gt;=103</f>
        <v/>
      </c>
      <c r="D2304">
        <f>IF(Skills!C10=1,60+Inputs!$B$25+Inputs!$B$29,IF(Skills!C10=2,90+Inputs!$B$26+Inputs!$B$29,IF(Skills!C10=3,120+Inputs!$B$27+Inputs!$B$29,MAX(0,(Inputs!$B$3-100)*3)+Inputs!$B$28+Inputs!$B$29)))</f>
        <v/>
      </c>
      <c r="E2304">
        <f>INDEX(FactorTable!$B$2:$Y$301, MATCH(ROUND(MIN(300,MAX(1,D2304)),0), FactorTable!$A$2:$A$301,0), Skills!M10+1)</f>
        <v/>
      </c>
      <c r="F2304">
        <f>IF(Skills!N10=TRUE,(Skills!L10/10)*(E2304/1000),Skills!L10/10)+Skills!O10</f>
        <v/>
      </c>
      <c r="G2304">
        <f>Skills!G10*IF(Skills!H10&gt;0,Skills!I10/Skills!H10,1)</f>
        <v/>
      </c>
      <c r="H2304">
        <f>1-(1-Skills!J10/100)^Skills!K10</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2314=TRUE)*(F2314-Calc!F20)),(Inputs!$B$23+0+(IF(ArtifactsInput!$M$15,CHOOSE(ArtifactsInput!$N$15+1,25,30,35,40,45,50)/100*(Inputs!$B$11-Inputs!$B$11),0))))/100+(Inputs!$B$23+0+(IF(ArtifactsInput!$M$15,CHOOSE(ArtifactsInput!$N$15+1,25,30,35,40,45,50)/100*(Inputs!$B$11-Inputs!$B$11),0)))/100)/2</f>
        <v/>
      </c>
      <c r="M2304">
        <f>L2304*(1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IF(B2330=0,0,O2304/B2330)</f>
        <v/>
      </c>
      <c r="Q2304">
        <f>IFERROR(1/(IF(Inputs!$B$38="pvp",15,MAX(0.1,Skills!D10-IF(Skills!E10=TRUE,Inputs!$B$32,0)))*(1-IF(AND(ArtifactsInput!$M$27,Inputs!$B$4="Chapter Hunt"),CHOOSE(ArtifactsInput!$N$27+1,20,24,28,32,36,40),0)/100)),0)</f>
        <v/>
      </c>
      <c r="R2304">
        <f>IF(AND(Inputs!$B$38&lt;&gt;"pvp",Inputs!$B$43&gt;0),IF(MAX(0,Inputs!$B$43-B2327)&lt;=0,0,(INT(MAX(0,Inputs!$B$43-B2327)/(IF(Inputs!$B$38="pvp",15,MAX(0.1,Skills!D10-IF(Skills!E10=TRUE,Inputs!$B$32,0)))*(1-IF(AND(ArtifactsInput!$M$27,Inputs!$B$4="Chapter Hunt"),CHOOSE(ArtifactsInput!$N$27+1,20,24,28,32,36,40),0)/100)))+1)),0)</f>
        <v/>
      </c>
      <c r="S2304">
        <f>IFERROR(O2304/N2304,0)</f>
        <v/>
      </c>
      <c r="T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$21+Skills!Q10+(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Skills!A11</f>
        <v/>
      </c>
      <c r="B2305">
        <f>Skills!B11</f>
        <v/>
      </c>
      <c r="C2305">
        <f>Inputs!$B$3&gt;=113</f>
        <v/>
      </c>
      <c r="D2305">
        <f>IF(Skills!C11=1,60+Inputs!$B$25+Inputs!$B$29,IF(Skills!C11=2,90+Inputs!$B$26+Inputs!$B$29,IF(Skills!C11=3,120+Inputs!$B$27+Inputs!$B$29,MAX(0,(Inputs!$B$3-100)*3)+Inputs!$B$28+Inputs!$B$29)))</f>
        <v/>
      </c>
      <c r="E2305">
        <f>INDEX(FactorTable!$B$2:$Y$301, MATCH(ROUND(MIN(300,MAX(1,D2305)),0), FactorTable!$A$2:$A$301,0), Skills!M11+1)</f>
        <v/>
      </c>
      <c r="F2305">
        <f>IF(Skills!N11=TRUE,(Skills!L11/10)*(E2305/1000),Skills!L11/10)+Skills!O11</f>
        <v/>
      </c>
      <c r="G2305">
        <f>Skills!G11*IF(Skills!H11&gt;0,Skills!I11/Skills!H11,1)</f>
        <v/>
      </c>
      <c r="H2305">
        <f>1-(1-Skills!J11/100)^Skills!K11</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2314=TRUE)*(F2314-Calc!F20)),(Inputs!$B$23+0+(IF(ArtifactsInput!$M$15,CHOOSE(ArtifactsInput!$N$15+1,25,30,35,40,45,50)/100*(Inputs!$B$11-Inputs!$B$11),0))))/100+(Inputs!$B$23+0+(IF(ArtifactsInput!$M$15,CHOOSE(ArtifactsInput!$N$15+1,25,30,35,40,45,50)/100*(Inputs!$B$11-Inputs!$B$11),0)))/100)/2</f>
        <v/>
      </c>
      <c r="M2305">
        <f>L2305*(1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IF(B2330=0,0,O2305/B2330)</f>
        <v/>
      </c>
      <c r="Q2305">
        <f>IFERROR(1/(IF(Inputs!$B$38="pvp",15,MAX(0.1,Skills!D11-IF(Skills!E11=TRUE,Inputs!$B$32,0)))*(1-IF(AND(ArtifactsInput!$M$27,Inputs!$B$4="Chapter Hunt"),CHOOSE(ArtifactsInput!$N$27+1,20,24,28,32,36,40),0)/100)),0)</f>
        <v/>
      </c>
      <c r="R2305">
        <f>IF(AND(Inputs!$B$38&lt;&gt;"pvp",Inputs!$B$43&gt;0),IF(MAX(0,Inputs!$B$43-B2327)&lt;=0,0,(INT(MAX(0,Inputs!$B$43-B2327)/(IF(Inputs!$B$38="pvp",15,MAX(0.1,Skills!D11-IF(Skills!E11=TRUE,Inputs!$B$32,0)))*(1-IF(AND(ArtifactsInput!$M$27,Inputs!$B$4="Chapter Hunt"),CHOOSE(ArtifactsInput!$N$27+1,20,24,28,32,36,40),0)/100)))+1)),0)</f>
        <v/>
      </c>
      <c r="S2305">
        <f>IFERROR(O2305/N2305,0)</f>
        <v/>
      </c>
      <c r="T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$21+Skills!Q11+(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Skills!A12</f>
        <v/>
      </c>
      <c r="B2306">
        <f>Skills!B12</f>
        <v/>
      </c>
      <c r="C2306">
        <f>Inputs!$B$3&gt;=100</f>
        <v/>
      </c>
      <c r="D2306">
        <f>IF(Skills!C12=1,60+Inputs!$B$25+Inputs!$B$29,IF(Skills!C12=2,90+Inputs!$B$26+Inputs!$B$29,IF(Skills!C12=3,120+Inputs!$B$27+Inputs!$B$29,MAX(0,(Inputs!$B$3-100)*3)+Inputs!$B$28+Inputs!$B$29)))</f>
        <v/>
      </c>
      <c r="E2306">
        <f>INDEX(FactorTable!$B$2:$Y$301, MATCH(ROUND(MIN(300,MAX(1,D2306)),0), FactorTable!$A$2:$A$301,0), Skills!M12+1)</f>
        <v/>
      </c>
      <c r="F2306">
        <f>IF(Skills!N12=TRUE,(Skills!L12/10)*(E2306/1000),Skills!L12/10)+Skills!O12</f>
        <v/>
      </c>
      <c r="G2306" t="inlineStr"/>
      <c r="H2306" t="inlineStr"/>
      <c r="I2306" t="inlineStr">
        <is>
          <t>1</t>
        </is>
      </c>
      <c r="J2306" t="inlineStr"/>
      <c r="K2306" t="inlineStr"/>
      <c r="L2306" t="inlineStr"/>
      <c r="M2306" t="inlineStr"/>
      <c r="N2306" t="inlineStr"/>
      <c r="O2306" t="inlineStr"/>
      <c r="P2306" t="inlineStr"/>
      <c r="Q2306" t="inlineStr"/>
      <c r="R2306" t="inlineStr"/>
      <c r="S2306" t="inlineStr"/>
      <c r="T2306" t="inlineStr"/>
      <c r="V2306" t="inlineStr"/>
    </row>
    <row r="2307">
      <c r="A2307">
        <f>Skills!A13</f>
        <v/>
      </c>
      <c r="B2307">
        <f>Skills!B13</f>
        <v/>
      </c>
      <c r="C2307">
        <f>Inputs!$B$3&gt;=66</f>
        <v/>
      </c>
      <c r="D2307">
        <f>IF(Skills!C13=1,60+Inputs!$B$25+Inputs!$B$29,IF(Skills!C13=2,90+Inputs!$B$26+Inputs!$B$29,IF(Skills!C13=3,120+Inputs!$B$27+Inputs!$B$29,MAX(0,(Inputs!$B$3-100)*3)+Inputs!$B$28+Inputs!$B$29)))</f>
        <v/>
      </c>
      <c r="E2307">
        <f>INDEX(FactorTable!$B$2:$Y$301, MATCH(ROUND(MIN(300,MAX(1,D2307)),0), FactorTable!$A$2:$A$301,0), Skills!M13+1)</f>
        <v/>
      </c>
      <c r="F2307">
        <f>IF(Skills!N13=TRUE,(Skills!L13/10)*(E2307/1000),Skills!L13/10)+Skills!O13</f>
        <v/>
      </c>
      <c r="G2307">
        <f>Skills!G13*IF(Skills!H13&gt;0,Skills!I13/Skills!H13,1)</f>
        <v/>
      </c>
      <c r="H2307">
        <f>1-(1-Skills!J13/100)^Skills!K13</f>
        <v/>
      </c>
      <c r="I2307" t="inlineStr">
        <is>
          <t>1</t>
        </is>
      </c>
      <c r="J2307" t="inlineStr"/>
      <c r="K2307" t="inlineStr"/>
      <c r="L2307" t="inlineStr"/>
      <c r="M2307" t="inlineStr"/>
      <c r="N2307" t="inlineStr"/>
      <c r="O2307">
        <f>(1-Summary!$B$11)*T2307+Summary!$B$11*V2307</f>
        <v/>
      </c>
      <c r="P2307">
        <f>IF(B2330=0,0,O2307/B2330)</f>
        <v/>
      </c>
      <c r="Q2307" t="n">
        <v>0</v>
      </c>
      <c r="R2307" t="n">
        <v>0</v>
      </c>
      <c r="S2307">
        <f>IFERROR(O2307/N2307,0)</f>
        <v/>
      </c>
      <c r="T2307" t="n">
        <v>0</v>
      </c>
      <c r="V2307" t="n">
        <v>0</v>
      </c>
    </row>
    <row r="2308">
      <c r="A2308">
        <f>Skills!A14</f>
        <v/>
      </c>
      <c r="B2308">
        <f>Skills!B14</f>
        <v/>
      </c>
      <c r="C2308">
        <f>Inputs!$B$3&gt;=107</f>
        <v/>
      </c>
      <c r="D2308">
        <f>IF(Skills!C14=1,60+Inputs!$B$25+Inputs!$B$29,IF(Skills!C14=2,90+Inputs!$B$26+Inputs!$B$29,IF(Skills!C14=3,120+Inputs!$B$27+Inputs!$B$29,MAX(0,(Inputs!$B$3-100)*3)+Inputs!$B$28+Inputs!$B$29)))</f>
        <v/>
      </c>
      <c r="E2308">
        <f>INDEX(FactorTable!$B$2:$Y$301, MATCH(ROUND(MIN(300,MAX(1,D2308)),0), FactorTable!$A$2:$A$301,0), Skills!M14+1)</f>
        <v/>
      </c>
      <c r="F2308">
        <f>IF(Skills!N14=TRUE,(Skills!L14/10)*(E2308/1000),Skills!L14/10)+Skills!O14</f>
        <v/>
      </c>
      <c r="G2308">
        <f>Skills!G14*IF(Skills!H14&gt;0,Skills!I14/Skills!H14,1)</f>
        <v/>
      </c>
      <c r="H2308">
        <f>1-(1-Skills!J14/100)^Skills!K14</f>
        <v/>
      </c>
      <c r="I2308" t="inlineStr">
        <is>
          <t>1</t>
        </is>
      </c>
      <c r="J2308" t="inlineStr"/>
      <c r="K2308" t="inlineStr"/>
      <c r="L2308" t="inlineStr"/>
      <c r="M2308" t="inlineStr"/>
      <c r="N2308" t="inlineStr"/>
      <c r="O2308">
        <f>(1-Summary!$B$11)*T2308+Summary!$B$11*V2308</f>
        <v/>
      </c>
      <c r="P2308">
        <f>IF(B2330=0,0,O2308/B2330)</f>
        <v/>
      </c>
      <c r="Q2308" t="n">
        <v>0</v>
      </c>
      <c r="R2308" t="n">
        <v>0</v>
      </c>
      <c r="S2308">
        <f>IFERROR(O2308/N2308,0)</f>
        <v/>
      </c>
      <c r="T2308" t="n">
        <v>0</v>
      </c>
      <c r="V2308" t="n">
        <v>0</v>
      </c>
    </row>
    <row r="2309">
      <c r="A2309">
        <f>Skills!A15</f>
        <v/>
      </c>
      <c r="B2309">
        <f>Skills!B15</f>
        <v/>
      </c>
      <c r="C2309">
        <f>Inputs!$B$3&gt;=115</f>
        <v/>
      </c>
      <c r="D2309">
        <f>IF(Skills!C15=1,60+Inputs!$B$25+Inputs!$B$29,IF(Skills!C15=2,90+Inputs!$B$26+Inputs!$B$29,IF(Skills!C15=3,120+Inputs!$B$27+Inputs!$B$29,MAX(0,(Inputs!$B$3-100)*3)+Inputs!$B$28+Inputs!$B$29)))</f>
        <v/>
      </c>
      <c r="E2309">
        <f>INDEX(FactorTable!$B$2:$Y$301, MATCH(ROUND(MIN(300,MAX(1,D2309)),0), FactorTable!$A$2:$A$301,0), Skills!M15+1)</f>
        <v/>
      </c>
      <c r="F2309">
        <f>IF(Skills!N15=TRUE,(Skills!L15/10)*(E2309/1000),Skills!L15/10)+Skills!O15</f>
        <v/>
      </c>
      <c r="G2309">
        <f>Skills!G15*IF(Skills!H15&gt;0,Skills!I15/Skills!H15,1)</f>
        <v/>
      </c>
      <c r="H2309">
        <f>1-(1-Skills!J15/100)^Skills!K15</f>
        <v/>
      </c>
      <c r="I2309" t="inlineStr">
        <is>
          <t>1</t>
        </is>
      </c>
      <c r="J2309" t="inlineStr"/>
      <c r="K2309" t="inlineStr"/>
      <c r="L2309" t="inlineStr"/>
      <c r="M2309" t="inlineStr"/>
      <c r="N2309" t="inlineStr"/>
      <c r="O2309">
        <f>(1-Summary!$B$11)*T2309+Summary!$B$11*V2309</f>
        <v/>
      </c>
      <c r="P2309">
        <f>IF(B2330=0,0,O2309/B2330)</f>
        <v/>
      </c>
      <c r="Q2309" t="n">
        <v>0</v>
      </c>
      <c r="R2309" t="n">
        <v>0</v>
      </c>
      <c r="S2309">
        <f>IFERROR(O2309/N2309,0)</f>
        <v/>
      </c>
      <c r="T2309" t="n">
        <v>0</v>
      </c>
      <c r="V2309" t="n">
        <v>0</v>
      </c>
    </row>
    <row r="2310">
      <c r="A2310">
        <f>Skills!A16</f>
        <v/>
      </c>
      <c r="B2310">
        <f>Skills!B16</f>
        <v/>
      </c>
      <c r="C2310">
        <f>Inputs!$B$3&gt;=15</f>
        <v/>
      </c>
      <c r="D2310">
        <f>IF(Skills!C16=1,60+Inputs!$B$25+Inputs!$B$29,IF(Skills!C16=2,90+Inputs!$B$26+Inputs!$B$29,IF(Skills!C16=3,120+Inputs!$B$27+Inputs!$B$29,MAX(0,(Inputs!$B$3-100)*3)+Inputs!$B$28+Inputs!$B$29)))</f>
        <v/>
      </c>
      <c r="E2310">
        <f>INDEX(FactorTable!$B$2:$Y$301, MATCH(ROUND(MIN(300,MAX(1,D2310)),0), FactorTable!$A$2:$A$301,0), Skills!M16+1)</f>
        <v/>
      </c>
      <c r="F2310">
        <f>IF(Skills!N16=TRUE,(Skills!L16/10)*(E2310/1000),Skills!L16/10)+Skills!O16</f>
        <v/>
      </c>
      <c r="G2310">
        <f>Skills!G16*IF(Skills!H16&gt;0,Skills!I16/Skills!H16,1)</f>
        <v/>
      </c>
      <c r="H2310">
        <f>1-(1-Skills!J16/100)^Skills!K16</f>
        <v/>
      </c>
      <c r="I2310" t="inlineStr">
        <is>
          <t>1</t>
        </is>
      </c>
      <c r="J2310" t="inlineStr"/>
      <c r="K2310" t="inlineStr"/>
      <c r="L2310" t="inlineStr"/>
      <c r="M2310" t="inlineStr"/>
      <c r="N2310" t="inlineStr"/>
      <c r="O2310">
        <f>(1-Summary!$B$11)*T2310+Summary!$B$11*V2310</f>
        <v/>
      </c>
      <c r="P2310">
        <f>IF(B2330=0,0,O2310/B2330)</f>
        <v/>
      </c>
      <c r="Q2310" t="n">
        <v>0</v>
      </c>
      <c r="R2310" t="n">
        <v>0</v>
      </c>
      <c r="S2310">
        <f>IFERROR(O2310/N2310,0)</f>
        <v/>
      </c>
      <c r="T2310" t="n">
        <v>0</v>
      </c>
      <c r="V2310" t="n">
        <v>0</v>
      </c>
    </row>
    <row r="2311">
      <c r="A2311">
        <f>Skills!A17</f>
        <v/>
      </c>
      <c r="B2311">
        <f>Skills!B17</f>
        <v/>
      </c>
      <c r="C2311">
        <f>Inputs!$B$3&gt;=10</f>
        <v/>
      </c>
      <c r="D2311">
        <f>IF(Skills!C17=1,60+Inputs!$B$25+Inputs!$B$29,IF(Skills!C17=2,90+Inputs!$B$26+Inputs!$B$29,IF(Skills!C17=3,120+Inputs!$B$27+Inputs!$B$29,MAX(0,(Inputs!$B$3-100)*3)+Inputs!$B$28+Inputs!$B$29)))</f>
        <v/>
      </c>
      <c r="E2311">
        <f>INDEX(FactorTable!$B$2:$Y$301, MATCH(ROUND(MIN(300,MAX(1,D2311)),0), FactorTable!$A$2:$A$301,0), Skills!M17+1)</f>
        <v/>
      </c>
      <c r="F2311">
        <f>IF(Skills!N17=TRUE,(Skills!L17/10)*(E2311/1000),Skills!L17/10)+Skills!O17</f>
        <v/>
      </c>
      <c r="G2311">
        <f>Skills!G17*IF(Skills!H17&gt;0,Skills!I17/Skills!H17,1)</f>
        <v/>
      </c>
      <c r="H2311">
        <f>1-(1-Skills!J17/100)^Skills!K17</f>
        <v/>
      </c>
      <c r="I2311" t="inlineStr">
        <is>
          <t>1</t>
        </is>
      </c>
      <c r="J2311" t="inlineStr"/>
      <c r="K2311" t="inlineStr"/>
      <c r="L2311" t="inlineStr"/>
      <c r="M2311" t="inlineStr"/>
      <c r="N2311" t="inlineStr"/>
      <c r="O2311">
        <f>(1-Summary!$B$11)*T2311+Summary!$B$11*V2311</f>
        <v/>
      </c>
      <c r="P2311">
        <f>IF(B2330=0,0,O2311/B2330)</f>
        <v/>
      </c>
      <c r="Q2311" t="n">
        <v>0</v>
      </c>
      <c r="R2311" t="n">
        <v>0</v>
      </c>
      <c r="S2311">
        <f>IFERROR(O2311/N2311,0)</f>
        <v/>
      </c>
      <c r="T2311" t="n">
        <v>0</v>
      </c>
      <c r="V2311" t="n">
        <v>0</v>
      </c>
    </row>
    <row r="2312">
      <c r="A2312">
        <f>Skills!A18</f>
        <v/>
      </c>
      <c r="B2312">
        <f>Skills!B18</f>
        <v/>
      </c>
      <c r="C2312">
        <f>Inputs!$B$3&gt;=33</f>
        <v/>
      </c>
      <c r="D2312">
        <f>IF(Skills!C18=1,60+Inputs!$B$25+Inputs!$B$29,IF(Skills!C18=2,90+Inputs!$B$26+Inputs!$B$29,IF(Skills!C18=3,120+Inputs!$B$27+Inputs!$B$29,MAX(0,(Inputs!$B$3-100)*3)+Inputs!$B$28+Inputs!$B$29)))</f>
        <v/>
      </c>
      <c r="E2312">
        <f>INDEX(FactorTable!$B$2:$Y$301, MATCH(ROUND(MIN(300,MAX(1,D2312)),0), FactorTable!$A$2:$A$301,0), Skills!M18+1)</f>
        <v/>
      </c>
      <c r="F2312">
        <f>IF(Skills!N18=TRUE,(Skills!L18/10)*(E2312/1000),Skills!L18/10)+Skills!O18</f>
        <v/>
      </c>
      <c r="G2312">
        <f>Skills!G18*IF(Skills!H18&gt;0,Skills!I18/Skills!H18,1)</f>
        <v/>
      </c>
      <c r="H2312">
        <f>1-(1-Skills!J18/100)^Skills!K18</f>
        <v/>
      </c>
      <c r="I2312" t="inlineStr">
        <is>
          <t>1</t>
        </is>
      </c>
      <c r="J2312" t="inlineStr"/>
      <c r="K2312" t="inlineStr"/>
      <c r="L2312" t="inlineStr"/>
      <c r="M2312" t="inlineStr"/>
      <c r="N2312" t="inlineStr"/>
      <c r="O2312">
        <f>(1-Summary!$B$11)*T2312+Summary!$B$11*V2312</f>
        <v/>
      </c>
      <c r="P2312">
        <f>IF(B2330=0,0,O2312/B2330)</f>
        <v/>
      </c>
      <c r="Q2312" t="n">
        <v>0</v>
      </c>
      <c r="R2312" t="n">
        <v>0</v>
      </c>
      <c r="S2312">
        <f>IFERROR(O2312/N2312,0)</f>
        <v/>
      </c>
      <c r="T2312" t="n">
        <v>0</v>
      </c>
      <c r="V2312" t="n">
        <v>0</v>
      </c>
    </row>
    <row r="2313">
      <c r="A2313">
        <f>Skills!A19</f>
        <v/>
      </c>
      <c r="B2313">
        <f>Skills!B19</f>
        <v/>
      </c>
      <c r="C2313">
        <f>Inputs!$B$3&gt;=40</f>
        <v/>
      </c>
      <c r="D2313">
        <f>IF(Skills!C19=1,60+Inputs!$B$25+Inputs!$B$29,IF(Skills!C19=2,90+Inputs!$B$26+Inputs!$B$29,IF(Skills!C19=3,120+Inputs!$B$27+Inputs!$B$29,MAX(0,(Inputs!$B$3-100)*3)+Inputs!$B$28+Inputs!$B$29)))</f>
        <v/>
      </c>
      <c r="E2313">
        <f>INDEX(FactorTable!$B$2:$Y$301, MATCH(ROUND(MIN(300,MAX(1,D2313)),0), FactorTable!$A$2:$A$301,0), Skills!M19+1)</f>
        <v/>
      </c>
      <c r="F2313">
        <f>IF(Skills!N19=TRUE,(Skills!L19/10)*(E2313/1000),Skills!L19/10)+Skills!O19</f>
        <v/>
      </c>
      <c r="G2313">
        <f>Skills!G19*IF(Skills!H19&gt;0,Skills!I19/Skills!H19,1)</f>
        <v/>
      </c>
      <c r="H2313">
        <f>1-(1-Skills!J19/100)^Skills!K19</f>
        <v/>
      </c>
      <c r="I2313" t="inlineStr">
        <is>
          <t>1</t>
        </is>
      </c>
      <c r="J2313" t="inlineStr"/>
      <c r="K2313" t="inlineStr"/>
      <c r="L2313" t="inlineStr"/>
      <c r="M2313" t="inlineStr"/>
      <c r="N2313" t="inlineStr"/>
      <c r="O2313">
        <f>(1-Summary!$B$11)*T2313+Summary!$B$11*V2313</f>
        <v/>
      </c>
      <c r="P2313">
        <f>IF(B2330=0,0,O2313/B2330)</f>
        <v/>
      </c>
      <c r="Q2313" t="n">
        <v>0</v>
      </c>
      <c r="R2313" t="n">
        <v>0</v>
      </c>
      <c r="S2313">
        <f>IFERROR(O2313/N2313,0)</f>
        <v/>
      </c>
      <c r="T2313" t="n">
        <v>0</v>
      </c>
      <c r="V2313" t="n">
        <v>0</v>
      </c>
    </row>
    <row r="2314">
      <c r="A2314">
        <f>Skills!A20</f>
        <v/>
      </c>
      <c r="B2314">
        <f>Skills!B20</f>
        <v/>
      </c>
      <c r="C2314">
        <f>Inputs!$B$3&gt;=43</f>
        <v/>
      </c>
      <c r="D2314">
        <f>IF(Skills!C20=1,60+Inputs!$B$25+Inputs!$B$29,IF(Skills!C20=2,90+Inputs!$B$26+Inputs!$B$29,IF(Skills!C20=3,120+Inputs!$B$27+Inputs!$B$29,MAX(0,(Inputs!$B$3-100)*3)+Inputs!$B$28+Inputs!$B$29)))</f>
        <v/>
      </c>
      <c r="E2314">
        <f>INDEX(FactorTable!$B$2:$Y$301, MATCH(ROUND(MIN(300,MAX(1,D2314)),0), FactorTable!$A$2:$A$301,0), Skills!M20+1)</f>
        <v/>
      </c>
      <c r="F2314">
        <f>IF(Skills!N20=TRUE,(Skills!L20/10)*(E2314/1000),Skills!L20/10)+Skills!O20</f>
        <v/>
      </c>
      <c r="G2314">
        <f>Skills!G20*IF(Skills!H20&gt;0,Skills!I20/Skills!H20,1)</f>
        <v/>
      </c>
      <c r="H2314">
        <f>1-(1-Skills!J20/100)^Skills!K20</f>
        <v/>
      </c>
      <c r="I2314" t="inlineStr">
        <is>
          <t>1</t>
        </is>
      </c>
      <c r="J2314" t="inlineStr"/>
      <c r="K2314" t="inlineStr"/>
      <c r="L2314" t="inlineStr"/>
      <c r="M2314" t="inlineStr"/>
      <c r="N2314" t="inlineStr"/>
      <c r="O2314">
        <f>(1-Summary!$B$11)*T2314+Summary!$B$11*V2314</f>
        <v/>
      </c>
      <c r="P2314">
        <f>IF(B2330=0,0,O2314/B2330)</f>
        <v/>
      </c>
      <c r="Q2314" t="n">
        <v>0</v>
      </c>
      <c r="R2314" t="n">
        <v>0</v>
      </c>
      <c r="S2314">
        <f>IFERROR(O2314/N2314,0)</f>
        <v/>
      </c>
      <c r="T2314" t="n">
        <v>0</v>
      </c>
      <c r="V2314" t="n">
        <v>0</v>
      </c>
    </row>
    <row r="2315">
      <c r="A2315">
        <f>Skills!A21</f>
        <v/>
      </c>
      <c r="B2315">
        <f>Skills!B21</f>
        <v/>
      </c>
      <c r="C2315">
        <f>Inputs!$B$3&gt;=38</f>
        <v/>
      </c>
      <c r="D2315">
        <f>IF(Skills!C21=1,60+Inputs!$B$25+Inputs!$B$29,IF(Skills!C21=2,90+Inputs!$B$26+Inputs!$B$29,IF(Skills!C21=3,120+Inputs!$B$27+Inputs!$B$29,MAX(0,(Inputs!$B$3-100)*3)+Inputs!$B$28+Inputs!$B$29)))</f>
        <v/>
      </c>
      <c r="E2315">
        <f>INDEX(FactorTable!$B$2:$Y$301, MATCH(ROUND(MIN(300,MAX(1,D2315)),0), FactorTable!$A$2:$A$301,0), Skills!M21+1)</f>
        <v/>
      </c>
      <c r="F2315">
        <f>IF(Skills!N21=TRUE,(Skills!L21/10)*(E2315/1000),Skills!L21/10)+Skills!O21</f>
        <v/>
      </c>
      <c r="G2315">
        <f>Skills!G21*IF(Skills!H21&gt;0,Skills!I21/Skills!H21,1)</f>
        <v/>
      </c>
      <c r="H2315">
        <f>1-(1-Skills!J21/100)^Skills!K21</f>
        <v/>
      </c>
      <c r="I2315" t="inlineStr">
        <is>
          <t>1</t>
        </is>
      </c>
      <c r="J2315" t="inlineStr"/>
      <c r="K2315" t="inlineStr"/>
      <c r="L2315" t="inlineStr"/>
      <c r="M2315" t="inlineStr"/>
      <c r="N2315" t="inlineStr"/>
      <c r="O2315">
        <f>(1-Summary!$B$11)*T2315+Summary!$B$11*V2315</f>
        <v/>
      </c>
      <c r="P2315">
        <f>IF(B2330=0,0,O2315/B2330)</f>
        <v/>
      </c>
      <c r="Q2315" t="n">
        <v>0</v>
      </c>
      <c r="R2315" t="n">
        <v>0</v>
      </c>
      <c r="S2315">
        <f>IFERROR(O2315/N2315,0)</f>
        <v/>
      </c>
      <c r="T2315" t="n">
        <v>0</v>
      </c>
      <c r="V2315" t="n">
        <v>0</v>
      </c>
    </row>
    <row r="2316">
      <c r="A2316">
        <f>Skills!A22</f>
        <v/>
      </c>
      <c r="B2316">
        <f>Skills!B22</f>
        <v/>
      </c>
      <c r="C2316">
        <f>Inputs!$B$3&gt;=75</f>
        <v/>
      </c>
      <c r="D2316">
        <f>IF(Skills!C22=1,60+Inputs!$B$25+Inputs!$B$29,IF(Skills!C22=2,90+Inputs!$B$26+Inputs!$B$29,IF(Skills!C22=3,120+Inputs!$B$27+Inputs!$B$29,MAX(0,(Inputs!$B$3-100)*3)+Inputs!$B$28+Inputs!$B$29)))</f>
        <v/>
      </c>
      <c r="E2316">
        <f>INDEX(FactorTable!$B$2:$Y$301, MATCH(ROUND(MIN(300,MAX(1,D2316)),0), FactorTable!$A$2:$A$301,0), Skills!M22+1)</f>
        <v/>
      </c>
      <c r="F2316">
        <f>IF(Skills!N22=TRUE,(Skills!L22/10)*(E2316/1000),Skills!L22/10)+Skills!O22</f>
        <v/>
      </c>
      <c r="G2316">
        <f>Skills!G22*IF(Skills!H22&gt;0,Skills!I22/Skills!H22,1)</f>
        <v/>
      </c>
      <c r="H2316">
        <f>1-(1-Skills!J22/100)^Skills!K22</f>
        <v/>
      </c>
      <c r="I2316" t="inlineStr">
        <is>
          <t>1</t>
        </is>
      </c>
      <c r="J2316" t="inlineStr"/>
      <c r="K2316" t="inlineStr"/>
      <c r="L2316" t="inlineStr"/>
      <c r="M2316" t="inlineStr"/>
      <c r="N2316" t="inlineStr"/>
      <c r="O2316">
        <f>(1-Summary!$B$11)*T2316+Summary!$B$11*V2316</f>
        <v/>
      </c>
      <c r="P2316">
        <f>IF(B2330=0,0,O2316/B2330)</f>
        <v/>
      </c>
      <c r="Q2316" t="n">
        <v>0</v>
      </c>
      <c r="R2316" t="n">
        <v>0</v>
      </c>
      <c r="S2316">
        <f>IFERROR(O2316/N2316,0)</f>
        <v/>
      </c>
      <c r="T2316" t="n">
        <v>0</v>
      </c>
      <c r="V2316" t="n">
        <v>0</v>
      </c>
    </row>
    <row r="2317">
      <c r="A2317">
        <f>Skills!A23</f>
        <v/>
      </c>
      <c r="B2317">
        <f>Skills!B23</f>
        <v/>
      </c>
      <c r="C2317">
        <f>TRUE</f>
        <v/>
      </c>
      <c r="D2317">
        <f>IF(Skills!C23=1,60+Inputs!$B$25+Inputs!$B$29,IF(Skills!C23=2,90+Inputs!$B$26+Inputs!$B$29,IF(Skills!C23=3,120+Inputs!$B$27+Inputs!$B$29,MAX(0,(Inputs!$B$3-100)*3)+Inputs!$B$28+Inputs!$B$29)))</f>
        <v/>
      </c>
      <c r="E2317">
        <f>INDEX(FactorTable!$B$2:$Y$301, MATCH(ROUND(MIN(300,MAX(1,D2317)),0), FactorTable!$A$2:$A$301,0), Skills!M23+1)</f>
        <v/>
      </c>
      <c r="F2317">
        <f>IF(Skills!N23=TRUE,(Skills!L23/10)*(E2317/1000),Skills!L23/10)+Skills!O23</f>
        <v/>
      </c>
      <c r="G2317">
        <f>Skills!G23*IF(Skills!H23&gt;0,Skills!I23/Skills!H23,1)</f>
        <v/>
      </c>
      <c r="H2317">
        <f>1-(1-Skills!J23/100)^Skills!K23</f>
        <v/>
      </c>
      <c r="I2317" t="inlineStr">
        <is>
          <t>1</t>
        </is>
      </c>
      <c r="J2317" t="inlineStr"/>
      <c r="K2317" t="inlineStr"/>
      <c r="L2317" t="inlineStr"/>
      <c r="M2317" t="inlineStr"/>
      <c r="N2317" t="inlineStr"/>
      <c r="O2317">
        <f>(1-Summary!$B$11)*T2317+Summary!$B$11*V2317</f>
        <v/>
      </c>
      <c r="P2317">
        <f>IF(B2330=0,0,O2317/B2330)</f>
        <v/>
      </c>
      <c r="Q2317">
        <f>IFERROR(1/(IF(Inputs!$B$38="pvp",15,MAX(0.1,Skills!D23-IF(Skills!E23=TRUE,Inputs!$B$32,0)))*(1-IF(AND(ArtifactsInput!$M$27,Inputs!$B$4="Chapter Hunt"),CHOOSE(ArtifactsInput!$N$27+1,20,24,28,32,36,40),0)/100)),0)</f>
        <v/>
      </c>
      <c r="R2317">
        <f>IF(AND(Inputs!$B$38&lt;&gt;"pvp",Inputs!$B$43&gt;0),IF(Inputs!$B$43&lt;=0,0,(INT(Inputs!$B$43/(IF(Inputs!$B$38="pvp",15,MAX(0.1,Skills!D23-IF(Skills!E23=TRUE,Inputs!$B$32,0)))*(1-IF(AND(ArtifactsInput!$M$27,Inputs!$B$4="Chapter Hunt"),CHOOSE(ArtifactsInput!$N$27+1,20,24,28,32,36,40),0)/100)))+1)),0)</f>
        <v/>
      </c>
      <c r="S2317">
        <f>IFERROR(O2317/N2317,0)</f>
        <v/>
      </c>
      <c r="T2317" t="n">
        <v>0</v>
      </c>
      <c r="V2317" t="n">
        <v>0</v>
      </c>
    </row>
    <row r="2319">
      <c r="A2319" t="inlineStr">
        <is>
          <t>Attack% Bucket Multiplier</t>
        </is>
      </c>
      <c r="B2319">
        <f>(1+(((C2307=TRUE)*F2307*5/7)+((C2313=TRUE)*(F2313-Calc!F19))+(IF(ArtifactsInput!$M$21,CHOOSE(ArtifactsInput!$N$21+1,25,30,35,40,45,50)*(IF(OR(Inputs!$B$4="Chapter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0">
      <c r="A2320" t="inlineStr">
        <is>
          <t>Global Crit Rate Bonus %</t>
        </is>
      </c>
      <c r="B2320" t="n">
        <v>0</v>
      </c>
    </row>
    <row r="2321">
      <c r="A2321" t="inlineStr">
        <is>
          <t>Attack Speed Buff Bonus % (Nimble Feet, duty-cycle averaged)</t>
        </is>
      </c>
      <c r="B2321">
        <f>((C2317=TRUE)*F2317*IF(AND(Inputs!$B$38&lt;&gt;"pvp",Inputs!$B$43&gt;0),(((R2317-1)*(Skills!T23*(1+Inputs!$B$34/100))+MIN((Skills!T23*(1+Inputs!$B$34/100)),MAX(0,Inputs!$B$43-((R2317-1)*Skills!D23))))/Inputs!$B$43),IF(Inputs!$B$38="pvp",MIN((Skills!T23*(1+Inputs!$B$34/100)),15)/15,(Skills!T23*(1+Inputs!$B$34/100))/Skills!D23)))</f>
        <v/>
      </c>
    </row>
    <row r="2322">
      <c r="A2322" t="inlineStr">
        <is>
          <t>Actions Per Second</t>
        </is>
      </c>
      <c r="B2322">
        <f>1+MIN(150,150*(1-(1-(Inputs!$B$11+((C2311=TRUE)*(F2311-Calc!F17))+((C2312=TRUE)*(F2312-Calc!F18)))/150)*(1-B2321/150)))/100</f>
        <v/>
      </c>
    </row>
    <row r="2323">
      <c r="A2323" t="inlineStr">
        <is>
          <t>Skill + Buff Cast Rate</t>
        </is>
      </c>
      <c r="B2323">
        <f>IF(AND(Inputs!$B$38&lt;&gt;"pvp",Inputs!$B$43&gt;0),SUMPRODUCT((Skills!E2:E23=TRUE)*(C2296:C2317=TRUE)*R2296:R2317*Skills!F2:F23)/Inputs!$B$43,SUMPRODUCT((Skills!E2:E23=TRUE)*(C2296:C2317=TRUE)*Q2296:Q2317*Skills!F2:F23))</f>
        <v/>
      </c>
    </row>
    <row r="2324">
      <c r="A2324" t="inlineStr">
        <is>
          <t>Hook Bomber Casts Per Second</t>
        </is>
      </c>
      <c r="B2324">
        <f>MAX(0,B2322-B2323)</f>
        <v/>
      </c>
    </row>
    <row r="2325">
      <c r="A2325" t="inlineStr">
        <is>
          <t>Global Critical Damage Bonus % (unused)</t>
        </is>
      </c>
      <c r="B2325" t="n">
        <v>0</v>
      </c>
    </row>
    <row r="2326">
      <c r="A2326" t="inlineStr">
        <is>
          <t>Global Final Damage Bonus % (Serpent Scale + Crossbones + Time Leap + Speed Infusion)</t>
        </is>
      </c>
      <c r="B2326">
        <f>((C2299=TRUE)*F2299*((10+IF(Inputs!$B$3&gt;=94,5,0))/((10+IF(Inputs!$B$3&gt;=94,5,0))+5/(B2324*(1+IF(Inputs!$B$3&gt;=104,1,0))))))+((C2308=TRUE)*F2308)+((C2309=TRUE)*F2309)+((Inputs!$B$3&gt;=110)*20*(B2322-1))</f>
        <v/>
      </c>
    </row>
    <row r="2327">
      <c r="A2327" t="inlineStr">
        <is>
          <t>Buff-Casting Startup Delay (s, fixed-duration only)</t>
        </is>
      </c>
      <c r="B2327">
        <f>IF(AND(Inputs!$B$38&lt;&gt;"pvp",Inputs!$B$43&gt;0),SUMPRODUCT((Skills!T2:T23&gt;0)*(Skills!E2:E23=TRUE)*(C2296:C2317=TRUE))/B2322,0)</f>
        <v/>
      </c>
    </row>
    <row r="2328">
      <c r="A2328" t="inlineStr">
        <is>
          <t>Boss-Only Total DPS (this block's swept value)</t>
        </is>
      </c>
      <c r="B2328">
        <f>SUM(T2296:T2317)</f>
        <v/>
      </c>
    </row>
    <row r="2329">
      <c r="A2329" t="inlineStr">
        <is>
          <t>Normal-Only Total DPS (this block's swept value)</t>
        </is>
      </c>
      <c r="B2329">
        <f>SUM(V2296:V2317)</f>
        <v/>
      </c>
    </row>
    <row r="2330">
      <c r="A2330" s="6" t="inlineStr">
        <is>
          <t>TOTAL DPS</t>
        </is>
      </c>
      <c r="B2330" s="6">
        <f>SUM(O2296:O2317)</f>
        <v/>
      </c>
    </row>
    <row r="2333">
      <c r="A2333" s="6" t="inlineStr">
        <is>
          <t>Stat: Cursed Doll (Equip)</t>
        </is>
      </c>
    </row>
    <row r="2334">
      <c r="A2334" s="5" t="inlineStr">
        <is>
          <t>Key</t>
        </is>
      </c>
      <c r="B2334" s="5" t="inlineStr">
        <is>
          <t>Name</t>
        </is>
      </c>
      <c r="C2334" s="5" t="inlineStr">
        <is>
          <t>Unlocked</t>
        </is>
      </c>
      <c r="D2334" s="5" t="inlineStr">
        <is>
          <t>InputLevel</t>
        </is>
      </c>
      <c r="E2334" s="5" t="inlineStr">
        <is>
          <t>Factor</t>
        </is>
      </c>
      <c r="F2334" s="5" t="inlineStr">
        <is>
          <t>CoefficientPercent</t>
        </is>
      </c>
      <c r="G2334" s="5" t="inlineStr">
        <is>
          <t>EffectiveHits</t>
        </is>
      </c>
      <c r="H2334" s="5" t="inlineStr">
        <is>
          <t>ProcProbability</t>
        </is>
      </c>
      <c r="I2334" s="5" t="inlineStr">
        <is>
          <t>MapleHeroMultiplier</t>
        </is>
      </c>
      <c r="J2334" s="5" t="inlineStr">
        <is>
          <t>BaseDamage</t>
        </is>
      </c>
      <c r="K2334" s="5" t="inlineStr">
        <is>
          <t>BaseHitDamage</t>
        </is>
      </c>
      <c r="L2334" s="5" t="inlineStr">
        <is>
          <t>NonCritAvg</t>
        </is>
      </c>
      <c r="M2334" s="5" t="inlineStr">
        <is>
          <t>CritAvg</t>
        </is>
      </c>
      <c r="N2334" s="5" t="inlineStr">
        <is>
          <t>ExpectedDamage(perHit)</t>
        </is>
      </c>
      <c r="O2334" s="5" t="inlineStr">
        <is>
          <t>DPS</t>
        </is>
      </c>
      <c r="P2334" s="5" t="inlineStr">
        <is>
          <t>% of Total</t>
        </is>
      </c>
      <c r="Q2334" s="5" t="inlineStr">
        <is>
          <t>InvCooldown</t>
        </is>
      </c>
      <c r="R2334" s="5" t="inlineStr">
        <is>
          <t>CastsInFight</t>
        </is>
      </c>
      <c r="S2334" s="5" t="inlineStr">
        <is>
          <t>HitRate(perSec)</t>
        </is>
      </c>
      <c r="U2334" t="inlineStr">
        <is>
          <t>helpers</t>
        </is>
      </c>
    </row>
    <row r="2335">
      <c r="A2335">
        <f>Skills!A2</f>
        <v/>
      </c>
      <c r="B2335">
        <f>Skills!B2</f>
        <v/>
      </c>
      <c r="C2335">
        <f>Inputs!$B$3&gt;=100</f>
        <v/>
      </c>
      <c r="D2335" t="inlineStr"/>
      <c r="E2335" t="inlineStr"/>
      <c r="F2335">
        <f>U2337+Skills!O2</f>
        <v/>
      </c>
      <c r="G2335">
        <f>Skills!G2*IF(Skills!H2&gt;0,Skills!I2/Skills!H2,1)</f>
        <v/>
      </c>
      <c r="H2335">
        <f>1-(1-Skills!J2/100)^Skills!K2</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20)),(Inputs!$B$23+0+(IF(ArtifactsInput!$M$15,CHOOSE(ArtifactsInput!$N$15+1,25,30,35,40,45,50)/100*(Inputs!$B$11-Inputs!$B$11),0))))/100+(Inputs!$B$23+0+(IF(ArtifactsInput!$M$15,CHOOSE(ArtifactsInput!$N$15+1,25,30,35,40,45,50)/100*(Inputs!$B$11-Inputs!$B$11),0)))/100)/2</f>
        <v/>
      </c>
      <c r="M2335">
        <f>L2335*(1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IF(B2369=0,0,O2335/B2369)</f>
        <v/>
      </c>
      <c r="Q2335" t="n">
        <v>0</v>
      </c>
      <c r="R2335" t="n">
        <v>0</v>
      </c>
      <c r="S2335">
        <f>IFERROR(O2335/N2335,0)</f>
        <v/>
      </c>
      <c r="T2335">
        <f>IF(C2335,(Skills!G2*N2335*B2363)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MAX(0,(Inputs!$B$3-100)*3)+Inputs!$B$28+Inputs!$B$29</f>
        <v/>
      </c>
      <c r="V2335">
        <f>IF(C2335,(Skills!G2*N2335*B2363)*IF(Inputs!$B$38="pvp",1,(1+(Inputs!$B$21+Skills!Q2+(IF(ArtifactsInput!$M$33,CHOOSE(ArtifactsInput!$N$33+1,30,36,42,48,54,60),0))+(IF(AND(ArtifactsInput!$M$35,Inputs!$B$4&lt;&gt;"Chapter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Skills!A3</f>
        <v/>
      </c>
      <c r="B2336">
        <f>Skills!B3</f>
        <v/>
      </c>
      <c r="C2336">
        <f>Inputs!$B$3&gt;=35</f>
        <v/>
      </c>
      <c r="D2336">
        <f>IF(Skills!C3=1,60+Inputs!$B$25+Inputs!$B$29,IF(Skills!C3=2,90+Inputs!$B$26+Inputs!$B$29,IF(Skills!C3=3,120+Inputs!$B$27+Inputs!$B$29,MAX(0,(Inputs!$B$3-100)*3)+Inputs!$B$28+Inputs!$B$29)))</f>
        <v/>
      </c>
      <c r="E2336">
        <f>INDEX(FactorTable!$B$2:$Y$301, MATCH(ROUND(MIN(300,MAX(1,D2336)),0), FactorTable!$A$2:$A$301,0), Skills!M3+1)</f>
        <v/>
      </c>
      <c r="F2336">
        <f>IF(Skills!N3=TRUE,(Skills!L3/10)*(E2336/1000),Skills!L3/10)+Skills!O3</f>
        <v/>
      </c>
      <c r="G2336">
        <f>Skills!G3*IF(Skills!H3&gt;0,Skills!I3/Skills!H3,1)</f>
        <v/>
      </c>
      <c r="H2336">
        <f>1-(1-Skills!J3/100)^Skills!K3</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20)),(Inputs!$B$23+0+(IF(ArtifactsInput!$M$15,CHOOSE(ArtifactsInput!$N$15+1,25,30,35,40,45,50)/100*(Inputs!$B$11-Inputs!$B$11),0))))/100+(Inputs!$B$23+0+(IF(ArtifactsInput!$M$15,CHOOSE(ArtifactsInput!$N$15+1,25,30,35,40,45,50)/100*(Inputs!$B$11-Inputs!$B$11),0)))/100)/2</f>
        <v/>
      </c>
      <c r="M2336">
        <f>L2336*(1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IF(B2369=0,0,O2336/B2369)</f>
        <v/>
      </c>
      <c r="Q2336" t="n">
        <v>0</v>
      </c>
      <c r="R2336" t="n">
        <v>0</v>
      </c>
      <c r="S2336">
        <f>IFERROR(O2336/N2336,0)</f>
        <v/>
      </c>
      <c r="T2336">
        <f>IF(C2336,(Skills!G3*H2336*N2336*B2363)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INDEX(FactorTable!$B$2:$Y$301, MATCH(ROUND(MIN(300,MAX(1,U2335)),0), FactorTable!$A$2:$A$301,0), 22)</f>
        <v/>
      </c>
      <c r="V2336">
        <f>IF(C2336,(Skills!G3*H2336*N2336*B2363)*IF(Inputs!$B$38="pvp",1,(1+(Inputs!$B$21+Skills!Q3+(IF(ArtifactsInput!$M$33,CHOOSE(ArtifactsInput!$N$33+1,30,36,42,48,54,60),0))+(IF(AND(ArtifactsInput!$M$35,Inputs!$B$4&lt;&gt;"Chapter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Skills!A4</f>
        <v/>
      </c>
      <c r="B2337">
        <f>Skills!B4</f>
        <v/>
      </c>
      <c r="C2337">
        <f>Inputs!$B$3&gt;=60</f>
        <v/>
      </c>
      <c r="D2337">
        <f>IF(Skills!C4=1,60+Inputs!$B$25+Inputs!$B$29,IF(Skills!C4=2,90+Inputs!$B$26+Inputs!$B$29,IF(Skills!C4=3,120+Inputs!$B$27+Inputs!$B$29,MAX(0,(Inputs!$B$3-100)*3)+Inputs!$B$28+Inputs!$B$29)))</f>
        <v/>
      </c>
      <c r="E2337">
        <f>INDEX(FactorTable!$B$2:$Y$301, MATCH(ROUND(MIN(300,MAX(1,D2337)),0), FactorTable!$A$2:$A$301,0), Skills!M4+1)</f>
        <v/>
      </c>
      <c r="F2337">
        <f>IF(Skills!N4=TRUE,(Skills!L4/10)*(E2337/1000),Skills!L4/10)+Skills!O4</f>
        <v/>
      </c>
      <c r="G2337">
        <f>Skills!G4*IF(Skills!H4&gt;0,Skills!I4/Skills!H4,1)</f>
        <v/>
      </c>
      <c r="H2337">
        <f>1-(1-Skills!J4/100)^Skills!K4</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2345=TRUE,F2345,0)/100)*(1+(IF(Skills!A4="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20)),(Inputs!$B$23+0+(IF(ArtifactsInput!$M$15,CHOOSE(ArtifactsInput!$N$15+1,25,30,35,40,45,50)/100*(Inputs!$B$11-Inputs!$B$11),0))))/100+(Inputs!$B$23+0+(IF(ArtifactsInput!$M$15,CHOOSE(ArtifactsInput!$N$15+1,25,30,35,40,45,50)/100*(Inputs!$B$11-Inputs!$B$11),0)))/100)/2</f>
        <v/>
      </c>
      <c r="M2337">
        <f>L2337*(1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IF(B2369=0,0,O2337/B2369)</f>
        <v/>
      </c>
      <c r="Q2337" t="n">
        <v>0</v>
      </c>
      <c r="R2337" t="n">
        <v>0</v>
      </c>
      <c r="S2337">
        <f>IFERROR(O2337/N2337,0)</f>
        <v/>
      </c>
      <c r="T2337">
        <f>IF(C2337,(Skills!G4*H2337*N2337*B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290*U2336/1000</f>
        <v/>
      </c>
      <c r="V2337">
        <f>IF(C2337,(Skills!G4*H2337*N2337*B2363)*IF(Inputs!$B$38="pvp",1,(1+(Inputs!$B$21+Skills!Q4+(IF(ArtifactsInput!$M$33,CHOOSE(ArtifactsInput!$N$33+1,30,36,42,48,54,60),0))+(IF(AND(ArtifactsInput!$M$35,Inputs!$B$4&lt;&gt;"Chapter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Skills!A5</f>
        <v/>
      </c>
      <c r="B2338">
        <f>Skills!B5</f>
        <v/>
      </c>
      <c r="C2338">
        <f>Inputs!$B$3&gt;=60</f>
        <v/>
      </c>
      <c r="D2338">
        <f>IF(Skills!C5=1,60+Inputs!$B$25+Inputs!$B$29,IF(Skills!C5=2,90+Inputs!$B$26+Inputs!$B$29,IF(Skills!C5=3,120+Inputs!$B$27+Inputs!$B$29,MAX(0,(Inputs!$B$3-100)*3)+Inputs!$B$28+Inputs!$B$29)))</f>
        <v/>
      </c>
      <c r="E2338">
        <f>INDEX(FactorTable!$B$2:$Y$301, MATCH(ROUND(MIN(300,MAX(1,D2338)),0), FactorTable!$A$2:$A$301,0), Skills!M5+1)</f>
        <v/>
      </c>
      <c r="F2338">
        <f>IF(Skills!N5=TRUE,(Skills!L5/10)*(E2338/1000),Skills!L5/10)+Skills!O5</f>
        <v/>
      </c>
      <c r="G2338">
        <f>Skills!G5*IF(Skills!H5&gt;0,Skills!I5/Skills!H5,1)</f>
        <v/>
      </c>
      <c r="H2338">
        <f>1-(1-Skills!J5/100)^Skills!K5</f>
        <v/>
      </c>
      <c r="I2338" t="inlineStr">
        <is>
          <t>1</t>
        </is>
      </c>
      <c r="J2338" t="inlineStr"/>
      <c r="K2338" t="inlineStr"/>
      <c r="L2338" t="inlineStr"/>
      <c r="M2338" t="inlineStr"/>
      <c r="N2338" t="inlineStr"/>
      <c r="O2338">
        <f>(1-Summary!$B$11)*T2338+Summary!$B$11*V2338</f>
        <v/>
      </c>
      <c r="P2338">
        <f>IF(B2369=0,0,O2338/B2369)</f>
        <v/>
      </c>
      <c r="Q2338" t="n">
        <v>0</v>
      </c>
      <c r="R2338" t="n">
        <v>0</v>
      </c>
      <c r="S2338">
        <f>IFERROR(O2338/N2338,0)</f>
        <v/>
      </c>
      <c r="T2338" t="n">
        <v>0</v>
      </c>
      <c r="V2338" t="n">
        <v>0</v>
      </c>
    </row>
    <row r="2339">
      <c r="A2339">
        <f>Skills!A6</f>
        <v/>
      </c>
      <c r="B2339">
        <f>Skills!B6</f>
        <v/>
      </c>
      <c r="C2339">
        <f>Inputs!$B$3&gt;=63</f>
        <v/>
      </c>
      <c r="D2339">
        <f>IF(Skills!C6=1,60+Inputs!$B$25+Inputs!$B$29,IF(Skills!C6=2,90+Inputs!$B$26+Inputs!$B$29,IF(Skills!C6=3,120+Inputs!$B$27+Inputs!$B$29,MAX(0,(Inputs!$B$3-100)*3)+Inputs!$B$28+Inputs!$B$29)))</f>
        <v/>
      </c>
      <c r="E2339">
        <f>INDEX(FactorTable!$B$2:$Y$301, MATCH(ROUND(MIN(300,MAX(1,D2339)),0), FactorTable!$A$2:$A$301,0), Skills!M6+1)</f>
        <v/>
      </c>
      <c r="F2339">
        <f>IF(Skills!N6=TRUE,(Skills!L6/10)*(E2339/1000),Skills!L6/10)+Skills!O6</f>
        <v/>
      </c>
      <c r="G2339">
        <f>Skills!G6*IF(Skills!H6&gt;0,Skills!I6/Skills!H6,1)</f>
        <v/>
      </c>
      <c r="H2339">
        <f>1-(1-Skills!J6/100)^Skills!K6</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2353=TRUE)*(F2353-Calc!F20)),(Inputs!$B$23+0+(IF(ArtifactsInput!$M$15,CHOOSE(ArtifactsInput!$N$15+1,25,30,35,40,45,50)/100*(Inputs!$B$11-Inputs!$B$11),0))))/100+(Inputs!$B$23+0+(IF(ArtifactsInput!$M$15,CHOOSE(ArtifactsInput!$N$15+1,25,30,35,40,45,50)/100*(Inputs!$B$11-Inputs!$B$11),0)))/100)/2</f>
        <v/>
      </c>
      <c r="M2339">
        <f>L2339*(1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IF(B2369=0,0,O2339/B2369)</f>
        <v/>
      </c>
      <c r="Q2339">
        <f>IFERROR(1/(IF(Inputs!$B$38="pvp",15,MAX(0.1,Skills!D6-IF(Skills!E6=TRUE,Inputs!$B$32,0)))*(1-IF(AND(ArtifactsInput!$M$27,Inputs!$B$4="Chapter Hunt"),CHOOSE(ArtifactsInput!$N$27+1,20,24,28,32,36,40),0)/100)),0)</f>
        <v/>
      </c>
      <c r="R2339">
        <f>IF(AND(Inputs!$B$38&lt;&gt;"pvp",Inputs!$B$43&gt;0),IF(MAX(0,Inputs!$B$43-B2366)&lt;=0,0,(INT(MAX(0,Inputs!$B$43-B2366)/(IF(Inputs!$B$38="pvp",15,MAX(0.1,Skills!D6-IF(Skills!E6=TRUE,Inputs!$B$32,0)))*(1-IF(AND(ArtifactsInput!$M$27,Inputs!$B$4="Chapter Hunt"),CHOOSE(ArtifactsInput!$N$27+1,20,24,28,32,36,40),0)/100)))+1)),0)</f>
        <v/>
      </c>
      <c r="S2339">
        <f>IFERROR(O2339/N2339,0)</f>
        <v/>
      </c>
      <c r="T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$21+Skills!Q6+(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Skills!A7</f>
        <v/>
      </c>
      <c r="B2340">
        <f>Skills!B7</f>
        <v/>
      </c>
      <c r="C2340">
        <f>Inputs!$B$3&gt;=100</f>
        <v/>
      </c>
      <c r="D2340">
        <f>IF(Skills!C7=1,60+Inputs!$B$25+Inputs!$B$29,IF(Skills!C7=2,90+Inputs!$B$26+Inputs!$B$29,IF(Skills!C7=3,120+Inputs!$B$27+Inputs!$B$29,MAX(0,(Inputs!$B$3-100)*3)+Inputs!$B$28+Inputs!$B$29)))</f>
        <v/>
      </c>
      <c r="E2340">
        <f>INDEX(FactorTable!$B$2:$Y$301, MATCH(ROUND(MIN(300,MAX(1,D2340)),0), FactorTable!$A$2:$A$301,0), Skills!M7+1)</f>
        <v/>
      </c>
      <c r="F2340">
        <f>IF(Skills!N7=TRUE,(Skills!L7/10)*(E2340/1000),Skills!L7/10)+Skills!O7</f>
        <v/>
      </c>
      <c r="G2340">
        <f>Skills!G7*IF(Skills!H7&gt;0,Skills!I7/Skills!H7,1)</f>
        <v/>
      </c>
      <c r="H2340">
        <f>1-(1-Skills!J7/100)^Skills!K7</f>
        <v/>
      </c>
      <c r="I2340" t="inlineStr">
        <is>
          <t>1</t>
        </is>
      </c>
      <c r="J2340">
        <f>((Inputs!$B$6*(1+Inputs!$B$7/100))+(((Inputs!$B$12*(1+Inputs!$B$13/100))-(Inputs!$B$12*(1+Inputs!$B$13/100)))+0.25*(Inputs!$B$14-Inputs!$B$14))*(1+Inputs!$B$7/100))*(F2340/100)</f>
        <v/>
      </c>
      <c r="K2340">
        <f>J2340*(1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20)),(Inputs!$B$23+0+(IF(ArtifactsInput!$M$15,CHOOSE(ArtifactsInput!$N$15+1,25,30,35,40,45,50)/100*(Inputs!$B$11-Inputs!$B$11),0))))/100+(Inputs!$B$23+0+(IF(ArtifactsInput!$M$15,CHOOSE(ArtifactsInput!$N$15+1,25,30,35,40,45,50)/100*(Inputs!$B$11-Inputs!$B$11),0)))/100)/2</f>
        <v/>
      </c>
      <c r="M2340">
        <f>L2340*(1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IF(B2369=0,0,O2340/B2369)</f>
        <v/>
      </c>
      <c r="Q2340">
        <f>IFERROR(1/(IF(Inputs!$B$38="pvp",15,MAX(0.1,Skills!D7-IF(Skills!E7=TRUE,Inputs!$B$32,0)))*(1-IF(AND(ArtifactsInput!$M$27,Inputs!$B$4="Chapter Hunt"),CHOOSE(ArtifactsInput!$N$27+1,20,24,28,32,36,40),0)/100)),0)</f>
        <v/>
      </c>
      <c r="R2340">
        <f>IF(AND(Inputs!$B$38&lt;&gt;"pvp",Inputs!$B$43&gt;0),IF(MAX(0,Inputs!$B$43-B2366)&lt;=0,0,(INT(MAX(0,Inputs!$B$43-B2366)/(IF(Inputs!$B$38="pvp",15,MAX(0.1,Skills!D7-IF(Skills!E7=TRUE,Inputs!$B$32,0)))*(1-IF(AND(ArtifactsInput!$M$27,Inputs!$B$4="Chapter Hunt"),CHOOSE(ArtifactsInput!$N$27+1,20,24,28,32,36,40),0)/100)))+1)),0)</f>
        <v/>
      </c>
      <c r="S2340">
        <f>IFERROR(O2340/N2340,0)</f>
        <v/>
      </c>
      <c r="T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$21+Skills!Q7+(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Skills!A8</f>
        <v/>
      </c>
      <c r="B2341">
        <f>Skills!B8</f>
        <v/>
      </c>
      <c r="C2341">
        <f>Inputs!$B$3&gt;=110</f>
        <v/>
      </c>
      <c r="D2341">
        <f>IF(Skills!C8=1,60+Inputs!$B$25+Inputs!$B$29,IF(Skills!C8=2,90+Inputs!$B$26+Inputs!$B$29,IF(Skills!C8=3,120+Inputs!$B$27+Inputs!$B$29,MAX(0,(Inputs!$B$3-100)*3)+Inputs!$B$28+Inputs!$B$29)))</f>
        <v/>
      </c>
      <c r="E2341">
        <f>INDEX(FactorTable!$B$2:$Y$301, MATCH(ROUND(MIN(300,MAX(1,D2341)),0), FactorTable!$A$2:$A$301,0), Skills!M8+1)</f>
        <v/>
      </c>
      <c r="F2341">
        <f>IF(Skills!N8=TRUE,(Skills!L8/10)*(E2341/1000),Skills!L8/10)+Skills!O8</f>
        <v/>
      </c>
      <c r="G2341">
        <f>Skills!G8*IF(Skills!H8&gt;0,Skills!I8/Skills!H8,1)</f>
        <v/>
      </c>
      <c r="H2341">
        <f>1-(1-Skills!J8/100)^Skills!K8</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2353=TRUE)*(F2353-Calc!F20)),(Inputs!$B$23+0+(IF(ArtifactsInput!$M$15,CHOOSE(ArtifactsInput!$N$15+1,25,30,35,40,45,50)/100*(Inputs!$B$11-Inputs!$B$11),0))))/100+(Inputs!$B$23+0+(IF(ArtifactsInput!$M$15,CHOOSE(ArtifactsInput!$N$15+1,25,30,35,40,45,50)/100*(Inputs!$B$11-Inputs!$B$11),0)))/100)/2</f>
        <v/>
      </c>
      <c r="M2341">
        <f>L2341*(1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IF(B2369=0,0,O2341/B2369)</f>
        <v/>
      </c>
      <c r="Q2341">
        <f>IFERROR(1/(IF(Inputs!$B$38="pvp",15,MAX(0.1,Skills!D8-IF(Skills!E8=TRUE,Inputs!$B$32,0)))*(1-IF(AND(ArtifactsInput!$M$27,Inputs!$B$4="Chapter Hunt"),CHOOSE(ArtifactsInput!$N$27+1,20,24,28,32,36,40),0)/100)),0)</f>
        <v/>
      </c>
      <c r="R2341">
        <f>IF(AND(Inputs!$B$38&lt;&gt;"pvp",Inputs!$B$43&gt;0),IF(MAX(0,Inputs!$B$43-B2366)&lt;=0,0,(INT(MAX(0,Inputs!$B$43-B2366)/(IF(Inputs!$B$38="pvp",15,MAX(0.1,Skills!D8-IF(Skills!E8=TRUE,Inputs!$B$32,0)))*(1-IF(AND(ArtifactsInput!$M$27,Inputs!$B$4="Chapter Hunt"),CHOOSE(ArtifactsInput!$N$27+1,20,24,28,32,36,40),0)/100)))+1)),0)</f>
        <v/>
      </c>
      <c r="S2341">
        <f>IFERROR(O2341/N2341,0)</f>
        <v/>
      </c>
      <c r="T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$21+Skills!Q8+(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Skills!A9</f>
        <v/>
      </c>
      <c r="B2342">
        <f>Skills!B9</f>
        <v/>
      </c>
      <c r="C2342">
        <f>Inputs!$B$3&gt;=110</f>
        <v/>
      </c>
      <c r="D2342">
        <f>IF(Skills!C9=1,60+Inputs!$B$25+Inputs!$B$29,IF(Skills!C9=2,90+Inputs!$B$26+Inputs!$B$29,IF(Skills!C9=3,120+Inputs!$B$27+Inputs!$B$29,MAX(0,(Inputs!$B$3-100)*3)+Inputs!$B$28+Inputs!$B$29)))</f>
        <v/>
      </c>
      <c r="E2342">
        <f>INDEX(FactorTable!$B$2:$Y$301, MATCH(ROUND(MIN(300,MAX(1,D2342)),0), FactorTable!$A$2:$A$301,0), Skills!M9+1)</f>
        <v/>
      </c>
      <c r="F2342">
        <f>IF(Skills!N9=TRUE,(Skills!L9/10)*(E2342/1000),Skills!L9/10)+Skills!O9</f>
        <v/>
      </c>
      <c r="G2342">
        <f>Skills!G9*IF(Skills!H9&gt;0,Skills!I9/Skills!H9,1)</f>
        <v/>
      </c>
      <c r="H2342">
        <f>1-(1-Skills!J9/100)^Skills!K9</f>
        <v/>
      </c>
      <c r="I2342" t="inlineStr">
        <is>
          <t>1</t>
        </is>
      </c>
      <c r="J2342">
        <f>((Inputs!$B$6*(1+Inputs!$B$7/100))+(((Inputs!$B$12*(1+Inputs!$B$13/100))-(Inputs!$B$12*(1+Inputs!$B$13/100)))+0.25*(Inputs!$B$14-Inputs!$B$14))*(1+Inputs!$B$7/100))*(F2342/100)</f>
        <v/>
      </c>
      <c r="K2342">
        <f>J2342*(1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C2353=TRUE)*(F2353-Calc!F20)),(Inputs!$B$23+0+(IF(ArtifactsInput!$M$15,CHOOSE(ArtifactsInput!$N$15+1,25,30,35,40,45,50)/100*(Inputs!$B$11-Inputs!$B$11),0))))/100+(Inputs!$B$23+0+(IF(ArtifactsInput!$M$15,CHOOSE(ArtifactsInput!$N$15+1,25,30,35,40,45,50)/100*(Inputs!$B$11-Inputs!$B$11),0)))/100)/2</f>
        <v/>
      </c>
      <c r="M2342">
        <f>L2342*(1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(1-Summary!$B$11)*T2342+Summary!$B$11*V2342</f>
        <v/>
      </c>
      <c r="P2342">
        <f>IF(B2369=0,0,O2342/B2369)</f>
        <v/>
      </c>
      <c r="Q2342">
        <f>IFERROR(1/(IF(Inputs!$B$38="pvp",15,MAX(0.1,Skills!D9-IF(Skills!E9=TRUE,Inputs!$B$32,0)))*(1-IF(AND(ArtifactsInput!$M$27,Inputs!$B$4="Chapter Hunt"),CHOOSE(ArtifactsInput!$N$27+1,20,24,28,32,36,40),0)/100)),0)</f>
        <v/>
      </c>
      <c r="R2342">
        <f>IF(AND(Inputs!$B$38&lt;&gt;"pvp",Inputs!$B$43&gt;0),IF(MAX(0,Inputs!$B$43-B2366)&lt;=0,0,(INT(MAX(0,Inputs!$B$43-B2366)/(IF(Inputs!$B$38="pvp",15,MAX(0.1,Skills!D9-IF(Skills!E9=TRUE,Inputs!$B$32,0)))*(1-IF(AND(ArtifactsInput!$M$27,Inputs!$B$4="Chapter Hunt"),CHOOSE(ArtifactsInput!$N$27+1,20,24,28,32,36,40),0)/100)))+1)),0)</f>
        <v/>
      </c>
      <c r="S2342">
        <f>IFERROR(O2342/N2342,0)</f>
        <v/>
      </c>
      <c r="T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$21+Skills!Q9+(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Skills!A10</f>
        <v/>
      </c>
      <c r="B2343">
        <f>Skills!B10</f>
        <v/>
      </c>
      <c r="C2343">
        <f>Inputs!$B$3&gt;=103</f>
        <v/>
      </c>
      <c r="D2343">
        <f>IF(Skills!C10=1,60+Inputs!$B$25+Inputs!$B$29,IF(Skills!C10=2,90+Inputs!$B$26+Inputs!$B$29,IF(Skills!C10=3,120+Inputs!$B$27+Inputs!$B$29,MAX(0,(Inputs!$B$3-100)*3)+Inputs!$B$28+Inputs!$B$29)))</f>
        <v/>
      </c>
      <c r="E2343">
        <f>INDEX(FactorTable!$B$2:$Y$301, MATCH(ROUND(MIN(300,MAX(1,D2343)),0), FactorTable!$A$2:$A$301,0), Skills!M10+1)</f>
        <v/>
      </c>
      <c r="F2343">
        <f>IF(Skills!N10=TRUE,(Skills!L10/10)*(E2343/1000),Skills!L10/10)+Skills!O10</f>
        <v/>
      </c>
      <c r="G2343">
        <f>Skills!G10*IF(Skills!H10&gt;0,Skills!I10/Skills!H10,1)</f>
        <v/>
      </c>
      <c r="H2343">
        <f>1-(1-Skills!J10/100)^Skills!K10</f>
        <v/>
      </c>
      <c r="I2343" t="inlineStr">
        <is>
          <t>1</t>
        </is>
      </c>
      <c r="J2343">
        <f>((Inputs!$B$6*(1+Inputs!$B$7/100))+(((Inputs!$B$12*(1+Inputs!$B$13/100))-(Inputs!$B$12*(1+Inputs!$B$13/100)))+0.25*(Inputs!$B$14-Inputs!$B$14))*(1+Inputs!$B$7/100))*(F2343/100)</f>
        <v/>
      </c>
      <c r="K2343">
        <f>J2343*(1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2353=TRUE)*(F2353-Calc!F20)),(Inputs!$B$23+0+(IF(ArtifactsInput!$M$15,CHOOSE(ArtifactsInput!$N$15+1,25,30,35,40,45,50)/100*(Inputs!$B$11-Inputs!$B$11),0))))/100+(Inputs!$B$23+0+(IF(ArtifactsInput!$M$15,CHOOSE(ArtifactsInput!$N$15+1,25,30,35,40,45,50)/100*(Inputs!$B$11-Inputs!$B$11),0)))/100)/2</f>
        <v/>
      </c>
      <c r="M2343">
        <f>L2343*(1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IF(B2369=0,0,O2343/B2369)</f>
        <v/>
      </c>
      <c r="Q2343">
        <f>IFERROR(1/(IF(Inputs!$B$38="pvp",15,MAX(0.1,Skills!D10-IF(Skills!E10=TRUE,Inputs!$B$32,0)))*(1-IF(AND(ArtifactsInput!$M$27,Inputs!$B$4="Chapter Hunt"),CHOOSE(ArtifactsInput!$N$27+1,20,24,28,32,36,40),0)/100)),0)</f>
        <v/>
      </c>
      <c r="R2343">
        <f>IF(AND(Inputs!$B$38&lt;&gt;"pvp",Inputs!$B$43&gt;0),IF(MAX(0,Inputs!$B$43-B2366)&lt;=0,0,(INT(MAX(0,Inputs!$B$43-B2366)/(IF(Inputs!$B$38="pvp",15,MAX(0.1,Skills!D10-IF(Skills!E10=TRUE,Inputs!$B$32,0)))*(1-IF(AND(ArtifactsInput!$M$27,Inputs!$B$4="Chapter Hunt"),CHOOSE(ArtifactsInput!$N$27+1,20,24,28,32,36,40),0)/100)))+1)),0)</f>
        <v/>
      </c>
      <c r="S2343">
        <f>IFERROR(O2343/N2343,0)</f>
        <v/>
      </c>
      <c r="T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$21+Skills!Q10+(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Skills!A11</f>
        <v/>
      </c>
      <c r="B2344">
        <f>Skills!B11</f>
        <v/>
      </c>
      <c r="C2344">
        <f>Inputs!$B$3&gt;=113</f>
        <v/>
      </c>
      <c r="D2344">
        <f>IF(Skills!C11=1,60+Inputs!$B$25+Inputs!$B$29,IF(Skills!C11=2,90+Inputs!$B$26+Inputs!$B$29,IF(Skills!C11=3,120+Inputs!$B$27+Inputs!$B$29,MAX(0,(Inputs!$B$3-100)*3)+Inputs!$B$28+Inputs!$B$29)))</f>
        <v/>
      </c>
      <c r="E2344">
        <f>INDEX(FactorTable!$B$2:$Y$301, MATCH(ROUND(MIN(300,MAX(1,D2344)),0), FactorTable!$A$2:$A$301,0), Skills!M11+1)</f>
        <v/>
      </c>
      <c r="F2344">
        <f>IF(Skills!N11=TRUE,(Skills!L11/10)*(E2344/1000),Skills!L11/10)+Skills!O11</f>
        <v/>
      </c>
      <c r="G2344">
        <f>Skills!G11*IF(Skills!H11&gt;0,Skills!I11/Skills!H11,1)</f>
        <v/>
      </c>
      <c r="H2344">
        <f>1-(1-Skills!J11/100)^Skills!K11</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2353=TRUE)*(F2353-Calc!F20)),(Inputs!$B$23+0+(IF(ArtifactsInput!$M$15,CHOOSE(ArtifactsInput!$N$15+1,25,30,35,40,45,50)/100*(Inputs!$B$11-Inputs!$B$11),0))))/100+(Inputs!$B$23+0+(IF(ArtifactsInput!$M$15,CHOOSE(ArtifactsInput!$N$15+1,25,30,35,40,45,50)/100*(Inputs!$B$11-Inputs!$B$11),0)))/100)/2</f>
        <v/>
      </c>
      <c r="M2344">
        <f>L2344*(1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IF(B2369=0,0,O2344/B2369)</f>
        <v/>
      </c>
      <c r="Q2344">
        <f>IFERROR(1/(IF(Inputs!$B$38="pvp",15,MAX(0.1,Skills!D11-IF(Skills!E11=TRUE,Inputs!$B$32,0)))*(1-IF(AND(ArtifactsInput!$M$27,Inputs!$B$4="Chapter Hunt"),CHOOSE(ArtifactsInput!$N$27+1,20,24,28,32,36,40),0)/100)),0)</f>
        <v/>
      </c>
      <c r="R2344">
        <f>IF(AND(Inputs!$B$38&lt;&gt;"pvp",Inputs!$B$43&gt;0),IF(MAX(0,Inputs!$B$43-B2366)&lt;=0,0,(INT(MAX(0,Inputs!$B$43-B2366)/(IF(Inputs!$B$38="pvp",15,MAX(0.1,Skills!D11-IF(Skills!E11=TRUE,Inputs!$B$32,0)))*(1-IF(AND(ArtifactsInput!$M$27,Inputs!$B$4="Chapter Hunt"),CHOOSE(ArtifactsInput!$N$27+1,20,24,28,32,36,40),0)/100)))+1)),0)</f>
        <v/>
      </c>
      <c r="S2344">
        <f>IFERROR(O2344/N2344,0)</f>
        <v/>
      </c>
      <c r="T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$21+Skills!Q11+(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Skills!A12</f>
        <v/>
      </c>
      <c r="B2345">
        <f>Skills!B12</f>
        <v/>
      </c>
      <c r="C2345">
        <f>Inputs!$B$3&gt;=100</f>
        <v/>
      </c>
      <c r="D2345">
        <f>IF(Skills!C12=1,60+Inputs!$B$25+Inputs!$B$29,IF(Skills!C12=2,90+Inputs!$B$26+Inputs!$B$29,IF(Skills!C12=3,120+Inputs!$B$27+Inputs!$B$29,MAX(0,(Inputs!$B$3-100)*3)+Inputs!$B$28+Inputs!$B$29)))</f>
        <v/>
      </c>
      <c r="E2345">
        <f>INDEX(FactorTable!$B$2:$Y$301, MATCH(ROUND(MIN(300,MAX(1,D2345)),0), FactorTable!$A$2:$A$301,0), Skills!M12+1)</f>
        <v/>
      </c>
      <c r="F2345">
        <f>IF(Skills!N12=TRUE,(Skills!L12/10)*(E2345/1000),Skills!L12/10)+Skills!O12</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T2345" t="inlineStr"/>
      <c r="V2345" t="inlineStr"/>
    </row>
    <row r="2346">
      <c r="A2346">
        <f>Skills!A13</f>
        <v/>
      </c>
      <c r="B2346">
        <f>Skills!B13</f>
        <v/>
      </c>
      <c r="C2346">
        <f>Inputs!$B$3&gt;=66</f>
        <v/>
      </c>
      <c r="D2346">
        <f>IF(Skills!C13=1,60+Inputs!$B$25+Inputs!$B$29,IF(Skills!C13=2,90+Inputs!$B$26+Inputs!$B$29,IF(Skills!C13=3,120+Inputs!$B$27+Inputs!$B$29,MAX(0,(Inputs!$B$3-100)*3)+Inputs!$B$28+Inputs!$B$29)))</f>
        <v/>
      </c>
      <c r="E2346">
        <f>INDEX(FactorTable!$B$2:$Y$301, MATCH(ROUND(MIN(300,MAX(1,D2346)),0), FactorTable!$A$2:$A$301,0), Skills!M13+1)</f>
        <v/>
      </c>
      <c r="F2346">
        <f>IF(Skills!N13=TRUE,(Skills!L13/10)*(E2346/1000),Skills!L13/10)+Skills!O13</f>
        <v/>
      </c>
      <c r="G2346">
        <f>Skills!G13*IF(Skills!H13&gt;0,Skills!I13/Skills!H13,1)</f>
        <v/>
      </c>
      <c r="H2346">
        <f>1-(1-Skills!J13/100)^Skills!K13</f>
        <v/>
      </c>
      <c r="I2346" t="inlineStr">
        <is>
          <t>1</t>
        </is>
      </c>
      <c r="J2346" t="inlineStr"/>
      <c r="K2346" t="inlineStr"/>
      <c r="L2346" t="inlineStr"/>
      <c r="M2346" t="inlineStr"/>
      <c r="N2346" t="inlineStr"/>
      <c r="O2346">
        <f>(1-Summary!$B$11)*T2346+Summary!$B$11*V2346</f>
        <v/>
      </c>
      <c r="P2346">
        <f>IF(B2369=0,0,O2346/B2369)</f>
        <v/>
      </c>
      <c r="Q2346" t="n">
        <v>0</v>
      </c>
      <c r="R2346" t="n">
        <v>0</v>
      </c>
      <c r="S2346">
        <f>IFERROR(O2346/N2346,0)</f>
        <v/>
      </c>
      <c r="T2346" t="n">
        <v>0</v>
      </c>
      <c r="V2346" t="n">
        <v>0</v>
      </c>
    </row>
    <row r="2347">
      <c r="A2347">
        <f>Skills!A14</f>
        <v/>
      </c>
      <c r="B2347">
        <f>Skills!B14</f>
        <v/>
      </c>
      <c r="C2347">
        <f>Inputs!$B$3&gt;=107</f>
        <v/>
      </c>
      <c r="D2347">
        <f>IF(Skills!C14=1,60+Inputs!$B$25+Inputs!$B$29,IF(Skills!C14=2,90+Inputs!$B$26+Inputs!$B$29,IF(Skills!C14=3,120+Inputs!$B$27+Inputs!$B$29,MAX(0,(Inputs!$B$3-100)*3)+Inputs!$B$28+Inputs!$B$29)))</f>
        <v/>
      </c>
      <c r="E2347">
        <f>INDEX(FactorTable!$B$2:$Y$301, MATCH(ROUND(MIN(300,MAX(1,D2347)),0), FactorTable!$A$2:$A$301,0), Skills!M14+1)</f>
        <v/>
      </c>
      <c r="F2347">
        <f>IF(Skills!N14=TRUE,(Skills!L14/10)*(E2347/1000),Skills!L14/10)+Skills!O14</f>
        <v/>
      </c>
      <c r="G2347">
        <f>Skills!G14*IF(Skills!H14&gt;0,Skills!I14/Skills!H14,1)</f>
        <v/>
      </c>
      <c r="H2347">
        <f>1-(1-Skills!J14/100)^Skills!K14</f>
        <v/>
      </c>
      <c r="I2347" t="inlineStr">
        <is>
          <t>1</t>
        </is>
      </c>
      <c r="J2347" t="inlineStr"/>
      <c r="K2347" t="inlineStr"/>
      <c r="L2347" t="inlineStr"/>
      <c r="M2347" t="inlineStr"/>
      <c r="N2347" t="inlineStr"/>
      <c r="O2347">
        <f>(1-Summary!$B$11)*T2347+Summary!$B$11*V2347</f>
        <v/>
      </c>
      <c r="P2347">
        <f>IF(B2369=0,0,O2347/B2369)</f>
        <v/>
      </c>
      <c r="Q2347" t="n">
        <v>0</v>
      </c>
      <c r="R2347" t="n">
        <v>0</v>
      </c>
      <c r="S2347">
        <f>IFERROR(O2347/N2347,0)</f>
        <v/>
      </c>
      <c r="T2347" t="n">
        <v>0</v>
      </c>
      <c r="V2347" t="n">
        <v>0</v>
      </c>
    </row>
    <row r="2348">
      <c r="A2348">
        <f>Skills!A15</f>
        <v/>
      </c>
      <c r="B2348">
        <f>Skills!B15</f>
        <v/>
      </c>
      <c r="C2348">
        <f>Inputs!$B$3&gt;=115</f>
        <v/>
      </c>
      <c r="D2348">
        <f>IF(Skills!C15=1,60+Inputs!$B$25+Inputs!$B$29,IF(Skills!C15=2,90+Inputs!$B$26+Inputs!$B$29,IF(Skills!C15=3,120+Inputs!$B$27+Inputs!$B$29,MAX(0,(Inputs!$B$3-100)*3)+Inputs!$B$28+Inputs!$B$29)))</f>
        <v/>
      </c>
      <c r="E2348">
        <f>INDEX(FactorTable!$B$2:$Y$301, MATCH(ROUND(MIN(300,MAX(1,D2348)),0), FactorTable!$A$2:$A$301,0), Skills!M15+1)</f>
        <v/>
      </c>
      <c r="F2348">
        <f>IF(Skills!N15=TRUE,(Skills!L15/10)*(E2348/1000),Skills!L15/10)+Skills!O15</f>
        <v/>
      </c>
      <c r="G2348">
        <f>Skills!G15*IF(Skills!H15&gt;0,Skills!I15/Skills!H15,1)</f>
        <v/>
      </c>
      <c r="H2348">
        <f>1-(1-Skills!J15/100)^Skills!K15</f>
        <v/>
      </c>
      <c r="I2348" t="inlineStr">
        <is>
          <t>1</t>
        </is>
      </c>
      <c r="J2348" t="inlineStr"/>
      <c r="K2348" t="inlineStr"/>
      <c r="L2348" t="inlineStr"/>
      <c r="M2348" t="inlineStr"/>
      <c r="N2348" t="inlineStr"/>
      <c r="O2348">
        <f>(1-Summary!$B$11)*T2348+Summary!$B$11*V2348</f>
        <v/>
      </c>
      <c r="P2348">
        <f>IF(B2369=0,0,O2348/B2369)</f>
        <v/>
      </c>
      <c r="Q2348" t="n">
        <v>0</v>
      </c>
      <c r="R2348" t="n">
        <v>0</v>
      </c>
      <c r="S2348">
        <f>IFERROR(O2348/N2348,0)</f>
        <v/>
      </c>
      <c r="T2348" t="n">
        <v>0</v>
      </c>
      <c r="V2348" t="n">
        <v>0</v>
      </c>
    </row>
    <row r="2349">
      <c r="A2349">
        <f>Skills!A16</f>
        <v/>
      </c>
      <c r="B2349">
        <f>Skills!B16</f>
        <v/>
      </c>
      <c r="C2349">
        <f>Inputs!$B$3&gt;=15</f>
        <v/>
      </c>
      <c r="D2349">
        <f>IF(Skills!C16=1,60+Inputs!$B$25+Inputs!$B$29,IF(Skills!C16=2,90+Inputs!$B$26+Inputs!$B$29,IF(Skills!C16=3,120+Inputs!$B$27+Inputs!$B$29,MAX(0,(Inputs!$B$3-100)*3)+Inputs!$B$28+Inputs!$B$29)))</f>
        <v/>
      </c>
      <c r="E2349">
        <f>INDEX(FactorTable!$B$2:$Y$301, MATCH(ROUND(MIN(300,MAX(1,D2349)),0), FactorTable!$A$2:$A$301,0), Skills!M16+1)</f>
        <v/>
      </c>
      <c r="F2349">
        <f>IF(Skills!N16=TRUE,(Skills!L16/10)*(E2349/1000),Skills!L16/10)+Skills!O16</f>
        <v/>
      </c>
      <c r="G2349">
        <f>Skills!G16*IF(Skills!H16&gt;0,Skills!I16/Skills!H16,1)</f>
        <v/>
      </c>
      <c r="H2349">
        <f>1-(1-Skills!J16/100)^Skills!K16</f>
        <v/>
      </c>
      <c r="I2349" t="inlineStr">
        <is>
          <t>1</t>
        </is>
      </c>
      <c r="J2349" t="inlineStr"/>
      <c r="K2349" t="inlineStr"/>
      <c r="L2349" t="inlineStr"/>
      <c r="M2349" t="inlineStr"/>
      <c r="N2349" t="inlineStr"/>
      <c r="O2349">
        <f>(1-Summary!$B$11)*T2349+Summary!$B$11*V2349</f>
        <v/>
      </c>
      <c r="P2349">
        <f>IF(B2369=0,0,O2349/B2369)</f>
        <v/>
      </c>
      <c r="Q2349" t="n">
        <v>0</v>
      </c>
      <c r="R2349" t="n">
        <v>0</v>
      </c>
      <c r="S2349">
        <f>IFERROR(O2349/N2349,0)</f>
        <v/>
      </c>
      <c r="T2349" t="n">
        <v>0</v>
      </c>
      <c r="V2349" t="n">
        <v>0</v>
      </c>
    </row>
    <row r="2350">
      <c r="A2350">
        <f>Skills!A17</f>
        <v/>
      </c>
      <c r="B2350">
        <f>Skills!B17</f>
        <v/>
      </c>
      <c r="C2350">
        <f>Inputs!$B$3&gt;=10</f>
        <v/>
      </c>
      <c r="D2350">
        <f>IF(Skills!C17=1,60+Inputs!$B$25+Inputs!$B$29,IF(Skills!C17=2,90+Inputs!$B$26+Inputs!$B$29,IF(Skills!C17=3,120+Inputs!$B$27+Inputs!$B$29,MAX(0,(Inputs!$B$3-100)*3)+Inputs!$B$28+Inputs!$B$29)))</f>
        <v/>
      </c>
      <c r="E2350">
        <f>INDEX(FactorTable!$B$2:$Y$301, MATCH(ROUND(MIN(300,MAX(1,D2350)),0), FactorTable!$A$2:$A$301,0), Skills!M17+1)</f>
        <v/>
      </c>
      <c r="F2350">
        <f>IF(Skills!N17=TRUE,(Skills!L17/10)*(E2350/1000),Skills!L17/10)+Skills!O17</f>
        <v/>
      </c>
      <c r="G2350">
        <f>Skills!G17*IF(Skills!H17&gt;0,Skills!I17/Skills!H17,1)</f>
        <v/>
      </c>
      <c r="H2350">
        <f>1-(1-Skills!J17/100)^Skills!K17</f>
        <v/>
      </c>
      <c r="I2350" t="inlineStr">
        <is>
          <t>1</t>
        </is>
      </c>
      <c r="J2350" t="inlineStr"/>
      <c r="K2350" t="inlineStr"/>
      <c r="L2350" t="inlineStr"/>
      <c r="M2350" t="inlineStr"/>
      <c r="N2350" t="inlineStr"/>
      <c r="O2350">
        <f>(1-Summary!$B$11)*T2350+Summary!$B$11*V2350</f>
        <v/>
      </c>
      <c r="P2350">
        <f>IF(B2369=0,0,O2350/B2369)</f>
        <v/>
      </c>
      <c r="Q2350" t="n">
        <v>0</v>
      </c>
      <c r="R2350" t="n">
        <v>0</v>
      </c>
      <c r="S2350">
        <f>IFERROR(O2350/N2350,0)</f>
        <v/>
      </c>
      <c r="T2350" t="n">
        <v>0</v>
      </c>
      <c r="V2350" t="n">
        <v>0</v>
      </c>
    </row>
    <row r="2351">
      <c r="A2351">
        <f>Skills!A18</f>
        <v/>
      </c>
      <c r="B2351">
        <f>Skills!B18</f>
        <v/>
      </c>
      <c r="C2351">
        <f>Inputs!$B$3&gt;=33</f>
        <v/>
      </c>
      <c r="D2351">
        <f>IF(Skills!C18=1,60+Inputs!$B$25+Inputs!$B$29,IF(Skills!C18=2,90+Inputs!$B$26+Inputs!$B$29,IF(Skills!C18=3,120+Inputs!$B$27+Inputs!$B$29,MAX(0,(Inputs!$B$3-100)*3)+Inputs!$B$28+Inputs!$B$29)))</f>
        <v/>
      </c>
      <c r="E2351">
        <f>INDEX(FactorTable!$B$2:$Y$301, MATCH(ROUND(MIN(300,MAX(1,D2351)),0), FactorTable!$A$2:$A$301,0), Skills!M18+1)</f>
        <v/>
      </c>
      <c r="F2351">
        <f>IF(Skills!N18=TRUE,(Skills!L18/10)*(E2351/1000),Skills!L18/10)+Skills!O18</f>
        <v/>
      </c>
      <c r="G2351">
        <f>Skills!G18*IF(Skills!H18&gt;0,Skills!I18/Skills!H18,1)</f>
        <v/>
      </c>
      <c r="H2351">
        <f>1-(1-Skills!J18/100)^Skills!K18</f>
        <v/>
      </c>
      <c r="I2351" t="inlineStr">
        <is>
          <t>1</t>
        </is>
      </c>
      <c r="J2351" t="inlineStr"/>
      <c r="K2351" t="inlineStr"/>
      <c r="L2351" t="inlineStr"/>
      <c r="M2351" t="inlineStr"/>
      <c r="N2351" t="inlineStr"/>
      <c r="O2351">
        <f>(1-Summary!$B$11)*T2351+Summary!$B$11*V2351</f>
        <v/>
      </c>
      <c r="P2351">
        <f>IF(B2369=0,0,O2351/B2369)</f>
        <v/>
      </c>
      <c r="Q2351" t="n">
        <v>0</v>
      </c>
      <c r="R2351" t="n">
        <v>0</v>
      </c>
      <c r="S2351">
        <f>IFERROR(O2351/N2351,0)</f>
        <v/>
      </c>
      <c r="T2351" t="n">
        <v>0</v>
      </c>
      <c r="V2351" t="n">
        <v>0</v>
      </c>
    </row>
    <row r="2352">
      <c r="A2352">
        <f>Skills!A19</f>
        <v/>
      </c>
      <c r="B2352">
        <f>Skills!B19</f>
        <v/>
      </c>
      <c r="C2352">
        <f>Inputs!$B$3&gt;=40</f>
        <v/>
      </c>
      <c r="D2352">
        <f>IF(Skills!C19=1,60+Inputs!$B$25+Inputs!$B$29,IF(Skills!C19=2,90+Inputs!$B$26+Inputs!$B$29,IF(Skills!C19=3,120+Inputs!$B$27+Inputs!$B$29,MAX(0,(Inputs!$B$3-100)*3)+Inputs!$B$28+Inputs!$B$29)))</f>
        <v/>
      </c>
      <c r="E2352">
        <f>INDEX(FactorTable!$B$2:$Y$301, MATCH(ROUND(MIN(300,MAX(1,D2352)),0), FactorTable!$A$2:$A$301,0), Skills!M19+1)</f>
        <v/>
      </c>
      <c r="F2352">
        <f>IF(Skills!N19=TRUE,(Skills!L19/10)*(E2352/1000),Skills!L19/10)+Skills!O19</f>
        <v/>
      </c>
      <c r="G2352">
        <f>Skills!G19*IF(Skills!H19&gt;0,Skills!I19/Skills!H19,1)</f>
        <v/>
      </c>
      <c r="H2352">
        <f>1-(1-Skills!J19/100)^Skills!K19</f>
        <v/>
      </c>
      <c r="I2352" t="inlineStr">
        <is>
          <t>1</t>
        </is>
      </c>
      <c r="J2352" t="inlineStr"/>
      <c r="K2352" t="inlineStr"/>
      <c r="L2352" t="inlineStr"/>
      <c r="M2352" t="inlineStr"/>
      <c r="N2352" t="inlineStr"/>
      <c r="O2352">
        <f>(1-Summary!$B$11)*T2352+Summary!$B$11*V2352</f>
        <v/>
      </c>
      <c r="P2352">
        <f>IF(B2369=0,0,O2352/B2369)</f>
        <v/>
      </c>
      <c r="Q2352" t="n">
        <v>0</v>
      </c>
      <c r="R2352" t="n">
        <v>0</v>
      </c>
      <c r="S2352">
        <f>IFERROR(O2352/N2352,0)</f>
        <v/>
      </c>
      <c r="T2352" t="n">
        <v>0</v>
      </c>
      <c r="V2352" t="n">
        <v>0</v>
      </c>
    </row>
    <row r="2353">
      <c r="A2353">
        <f>Skills!A20</f>
        <v/>
      </c>
      <c r="B2353">
        <f>Skills!B20</f>
        <v/>
      </c>
      <c r="C2353">
        <f>Inputs!$B$3&gt;=43</f>
        <v/>
      </c>
      <c r="D2353">
        <f>IF(Skills!C20=1,60+Inputs!$B$25+Inputs!$B$29,IF(Skills!C20=2,90+Inputs!$B$26+Inputs!$B$29,IF(Skills!C20=3,120+Inputs!$B$27+Inputs!$B$29,MAX(0,(Inputs!$B$3-100)*3)+Inputs!$B$28+Inputs!$B$29)))</f>
        <v/>
      </c>
      <c r="E2353">
        <f>INDEX(FactorTable!$B$2:$Y$301, MATCH(ROUND(MIN(300,MAX(1,D2353)),0), FactorTable!$A$2:$A$301,0), Skills!M20+1)</f>
        <v/>
      </c>
      <c r="F2353">
        <f>IF(Skills!N20=TRUE,(Skills!L20/10)*(E2353/1000),Skills!L20/10)+Skills!O20</f>
        <v/>
      </c>
      <c r="G2353">
        <f>Skills!G20*IF(Skills!H20&gt;0,Skills!I20/Skills!H20,1)</f>
        <v/>
      </c>
      <c r="H2353">
        <f>1-(1-Skills!J20/100)^Skills!K20</f>
        <v/>
      </c>
      <c r="I2353" t="inlineStr">
        <is>
          <t>1</t>
        </is>
      </c>
      <c r="J2353" t="inlineStr"/>
      <c r="K2353" t="inlineStr"/>
      <c r="L2353" t="inlineStr"/>
      <c r="M2353" t="inlineStr"/>
      <c r="N2353" t="inlineStr"/>
      <c r="O2353">
        <f>(1-Summary!$B$11)*T2353+Summary!$B$11*V2353</f>
        <v/>
      </c>
      <c r="P2353">
        <f>IF(B2369=0,0,O2353/B2369)</f>
        <v/>
      </c>
      <c r="Q2353" t="n">
        <v>0</v>
      </c>
      <c r="R2353" t="n">
        <v>0</v>
      </c>
      <c r="S2353">
        <f>IFERROR(O2353/N2353,0)</f>
        <v/>
      </c>
      <c r="T2353" t="n">
        <v>0</v>
      </c>
      <c r="V2353" t="n">
        <v>0</v>
      </c>
    </row>
    <row r="2354">
      <c r="A2354">
        <f>Skills!A21</f>
        <v/>
      </c>
      <c r="B2354">
        <f>Skills!B21</f>
        <v/>
      </c>
      <c r="C2354">
        <f>Inputs!$B$3&gt;=38</f>
        <v/>
      </c>
      <c r="D2354">
        <f>IF(Skills!C21=1,60+Inputs!$B$25+Inputs!$B$29,IF(Skills!C21=2,90+Inputs!$B$26+Inputs!$B$29,IF(Skills!C21=3,120+Inputs!$B$27+Inputs!$B$29,MAX(0,(Inputs!$B$3-100)*3)+Inputs!$B$28+Inputs!$B$29)))</f>
        <v/>
      </c>
      <c r="E2354">
        <f>INDEX(FactorTable!$B$2:$Y$301, MATCH(ROUND(MIN(300,MAX(1,D2354)),0), FactorTable!$A$2:$A$301,0), Skills!M21+1)</f>
        <v/>
      </c>
      <c r="F2354">
        <f>IF(Skills!N21=TRUE,(Skills!L21/10)*(E2354/1000),Skills!L21/10)+Skills!O21</f>
        <v/>
      </c>
      <c r="G2354">
        <f>Skills!G21*IF(Skills!H21&gt;0,Skills!I21/Skills!H21,1)</f>
        <v/>
      </c>
      <c r="H2354">
        <f>1-(1-Skills!J21/100)^Skills!K21</f>
        <v/>
      </c>
      <c r="I2354" t="inlineStr">
        <is>
          <t>1</t>
        </is>
      </c>
      <c r="J2354" t="inlineStr"/>
      <c r="K2354" t="inlineStr"/>
      <c r="L2354" t="inlineStr"/>
      <c r="M2354" t="inlineStr"/>
      <c r="N2354" t="inlineStr"/>
      <c r="O2354">
        <f>(1-Summary!$B$11)*T2354+Summary!$B$11*V2354</f>
        <v/>
      </c>
      <c r="P2354">
        <f>IF(B2369=0,0,O2354/B2369)</f>
        <v/>
      </c>
      <c r="Q2354" t="n">
        <v>0</v>
      </c>
      <c r="R2354" t="n">
        <v>0</v>
      </c>
      <c r="S2354">
        <f>IFERROR(O2354/N2354,0)</f>
        <v/>
      </c>
      <c r="T2354" t="n">
        <v>0</v>
      </c>
      <c r="V2354" t="n">
        <v>0</v>
      </c>
    </row>
    <row r="2355">
      <c r="A2355">
        <f>Skills!A22</f>
        <v/>
      </c>
      <c r="B2355">
        <f>Skills!B22</f>
        <v/>
      </c>
      <c r="C2355">
        <f>Inputs!$B$3&gt;=75</f>
        <v/>
      </c>
      <c r="D2355">
        <f>IF(Skills!C22=1,60+Inputs!$B$25+Inputs!$B$29,IF(Skills!C22=2,90+Inputs!$B$26+Inputs!$B$29,IF(Skills!C22=3,120+Inputs!$B$27+Inputs!$B$29,MAX(0,(Inputs!$B$3-100)*3)+Inputs!$B$28+Inputs!$B$29)))</f>
        <v/>
      </c>
      <c r="E2355">
        <f>INDEX(FactorTable!$B$2:$Y$301, MATCH(ROUND(MIN(300,MAX(1,D2355)),0), FactorTable!$A$2:$A$301,0), Skills!M22+1)</f>
        <v/>
      </c>
      <c r="F2355">
        <f>IF(Skills!N22=TRUE,(Skills!L22/10)*(E2355/1000),Skills!L22/10)+Skills!O22</f>
        <v/>
      </c>
      <c r="G2355">
        <f>Skills!G22*IF(Skills!H22&gt;0,Skills!I22/Skills!H22,1)</f>
        <v/>
      </c>
      <c r="H2355">
        <f>1-(1-Skills!J22/100)^Skills!K22</f>
        <v/>
      </c>
      <c r="I2355" t="inlineStr">
        <is>
          <t>1</t>
        </is>
      </c>
      <c r="J2355" t="inlineStr"/>
      <c r="K2355" t="inlineStr"/>
      <c r="L2355" t="inlineStr"/>
      <c r="M2355" t="inlineStr"/>
      <c r="N2355" t="inlineStr"/>
      <c r="O2355">
        <f>(1-Summary!$B$11)*T2355+Summary!$B$11*V2355</f>
        <v/>
      </c>
      <c r="P2355">
        <f>IF(B2369=0,0,O2355/B2369)</f>
        <v/>
      </c>
      <c r="Q2355" t="n">
        <v>0</v>
      </c>
      <c r="R2355" t="n">
        <v>0</v>
      </c>
      <c r="S2355">
        <f>IFERROR(O2355/N2355,0)</f>
        <v/>
      </c>
      <c r="T2355" t="n">
        <v>0</v>
      </c>
      <c r="V2355" t="n">
        <v>0</v>
      </c>
    </row>
    <row r="2356">
      <c r="A2356">
        <f>Skills!A23</f>
        <v/>
      </c>
      <c r="B2356">
        <f>Skills!B23</f>
        <v/>
      </c>
      <c r="C2356">
        <f>TRUE</f>
        <v/>
      </c>
      <c r="D2356">
        <f>IF(Skills!C23=1,60+Inputs!$B$25+Inputs!$B$29,IF(Skills!C23=2,90+Inputs!$B$26+Inputs!$B$29,IF(Skills!C23=3,120+Inputs!$B$27+Inputs!$B$29,MAX(0,(Inputs!$B$3-100)*3)+Inputs!$B$28+Inputs!$B$29)))</f>
        <v/>
      </c>
      <c r="E2356">
        <f>INDEX(FactorTable!$B$2:$Y$301, MATCH(ROUND(MIN(300,MAX(1,D2356)),0), FactorTable!$A$2:$A$301,0), Skills!M23+1)</f>
        <v/>
      </c>
      <c r="F2356">
        <f>IF(Skills!N23=TRUE,(Skills!L23/10)*(E2356/1000),Skills!L23/10)+Skills!O23</f>
        <v/>
      </c>
      <c r="G2356">
        <f>Skills!G23*IF(Skills!H23&gt;0,Skills!I23/Skills!H23,1)</f>
        <v/>
      </c>
      <c r="H2356">
        <f>1-(1-Skills!J23/100)^Skills!K23</f>
        <v/>
      </c>
      <c r="I2356" t="inlineStr">
        <is>
          <t>1</t>
        </is>
      </c>
      <c r="J2356" t="inlineStr"/>
      <c r="K2356" t="inlineStr"/>
      <c r="L2356" t="inlineStr"/>
      <c r="M2356" t="inlineStr"/>
      <c r="N2356" t="inlineStr"/>
      <c r="O2356">
        <f>(1-Summary!$B$11)*T2356+Summary!$B$11*V2356</f>
        <v/>
      </c>
      <c r="P2356">
        <f>IF(B2369=0,0,O2356/B2369)</f>
        <v/>
      </c>
      <c r="Q2356">
        <f>IFERROR(1/(IF(Inputs!$B$38="pvp",15,MAX(0.1,Skills!D23-IF(Skills!E23=TRUE,Inputs!$B$32,0)))*(1-IF(AND(ArtifactsInput!$M$27,Inputs!$B$4="Chapter Hunt"),CHOOSE(ArtifactsInput!$N$27+1,20,24,28,32,36,40),0)/100)),0)</f>
        <v/>
      </c>
      <c r="R2356">
        <f>IF(AND(Inputs!$B$38&lt;&gt;"pvp",Inputs!$B$43&gt;0),IF(Inputs!$B$43&lt;=0,0,(INT(Inputs!$B$43/(IF(Inputs!$B$38="pvp",15,MAX(0.1,Skills!D23-IF(Skills!E23=TRUE,Inputs!$B$32,0)))*(1-IF(AND(ArtifactsInput!$M$27,Inputs!$B$4="Chapter Hunt"),CHOOSE(ArtifactsInput!$N$27+1,20,24,28,32,36,40),0)/100)))+1)),0)</f>
        <v/>
      </c>
      <c r="S2356">
        <f>IFERROR(O2356/N2356,0)</f>
        <v/>
      </c>
      <c r="T2356" t="n">
        <v>0</v>
      </c>
      <c r="V2356" t="n">
        <v>0</v>
      </c>
    </row>
    <row r="2358">
      <c r="A2358" t="inlineStr">
        <is>
          <t>Attack% Bucket Multiplier</t>
        </is>
      </c>
      <c r="B2358">
        <f>(1+(((C2346=TRUE)*F2346*5/7)+((C2352=TRUE)*(F2352-Calc!F19))+(IF(ArtifactsInput!$M$21,CHOOSE(ArtifactsInput!$N$21+1,25,30,35,40,45,50)*(IF(OR(Inputs!$B$4="Chapter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9">
      <c r="A2359" t="inlineStr">
        <is>
          <t>Global Crit Rate Bonus %</t>
        </is>
      </c>
      <c r="B2359" t="n">
        <v>0</v>
      </c>
    </row>
    <row r="2360">
      <c r="A2360" t="inlineStr">
        <is>
          <t>Attack Speed Buff Bonus % (Nimble Feet, duty-cycle averaged)</t>
        </is>
      </c>
      <c r="B2360">
        <f>((C2356=TRUE)*F2356*IF(AND(Inputs!$B$38&lt;&gt;"pvp",Inputs!$B$43&gt;0),(((R2356-1)*(Skills!T23*(1+Inputs!$B$34/100))+MIN((Skills!T23*(1+Inputs!$B$34/100)),MAX(0,Inputs!$B$43-((R2356-1)*Skills!D23))))/Inputs!$B$43),IF(Inputs!$B$38="pvp",MIN((Skills!T23*(1+Inputs!$B$34/100)),15)/15,(Skills!T23*(1+Inputs!$B$34/100))/Skills!D23)))</f>
        <v/>
      </c>
    </row>
    <row r="2361">
      <c r="A2361" t="inlineStr">
        <is>
          <t>Actions Per Second</t>
        </is>
      </c>
      <c r="B2361">
        <f>1+MIN(150,150*(1-(1-(Inputs!$B$11+((C2350=TRUE)*(F2350-Calc!F17))+((C2351=TRUE)*(F2351-Calc!F18)))/150)*(1-B2360/150)))/100</f>
        <v/>
      </c>
    </row>
    <row r="2362">
      <c r="A2362" t="inlineStr">
        <is>
          <t>Skill + Buff Cast Rate</t>
        </is>
      </c>
      <c r="B2362">
        <f>IF(AND(Inputs!$B$38&lt;&gt;"pvp",Inputs!$B$43&gt;0),SUMPRODUCT((Skills!E2:E23=TRUE)*(C2335:C2356=TRUE)*R2335:R2356*Skills!F2:F23)/Inputs!$B$43,SUMPRODUCT((Skills!E2:E23=TRUE)*(C2335:C2356=TRUE)*Q2335:Q2356*Skills!F2:F23))</f>
        <v/>
      </c>
    </row>
    <row r="2363">
      <c r="A2363" t="inlineStr">
        <is>
          <t>Hook Bomber Casts Per Second</t>
        </is>
      </c>
      <c r="B2363">
        <f>MAX(0,B2361-B2362)</f>
        <v/>
      </c>
    </row>
    <row r="2364">
      <c r="A2364" t="inlineStr">
        <is>
          <t>Global Critical Damage Bonus % (unused)</t>
        </is>
      </c>
      <c r="B2364" t="n">
        <v>0</v>
      </c>
    </row>
    <row r="2365">
      <c r="A2365" t="inlineStr">
        <is>
          <t>Global Final Damage Bonus % (Serpent Scale + Crossbones + Time Leap + Speed Infusion)</t>
        </is>
      </c>
      <c r="B2365">
        <f>((C2338=TRUE)*F2338*((10+IF(Inputs!$B$3&gt;=94,5,0))/((10+IF(Inputs!$B$3&gt;=94,5,0))+5/(B2363*(1+IF(Inputs!$B$3&gt;=104,1,0))))))+((C2347=TRUE)*F2347)+((C2348=TRUE)*F2348)+((Inputs!$B$3&gt;=110)*20*(B2361-1))</f>
        <v/>
      </c>
    </row>
    <row r="2366">
      <c r="A2366" t="inlineStr">
        <is>
          <t>Buff-Casting Startup Delay (s, fixed-duration only)</t>
        </is>
      </c>
      <c r="B2366">
        <f>IF(AND(Inputs!$B$38&lt;&gt;"pvp",Inputs!$B$43&gt;0),SUMPRODUCT((Skills!T2:T23&gt;0)*(Skills!E2:E23=TRUE)*(C2335:C2356=TRUE))/B2361,0)</f>
        <v/>
      </c>
    </row>
    <row r="2367">
      <c r="A2367" t="inlineStr">
        <is>
          <t>Boss-Only Total DPS (this block's swept value)</t>
        </is>
      </c>
      <c r="B2367">
        <f>SUM(T2335:T2356)</f>
        <v/>
      </c>
    </row>
    <row r="2368">
      <c r="A2368" t="inlineStr">
        <is>
          <t>Normal-Only Total DPS (this block's swept value)</t>
        </is>
      </c>
      <c r="B2368">
        <f>SUM(V2335:V2356)</f>
        <v/>
      </c>
    </row>
    <row r="2369">
      <c r="A2369" s="6" t="inlineStr">
        <is>
          <t>TOTAL DPS</t>
        </is>
      </c>
      <c r="B2369" s="6">
        <f>SUM(O2335:O2356)</f>
        <v/>
      </c>
    </row>
    <row r="2372">
      <c r="A2372" s="6" t="inlineStr">
        <is>
          <t>Stat: Reindeer's Spear (Equip)</t>
        </is>
      </c>
    </row>
    <row r="2373">
      <c r="A2373" s="5" t="inlineStr">
        <is>
          <t>Key</t>
        </is>
      </c>
      <c r="B2373" s="5" t="inlineStr">
        <is>
          <t>Name</t>
        </is>
      </c>
      <c r="C2373" s="5" t="inlineStr">
        <is>
          <t>Unlocked</t>
        </is>
      </c>
      <c r="D2373" s="5" t="inlineStr">
        <is>
          <t>InputLevel</t>
        </is>
      </c>
      <c r="E2373" s="5" t="inlineStr">
        <is>
          <t>Factor</t>
        </is>
      </c>
      <c r="F2373" s="5" t="inlineStr">
        <is>
          <t>CoefficientPercent</t>
        </is>
      </c>
      <c r="G2373" s="5" t="inlineStr">
        <is>
          <t>EffectiveHits</t>
        </is>
      </c>
      <c r="H2373" s="5" t="inlineStr">
        <is>
          <t>ProcProbability</t>
        </is>
      </c>
      <c r="I2373" s="5" t="inlineStr">
        <is>
          <t>MapleHeroMultiplier</t>
        </is>
      </c>
      <c r="J2373" s="5" t="inlineStr">
        <is>
          <t>BaseDamage</t>
        </is>
      </c>
      <c r="K2373" s="5" t="inlineStr">
        <is>
          <t>BaseHitDamage</t>
        </is>
      </c>
      <c r="L2373" s="5" t="inlineStr">
        <is>
          <t>NonCritAvg</t>
        </is>
      </c>
      <c r="M2373" s="5" t="inlineStr">
        <is>
          <t>CritAvg</t>
        </is>
      </c>
      <c r="N2373" s="5" t="inlineStr">
        <is>
          <t>ExpectedDamage(perHit)</t>
        </is>
      </c>
      <c r="O2373" s="5" t="inlineStr">
        <is>
          <t>DPS</t>
        </is>
      </c>
      <c r="P2373" s="5" t="inlineStr">
        <is>
          <t>% of Total</t>
        </is>
      </c>
      <c r="Q2373" s="5" t="inlineStr">
        <is>
          <t>InvCooldown</t>
        </is>
      </c>
      <c r="R2373" s="5" t="inlineStr">
        <is>
          <t>CastsInFight</t>
        </is>
      </c>
      <c r="S2373" s="5" t="inlineStr">
        <is>
          <t>HitRate(perSec)</t>
        </is>
      </c>
      <c r="U2373" t="inlineStr">
        <is>
          <t>helpers</t>
        </is>
      </c>
    </row>
    <row r="2374">
      <c r="A2374">
        <f>Skills!A2</f>
        <v/>
      </c>
      <c r="B2374">
        <f>Skills!B2</f>
        <v/>
      </c>
      <c r="C2374">
        <f>Inputs!$B$3&gt;=100</f>
        <v/>
      </c>
      <c r="D2374" t="inlineStr"/>
      <c r="E2374" t="inlineStr"/>
      <c r="F2374">
        <f>U2376+Skills!O2</f>
        <v/>
      </c>
      <c r="G2374">
        <f>Skills!G2*IF(Skills!H2&gt;0,Skills!I2/Skills!H2,1)</f>
        <v/>
      </c>
      <c r="H2374">
        <f>1-(1-Skills!J2/100)^Skills!K2</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2392=TRUE)*(F2392-Calc!F20)),(Inputs!$B$23+0+(IF(ArtifactsInput!$M$15,CHOOSE(ArtifactsInput!$N$15+1,25,30,35,40,45,50)/100*(Inputs!$B$11-Inputs!$B$11),0))))/100+(Inputs!$B$23+0+(IF(ArtifactsInput!$M$15,CHOOSE(ArtifactsInput!$N$15+1,25,30,35,40,45,50)/100*(Inputs!$B$11-Inputs!$B$11),0)))/100)/2</f>
        <v/>
      </c>
      <c r="M2374">
        <f>L2374*(1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IF(B2408=0,0,O2374/B2408)</f>
        <v/>
      </c>
      <c r="Q2374" t="n">
        <v>0</v>
      </c>
      <c r="R2374" t="n">
        <v>0</v>
      </c>
      <c r="S2374">
        <f>IFERROR(O2374/N2374,0)</f>
        <v/>
      </c>
      <c r="T2374">
        <f>IF(C2374,(Skills!G2*N2374*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MAX(0,(Inputs!$B$3-100)*3)+Inputs!$B$28+Inputs!$B$29</f>
        <v/>
      </c>
      <c r="V2374">
        <f>IF(C2374,(Skills!G2*N2374*B2402)*IF(Inputs!$B$38="pvp",1,(1+(Inputs!$B$21+Skills!Q2+(IF(ArtifactsInput!$M$33,CHOOSE(ArtifactsInput!$N$33+1,30,36,42,48,54,60),0))+(IF(AND(ArtifactsInput!$M$35,Inputs!$B$4&lt;&gt;"Chapter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Skills!A3</f>
        <v/>
      </c>
      <c r="B2375">
        <f>Skills!B3</f>
        <v/>
      </c>
      <c r="C2375">
        <f>Inputs!$B$3&gt;=35</f>
        <v/>
      </c>
      <c r="D2375">
        <f>IF(Skills!C3=1,60+Inputs!$B$25+Inputs!$B$29,IF(Skills!C3=2,90+Inputs!$B$26+Inputs!$B$29,IF(Skills!C3=3,120+Inputs!$B$27+Inputs!$B$29,MAX(0,(Inputs!$B$3-100)*3)+Inputs!$B$28+Inputs!$B$29)))</f>
        <v/>
      </c>
      <c r="E2375">
        <f>INDEX(FactorTable!$B$2:$Y$301, MATCH(ROUND(MIN(300,MAX(1,D2375)),0), FactorTable!$A$2:$A$301,0), Skills!M3+1)</f>
        <v/>
      </c>
      <c r="F2375">
        <f>IF(Skills!N3=TRUE,(Skills!L3/10)*(E2375/1000),Skills!L3/10)+Skills!O3</f>
        <v/>
      </c>
      <c r="G2375">
        <f>Skills!G3*IF(Skills!H3&gt;0,Skills!I3/Skills!H3,1)</f>
        <v/>
      </c>
      <c r="H2375">
        <f>1-(1-Skills!J3/100)^Skills!K3</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2392=TRUE)*(F2392-Calc!F20)),(Inputs!$B$23+0+(IF(ArtifactsInput!$M$15,CHOOSE(ArtifactsInput!$N$15+1,25,30,35,40,45,50)/100*(Inputs!$B$11-Inputs!$B$11),0))))/100+(Inputs!$B$23+0+(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t="n">
        <v>0</v>
      </c>
      <c r="R2375" t="n">
        <v>0</v>
      </c>
      <c r="S2375">
        <f>IFERROR(O2375/N2375,0)</f>
        <v/>
      </c>
      <c r="T2375">
        <f>IF(C2375,(Skills!G3*H2375*N2375*B2402)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INDEX(FactorTable!$B$2:$Y$301, MATCH(ROUND(MIN(300,MAX(1,U2374)),0), FactorTable!$A$2:$A$301,0), 22)</f>
        <v/>
      </c>
      <c r="V2375">
        <f>IF(C2375,(Skills!G3*H2375*N2375*B2402)*IF(Inputs!$B$38="pvp",1,(1+(Inputs!$B$21+Skills!Q3+(IF(ArtifactsInput!$M$33,CHOOSE(ArtifactsInput!$N$33+1,30,36,42,48,54,60),0))+(IF(AND(ArtifactsInput!$M$35,Inputs!$B$4&lt;&gt;"Chapter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Skills!A4</f>
        <v/>
      </c>
      <c r="B2376">
        <f>Skills!B4</f>
        <v/>
      </c>
      <c r="C2376">
        <f>Inputs!$B$3&gt;=60</f>
        <v/>
      </c>
      <c r="D2376">
        <f>IF(Skills!C4=1,60+Inputs!$B$25+Inputs!$B$29,IF(Skills!C4=2,90+Inputs!$B$26+Inputs!$B$29,IF(Skills!C4=3,120+Inputs!$B$27+Inputs!$B$29,MAX(0,(Inputs!$B$3-100)*3)+Inputs!$B$28+Inputs!$B$29)))</f>
        <v/>
      </c>
      <c r="E2376">
        <f>INDEX(FactorTable!$B$2:$Y$301, MATCH(ROUND(MIN(300,MAX(1,D2376)),0), FactorTable!$A$2:$A$301,0), Skills!M4+1)</f>
        <v/>
      </c>
      <c r="F2376">
        <f>IF(Skills!N4=TRUE,(Skills!L4/10)*(E2376/1000),Skills!L4/10)+Skills!O4</f>
        <v/>
      </c>
      <c r="G2376">
        <f>Skills!G4*IF(Skills!H4&gt;0,Skills!I4/Skills!H4,1)</f>
        <v/>
      </c>
      <c r="H2376">
        <f>1-(1-Skills!J4/100)^Skills!K4</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4="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2392=TRUE)*(F2392-Calc!F20)),(Inputs!$B$23+0+(IF(ArtifactsInput!$M$15,CHOOSE(ArtifactsInput!$N$15+1,25,30,35,40,45,50)/100*(Inputs!$B$11-Inputs!$B$11),0))))/100+(Inputs!$B$23+0+(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f>IFERROR(O2376/N2376,0)</f>
        <v/>
      </c>
      <c r="T2376">
        <f>IF(C2376,(Skills!G4*H2376*N2376*B2402)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290*U2375/1000</f>
        <v/>
      </c>
      <c r="V2376">
        <f>IF(C2376,(Skills!G4*H2376*N2376*B2402)*IF(Inputs!$B$38="pvp",1,(1+(Inputs!$B$21+Skills!Q4+(IF(ArtifactsInput!$M$33,CHOOSE(ArtifactsInput!$N$33+1,30,36,42,48,54,60),0))+(IF(AND(ArtifactsInput!$M$35,Inputs!$B$4&lt;&gt;"Chapter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Skills!A5</f>
        <v/>
      </c>
      <c r="B2377">
        <f>Skills!B5</f>
        <v/>
      </c>
      <c r="C2377">
        <f>Inputs!$B$3&gt;=60</f>
        <v/>
      </c>
      <c r="D2377">
        <f>IF(Skills!C5=1,60+Inputs!$B$25+Inputs!$B$29,IF(Skills!C5=2,90+Inputs!$B$26+Inputs!$B$29,IF(Skills!C5=3,120+Inputs!$B$27+Inputs!$B$29,MAX(0,(Inputs!$B$3-100)*3)+Inputs!$B$28+Inputs!$B$29)))</f>
        <v/>
      </c>
      <c r="E2377">
        <f>INDEX(FactorTable!$B$2:$Y$301, MATCH(ROUND(MIN(300,MAX(1,D2377)),0), FactorTable!$A$2:$A$301,0), Skills!M5+1)</f>
        <v/>
      </c>
      <c r="F2377">
        <f>IF(Skills!N5=TRUE,(Skills!L5/10)*(E2377/1000),Skills!L5/10)+Skills!O5</f>
        <v/>
      </c>
      <c r="G2377">
        <f>Skills!G5*IF(Skills!H5&gt;0,Skills!I5/Skills!H5,1)</f>
        <v/>
      </c>
      <c r="H2377">
        <f>1-(1-Skills!J5/100)^Skills!K5</f>
        <v/>
      </c>
      <c r="I2377" t="inlineStr">
        <is>
          <t>1</t>
        </is>
      </c>
      <c r="J2377" t="inlineStr"/>
      <c r="K2377" t="inlineStr"/>
      <c r="L2377" t="inlineStr"/>
      <c r="M2377" t="inlineStr"/>
      <c r="N2377" t="inlineStr"/>
      <c r="O2377">
        <f>(1-Summary!$B$11)*T2377+Summary!$B$11*V2377</f>
        <v/>
      </c>
      <c r="P2377">
        <f>IF(B2408=0,0,O2377/B2408)</f>
        <v/>
      </c>
      <c r="Q2377" t="n">
        <v>0</v>
      </c>
      <c r="R2377" t="n">
        <v>0</v>
      </c>
      <c r="S2377">
        <f>IFERROR(O2377/N2377,0)</f>
        <v/>
      </c>
      <c r="T2377" t="n">
        <v>0</v>
      </c>
      <c r="V2377" t="n">
        <v>0</v>
      </c>
    </row>
    <row r="2378">
      <c r="A2378">
        <f>Skills!A6</f>
        <v/>
      </c>
      <c r="B2378">
        <f>Skills!B6</f>
        <v/>
      </c>
      <c r="C2378">
        <f>Inputs!$B$3&gt;=63</f>
        <v/>
      </c>
      <c r="D2378">
        <f>IF(Skills!C6=1,60+Inputs!$B$25+Inputs!$B$29,IF(Skills!C6=2,90+Inputs!$B$26+Inputs!$B$29,IF(Skills!C6=3,120+Inputs!$B$27+Inputs!$B$29,MAX(0,(Inputs!$B$3-100)*3)+Inputs!$B$28+Inputs!$B$29)))</f>
        <v/>
      </c>
      <c r="E2378">
        <f>INDEX(FactorTable!$B$2:$Y$301, MATCH(ROUND(MIN(300,MAX(1,D2378)),0), FactorTable!$A$2:$A$301,0), Skills!M6+1)</f>
        <v/>
      </c>
      <c r="F2378">
        <f>IF(Skills!N6=TRUE,(Skills!L6/10)*(E2378/1000),Skills!L6/10)+Skills!O6</f>
        <v/>
      </c>
      <c r="G2378">
        <f>Skills!G6*IF(Skills!H6&gt;0,Skills!I6/Skills!H6,1)</f>
        <v/>
      </c>
      <c r="H2378">
        <f>1-(1-Skills!J6/100)^Skills!K6</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2392=TRUE)*(F2392-Calc!F20)),(Inputs!$B$23+0+(IF(ArtifactsInput!$M$15,CHOOSE(ArtifactsInput!$N$15+1,25,30,35,40,45,50)/100*(Inputs!$B$11-Inputs!$B$11),0))))/100+(Inputs!$B$23+0+(IF(ArtifactsInput!$M$15,CHOOSE(ArtifactsInput!$N$15+1,25,30,35,40,45,50)/100*(Inputs!$B$11-Inputs!$B$11),0)))/100)/2</f>
        <v/>
      </c>
      <c r="M2378">
        <f>L2378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IF(B2408=0,0,O2378/B2408)</f>
        <v/>
      </c>
      <c r="Q2378">
        <f>IFERROR(1/(IF(Inputs!$B$38="pvp",15,MAX(0.1,Skills!D6-IF(Skills!E6=TRUE,Inputs!$B$32,0)))*(1-IF(AND(ArtifactsInput!$M$27,Inputs!$B$4="Chapter Hunt"),CHOOSE(ArtifactsInput!$N$27+1,20,24,28,32,36,40),0)/100)),0)</f>
        <v/>
      </c>
      <c r="R2378">
        <f>IF(AND(Inputs!$B$38&lt;&gt;"pvp",Inputs!$B$43&gt;0),IF(MAX(0,Inputs!$B$43-B2405)&lt;=0,0,(INT(MAX(0,Inputs!$B$43-B2405)/(IF(Inputs!$B$38="pvp",15,MAX(0.1,Skills!D6-IF(Skills!E6=TRUE,Inputs!$B$32,0)))*(1-IF(AND(ArtifactsInput!$M$27,Inputs!$B$4="Chapter Hunt"),CHOOSE(ArtifactsInput!$N$27+1,20,24,28,32,36,40),0)/100)))+1)),0)</f>
        <v/>
      </c>
      <c r="S2378">
        <f>IFERROR(O2378/N2378,0)</f>
        <v/>
      </c>
      <c r="T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Skills!A7</f>
        <v/>
      </c>
      <c r="B2379">
        <f>Skills!B7</f>
        <v/>
      </c>
      <c r="C2379">
        <f>Inputs!$B$3&gt;=100</f>
        <v/>
      </c>
      <c r="D2379">
        <f>IF(Skills!C7=1,60+Inputs!$B$25+Inputs!$B$29,IF(Skills!C7=2,90+Inputs!$B$26+Inputs!$B$29,IF(Skills!C7=3,120+Inputs!$B$27+Inputs!$B$29,MAX(0,(Inputs!$B$3-100)*3)+Inputs!$B$28+Inputs!$B$29)))</f>
        <v/>
      </c>
      <c r="E2379">
        <f>INDEX(FactorTable!$B$2:$Y$301, MATCH(ROUND(MIN(300,MAX(1,D2379)),0), FactorTable!$A$2:$A$301,0), Skills!M7+1)</f>
        <v/>
      </c>
      <c r="F2379">
        <f>IF(Skills!N7=TRUE,(Skills!L7/10)*(E2379/1000),Skills!L7/10)+Skills!O7</f>
        <v/>
      </c>
      <c r="G2379">
        <f>Skills!G7*IF(Skills!H7&gt;0,Skills!I7/Skills!H7,1)</f>
        <v/>
      </c>
      <c r="H2379">
        <f>1-(1-Skills!J7/100)^Skills!K7</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2392=TRUE)*(F2392-Calc!F20)),(Inputs!$B$23+0+(IF(ArtifactsInput!$M$15,CHOOSE(ArtifactsInput!$N$15+1,25,30,35,40,45,50)/100*(Inputs!$B$11-Inputs!$B$11),0))))/100+(Inputs!$B$23+0+(IF(ArtifactsInput!$M$15,CHOOSE(ArtifactsInput!$N$15+1,25,30,35,40,45,50)/100*(Inputs!$B$11-Inputs!$B$11),0)))/100)/2</f>
        <v/>
      </c>
      <c r="M2379">
        <f>L2379*(1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IF(B2408=0,0,O2379/B2408)</f>
        <v/>
      </c>
      <c r="Q2379">
        <f>IFERROR(1/(IF(Inputs!$B$38="pvp",15,MAX(0.1,Skills!D7-IF(Skills!E7=TRUE,Inputs!$B$32,0)))*(1-IF(AND(ArtifactsInput!$M$27,Inputs!$B$4="Chapter Hunt"),CHOOSE(ArtifactsInput!$N$27+1,20,24,28,32,36,40),0)/100)),0)</f>
        <v/>
      </c>
      <c r="R2379">
        <f>IF(AND(Inputs!$B$38&lt;&gt;"pvp",Inputs!$B$43&gt;0),IF(MAX(0,Inputs!$B$43-B2405)&lt;=0,0,(INT(MAX(0,Inputs!$B$43-B2405)/(IF(Inputs!$B$38="pvp",15,MAX(0.1,Skills!D7-IF(Skills!E7=TRUE,Inputs!$B$32,0)))*(1-IF(AND(ArtifactsInput!$M$27,Inputs!$B$4="Chapter Hunt"),CHOOSE(ArtifactsInput!$N$27+1,20,24,28,32,36,40),0)/100)))+1)),0)</f>
        <v/>
      </c>
      <c r="S2379">
        <f>IFERROR(O2379/N2379,0)</f>
        <v/>
      </c>
      <c r="T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Skills!A8</f>
        <v/>
      </c>
      <c r="B2380">
        <f>Skills!B8</f>
        <v/>
      </c>
      <c r="C2380">
        <f>Inputs!$B$3&gt;=110</f>
        <v/>
      </c>
      <c r="D2380">
        <f>IF(Skills!C8=1,60+Inputs!$B$25+Inputs!$B$29,IF(Skills!C8=2,90+Inputs!$B$26+Inputs!$B$29,IF(Skills!C8=3,120+Inputs!$B$27+Inputs!$B$29,MAX(0,(Inputs!$B$3-100)*3)+Inputs!$B$28+Inputs!$B$29)))</f>
        <v/>
      </c>
      <c r="E2380">
        <f>INDEX(FactorTable!$B$2:$Y$301, MATCH(ROUND(MIN(300,MAX(1,D2380)),0), FactorTable!$A$2:$A$301,0), Skills!M8+1)</f>
        <v/>
      </c>
      <c r="F2380">
        <f>IF(Skills!N8=TRUE,(Skills!L8/10)*(E2380/1000),Skills!L8/10)+Skills!O8</f>
        <v/>
      </c>
      <c r="G2380">
        <f>Skills!G8*IF(Skills!H8&gt;0,Skills!I8/Skills!H8,1)</f>
        <v/>
      </c>
      <c r="H2380">
        <f>1-(1-Skills!J8/100)^Skills!K8</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2392=TRUE)*(F2392-Calc!F20)),(Inputs!$B$23+0+(IF(ArtifactsInput!$M$15,CHOOSE(ArtifactsInput!$N$15+1,25,30,35,40,45,50)/100*(Inputs!$B$11-Inputs!$B$11),0))))/100+(Inputs!$B$23+0+(IF(ArtifactsInput!$M$15,CHOOSE(ArtifactsInput!$N$15+1,25,30,35,40,45,50)/100*(Inputs!$B$11-Inputs!$B$11),0)))/100)/2</f>
        <v/>
      </c>
      <c r="M2380">
        <f>L2380*(1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IF(B2408=0,0,O2380/B2408)</f>
        <v/>
      </c>
      <c r="Q2380">
        <f>IFERROR(1/(IF(Inputs!$B$38="pvp",15,MAX(0.1,Skills!D8-IF(Skills!E8=TRUE,Inputs!$B$32,0)))*(1-IF(AND(ArtifactsInput!$M$27,Inputs!$B$4="Chapter Hunt"),CHOOSE(ArtifactsInput!$N$27+1,20,24,28,32,36,40),0)/100)),0)</f>
        <v/>
      </c>
      <c r="R2380">
        <f>IF(AND(Inputs!$B$38&lt;&gt;"pvp",Inputs!$B$43&gt;0),IF(MAX(0,Inputs!$B$43-B2405)&lt;=0,0,(INT(MAX(0,Inputs!$B$43-B2405)/(IF(Inputs!$B$38="pvp",15,MAX(0.1,Skills!D8-IF(Skills!E8=TRUE,Inputs!$B$32,0)))*(1-IF(AND(ArtifactsInput!$M$27,Inputs!$B$4="Chapter Hunt"),CHOOSE(ArtifactsInput!$N$27+1,20,24,28,32,36,40),0)/100)))+1)),0)</f>
        <v/>
      </c>
      <c r="S2380">
        <f>IFERROR(O2380/N2380,0)</f>
        <v/>
      </c>
      <c r="T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$21+Skills!Q8+(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Skills!A9</f>
        <v/>
      </c>
      <c r="B2381">
        <f>Skills!B9</f>
        <v/>
      </c>
      <c r="C2381">
        <f>Inputs!$B$3&gt;=110</f>
        <v/>
      </c>
      <c r="D2381">
        <f>IF(Skills!C9=1,60+Inputs!$B$25+Inputs!$B$29,IF(Skills!C9=2,90+Inputs!$B$26+Inputs!$B$29,IF(Skills!C9=3,120+Inputs!$B$27+Inputs!$B$29,MAX(0,(Inputs!$B$3-100)*3)+Inputs!$B$28+Inputs!$B$29)))</f>
        <v/>
      </c>
      <c r="E2381">
        <f>INDEX(FactorTable!$B$2:$Y$301, MATCH(ROUND(MIN(300,MAX(1,D2381)),0), FactorTable!$A$2:$A$301,0), Skills!M9+1)</f>
        <v/>
      </c>
      <c r="F2381">
        <f>IF(Skills!N9=TRUE,(Skills!L9/10)*(E2381/1000),Skills!L9/10)+Skills!O9</f>
        <v/>
      </c>
      <c r="G2381">
        <f>Skills!G9*IF(Skills!H9&gt;0,Skills!I9/Skills!H9,1)</f>
        <v/>
      </c>
      <c r="H2381">
        <f>1-(1-Skills!J9/100)^Skills!K9</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2392=TRUE)*(F2392-Calc!F20)),(Inputs!$B$23+0+(IF(ArtifactsInput!$M$15,CHOOSE(ArtifactsInput!$N$15+1,25,30,35,40,45,50)/100*(Inputs!$B$11-Inputs!$B$11),0))))/100+(Inputs!$B$23+0+(IF(ArtifactsInput!$M$15,CHOOSE(ArtifactsInput!$N$15+1,25,30,35,40,45,50)/100*(Inputs!$B$11-Inputs!$B$11),0)))/100)/2</f>
        <v/>
      </c>
      <c r="M2381">
        <f>L2381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IF(B2408=0,0,O2381/B2408)</f>
        <v/>
      </c>
      <c r="Q2381">
        <f>IFERROR(1/(IF(Inputs!$B$38="pvp",15,MAX(0.1,Skills!D9-IF(Skills!E9=TRUE,Inputs!$B$32,0)))*(1-IF(AND(ArtifactsInput!$M$27,Inputs!$B$4="Chapter Hunt"),CHOOSE(ArtifactsInput!$N$27+1,20,24,28,32,36,40),0)/100)),0)</f>
        <v/>
      </c>
      <c r="R2381">
        <f>IF(AND(Inputs!$B$38&lt;&gt;"pvp",Inputs!$B$43&gt;0),IF(MAX(0,Inputs!$B$43-B2405)&lt;=0,0,(INT(MAX(0,Inputs!$B$43-B2405)/(IF(Inputs!$B$38="pvp",15,MAX(0.1,Skills!D9-IF(Skills!E9=TRUE,Inputs!$B$32,0)))*(1-IF(AND(ArtifactsInput!$M$27,Inputs!$B$4="Chapter Hunt"),CHOOSE(ArtifactsInput!$N$27+1,20,24,28,32,36,40),0)/100)))+1)),0)</f>
        <v/>
      </c>
      <c r="S2381">
        <f>IFERROR(O2381/N2381,0)</f>
        <v/>
      </c>
      <c r="T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Skills!A10</f>
        <v/>
      </c>
      <c r="B2382">
        <f>Skills!B10</f>
        <v/>
      </c>
      <c r="C2382">
        <f>Inputs!$B$3&gt;=103</f>
        <v/>
      </c>
      <c r="D2382">
        <f>IF(Skills!C10=1,60+Inputs!$B$25+Inputs!$B$29,IF(Skills!C10=2,90+Inputs!$B$26+Inputs!$B$29,IF(Skills!C10=3,120+Inputs!$B$27+Inputs!$B$29,MAX(0,(Inputs!$B$3-100)*3)+Inputs!$B$28+Inputs!$B$29)))</f>
        <v/>
      </c>
      <c r="E2382">
        <f>INDEX(FactorTable!$B$2:$Y$301, MATCH(ROUND(MIN(300,MAX(1,D2382)),0), FactorTable!$A$2:$A$301,0), Skills!M10+1)</f>
        <v/>
      </c>
      <c r="F2382">
        <f>IF(Skills!N10=TRUE,(Skills!L10/10)*(E2382/1000),Skills!L10/10)+Skills!O10</f>
        <v/>
      </c>
      <c r="G2382">
        <f>Skills!G10*IF(Skills!H10&gt;0,Skills!I10/Skills!H10,1)</f>
        <v/>
      </c>
      <c r="H2382">
        <f>1-(1-Skills!J10/100)^Skills!K10</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2392=TRUE)*(F2392-Calc!F20)),(Inputs!$B$23+0+(IF(ArtifactsInput!$M$15,CHOOSE(ArtifactsInput!$N$15+1,25,30,35,40,45,50)/100*(Inputs!$B$11-Inputs!$B$11),0))))/100+(Inputs!$B$23+0+(IF(ArtifactsInput!$M$15,CHOOSE(ArtifactsInput!$N$15+1,25,30,35,40,45,50)/100*(Inputs!$B$11-Inputs!$B$11),0)))/100)/2</f>
        <v/>
      </c>
      <c r="M2382">
        <f>L2382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IF(B2408=0,0,O2382/B2408)</f>
        <v/>
      </c>
      <c r="Q2382">
        <f>IFERROR(1/(IF(Inputs!$B$38="pvp",15,MAX(0.1,Skills!D10-IF(Skills!E10=TRUE,Inputs!$B$32,0)))*(1-IF(AND(ArtifactsInput!$M$27,Inputs!$B$4="Chapter Hunt"),CHOOSE(ArtifactsInput!$N$27+1,20,24,28,32,36,40),0)/100)),0)</f>
        <v/>
      </c>
      <c r="R2382">
        <f>IF(AND(Inputs!$B$38&lt;&gt;"pvp",Inputs!$B$43&gt;0),IF(MAX(0,Inputs!$B$43-B2405)&lt;=0,0,(INT(MAX(0,Inputs!$B$43-B2405)/(IF(Inputs!$B$38="pvp",15,MAX(0.1,Skills!D10-IF(Skills!E10=TRUE,Inputs!$B$32,0)))*(1-IF(AND(ArtifactsInput!$M$27,Inputs!$B$4="Chapter Hunt"),CHOOSE(ArtifactsInput!$N$27+1,20,24,28,32,36,40),0)/100)))+1)),0)</f>
        <v/>
      </c>
      <c r="S2382">
        <f>IFERROR(O2382/N2382,0)</f>
        <v/>
      </c>
      <c r="T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Skills!A11</f>
        <v/>
      </c>
      <c r="B2383">
        <f>Skills!B11</f>
        <v/>
      </c>
      <c r="C2383">
        <f>Inputs!$B$3&gt;=113</f>
        <v/>
      </c>
      <c r="D2383">
        <f>IF(Skills!C11=1,60+Inputs!$B$25+Inputs!$B$29,IF(Skills!C11=2,90+Inputs!$B$26+Inputs!$B$29,IF(Skills!C11=3,120+Inputs!$B$27+Inputs!$B$29,MAX(0,(Inputs!$B$3-100)*3)+Inputs!$B$28+Inputs!$B$29)))</f>
        <v/>
      </c>
      <c r="E2383">
        <f>INDEX(FactorTable!$B$2:$Y$301, MATCH(ROUND(MIN(300,MAX(1,D2383)),0), FactorTable!$A$2:$A$301,0), Skills!M11+1)</f>
        <v/>
      </c>
      <c r="F2383">
        <f>IF(Skills!N11=TRUE,(Skills!L11/10)*(E2383/1000),Skills!L11/10)+Skills!O11</f>
        <v/>
      </c>
      <c r="G2383">
        <f>Skills!G11*IF(Skills!H11&gt;0,Skills!I11/Skills!H11,1)</f>
        <v/>
      </c>
      <c r="H2383">
        <f>1-(1-Skills!J11/100)^Skills!K11</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2392=TRUE)*(F2392-Calc!F20)),(Inputs!$B$23+0+(IF(ArtifactsInput!$M$15,CHOOSE(ArtifactsInput!$N$15+1,25,30,35,40,45,50)/100*(Inputs!$B$11-Inputs!$B$11),0))))/100+(Inputs!$B$23+0+(IF(ArtifactsInput!$M$15,CHOOSE(ArtifactsInput!$N$15+1,25,30,35,40,45,50)/100*(Inputs!$B$11-Inputs!$B$11),0)))/100)/2</f>
        <v/>
      </c>
      <c r="M2383">
        <f>L2383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IF(B2408=0,0,O2383/B2408)</f>
        <v/>
      </c>
      <c r="Q2383">
        <f>IFERROR(1/(IF(Inputs!$B$38="pvp",15,MAX(0.1,Skills!D11-IF(Skills!E11=TRUE,Inputs!$B$32,0)))*(1-IF(AND(ArtifactsInput!$M$27,Inputs!$B$4="Chapter Hunt"),CHOOSE(ArtifactsInput!$N$27+1,20,24,28,32,36,40),0)/100)),0)</f>
        <v/>
      </c>
      <c r="R2383">
        <f>IF(AND(Inputs!$B$38&lt;&gt;"pvp",Inputs!$B$43&gt;0),IF(MAX(0,Inputs!$B$43-B2405)&lt;=0,0,(INT(MAX(0,Inputs!$B$43-B2405)/(IF(Inputs!$B$38="pvp",15,MAX(0.1,Skills!D11-IF(Skills!E11=TRUE,Inputs!$B$32,0)))*(1-IF(AND(ArtifactsInput!$M$27,Inputs!$B$4="Chapter Hunt"),CHOOSE(ArtifactsInput!$N$27+1,20,24,28,32,36,40),0)/100)))+1)),0)</f>
        <v/>
      </c>
      <c r="S2383">
        <f>IFERROR(O2383/N2383,0)</f>
        <v/>
      </c>
      <c r="T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Skills!A12</f>
        <v/>
      </c>
      <c r="B2384">
        <f>Skills!B12</f>
        <v/>
      </c>
      <c r="C2384">
        <f>Inputs!$B$3&gt;=100</f>
        <v/>
      </c>
      <c r="D2384">
        <f>IF(Skills!C12=1,60+Inputs!$B$25+Inputs!$B$29,IF(Skills!C12=2,90+Inputs!$B$26+Inputs!$B$29,IF(Skills!C12=3,120+Inputs!$B$27+Inputs!$B$29,MAX(0,(Inputs!$B$3-100)*3)+Inputs!$B$28+Inputs!$B$29)))</f>
        <v/>
      </c>
      <c r="E2384">
        <f>INDEX(FactorTable!$B$2:$Y$301, MATCH(ROUND(MIN(300,MAX(1,D2384)),0), FactorTable!$A$2:$A$301,0), Skills!M12+1)</f>
        <v/>
      </c>
      <c r="F2384">
        <f>IF(Skills!N12=TRUE,(Skills!L12/10)*(E2384/1000),Skills!L12/10)+Skills!O12</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T2384" t="inlineStr"/>
      <c r="V2384" t="inlineStr"/>
    </row>
    <row r="2385">
      <c r="A2385">
        <f>Skills!A13</f>
        <v/>
      </c>
      <c r="B2385">
        <f>Skills!B13</f>
        <v/>
      </c>
      <c r="C2385">
        <f>Inputs!$B$3&gt;=66</f>
        <v/>
      </c>
      <c r="D2385">
        <f>IF(Skills!C13=1,60+Inputs!$B$25+Inputs!$B$29,IF(Skills!C13=2,90+Inputs!$B$26+Inputs!$B$29,IF(Skills!C13=3,120+Inputs!$B$27+Inputs!$B$29,MAX(0,(Inputs!$B$3-100)*3)+Inputs!$B$28+Inputs!$B$29)))</f>
        <v/>
      </c>
      <c r="E2385">
        <f>INDEX(FactorTable!$B$2:$Y$301, MATCH(ROUND(MIN(300,MAX(1,D2385)),0), FactorTable!$A$2:$A$301,0), Skills!M13+1)</f>
        <v/>
      </c>
      <c r="F2385">
        <f>IF(Skills!N13=TRUE,(Skills!L13/10)*(E2385/1000),Skills!L13/10)+Skills!O13</f>
        <v/>
      </c>
      <c r="G2385">
        <f>Skills!G13*IF(Skills!H13&gt;0,Skills!I13/Skills!H13,1)</f>
        <v/>
      </c>
      <c r="H2385">
        <f>1-(1-Skills!J13/100)^Skills!K13</f>
        <v/>
      </c>
      <c r="I2385" t="inlineStr">
        <is>
          <t>1</t>
        </is>
      </c>
      <c r="J2385" t="inlineStr"/>
      <c r="K2385" t="inlineStr"/>
      <c r="L2385" t="inlineStr"/>
      <c r="M2385" t="inlineStr"/>
      <c r="N2385" t="inlineStr"/>
      <c r="O2385">
        <f>(1-Summary!$B$11)*T2385+Summary!$B$11*V2385</f>
        <v/>
      </c>
      <c r="P2385">
        <f>IF(B2408=0,0,O2385/B2408)</f>
        <v/>
      </c>
      <c r="Q2385" t="n">
        <v>0</v>
      </c>
      <c r="R2385" t="n">
        <v>0</v>
      </c>
      <c r="S2385">
        <f>IFERROR(O2385/N2385,0)</f>
        <v/>
      </c>
      <c r="T2385" t="n">
        <v>0</v>
      </c>
      <c r="V2385" t="n">
        <v>0</v>
      </c>
    </row>
    <row r="2386">
      <c r="A2386">
        <f>Skills!A14</f>
        <v/>
      </c>
      <c r="B2386">
        <f>Skills!B14</f>
        <v/>
      </c>
      <c r="C2386">
        <f>Inputs!$B$3&gt;=107</f>
        <v/>
      </c>
      <c r="D2386">
        <f>IF(Skills!C14=1,60+Inputs!$B$25+Inputs!$B$29,IF(Skills!C14=2,90+Inputs!$B$26+Inputs!$B$29,IF(Skills!C14=3,120+Inputs!$B$27+Inputs!$B$29,MAX(0,(Inputs!$B$3-100)*3)+Inputs!$B$28+Inputs!$B$29)))</f>
        <v/>
      </c>
      <c r="E2386">
        <f>INDEX(FactorTable!$B$2:$Y$301, MATCH(ROUND(MIN(300,MAX(1,D2386)),0), FactorTable!$A$2:$A$301,0), Skills!M14+1)</f>
        <v/>
      </c>
      <c r="F2386">
        <f>IF(Skills!N14=TRUE,(Skills!L14/10)*(E2386/1000),Skills!L14/10)+Skills!O14</f>
        <v/>
      </c>
      <c r="G2386">
        <f>Skills!G14*IF(Skills!H14&gt;0,Skills!I14/Skills!H14,1)</f>
        <v/>
      </c>
      <c r="H2386">
        <f>1-(1-Skills!J14/100)^Skills!K14</f>
        <v/>
      </c>
      <c r="I2386" t="inlineStr">
        <is>
          <t>1</t>
        </is>
      </c>
      <c r="J2386" t="inlineStr"/>
      <c r="K2386" t="inlineStr"/>
      <c r="L2386" t="inlineStr"/>
      <c r="M2386" t="inlineStr"/>
      <c r="N2386" t="inlineStr"/>
      <c r="O2386">
        <f>(1-Summary!$B$11)*T2386+Summary!$B$11*V2386</f>
        <v/>
      </c>
      <c r="P2386">
        <f>IF(B2408=0,0,O2386/B2408)</f>
        <v/>
      </c>
      <c r="Q2386" t="n">
        <v>0</v>
      </c>
      <c r="R2386" t="n">
        <v>0</v>
      </c>
      <c r="S2386">
        <f>IFERROR(O2386/N2386,0)</f>
        <v/>
      </c>
      <c r="T2386" t="n">
        <v>0</v>
      </c>
      <c r="V2386" t="n">
        <v>0</v>
      </c>
    </row>
    <row r="2387">
      <c r="A2387">
        <f>Skills!A15</f>
        <v/>
      </c>
      <c r="B2387">
        <f>Skills!B15</f>
        <v/>
      </c>
      <c r="C2387">
        <f>Inputs!$B$3&gt;=115</f>
        <v/>
      </c>
      <c r="D2387">
        <f>IF(Skills!C15=1,60+Inputs!$B$25+Inputs!$B$29,IF(Skills!C15=2,90+Inputs!$B$26+Inputs!$B$29,IF(Skills!C15=3,120+Inputs!$B$27+Inputs!$B$29,MAX(0,(Inputs!$B$3-100)*3)+Inputs!$B$28+Inputs!$B$29)))</f>
        <v/>
      </c>
      <c r="E2387">
        <f>INDEX(FactorTable!$B$2:$Y$301, MATCH(ROUND(MIN(300,MAX(1,D2387)),0), FactorTable!$A$2:$A$301,0), Skills!M15+1)</f>
        <v/>
      </c>
      <c r="F2387">
        <f>IF(Skills!N15=TRUE,(Skills!L15/10)*(E2387/1000),Skills!L15/10)+Skills!O15</f>
        <v/>
      </c>
      <c r="G2387">
        <f>Skills!G15*IF(Skills!H15&gt;0,Skills!I15/Skills!H15,1)</f>
        <v/>
      </c>
      <c r="H2387">
        <f>1-(1-Skills!J15/100)^Skills!K15</f>
        <v/>
      </c>
      <c r="I2387" t="inlineStr">
        <is>
          <t>1</t>
        </is>
      </c>
      <c r="J2387" t="inlineStr"/>
      <c r="K2387" t="inlineStr"/>
      <c r="L2387" t="inlineStr"/>
      <c r="M2387" t="inlineStr"/>
      <c r="N2387" t="inlineStr"/>
      <c r="O2387">
        <f>(1-Summary!$B$11)*T2387+Summary!$B$11*V2387</f>
        <v/>
      </c>
      <c r="P2387">
        <f>IF(B2408=0,0,O2387/B2408)</f>
        <v/>
      </c>
      <c r="Q2387" t="n">
        <v>0</v>
      </c>
      <c r="R2387" t="n">
        <v>0</v>
      </c>
      <c r="S2387">
        <f>IFERROR(O2387/N2387,0)</f>
        <v/>
      </c>
      <c r="T2387" t="n">
        <v>0</v>
      </c>
      <c r="V2387" t="n">
        <v>0</v>
      </c>
    </row>
    <row r="2388">
      <c r="A2388">
        <f>Skills!A16</f>
        <v/>
      </c>
      <c r="B2388">
        <f>Skills!B16</f>
        <v/>
      </c>
      <c r="C2388">
        <f>Inputs!$B$3&gt;=15</f>
        <v/>
      </c>
      <c r="D2388">
        <f>IF(Skills!C16=1,60+Inputs!$B$25+Inputs!$B$29,IF(Skills!C16=2,90+Inputs!$B$26+Inputs!$B$29,IF(Skills!C16=3,120+Inputs!$B$27+Inputs!$B$29,MAX(0,(Inputs!$B$3-100)*3)+Inputs!$B$28+Inputs!$B$29)))</f>
        <v/>
      </c>
      <c r="E2388">
        <f>INDEX(FactorTable!$B$2:$Y$301, MATCH(ROUND(MIN(300,MAX(1,D2388)),0), FactorTable!$A$2:$A$301,0), Skills!M16+1)</f>
        <v/>
      </c>
      <c r="F2388">
        <f>IF(Skills!N16=TRUE,(Skills!L16/10)*(E2388/1000),Skills!L16/10)+Skills!O16</f>
        <v/>
      </c>
      <c r="G2388">
        <f>Skills!G16*IF(Skills!H16&gt;0,Skills!I16/Skills!H16,1)</f>
        <v/>
      </c>
      <c r="H2388">
        <f>1-(1-Skills!J16/100)^Skills!K16</f>
        <v/>
      </c>
      <c r="I2388" t="inlineStr">
        <is>
          <t>1</t>
        </is>
      </c>
      <c r="J2388" t="inlineStr"/>
      <c r="K2388" t="inlineStr"/>
      <c r="L2388" t="inlineStr"/>
      <c r="M2388" t="inlineStr"/>
      <c r="N2388" t="inlineStr"/>
      <c r="O2388">
        <f>(1-Summary!$B$11)*T2388+Summary!$B$11*V2388</f>
        <v/>
      </c>
      <c r="P2388">
        <f>IF(B2408=0,0,O2388/B2408)</f>
        <v/>
      </c>
      <c r="Q2388" t="n">
        <v>0</v>
      </c>
      <c r="R2388" t="n">
        <v>0</v>
      </c>
      <c r="S2388">
        <f>IFERROR(O2388/N2388,0)</f>
        <v/>
      </c>
      <c r="T2388" t="n">
        <v>0</v>
      </c>
      <c r="V2388" t="n">
        <v>0</v>
      </c>
    </row>
    <row r="2389">
      <c r="A2389">
        <f>Skills!A17</f>
        <v/>
      </c>
      <c r="B2389">
        <f>Skills!B17</f>
        <v/>
      </c>
      <c r="C2389">
        <f>Inputs!$B$3&gt;=10</f>
        <v/>
      </c>
      <c r="D2389">
        <f>IF(Skills!C17=1,60+Inputs!$B$25+Inputs!$B$29,IF(Skills!C17=2,90+Inputs!$B$26+Inputs!$B$29,IF(Skills!C17=3,120+Inputs!$B$27+Inputs!$B$29,MAX(0,(Inputs!$B$3-100)*3)+Inputs!$B$28+Inputs!$B$29)))</f>
        <v/>
      </c>
      <c r="E2389">
        <f>INDEX(FactorTable!$B$2:$Y$301, MATCH(ROUND(MIN(300,MAX(1,D2389)),0), FactorTable!$A$2:$A$301,0), Skills!M17+1)</f>
        <v/>
      </c>
      <c r="F2389">
        <f>IF(Skills!N17=TRUE,(Skills!L17/10)*(E2389/1000),Skills!L17/10)+Skills!O17</f>
        <v/>
      </c>
      <c r="G2389">
        <f>Skills!G17*IF(Skills!H17&gt;0,Skills!I17/Skills!H17,1)</f>
        <v/>
      </c>
      <c r="H2389">
        <f>1-(1-Skills!J17/100)^Skills!K17</f>
        <v/>
      </c>
      <c r="I2389" t="inlineStr">
        <is>
          <t>1</t>
        </is>
      </c>
      <c r="J2389" t="inlineStr"/>
      <c r="K2389" t="inlineStr"/>
      <c r="L2389" t="inlineStr"/>
      <c r="M2389" t="inlineStr"/>
      <c r="N2389" t="inlineStr"/>
      <c r="O2389">
        <f>(1-Summary!$B$11)*T2389+Summary!$B$11*V2389</f>
        <v/>
      </c>
      <c r="P2389">
        <f>IF(B2408=0,0,O2389/B2408)</f>
        <v/>
      </c>
      <c r="Q2389" t="n">
        <v>0</v>
      </c>
      <c r="R2389" t="n">
        <v>0</v>
      </c>
      <c r="S2389">
        <f>IFERROR(O2389/N2389,0)</f>
        <v/>
      </c>
      <c r="T2389" t="n">
        <v>0</v>
      </c>
      <c r="V2389" t="n">
        <v>0</v>
      </c>
    </row>
    <row r="2390">
      <c r="A2390">
        <f>Skills!A18</f>
        <v/>
      </c>
      <c r="B2390">
        <f>Skills!B18</f>
        <v/>
      </c>
      <c r="C2390">
        <f>Inputs!$B$3&gt;=33</f>
        <v/>
      </c>
      <c r="D2390">
        <f>IF(Skills!C18=1,60+Inputs!$B$25+Inputs!$B$29,IF(Skills!C18=2,90+Inputs!$B$26+Inputs!$B$29,IF(Skills!C18=3,120+Inputs!$B$27+Inputs!$B$29,MAX(0,(Inputs!$B$3-100)*3)+Inputs!$B$28+Inputs!$B$29)))</f>
        <v/>
      </c>
      <c r="E2390">
        <f>INDEX(FactorTable!$B$2:$Y$301, MATCH(ROUND(MIN(300,MAX(1,D2390)),0), FactorTable!$A$2:$A$301,0), Skills!M18+1)</f>
        <v/>
      </c>
      <c r="F2390">
        <f>IF(Skills!N18=TRUE,(Skills!L18/10)*(E2390/1000),Skills!L18/10)+Skills!O18</f>
        <v/>
      </c>
      <c r="G2390">
        <f>Skills!G18*IF(Skills!H18&gt;0,Skills!I18/Skills!H18,1)</f>
        <v/>
      </c>
      <c r="H2390">
        <f>1-(1-Skills!J18/100)^Skills!K18</f>
        <v/>
      </c>
      <c r="I2390" t="inlineStr">
        <is>
          <t>1</t>
        </is>
      </c>
      <c r="J2390" t="inlineStr"/>
      <c r="K2390" t="inlineStr"/>
      <c r="L2390" t="inlineStr"/>
      <c r="M2390" t="inlineStr"/>
      <c r="N2390" t="inlineStr"/>
      <c r="O2390">
        <f>(1-Summary!$B$11)*T2390+Summary!$B$11*V2390</f>
        <v/>
      </c>
      <c r="P2390">
        <f>IF(B2408=0,0,O2390/B2408)</f>
        <v/>
      </c>
      <c r="Q2390" t="n">
        <v>0</v>
      </c>
      <c r="R2390" t="n">
        <v>0</v>
      </c>
      <c r="S2390">
        <f>IFERROR(O2390/N2390,0)</f>
        <v/>
      </c>
      <c r="T2390" t="n">
        <v>0</v>
      </c>
      <c r="V2390" t="n">
        <v>0</v>
      </c>
    </row>
    <row r="2391">
      <c r="A2391">
        <f>Skills!A19</f>
        <v/>
      </c>
      <c r="B2391">
        <f>Skills!B19</f>
        <v/>
      </c>
      <c r="C2391">
        <f>Inputs!$B$3&gt;=40</f>
        <v/>
      </c>
      <c r="D2391">
        <f>IF(Skills!C19=1,60+Inputs!$B$25+Inputs!$B$29,IF(Skills!C19=2,90+Inputs!$B$26+Inputs!$B$29,IF(Skills!C19=3,120+Inputs!$B$27+Inputs!$B$29,MAX(0,(Inputs!$B$3-100)*3)+Inputs!$B$28+Inputs!$B$29)))</f>
        <v/>
      </c>
      <c r="E2391">
        <f>INDEX(FactorTable!$B$2:$Y$301, MATCH(ROUND(MIN(300,MAX(1,D2391)),0), FactorTable!$A$2:$A$301,0), Skills!M19+1)</f>
        <v/>
      </c>
      <c r="F2391">
        <f>IF(Skills!N19=TRUE,(Skills!L19/10)*(E2391/1000),Skills!L19/10)+Skills!O19</f>
        <v/>
      </c>
      <c r="G2391">
        <f>Skills!G19*IF(Skills!H19&gt;0,Skills!I19/Skills!H19,1)</f>
        <v/>
      </c>
      <c r="H2391">
        <f>1-(1-Skills!J19/100)^Skills!K19</f>
        <v/>
      </c>
      <c r="I2391" t="inlineStr">
        <is>
          <t>1</t>
        </is>
      </c>
      <c r="J2391" t="inlineStr"/>
      <c r="K2391" t="inlineStr"/>
      <c r="L2391" t="inlineStr"/>
      <c r="M2391" t="inlineStr"/>
      <c r="N2391" t="inlineStr"/>
      <c r="O2391">
        <f>(1-Summary!$B$11)*T2391+Summary!$B$11*V2391</f>
        <v/>
      </c>
      <c r="P2391">
        <f>IF(B2408=0,0,O2391/B2408)</f>
        <v/>
      </c>
      <c r="Q2391" t="n">
        <v>0</v>
      </c>
      <c r="R2391" t="n">
        <v>0</v>
      </c>
      <c r="S2391">
        <f>IFERROR(O2391/N2391,0)</f>
        <v/>
      </c>
      <c r="T2391" t="n">
        <v>0</v>
      </c>
      <c r="V2391" t="n">
        <v>0</v>
      </c>
    </row>
    <row r="2392">
      <c r="A2392">
        <f>Skills!A20</f>
        <v/>
      </c>
      <c r="B2392">
        <f>Skills!B20</f>
        <v/>
      </c>
      <c r="C2392">
        <f>Inputs!$B$3&gt;=43</f>
        <v/>
      </c>
      <c r="D2392">
        <f>IF(Skills!C20=1,60+Inputs!$B$25+Inputs!$B$29,IF(Skills!C20=2,90+Inputs!$B$26+Inputs!$B$29,IF(Skills!C20=3,120+Inputs!$B$27+Inputs!$B$29,MAX(0,(Inputs!$B$3-100)*3)+Inputs!$B$28+Inputs!$B$29)))</f>
        <v/>
      </c>
      <c r="E2392">
        <f>INDEX(FactorTable!$B$2:$Y$301, MATCH(ROUND(MIN(300,MAX(1,D2392)),0), FactorTable!$A$2:$A$301,0), Skills!M20+1)</f>
        <v/>
      </c>
      <c r="F2392">
        <f>IF(Skills!N20=TRUE,(Skills!L20/10)*(E2392/1000),Skills!L20/10)+Skills!O20</f>
        <v/>
      </c>
      <c r="G2392">
        <f>Skills!G20*IF(Skills!H20&gt;0,Skills!I20/Skills!H20,1)</f>
        <v/>
      </c>
      <c r="H2392">
        <f>1-(1-Skills!J20/100)^Skills!K20</f>
        <v/>
      </c>
      <c r="I2392" t="inlineStr">
        <is>
          <t>1</t>
        </is>
      </c>
      <c r="J2392" t="inlineStr"/>
      <c r="K2392" t="inlineStr"/>
      <c r="L2392" t="inlineStr"/>
      <c r="M2392" t="inlineStr"/>
      <c r="N2392" t="inlineStr"/>
      <c r="O2392">
        <f>(1-Summary!$B$11)*T2392+Summary!$B$11*V2392</f>
        <v/>
      </c>
      <c r="P2392">
        <f>IF(B2408=0,0,O2392/B2408)</f>
        <v/>
      </c>
      <c r="Q2392" t="n">
        <v>0</v>
      </c>
      <c r="R2392" t="n">
        <v>0</v>
      </c>
      <c r="S2392">
        <f>IFERROR(O2392/N2392,0)</f>
        <v/>
      </c>
      <c r="T2392" t="n">
        <v>0</v>
      </c>
      <c r="V2392" t="n">
        <v>0</v>
      </c>
    </row>
    <row r="2393">
      <c r="A2393">
        <f>Skills!A21</f>
        <v/>
      </c>
      <c r="B2393">
        <f>Skills!B21</f>
        <v/>
      </c>
      <c r="C2393">
        <f>Inputs!$B$3&gt;=38</f>
        <v/>
      </c>
      <c r="D2393">
        <f>IF(Skills!C21=1,60+Inputs!$B$25+Inputs!$B$29,IF(Skills!C21=2,90+Inputs!$B$26+Inputs!$B$29,IF(Skills!C21=3,120+Inputs!$B$27+Inputs!$B$29,MAX(0,(Inputs!$B$3-100)*3)+Inputs!$B$28+Inputs!$B$29)))</f>
        <v/>
      </c>
      <c r="E2393">
        <f>INDEX(FactorTable!$B$2:$Y$301, MATCH(ROUND(MIN(300,MAX(1,D2393)),0), FactorTable!$A$2:$A$301,0), Skills!M21+1)</f>
        <v/>
      </c>
      <c r="F2393">
        <f>IF(Skills!N21=TRUE,(Skills!L21/10)*(E2393/1000),Skills!L21/10)+Skills!O21</f>
        <v/>
      </c>
      <c r="G2393">
        <f>Skills!G21*IF(Skills!H21&gt;0,Skills!I21/Skills!H21,1)</f>
        <v/>
      </c>
      <c r="H2393">
        <f>1-(1-Skills!J21/100)^Skills!K21</f>
        <v/>
      </c>
      <c r="I2393" t="inlineStr">
        <is>
          <t>1</t>
        </is>
      </c>
      <c r="J2393" t="inlineStr"/>
      <c r="K2393" t="inlineStr"/>
      <c r="L2393" t="inlineStr"/>
      <c r="M2393" t="inlineStr"/>
      <c r="N2393" t="inlineStr"/>
      <c r="O2393">
        <f>(1-Summary!$B$11)*T2393+Summary!$B$11*V2393</f>
        <v/>
      </c>
      <c r="P2393">
        <f>IF(B2408=0,0,O2393/B2408)</f>
        <v/>
      </c>
      <c r="Q2393" t="n">
        <v>0</v>
      </c>
      <c r="R2393" t="n">
        <v>0</v>
      </c>
      <c r="S2393">
        <f>IFERROR(O2393/N2393,0)</f>
        <v/>
      </c>
      <c r="T2393" t="n">
        <v>0</v>
      </c>
      <c r="V2393" t="n">
        <v>0</v>
      </c>
    </row>
    <row r="2394">
      <c r="A2394">
        <f>Skills!A22</f>
        <v/>
      </c>
      <c r="B2394">
        <f>Skills!B22</f>
        <v/>
      </c>
      <c r="C2394">
        <f>Inputs!$B$3&gt;=75</f>
        <v/>
      </c>
      <c r="D2394">
        <f>IF(Skills!C22=1,60+Inputs!$B$25+Inputs!$B$29,IF(Skills!C22=2,90+Inputs!$B$26+Inputs!$B$29,IF(Skills!C22=3,120+Inputs!$B$27+Inputs!$B$29,MAX(0,(Inputs!$B$3-100)*3)+Inputs!$B$28+Inputs!$B$29)))</f>
        <v/>
      </c>
      <c r="E2394">
        <f>INDEX(FactorTable!$B$2:$Y$301, MATCH(ROUND(MIN(300,MAX(1,D2394)),0), FactorTable!$A$2:$A$301,0), Skills!M22+1)</f>
        <v/>
      </c>
      <c r="F2394">
        <f>IF(Skills!N22=TRUE,(Skills!L22/10)*(E2394/1000),Skills!L22/10)+Skills!O22</f>
        <v/>
      </c>
      <c r="G2394">
        <f>Skills!G22*IF(Skills!H22&gt;0,Skills!I22/Skills!H22,1)</f>
        <v/>
      </c>
      <c r="H2394">
        <f>1-(1-Skills!J22/100)^Skills!K22</f>
        <v/>
      </c>
      <c r="I2394" t="inlineStr">
        <is>
          <t>1</t>
        </is>
      </c>
      <c r="J2394" t="inlineStr"/>
      <c r="K2394" t="inlineStr"/>
      <c r="L2394" t="inlineStr"/>
      <c r="M2394" t="inlineStr"/>
      <c r="N2394" t="inlineStr"/>
      <c r="O2394">
        <f>(1-Summary!$B$11)*T2394+Summary!$B$11*V2394</f>
        <v/>
      </c>
      <c r="P2394">
        <f>IF(B2408=0,0,O2394/B2408)</f>
        <v/>
      </c>
      <c r="Q2394" t="n">
        <v>0</v>
      </c>
      <c r="R2394" t="n">
        <v>0</v>
      </c>
      <c r="S2394">
        <f>IFERROR(O2394/N2394,0)</f>
        <v/>
      </c>
      <c r="T2394" t="n">
        <v>0</v>
      </c>
      <c r="V2394" t="n">
        <v>0</v>
      </c>
    </row>
    <row r="2395">
      <c r="A2395">
        <f>Skills!A23</f>
        <v/>
      </c>
      <c r="B2395">
        <f>Skills!B23</f>
        <v/>
      </c>
      <c r="C2395">
        <f>TRUE</f>
        <v/>
      </c>
      <c r="D2395">
        <f>IF(Skills!C23=1,60+Inputs!$B$25+Inputs!$B$29,IF(Skills!C23=2,90+Inputs!$B$26+Inputs!$B$29,IF(Skills!C23=3,120+Inputs!$B$27+Inputs!$B$29,MAX(0,(Inputs!$B$3-100)*3)+Inputs!$B$28+Inputs!$B$29)))</f>
        <v/>
      </c>
      <c r="E2395">
        <f>INDEX(FactorTable!$B$2:$Y$301, MATCH(ROUND(MIN(300,MAX(1,D2395)),0), FactorTable!$A$2:$A$301,0), Skills!M23+1)</f>
        <v/>
      </c>
      <c r="F2395">
        <f>IF(Skills!N23=TRUE,(Skills!L23/10)*(E2395/1000),Skills!L23/10)+Skills!O23</f>
        <v/>
      </c>
      <c r="G2395">
        <f>Skills!G23*IF(Skills!H23&gt;0,Skills!I23/Skills!H23,1)</f>
        <v/>
      </c>
      <c r="H2395">
        <f>1-(1-Skills!J23/100)^Skills!K23</f>
        <v/>
      </c>
      <c r="I2395" t="inlineStr">
        <is>
          <t>1</t>
        </is>
      </c>
      <c r="J2395" t="inlineStr"/>
      <c r="K2395" t="inlineStr"/>
      <c r="L2395" t="inlineStr"/>
      <c r="M2395" t="inlineStr"/>
      <c r="N2395" t="inlineStr"/>
      <c r="O2395">
        <f>(1-Summary!$B$11)*T2395+Summary!$B$11*V2395</f>
        <v/>
      </c>
      <c r="P2395">
        <f>IF(B2408=0,0,O2395/B2408)</f>
        <v/>
      </c>
      <c r="Q2395">
        <f>IFERROR(1/(IF(Inputs!$B$38="pvp",15,MAX(0.1,Skills!D23-IF(Skills!E23=TRUE,Inputs!$B$32,0)))*(1-IF(AND(ArtifactsInput!$M$27,Inputs!$B$4="Chapter Hunt"),CHOOSE(ArtifactsInput!$N$27+1,20,24,28,32,36,40),0)/100)),0)</f>
        <v/>
      </c>
      <c r="R2395">
        <f>IF(AND(Inputs!$B$38&lt;&gt;"pvp",Inputs!$B$43&gt;0),IF(Inputs!$B$43&lt;=0,0,(INT(Inputs!$B$43/(IF(Inputs!$B$38="pvp",15,MAX(0.1,Skills!D23-IF(Skills!E23=TRUE,Inputs!$B$32,0)))*(1-IF(AND(ArtifactsInput!$M$27,Inputs!$B$4="Chapter Hunt"),CHOOSE(ArtifactsInput!$N$27+1,20,24,28,32,36,40),0)/100)))+1)),0)</f>
        <v/>
      </c>
      <c r="S2395">
        <f>IFERROR(O2395/N2395,0)</f>
        <v/>
      </c>
      <c r="T2395" t="n">
        <v>0</v>
      </c>
      <c r="V2395" t="n">
        <v>0</v>
      </c>
    </row>
    <row r="2397">
      <c r="A2397" t="inlineStr">
        <is>
          <t>Attack% Bucket Multiplier</t>
        </is>
      </c>
      <c r="B2397">
        <f>(1+(((C2385=TRUE)*F2385*5/7)+((C2391=TRUE)*(F2391-Calc!F19))+(IF(ArtifactsInput!$M$21,CHOOSE(ArtifactsInput!$N$21+1,25,30,35,40,45,50)*(IF(OR(Inputs!$B$4="Chapter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 (Nimble Feet, duty-cycle averaged)</t>
        </is>
      </c>
      <c r="B2399">
        <f>((C2395=TRUE)*F2395*IF(AND(Inputs!$B$38&lt;&gt;"pvp",Inputs!$B$43&gt;0),(((R2395-1)*(Skills!T23*(1+Inputs!$B$34/100))+MIN((Skills!T23*(1+Inputs!$B$34/100)),MAX(0,Inputs!$B$43-((R2395-1)*Skills!D23))))/Inputs!$B$43),IF(Inputs!$B$38="pvp",MIN((Skills!T23*(1+Inputs!$B$34/100)),15)/15,(Skills!T23*(1+Inputs!$B$34/100))/Skills!D23)))</f>
        <v/>
      </c>
    </row>
    <row r="2400">
      <c r="A2400" t="inlineStr">
        <is>
          <t>Actions Per Second</t>
        </is>
      </c>
      <c r="B2400">
        <f>1+MIN(150,150*(1-(1-(Inputs!$B$11+((C2389=TRUE)*(F2389-Calc!F17))+((C2390=TRUE)*(F2390-Calc!F18)))/150)*(1-B2399/150)))/100</f>
        <v/>
      </c>
    </row>
    <row r="2401">
      <c r="A2401" t="inlineStr">
        <is>
          <t>Skill + Buff Cast Rate</t>
        </is>
      </c>
      <c r="B2401">
        <f>IF(AND(Inputs!$B$38&lt;&gt;"pvp",Inputs!$B$43&gt;0),SUMPRODUCT((Skills!E2:E23=TRUE)*(C2374:C2395=TRUE)*R2374:R2395*Skills!F2:F23)/Inputs!$B$43,SUMPRODUCT((Skills!E2:E23=TRUE)*(C2374:C2395=TRUE)*Q2374:Q2395*Skills!F2:F23))</f>
        <v/>
      </c>
    </row>
    <row r="2402">
      <c r="A2402" t="inlineStr">
        <is>
          <t>Hook Bomber Casts Per Second</t>
        </is>
      </c>
      <c r="B2402">
        <f>MAX(0,B2400-B2401)</f>
        <v/>
      </c>
    </row>
    <row r="2403">
      <c r="A2403" t="inlineStr">
        <is>
          <t>Global Critical Damage Bonus % (unused)</t>
        </is>
      </c>
      <c r="B2403" t="n">
        <v>0</v>
      </c>
    </row>
    <row r="2404">
      <c r="A2404" t="inlineStr">
        <is>
          <t>Global Final Damage Bonus % (Serpent Scale + Crossbones + Time Leap + Speed Infusion)</t>
        </is>
      </c>
      <c r="B2404">
        <f>((C2377=TRUE)*F2377*((10+IF(Inputs!$B$3&gt;=94,5,0))/((10+IF(Inputs!$B$3&gt;=94,5,0))+5/(B2402*(1+IF(Inputs!$B$3&gt;=104,1,0))))))+((C2386=TRUE)*F2386)+((C2387=TRUE)*F2387)+((Inputs!$B$3&gt;=110)*20*(B2400-1))</f>
        <v/>
      </c>
    </row>
    <row r="2405">
      <c r="A2405" t="inlineStr">
        <is>
          <t>Buff-Casting Startup Delay (s, fixed-duration only)</t>
        </is>
      </c>
      <c r="B2405">
        <f>IF(AND(Inputs!$B$38&lt;&gt;"pvp",Inputs!$B$43&gt;0),SUMPRODUCT((Skills!T2:T23&gt;0)*(Skills!E2:E23=TRUE)*(C2374:C2395=TRUE))/B2400,0)</f>
        <v/>
      </c>
    </row>
    <row r="2406">
      <c r="A2406" t="inlineStr">
        <is>
          <t>Boss-Only Total DPS (this block's swept value)</t>
        </is>
      </c>
      <c r="B2406">
        <f>SUM(T2374:T2395)</f>
        <v/>
      </c>
    </row>
    <row r="2407">
      <c r="A2407" t="inlineStr">
        <is>
          <t>Normal-Only Total DPS (this block's swept value)</t>
        </is>
      </c>
      <c r="B2407">
        <f>SUM(V2374:V2395)</f>
        <v/>
      </c>
    </row>
    <row r="2408">
      <c r="A2408" s="6" t="inlineStr">
        <is>
          <t>TOTAL DPS</t>
        </is>
      </c>
      <c r="B2408" s="6">
        <f>SUM(O2374:O2395)</f>
        <v/>
      </c>
    </row>
    <row r="2411">
      <c r="A2411" s="6" t="inlineStr">
        <is>
          <t>Stat: Secret Map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IF(B2447=0,0,O2413/B2447)</f>
        <v/>
      </c>
      <c r="Q2413" t="n">
        <v>0</v>
      </c>
      <c r="R2413" t="n">
        <v>0</v>
      </c>
      <c r="S2413">
        <f>IFERROR(O2413/N2413,0)</f>
        <v/>
      </c>
      <c r="T2413">
        <f>IF(C2413,(Skills!G2*N2413*B2441)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IF(C2413,(Skills!G2*N2413*B2441)*IF(Inputs!$B$38="pvp",1,(1+(Inputs!$B$21+Skills!Q2+(IF(ArtifactsInput!$M$33,CHOOSE(ArtifactsInput!$N$33+1,30,36,42,48,54,60),0))+(IF(AND(ArtifactsInput!$M$35,Inputs!$B$4&lt;&gt;"Chapter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Skills!G3*IF(Skills!H3&gt;0,Skills!I3/Skills!H3,1)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IF(B2447=0,0,O2414/B2447)</f>
        <v/>
      </c>
      <c r="Q2414" t="n">
        <v>0</v>
      </c>
      <c r="R2414" t="n">
        <v>0</v>
      </c>
      <c r="S2414">
        <f>IFERROR(O2414/N2414,0)</f>
        <v/>
      </c>
      <c r="T2414">
        <f>IF(C2414,(Skills!G3*H2414*N2414*B2441)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IF(C2414,(Skills!G3*H2414*N2414*B2441)*IF(Inputs!$B$38="pvp",1,(1+(Inputs!$B$21+Skills!Q3+(IF(ArtifactsInput!$M$33,CHOOSE(ArtifactsInput!$N$33+1,30,36,42,48,54,60),0))+(IF(AND(ArtifactsInput!$M$35,Inputs!$B$4&lt;&gt;"Chapter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Inputs!$B$3&gt;=60</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Skills!G4*IF(Skills!H4&gt;0,Skills!I4/Skills!H4,1)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IF(B2447=0,0,O2415/B2447)</f>
        <v/>
      </c>
      <c r="Q2415" t="n">
        <v>0</v>
      </c>
      <c r="R2415" t="n">
        <v>0</v>
      </c>
      <c r="S2415">
        <f>IFERROR(O2415/N2415,0)</f>
        <v/>
      </c>
      <c r="T2415">
        <f>IF(C2415,(Skills!G4*H2415*N2415*B2441)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IF(C2415,(Skills!G4*H2415*N2415*B2441)*IF(Inputs!$B$38="pvp",1,(1+(Inputs!$B$21+Skills!Q4+(IF(ArtifactsInput!$M$33,CHOOSE(ArtifactsInput!$N$33+1,30,36,42,48,54,60),0))+(IF(AND(ArtifactsInput!$M$35,Inputs!$B$4&lt;&gt;"Chapter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Inputs!$B$3&gt;=60</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t="inlineStr"/>
      <c r="K2416" t="inlineStr"/>
      <c r="L2416" t="inlineStr"/>
      <c r="M2416" t="inlineStr"/>
      <c r="N2416" t="inlineStr"/>
      <c r="O2416">
        <f>(1-Summary!$B$11)*T2416+Summary!$B$11*V2416</f>
        <v/>
      </c>
      <c r="P2416">
        <f>IF(B2447=0,0,O2416/B2447)</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IF(B2447=0,0,O2417/B2447)</f>
        <v/>
      </c>
      <c r="Q2417">
        <f>IFERROR(1/(IF(Inputs!$B$38="pvp",15,MAX(0.1,Skills!D6-IF(Skills!E6=TRUE,Inputs!$B$32,0)))*(1-IF(AND(ArtifactsInput!$M$27,Inputs!$B$4="Chapter Hunt"),CHOOSE(ArtifactsInput!$N$27+1,20,24,28,32,36,40),0)/100)),0)</f>
        <v/>
      </c>
      <c r="R2417">
        <f>IF(AND(Inputs!$B$38&lt;&gt;"pvp",Inputs!$B$43&gt;0),IF(MAX(0,Inputs!$B$43-B2444)&lt;=0,0,(INT(MAX(0,Inputs!$B$43-B2444)/(IF(Inputs!$B$38="pvp",15,MAX(0.1,Skills!D6-IF(Skills!E6=TRUE,Inputs!$B$32,0)))*(1-IF(AND(ArtifactsInput!$M$27,Inputs!$B$4="Chapter Hunt"),CHOOSE(ArtifactsInput!$N$27+1,20,24,28,32,36,40),0)/100)))+1)),0)</f>
        <v/>
      </c>
      <c r="S2417">
        <f>IFERROR(O2417/N2417,0)</f>
        <v/>
      </c>
      <c r="T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$21+Skills!Q6+(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Inputs!$B$3&gt;=100</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IF(B2447=0,0,O2418/B2447)</f>
        <v/>
      </c>
      <c r="Q2418">
        <f>IFERROR(1/(IF(Inputs!$B$38="pvp",15,MAX(0.1,Skills!D7-IF(Skills!E7=TRUE,Inputs!$B$32,0)))*(1-IF(AND(ArtifactsInput!$M$27,Inputs!$B$4="Chapter Hunt"),CHOOSE(ArtifactsInput!$N$27+1,20,24,28,32,36,40),0)/100)),0)</f>
        <v/>
      </c>
      <c r="R2418">
        <f>IF(AND(Inputs!$B$38&lt;&gt;"pvp",Inputs!$B$43&gt;0),IF(MAX(0,Inputs!$B$43-B2444)&lt;=0,0,(INT(MAX(0,Inputs!$B$43-B2444)/(IF(Inputs!$B$38="pvp",15,MAX(0.1,Skills!D7-IF(Skills!E7=TRUE,Inputs!$B$32,0)))*(1-IF(AND(ArtifactsInput!$M$27,Inputs!$B$4="Chapter Hunt"),CHOOSE(ArtifactsInput!$N$27+1,20,24,28,32,36,40),0)/100)))+1)),0)</f>
        <v/>
      </c>
      <c r="S2418">
        <f>IFERROR(O2418/N2418,0)</f>
        <v/>
      </c>
      <c r="T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$21+Skills!Q7+(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Skills!G8*IF(Skills!H8&gt;0,Skills!I8/Skills!H8,1)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IF(B2447=0,0,O2419/B2447)</f>
        <v/>
      </c>
      <c r="Q2419">
        <f>IFERROR(1/(IF(Inputs!$B$38="pvp",15,MAX(0.1,Skills!D8-IF(Skills!E8=TRUE,Inputs!$B$32,0)))*(1-IF(AND(ArtifactsInput!$M$27,Inputs!$B$4="Chapter Hunt"),CHOOSE(ArtifactsInput!$N$27+1,20,24,28,32,36,40),0)/100)),0)</f>
        <v/>
      </c>
      <c r="R2419">
        <f>IF(AND(Inputs!$B$38&lt;&gt;"pvp",Inputs!$B$43&gt;0),IF(MAX(0,Inputs!$B$43-B2444)&lt;=0,0,(INT(MAX(0,Inputs!$B$43-B2444)/(IF(Inputs!$B$38="pvp",15,MAX(0.1,Skills!D8-IF(Skills!E8=TRUE,Inputs!$B$32,0)))*(1-IF(AND(ArtifactsInput!$M$27,Inputs!$B$4="Chapter Hunt"),CHOOSE(ArtifactsInput!$N$27+1,20,24,28,32,36,40),0)/100)))+1)),0)</f>
        <v/>
      </c>
      <c r="S2419">
        <f>IFERROR(O2419/N2419,0)</f>
        <v/>
      </c>
      <c r="T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$21+Skills!Q8+(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Inputs!$B$3&gt;=110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IF(B2447=0,0,O2420/B2447)</f>
        <v/>
      </c>
      <c r="Q2420">
        <f>IFERROR(1/(IF(Inputs!$B$38="pvp",15,MAX(0.1,Skills!D9-IF(Skills!E9=TRUE,Inputs!$B$32,0)))*(1-IF(AND(ArtifactsInput!$M$27,Inputs!$B$4="Chapter Hunt"),CHOOSE(ArtifactsInput!$N$27+1,20,24,28,32,36,40),0)/100)),0)</f>
        <v/>
      </c>
      <c r="R2420">
        <f>IF(AND(Inputs!$B$38&lt;&gt;"pvp",Inputs!$B$43&gt;0),IF(MAX(0,Inputs!$B$43-B2444)&lt;=0,0,(INT(MAX(0,Inputs!$B$43-B2444)/(IF(Inputs!$B$38="pvp",15,MAX(0.1,Skills!D9-IF(Skills!E9=TRUE,Inputs!$B$32,0)))*(1-IF(AND(ArtifactsInput!$M$27,Inputs!$B$4="Chapter Hunt"),CHOOSE(ArtifactsInput!$N$27+1,20,24,28,32,36,40),0)/100)))+1)),0)</f>
        <v/>
      </c>
      <c r="S2420">
        <f>IFERROR(O2420/N2420,0)</f>
        <v/>
      </c>
      <c r="T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$21+Skills!Q9+(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Inputs!$B$3&gt;=103</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IF(B2447=0,0,O2421/B2447)</f>
        <v/>
      </c>
      <c r="Q2421">
        <f>IFERROR(1/(IF(Inputs!$B$38="pvp",15,MAX(0.1,Skills!D10-IF(Skills!E10=TRUE,Inputs!$B$32,0)))*(1-IF(AND(ArtifactsInput!$M$27,Inputs!$B$4="Chapter Hunt"),CHOOSE(ArtifactsInput!$N$27+1,20,24,28,32,36,40),0)/100)),0)</f>
        <v/>
      </c>
      <c r="R2421">
        <f>IF(AND(Inputs!$B$38&lt;&gt;"pvp",Inputs!$B$43&gt;0),IF(MAX(0,Inputs!$B$43-B2444)&lt;=0,0,(INT(MAX(0,Inputs!$B$43-B2444)/(IF(Inputs!$B$38="pvp",15,MAX(0.1,Skills!D10-IF(Skills!E10=TRUE,Inputs!$B$32,0)))*(1-IF(AND(ArtifactsInput!$M$27,Inputs!$B$4="Chapter Hunt"),CHOOSE(ArtifactsInput!$N$27+1,20,24,28,32,36,40),0)/100)))+1)),0)</f>
        <v/>
      </c>
      <c r="S2421">
        <f>IFERROR(O2421/N2421,0)</f>
        <v/>
      </c>
      <c r="T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$21+Skills!Q10+(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IF(B2447=0,0,O2422/B2447)</f>
        <v/>
      </c>
      <c r="Q2422">
        <f>IFERROR(1/(IF(Inputs!$B$38="pvp",15,MAX(0.1,Skills!D11-IF(Skills!E11=TRUE,Inputs!$B$32,0)))*(1-IF(AND(ArtifactsInput!$M$27,Inputs!$B$4="Chapter Hunt"),CHOOSE(ArtifactsInput!$N$27+1,20,24,28,32,36,40),0)/100)),0)</f>
        <v/>
      </c>
      <c r="R2422">
        <f>IF(AND(Inputs!$B$38&lt;&gt;"pvp",Inputs!$B$43&gt;0),IF(MAX(0,Inputs!$B$43-B2444)&lt;=0,0,(INT(MAX(0,Inputs!$B$43-B2444)/(IF(Inputs!$B$38="pvp",15,MAX(0.1,Skills!D11-IF(Skills!E11=TRUE,Inputs!$B$32,0)))*(1-IF(AND(ArtifactsInput!$M$27,Inputs!$B$4="Chapter Hunt"),CHOOSE(ArtifactsInput!$N$27+1,20,24,28,32,36,40),0)/100)))+1)),0)</f>
        <v/>
      </c>
      <c r="S2422">
        <f>IFERROR(O2422/N2422,0)</f>
        <v/>
      </c>
      <c r="T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$21+Skills!Q11+(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Inputs!$B$3&gt;=66</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IF(B2447=0,0,O2424/B2447)</f>
        <v/>
      </c>
      <c r="Q2424" t="n">
        <v>0</v>
      </c>
      <c r="R2424" t="n">
        <v>0</v>
      </c>
      <c r="S2424">
        <f>IFERROR(O2424/N2424,0)</f>
        <v/>
      </c>
      <c r="T2424" t="n">
        <v>0</v>
      </c>
      <c r="V2424" t="n">
        <v>0</v>
      </c>
    </row>
    <row r="2425">
      <c r="A2425">
        <f>Skills!A14</f>
        <v/>
      </c>
      <c r="B2425">
        <f>Skills!B14</f>
        <v/>
      </c>
      <c r="C2425">
        <f>Inputs!$B$3&gt;=107</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IF(B2447=0,0,O2425/B2447)</f>
        <v/>
      </c>
      <c r="Q2425" t="n">
        <v>0</v>
      </c>
      <c r="R2425" t="n">
        <v>0</v>
      </c>
      <c r="S2425">
        <f>IFERROR(O2425/N2425,0)</f>
        <v/>
      </c>
      <c r="T2425" t="n">
        <v>0</v>
      </c>
      <c r="V2425" t="n">
        <v>0</v>
      </c>
    </row>
    <row r="2426">
      <c r="A2426">
        <f>Skills!A15</f>
        <v/>
      </c>
      <c r="B2426">
        <f>Skills!B15</f>
        <v/>
      </c>
      <c r="C2426">
        <f>Inputs!$B$3&gt;=115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IF(B2447=0,0,O2426/B2447)</f>
        <v/>
      </c>
      <c r="Q2426" t="n">
        <v>0</v>
      </c>
      <c r="R2426" t="n">
        <v>0</v>
      </c>
      <c r="S2426">
        <f>IFERROR(O2426/N2426,0)</f>
        <v/>
      </c>
      <c r="T2426" t="n">
        <v>0</v>
      </c>
      <c r="V2426" t="n">
        <v>0</v>
      </c>
    </row>
    <row r="2427">
      <c r="A2427">
        <f>Skills!A16</f>
        <v/>
      </c>
      <c r="B2427">
        <f>Skills!B16</f>
        <v/>
      </c>
      <c r="C2427">
        <f>Inputs!$B$3&gt;=15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IF(B2447=0,0,O2427/B2447)</f>
        <v/>
      </c>
      <c r="Q2427" t="n">
        <v>0</v>
      </c>
      <c r="R2427" t="n">
        <v>0</v>
      </c>
      <c r="S2427">
        <f>IFERROR(O2427/N2427,0)</f>
        <v/>
      </c>
      <c r="T2427" t="n">
        <v>0</v>
      </c>
      <c r="V2427" t="n">
        <v>0</v>
      </c>
    </row>
    <row r="2428">
      <c r="A2428">
        <f>Skills!A17</f>
        <v/>
      </c>
      <c r="B2428">
        <f>Skills!B17</f>
        <v/>
      </c>
      <c r="C2428">
        <f>Inputs!$B$3&gt;=10</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IF(B2447=0,0,O2428/B2447)</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IF(B2447=0,0,O2429/B2447)</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IF(B2447=0,0,O2430/B2447)</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IF(B2447=0,0,O2431/B2447)</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IF(B2447=0,0,O2432/B2447)</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IF(B2447=0,0,O2433/B2447)</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IF(B2447=0,0,O2434/B2447)</f>
        <v/>
      </c>
      <c r="Q2434">
        <f>IFERROR(1/(IF(Inputs!$B$38="pvp",15,MAX(0.1,Skills!D23-IF(Skills!E23=TRUE,Inputs!$B$32,0)))*(1-IF(AND(ArtifactsInput!$M$27,Inputs!$B$4="Chapter Hunt"),CHOOSE(ArtifactsInput!$N$27+1,20,24,28,32,36,40),0)/100)),0)</f>
        <v/>
      </c>
      <c r="R2434">
        <f>IF(AND(Inputs!$B$38&lt;&gt;"pvp",Inputs!$B$43&gt;0),IF(Inputs!$B$43&lt;=0,0,(INT(Inputs!$B$43/(IF(Inputs!$B$38="pvp",15,MAX(0.1,Skills!D23-IF(Skills!E23=TRUE,Inputs!$B$32,0)))*(1-IF(AND(ArtifactsInput!$M$27,Inputs!$B$4="Chapter Hunt"),CHOOSE(ArtifactsInput!$N$27+1,20,24,28,32,36,40),0)/100)))+1)),0)</f>
        <v/>
      </c>
      <c r="S2434">
        <f>IFERROR(O2434/N2434,0)</f>
        <v/>
      </c>
      <c r="T2434" t="n">
        <v>0</v>
      </c>
      <c r="V2434" t="n">
        <v>0</v>
      </c>
    </row>
    <row r="2436">
      <c r="A2436" t="inlineStr">
        <is>
          <t>Attack% Bucket Multiplier</t>
        </is>
      </c>
      <c r="B2436">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7">
      <c r="A2437" t="inlineStr">
        <is>
          <t>Global Crit Rate Bonus %</t>
        </is>
      </c>
      <c r="B2437" t="n">
        <v>0</v>
      </c>
    </row>
    <row r="2438">
      <c r="A2438" t="inlineStr">
        <is>
          <t>Attack Speed Buff Bonus % (Nimble Feet, duty-cycle averaged)</t>
        </is>
      </c>
      <c r="B2438">
        <f>((C2434=TRUE)*F2434*IF(AND(Inputs!$B$38&lt;&gt;"pvp",Inputs!$B$43&gt;0),(((R2434-1)*(Skills!T23*(1+Inputs!$B$34/100))+MIN((Skills!T23*(1+Inputs!$B$34/100)),MAX(0,Inputs!$B$43-((R2434-1)*Skills!D23))))/Inputs!$B$43),IF(Inputs!$B$38="pvp",MIN((Skills!T23*(1+Inputs!$B$34/100)),15)/15,(Skills!T23*(1+Inputs!$B$34/100))/Skills!D23)))</f>
        <v/>
      </c>
    </row>
    <row r="2439">
      <c r="A2439" t="inlineStr">
        <is>
          <t>Actions Per Second</t>
        </is>
      </c>
      <c r="B2439">
        <f>1+MIN(150,150*(1-(1-(Inputs!$B$11+((C2428=TRUE)*(F2428-Calc!F17))+((C2429=TRUE)*(F2429-Calc!F18)))/150)*(1-B2438/150)))/100</f>
        <v/>
      </c>
    </row>
    <row r="2440">
      <c r="A2440" t="inlineStr">
        <is>
          <t>Skill + Buff Cast Rate</t>
        </is>
      </c>
      <c r="B2440">
        <f>IF(AND(Inputs!$B$38&lt;&gt;"pvp",Inputs!$B$43&gt;0),SUMPRODUCT((Skills!E2:E23=TRUE)*(C2413:C2434=TRUE)*R2413:R2434*Skills!F2:F23)/Inputs!$B$43,SUMPRODUCT((Skills!E2:E23=TRUE)*(C2413:C2434=TRUE)*Q2413:Q2434*Skills!F2:F23))</f>
        <v/>
      </c>
    </row>
    <row r="2441">
      <c r="A2441" t="inlineStr">
        <is>
          <t>Hook Bomber Casts Per Second</t>
        </is>
      </c>
      <c r="B2441">
        <f>MAX(0,B2439-B2440)</f>
        <v/>
      </c>
    </row>
    <row r="2442">
      <c r="A2442" t="inlineStr">
        <is>
          <t>Global Critical Damage Bonus % (unused)</t>
        </is>
      </c>
      <c r="B2442" t="n">
        <v>0</v>
      </c>
    </row>
    <row r="2443">
      <c r="A2443" t="inlineStr">
        <is>
          <t>Global Final Damage Bonus % (Serpent Scale + Crossbones + Time Leap + Speed Infusion)</t>
        </is>
      </c>
      <c r="B2443">
        <f>((C2416=TRUE)*F2416*((10+IF(Inputs!$B$3&gt;=94,5,0))/((10+IF(Inputs!$B$3&gt;=94,5,0))+5/(B2441*(1+IF(Inputs!$B$3&gt;=104,1,0))))))+((C2425=TRUE)*F2425)+((C2426=TRUE)*F2426)+((Inputs!$B$3&gt;=110)*20*(B2439-1))</f>
        <v/>
      </c>
    </row>
    <row r="2444">
      <c r="A2444" t="inlineStr">
        <is>
          <t>Buff-Casting Startup Delay (s, fixed-duration only)</t>
        </is>
      </c>
      <c r="B2444">
        <f>IF(AND(Inputs!$B$38&lt;&gt;"pvp",Inputs!$B$43&gt;0),SUMPRODUCT((Skills!T2:T23&gt;0)*(Skills!E2:E23=TRUE)*(C2413:C2434=TRUE))/B2439,0)</f>
        <v/>
      </c>
    </row>
    <row r="2445">
      <c r="A2445" t="inlineStr">
        <is>
          <t>Boss-Only Total DPS (this block's swept value)</t>
        </is>
      </c>
      <c r="B2445">
        <f>SUM(T2413:T2434)</f>
        <v/>
      </c>
    </row>
    <row r="2446">
      <c r="A2446" t="inlineStr">
        <is>
          <t>Normal-Only Total DPS (this block's swept value)</t>
        </is>
      </c>
      <c r="B2446">
        <f>SUM(V2413:V2434)</f>
        <v/>
      </c>
    </row>
    <row r="2447">
      <c r="A2447" s="6" t="inlineStr">
        <is>
          <t>TOTAL DPS</t>
        </is>
      </c>
      <c r="B2447" s="6">
        <f>SUM(O2413:O2434)</f>
        <v/>
      </c>
    </row>
    <row r="2450">
      <c r="A2450" s="6" t="inlineStr">
        <is>
          <t>Stat: Ring of Cycles (Equip)</t>
        </is>
      </c>
    </row>
    <row r="2451">
      <c r="A2451" s="5" t="inlineStr">
        <is>
          <t>Key</t>
        </is>
      </c>
      <c r="B2451" s="5" t="inlineStr">
        <is>
          <t>Name</t>
        </is>
      </c>
      <c r="C2451" s="5" t="inlineStr">
        <is>
          <t>Unlocked</t>
        </is>
      </c>
      <c r="D2451" s="5" t="inlineStr">
        <is>
          <t>InputLevel</t>
        </is>
      </c>
      <c r="E2451" s="5" t="inlineStr">
        <is>
          <t>Factor</t>
        </is>
      </c>
      <c r="F2451" s="5" t="inlineStr">
        <is>
          <t>CoefficientPercent</t>
        </is>
      </c>
      <c r="G2451" s="5" t="inlineStr">
        <is>
          <t>EffectiveHits</t>
        </is>
      </c>
      <c r="H2451" s="5" t="inlineStr">
        <is>
          <t>ProcProbability</t>
        </is>
      </c>
      <c r="I2451" s="5" t="inlineStr">
        <is>
          <t>MapleHeroMultiplier</t>
        </is>
      </c>
      <c r="J2451" s="5" t="inlineStr">
        <is>
          <t>BaseDamage</t>
        </is>
      </c>
      <c r="K2451" s="5" t="inlineStr">
        <is>
          <t>BaseHitDamage</t>
        </is>
      </c>
      <c r="L2451" s="5" t="inlineStr">
        <is>
          <t>NonCritAvg</t>
        </is>
      </c>
      <c r="M2451" s="5" t="inlineStr">
        <is>
          <t>CritAvg</t>
        </is>
      </c>
      <c r="N2451" s="5" t="inlineStr">
        <is>
          <t>ExpectedDamage(perHit)</t>
        </is>
      </c>
      <c r="O2451" s="5" t="inlineStr">
        <is>
          <t>DPS</t>
        </is>
      </c>
      <c r="P2451" s="5" t="inlineStr">
        <is>
          <t>% of Total</t>
        </is>
      </c>
      <c r="Q2451" s="5" t="inlineStr">
        <is>
          <t>InvCooldown</t>
        </is>
      </c>
      <c r="R2451" s="5" t="inlineStr">
        <is>
          <t>CastsInFight</t>
        </is>
      </c>
      <c r="S2451" s="5" t="inlineStr">
        <is>
          <t>HitRate(perSec)</t>
        </is>
      </c>
      <c r="U2451" t="inlineStr">
        <is>
          <t>helpers</t>
        </is>
      </c>
    </row>
    <row r="2452">
      <c r="A2452">
        <f>Skills!A2</f>
        <v/>
      </c>
      <c r="B2452">
        <f>Skills!B2</f>
        <v/>
      </c>
      <c r="C2452">
        <f>Inputs!$B$3&gt;=100</f>
        <v/>
      </c>
      <c r="D2452" t="inlineStr"/>
      <c r="E2452" t="inlineStr"/>
      <c r="F2452">
        <f>U2454+Skills!O2</f>
        <v/>
      </c>
      <c r="G2452">
        <f>Skills!G2*IF(Skills!H2&gt;0,Skills!I2/Skills!H2,1)</f>
        <v/>
      </c>
      <c r="H2452">
        <f>1-(1-Skills!J2/100)^Skills!K2</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2470=TRUE)*(F2470-Calc!F20)),(Inputs!$B$23+0+(IF(ArtifactsInput!$M$15,CHOOSE(ArtifactsInput!$N$15+1,25,30,35,40,45,50)/100*(Inputs!$B$11-Inputs!$B$11),0))))/100+(Inputs!$B$23+0+(IF(ArtifactsInput!$M$15,CHOOSE(ArtifactsInput!$N$15+1,25,30,35,40,45,50)/100*(Inputs!$B$11-Inputs!$B$11),0)))/100)/2</f>
        <v/>
      </c>
      <c r="M2452">
        <f>L2452*(1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IF(B2486=0,0,O2452/B2486)</f>
        <v/>
      </c>
      <c r="Q2452" t="n">
        <v>0</v>
      </c>
      <c r="R2452" t="n">
        <v>0</v>
      </c>
      <c r="S2452">
        <f>IFERROR(O2452/N2452,0)</f>
        <v/>
      </c>
      <c r="T2452">
        <f>IF(C2452,(Skills!G2*N2452*B2480)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2">
        <f>MAX(0,(Inputs!$B$3-100)*3)+Inputs!$B$28+Inputs!$B$29</f>
        <v/>
      </c>
      <c r="V2452">
        <f>IF(C2452,(Skills!G2*N2452*B2480)*IF(Inputs!$B$38="pvp",1,(1+(Inputs!$B$21+Skills!Q2+(IF(ArtifactsInput!$M$33,CHOOSE(ArtifactsInput!$N$33+1,30,36,42,48,54,60),0))+(IF(AND(ArtifactsInput!$M$35,Inputs!$B$4&lt;&gt;"Chapter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Skills!A3</f>
        <v/>
      </c>
      <c r="B2453">
        <f>Skills!B3</f>
        <v/>
      </c>
      <c r="C2453">
        <f>Inputs!$B$3&gt;=35</f>
        <v/>
      </c>
      <c r="D2453">
        <f>IF(Skills!C3=1,60+Inputs!$B$25+Inputs!$B$29,IF(Skills!C3=2,90+Inputs!$B$26+Inputs!$B$29,IF(Skills!C3=3,120+Inputs!$B$27+Inputs!$B$29,MAX(0,(Inputs!$B$3-100)*3)+Inputs!$B$28+Inputs!$B$29)))</f>
        <v/>
      </c>
      <c r="E2453">
        <f>INDEX(FactorTable!$B$2:$Y$301, MATCH(ROUND(MIN(300,MAX(1,D2453)),0), FactorTable!$A$2:$A$301,0), Skills!M3+1)</f>
        <v/>
      </c>
      <c r="F2453">
        <f>IF(Skills!N3=TRUE,(Skills!L3/10)*(E2453/1000),Skills!L3/10)+Skills!O3</f>
        <v/>
      </c>
      <c r="G2453">
        <f>Skills!G3*IF(Skills!H3&gt;0,Skills!I3/Skills!H3,1)</f>
        <v/>
      </c>
      <c r="H2453">
        <f>1-(1-Skills!J3/100)^Skills!K3</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2470=TRUE)*(F2470-Calc!F20)),(Inputs!$B$23+0+(IF(ArtifactsInput!$M$15,CHOOSE(ArtifactsInput!$N$15+1,25,30,35,40,45,50)/100*(Inputs!$B$11-Inputs!$B$11),0))))/100+(Inputs!$B$23+0+(IF(ArtifactsInput!$M$15,CHOOSE(ArtifactsInput!$N$15+1,25,30,35,40,45,50)/100*(Inputs!$B$11-Inputs!$B$11),0)))/100)/2</f>
        <v/>
      </c>
      <c r="M2453">
        <f>L2453*(1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IF(B2486=0,0,O2453/B2486)</f>
        <v/>
      </c>
      <c r="Q2453" t="n">
        <v>0</v>
      </c>
      <c r="R2453" t="n">
        <v>0</v>
      </c>
      <c r="S2453">
        <f>IFERROR(O2453/N2453,0)</f>
        <v/>
      </c>
      <c r="T2453">
        <f>IF(C2453,(Skills!G3*H2453*N2453*B2480)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INDEX(FactorTable!$B$2:$Y$301, MATCH(ROUND(MIN(300,MAX(1,U2452)),0), FactorTable!$A$2:$A$301,0), 22)</f>
        <v/>
      </c>
      <c r="V2453">
        <f>IF(C2453,(Skills!G3*H2453*N2453*B2480)*IF(Inputs!$B$38="pvp",1,(1+(Inputs!$B$21+Skills!Q3+(IF(ArtifactsInput!$M$33,CHOOSE(ArtifactsInput!$N$33+1,30,36,42,48,54,60),0))+(IF(AND(ArtifactsInput!$M$35,Inputs!$B$4&lt;&gt;"Chapter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Skills!A4</f>
        <v/>
      </c>
      <c r="B2454">
        <f>Skills!B4</f>
        <v/>
      </c>
      <c r="C2454">
        <f>Inputs!$B$3&gt;=60</f>
        <v/>
      </c>
      <c r="D2454">
        <f>IF(Skills!C4=1,60+Inputs!$B$25+Inputs!$B$29,IF(Skills!C4=2,90+Inputs!$B$26+Inputs!$B$29,IF(Skills!C4=3,120+Inputs!$B$27+Inputs!$B$29,MAX(0,(Inputs!$B$3-100)*3)+Inputs!$B$28+Inputs!$B$29)))</f>
        <v/>
      </c>
      <c r="E2454">
        <f>INDEX(FactorTable!$B$2:$Y$301, MATCH(ROUND(MIN(300,MAX(1,D2454)),0), FactorTable!$A$2:$A$301,0), Skills!M4+1)</f>
        <v/>
      </c>
      <c r="F2454">
        <f>IF(Skills!N4=TRUE,(Skills!L4/10)*(E2454/1000),Skills!L4/10)+Skills!O4</f>
        <v/>
      </c>
      <c r="G2454">
        <f>Skills!G4*IF(Skills!H4&gt;0,Skills!I4/Skills!H4,1)</f>
        <v/>
      </c>
      <c r="H2454">
        <f>1-(1-Skills!J4/100)^Skills!K4</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4="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2470=TRUE)*(F2470-Calc!F20)),(Inputs!$B$23+0+(IF(ArtifactsInput!$M$15,CHOOSE(ArtifactsInput!$N$15+1,25,30,35,40,45,50)/100*(Inputs!$B$11-Inputs!$B$11),0))))/100+(Inputs!$B$23+0+(IF(ArtifactsInput!$M$15,CHOOSE(ArtifactsInput!$N$15+1,25,30,35,40,45,50)/100*(Inputs!$B$11-Inputs!$B$11),0)))/100)/2</f>
        <v/>
      </c>
      <c r="M2454">
        <f>L2454*(1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IF(B2486=0,0,O2454/B2486)</f>
        <v/>
      </c>
      <c r="Q2454" t="n">
        <v>0</v>
      </c>
      <c r="R2454" t="n">
        <v>0</v>
      </c>
      <c r="S2454">
        <f>IFERROR(O2454/N2454,0)</f>
        <v/>
      </c>
      <c r="T2454">
        <f>IF(C2454,(Skills!G4*H2454*N2454*B2480)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290*U2453/1000</f>
        <v/>
      </c>
      <c r="V2454">
        <f>IF(C2454,(Skills!G4*H2454*N2454*B2480)*IF(Inputs!$B$38="pvp",1,(1+(Inputs!$B$21+Skills!Q4+(IF(ArtifactsInput!$M$33,CHOOSE(ArtifactsInput!$N$33+1,30,36,42,48,54,60),0))+(IF(AND(ArtifactsInput!$M$35,Inputs!$B$4&lt;&gt;"Chapter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Skills!A5</f>
        <v/>
      </c>
      <c r="B2455">
        <f>Skills!B5</f>
        <v/>
      </c>
      <c r="C2455">
        <f>Inputs!$B$3&gt;=60</f>
        <v/>
      </c>
      <c r="D2455">
        <f>IF(Skills!C5=1,60+Inputs!$B$25+Inputs!$B$29,IF(Skills!C5=2,90+Inputs!$B$26+Inputs!$B$29,IF(Skills!C5=3,120+Inputs!$B$27+Inputs!$B$29,MAX(0,(Inputs!$B$3-100)*3)+Inputs!$B$28+Inputs!$B$29)))</f>
        <v/>
      </c>
      <c r="E2455">
        <f>INDEX(FactorTable!$B$2:$Y$301, MATCH(ROUND(MIN(300,MAX(1,D2455)),0), FactorTable!$A$2:$A$301,0), Skills!M5+1)</f>
        <v/>
      </c>
      <c r="F2455">
        <f>IF(Skills!N5=TRUE,(Skills!L5/10)*(E2455/1000),Skills!L5/10)+Skills!O5</f>
        <v/>
      </c>
      <c r="G2455">
        <f>Skills!G5*IF(Skills!H5&gt;0,Skills!I5/Skills!H5,1)</f>
        <v/>
      </c>
      <c r="H2455">
        <f>1-(1-Skills!J5/100)^Skills!K5</f>
        <v/>
      </c>
      <c r="I2455" t="inlineStr">
        <is>
          <t>1</t>
        </is>
      </c>
      <c r="J2455" t="inlineStr"/>
      <c r="K2455" t="inlineStr"/>
      <c r="L2455" t="inlineStr"/>
      <c r="M2455" t="inlineStr"/>
      <c r="N2455" t="inlineStr"/>
      <c r="O2455">
        <f>(1-Summary!$B$11)*T2455+Summary!$B$11*V2455</f>
        <v/>
      </c>
      <c r="P2455">
        <f>IF(B2486=0,0,O2455/B2486)</f>
        <v/>
      </c>
      <c r="Q2455" t="n">
        <v>0</v>
      </c>
      <c r="R2455" t="n">
        <v>0</v>
      </c>
      <c r="S2455">
        <f>IFERROR(O2455/N2455,0)</f>
        <v/>
      </c>
      <c r="T2455" t="n">
        <v>0</v>
      </c>
      <c r="V2455" t="n">
        <v>0</v>
      </c>
    </row>
    <row r="2456">
      <c r="A2456">
        <f>Skills!A6</f>
        <v/>
      </c>
      <c r="B2456">
        <f>Skills!B6</f>
        <v/>
      </c>
      <c r="C2456">
        <f>Inputs!$B$3&gt;=63</f>
        <v/>
      </c>
      <c r="D2456">
        <f>IF(Skills!C6=1,60+Inputs!$B$25+Inputs!$B$29,IF(Skills!C6=2,90+Inputs!$B$26+Inputs!$B$29,IF(Skills!C6=3,120+Inputs!$B$27+Inputs!$B$29,MAX(0,(Inputs!$B$3-100)*3)+Inputs!$B$28+Inputs!$B$29)))</f>
        <v/>
      </c>
      <c r="E2456">
        <f>INDEX(FactorTable!$B$2:$Y$301, MATCH(ROUND(MIN(300,MAX(1,D2456)),0), FactorTable!$A$2:$A$301,0), Skills!M6+1)</f>
        <v/>
      </c>
      <c r="F2456">
        <f>IF(Skills!N6=TRUE,(Skills!L6/10)*(E2456/1000),Skills!L6/10)+Skills!O6</f>
        <v/>
      </c>
      <c r="G2456">
        <f>Skills!G6*IF(Skills!H6&gt;0,Skills!I6/Skills!H6,1)</f>
        <v/>
      </c>
      <c r="H2456">
        <f>1-(1-Skills!J6/100)^Skills!K6</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2470=TRUE)*(F2470-Calc!F20)),(Inputs!$B$23+0+(IF(ArtifactsInput!$M$15,CHOOSE(ArtifactsInput!$N$15+1,25,30,35,40,45,50)/100*(Inputs!$B$11-Inputs!$B$11),0))))/100+(Inputs!$B$23+0+(IF(ArtifactsInput!$M$15,CHOOSE(ArtifactsInput!$N$15+1,25,30,35,40,45,50)/100*(Inputs!$B$11-Inputs!$B$11),0)))/100)/2</f>
        <v/>
      </c>
      <c r="M2456">
        <f>L2456*(1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IF(B2486=0,0,O2456/B2486)</f>
        <v/>
      </c>
      <c r="Q2456">
        <f>IFERROR(1/(IF(Inputs!$B$38="pvp",15,MAX(0.1,Skills!D6-IF(Skills!E6=TRUE,Inputs!$B$32,0)))*(1-IF(AND(ArtifactsInput!$M$27,Inputs!$B$4="Chapter Hunt"),CHOOSE(ArtifactsInput!$N$27+1,20,24,28,32,36,40),0)/100)),0)</f>
        <v/>
      </c>
      <c r="R2456">
        <f>IF(AND(Inputs!$B$38&lt;&gt;"pvp",Inputs!$B$43&gt;0),IF(MAX(0,Inputs!$B$43-B2483)&lt;=0,0,(INT(MAX(0,Inputs!$B$43-B2483)/(IF(Inputs!$B$38="pvp",15,MAX(0.1,Skills!D6-IF(Skills!E6=TRUE,Inputs!$B$32,0)))*(1-IF(AND(ArtifactsInput!$M$27,Inputs!$B$4="Chapter Hunt"),CHOOSE(ArtifactsInput!$N$27+1,20,24,28,32,36,40),0)/100)))+1)),0)</f>
        <v/>
      </c>
      <c r="S2456">
        <f>IFERROR(O2456/N2456,0)</f>
        <v/>
      </c>
      <c r="T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$21+Skills!Q6+(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Skills!A7</f>
        <v/>
      </c>
      <c r="B2457">
        <f>Skills!B7</f>
        <v/>
      </c>
      <c r="C2457">
        <f>Inputs!$B$3&gt;=100</f>
        <v/>
      </c>
      <c r="D2457">
        <f>IF(Skills!C7=1,60+Inputs!$B$25+Inputs!$B$29,IF(Skills!C7=2,90+Inputs!$B$26+Inputs!$B$29,IF(Skills!C7=3,120+Inputs!$B$27+Inputs!$B$29,MAX(0,(Inputs!$B$3-100)*3)+Inputs!$B$28+Inputs!$B$29)))</f>
        <v/>
      </c>
      <c r="E2457">
        <f>INDEX(FactorTable!$B$2:$Y$301, MATCH(ROUND(MIN(300,MAX(1,D2457)),0), FactorTable!$A$2:$A$301,0), Skills!M7+1)</f>
        <v/>
      </c>
      <c r="F2457">
        <f>IF(Skills!N7=TRUE,(Skills!L7/10)*(E2457/1000),Skills!L7/10)+Skills!O7</f>
        <v/>
      </c>
      <c r="G2457">
        <f>Skills!G7*IF(Skills!H7&gt;0,Skills!I7/Skills!H7,1)</f>
        <v/>
      </c>
      <c r="H2457">
        <f>1-(1-Skills!J7/100)^Skills!K7</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2470=TRUE)*(F2470-Calc!F20)),(Inputs!$B$23+0+(IF(ArtifactsInput!$M$15,CHOOSE(ArtifactsInput!$N$15+1,25,30,35,40,45,50)/100*(Inputs!$B$11-Inputs!$B$11),0))))/100+(Inputs!$B$23+0+(IF(ArtifactsInput!$M$15,CHOOSE(ArtifactsInput!$N$15+1,25,30,35,40,45,50)/100*(Inputs!$B$11-Inputs!$B$11),0)))/100)/2</f>
        <v/>
      </c>
      <c r="M2457">
        <f>L2457*(1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IF(B2486=0,0,O2457/B2486)</f>
        <v/>
      </c>
      <c r="Q2457">
        <f>IFERROR(1/(IF(Inputs!$B$38="pvp",15,MAX(0.1,Skills!D7-IF(Skills!E7=TRUE,Inputs!$B$32,0)))*(1-IF(AND(ArtifactsInput!$M$27,Inputs!$B$4="Chapter Hunt"),CHOOSE(ArtifactsInput!$N$27+1,20,24,28,32,36,40),0)/100)),0)</f>
        <v/>
      </c>
      <c r="R2457">
        <f>IF(AND(Inputs!$B$38&lt;&gt;"pvp",Inputs!$B$43&gt;0),IF(MAX(0,Inputs!$B$43-B2483)&lt;=0,0,(INT(MAX(0,Inputs!$B$43-B2483)/(IF(Inputs!$B$38="pvp",15,MAX(0.1,Skills!D7-IF(Skills!E7=TRUE,Inputs!$B$32,0)))*(1-IF(AND(ArtifactsInput!$M$27,Inputs!$B$4="Chapter Hunt"),CHOOSE(ArtifactsInput!$N$27+1,20,24,28,32,36,40),0)/100)))+1)),0)</f>
        <v/>
      </c>
      <c r="S2457">
        <f>IFERROR(O2457/N2457,0)</f>
        <v/>
      </c>
      <c r="T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$21+Skills!Q7+(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Skills!A8</f>
        <v/>
      </c>
      <c r="B2458">
        <f>Skills!B8</f>
        <v/>
      </c>
      <c r="C2458">
        <f>Inputs!$B$3&gt;=110</f>
        <v/>
      </c>
      <c r="D2458">
        <f>IF(Skills!C8=1,60+Inputs!$B$25+Inputs!$B$29,IF(Skills!C8=2,90+Inputs!$B$26+Inputs!$B$29,IF(Skills!C8=3,120+Inputs!$B$27+Inputs!$B$29,MAX(0,(Inputs!$B$3-100)*3)+Inputs!$B$28+Inputs!$B$29)))</f>
        <v/>
      </c>
      <c r="E2458">
        <f>INDEX(FactorTable!$B$2:$Y$301, MATCH(ROUND(MIN(300,MAX(1,D2458)),0), FactorTable!$A$2:$A$301,0), Skills!M8+1)</f>
        <v/>
      </c>
      <c r="F2458">
        <f>IF(Skills!N8=TRUE,(Skills!L8/10)*(E2458/1000),Skills!L8/10)+Skills!O8</f>
        <v/>
      </c>
      <c r="G2458">
        <f>Skills!G8*IF(Skills!H8&gt;0,Skills!I8/Skills!H8,1)</f>
        <v/>
      </c>
      <c r="H2458">
        <f>1-(1-Skills!J8/100)^Skills!K8</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2470=TRUE)*(F2470-Calc!F20)),(Inputs!$B$23+0+(IF(ArtifactsInput!$M$15,CHOOSE(ArtifactsInput!$N$15+1,25,30,35,40,45,50)/100*(Inputs!$B$11-Inputs!$B$11),0))))/100+(Inputs!$B$23+0+(IF(ArtifactsInput!$M$15,CHOOSE(ArtifactsInput!$N$15+1,25,30,35,40,45,50)/100*(Inputs!$B$11-Inputs!$B$11),0)))/100)/2</f>
        <v/>
      </c>
      <c r="M2458">
        <f>L2458*(1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IF(B2486=0,0,O2458/B2486)</f>
        <v/>
      </c>
      <c r="Q2458">
        <f>IFERROR(1/(IF(Inputs!$B$38="pvp",15,MAX(0.1,Skills!D8-IF(Skills!E8=TRUE,Inputs!$B$32,0)))*(1-IF(AND(ArtifactsInput!$M$27,Inputs!$B$4="Chapter Hunt"),CHOOSE(ArtifactsInput!$N$27+1,20,24,28,32,36,40),0)/100)),0)</f>
        <v/>
      </c>
      <c r="R2458">
        <f>IF(AND(Inputs!$B$38&lt;&gt;"pvp",Inputs!$B$43&gt;0),IF(MAX(0,Inputs!$B$43-B2483)&lt;=0,0,(INT(MAX(0,Inputs!$B$43-B2483)/(IF(Inputs!$B$38="pvp",15,MAX(0.1,Skills!D8-IF(Skills!E8=TRUE,Inputs!$B$32,0)))*(1-IF(AND(ArtifactsInput!$M$27,Inputs!$B$4="Chapter Hunt"),CHOOSE(ArtifactsInput!$N$27+1,20,24,28,32,36,40),0)/100)))+1)),0)</f>
        <v/>
      </c>
      <c r="S2458">
        <f>IFERROR(O2458/N2458,0)</f>
        <v/>
      </c>
      <c r="T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$21+Skills!Q8+(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Skills!A9</f>
        <v/>
      </c>
      <c r="B2459">
        <f>Skills!B9</f>
        <v/>
      </c>
      <c r="C2459">
        <f>Inputs!$B$3&gt;=110</f>
        <v/>
      </c>
      <c r="D2459">
        <f>IF(Skills!C9=1,60+Inputs!$B$25+Inputs!$B$29,IF(Skills!C9=2,90+Inputs!$B$26+Inputs!$B$29,IF(Skills!C9=3,120+Inputs!$B$27+Inputs!$B$29,MAX(0,(Inputs!$B$3-100)*3)+Inputs!$B$28+Inputs!$B$29)))</f>
        <v/>
      </c>
      <c r="E2459">
        <f>INDEX(FactorTable!$B$2:$Y$301, MATCH(ROUND(MIN(300,MAX(1,D2459)),0), FactorTable!$A$2:$A$301,0), Skills!M9+1)</f>
        <v/>
      </c>
      <c r="F2459">
        <f>IF(Skills!N9=TRUE,(Skills!L9/10)*(E2459/1000),Skills!L9/10)+Skills!O9</f>
        <v/>
      </c>
      <c r="G2459">
        <f>Skills!G9*IF(Skills!H9&gt;0,Skills!I9/Skills!H9,1)</f>
        <v/>
      </c>
      <c r="H2459">
        <f>1-(1-Skills!J9/100)^Skills!K9</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2470=TRUE)*(F2470-Calc!F20)),(Inputs!$B$23+0+(IF(ArtifactsInput!$M$15,CHOOSE(ArtifactsInput!$N$15+1,25,30,35,40,45,50)/100*(Inputs!$B$11-Inputs!$B$11),0))))/100+(Inputs!$B$23+0+(IF(ArtifactsInput!$M$15,CHOOSE(ArtifactsInput!$N$15+1,25,30,35,40,45,50)/100*(Inputs!$B$11-Inputs!$B$11),0)))/100)/2</f>
        <v/>
      </c>
      <c r="M2459">
        <f>L2459*(1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IF(B2486=0,0,O2459/B2486)</f>
        <v/>
      </c>
      <c r="Q2459">
        <f>IFERROR(1/(IF(Inputs!$B$38="pvp",15,MAX(0.1,Skills!D9-IF(Skills!E9=TRUE,Inputs!$B$32,0)))*(1-IF(AND(ArtifactsInput!$M$27,Inputs!$B$4="Chapter Hunt"),CHOOSE(ArtifactsInput!$N$27+1,20,24,28,32,36,40),0)/100)),0)</f>
        <v/>
      </c>
      <c r="R2459">
        <f>IF(AND(Inputs!$B$38&lt;&gt;"pvp",Inputs!$B$43&gt;0),IF(MAX(0,Inputs!$B$43-B2483)&lt;=0,0,(INT(MAX(0,Inputs!$B$43-B2483)/(IF(Inputs!$B$38="pvp",15,MAX(0.1,Skills!D9-IF(Skills!E9=TRUE,Inputs!$B$32,0)))*(1-IF(AND(ArtifactsInput!$M$27,Inputs!$B$4="Chapter Hunt"),CHOOSE(ArtifactsInput!$N$27+1,20,24,28,32,36,40),0)/100)))+1)),0)</f>
        <v/>
      </c>
      <c r="S2459">
        <f>IFERROR(O2459/N2459,0)</f>
        <v/>
      </c>
      <c r="T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$21+Skills!Q9+(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Skills!A10</f>
        <v/>
      </c>
      <c r="B2460">
        <f>Skills!B10</f>
        <v/>
      </c>
      <c r="C2460">
        <f>Inputs!$B$3&gt;=103</f>
        <v/>
      </c>
      <c r="D2460">
        <f>IF(Skills!C10=1,60+Inputs!$B$25+Inputs!$B$29,IF(Skills!C10=2,90+Inputs!$B$26+Inputs!$B$29,IF(Skills!C10=3,120+Inputs!$B$27+Inputs!$B$29,MAX(0,(Inputs!$B$3-100)*3)+Inputs!$B$28+Inputs!$B$29)))</f>
        <v/>
      </c>
      <c r="E2460">
        <f>INDEX(FactorTable!$B$2:$Y$301, MATCH(ROUND(MIN(300,MAX(1,D2460)),0), FactorTable!$A$2:$A$301,0), Skills!M10+1)</f>
        <v/>
      </c>
      <c r="F2460">
        <f>IF(Skills!N10=TRUE,(Skills!L10/10)*(E2460/1000),Skills!L10/10)+Skills!O10</f>
        <v/>
      </c>
      <c r="G2460">
        <f>Skills!G10*IF(Skills!H10&gt;0,Skills!I10/Skills!H10,1)</f>
        <v/>
      </c>
      <c r="H2460">
        <f>1-(1-Skills!J10/100)^Skills!K10</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2470=TRUE)*(F2470-Calc!F20)),(Inputs!$B$23+0+(IF(ArtifactsInput!$M$15,CHOOSE(ArtifactsInput!$N$15+1,25,30,35,40,45,50)/100*(Inputs!$B$11-Inputs!$B$11),0))))/100+(Inputs!$B$23+0+(IF(ArtifactsInput!$M$15,CHOOSE(ArtifactsInput!$N$15+1,25,30,35,40,45,50)/100*(Inputs!$B$11-Inputs!$B$11),0)))/100)/2</f>
        <v/>
      </c>
      <c r="M2460">
        <f>L2460*(1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IF(B2486=0,0,O2460/B2486)</f>
        <v/>
      </c>
      <c r="Q2460">
        <f>IFERROR(1/(IF(Inputs!$B$38="pvp",15,MAX(0.1,Skills!D10-IF(Skills!E10=TRUE,Inputs!$B$32,0)))*(1-IF(AND(ArtifactsInput!$M$27,Inputs!$B$4="Chapter Hunt"),CHOOSE(ArtifactsInput!$N$27+1,20,24,28,32,36,40),0)/100)),0)</f>
        <v/>
      </c>
      <c r="R2460">
        <f>IF(AND(Inputs!$B$38&lt;&gt;"pvp",Inputs!$B$43&gt;0),IF(MAX(0,Inputs!$B$43-B2483)&lt;=0,0,(INT(MAX(0,Inputs!$B$43-B2483)/(IF(Inputs!$B$38="pvp",15,MAX(0.1,Skills!D10-IF(Skills!E10=TRUE,Inputs!$B$32,0)))*(1-IF(AND(ArtifactsInput!$M$27,Inputs!$B$4="Chapter Hunt"),CHOOSE(ArtifactsInput!$N$27+1,20,24,28,32,36,40),0)/100)))+1)),0)</f>
        <v/>
      </c>
      <c r="S2460">
        <f>IFERROR(O2460/N2460,0)</f>
        <v/>
      </c>
      <c r="T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$21+Skills!Q10+(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Skills!A11</f>
        <v/>
      </c>
      <c r="B2461">
        <f>Skills!B11</f>
        <v/>
      </c>
      <c r="C2461">
        <f>Inputs!$B$3&gt;=113</f>
        <v/>
      </c>
      <c r="D2461">
        <f>IF(Skills!C11=1,60+Inputs!$B$25+Inputs!$B$29,IF(Skills!C11=2,90+Inputs!$B$26+Inputs!$B$29,IF(Skills!C11=3,120+Inputs!$B$27+Inputs!$B$29,MAX(0,(Inputs!$B$3-100)*3)+Inputs!$B$28+Inputs!$B$29)))</f>
        <v/>
      </c>
      <c r="E2461">
        <f>INDEX(FactorTable!$B$2:$Y$301, MATCH(ROUND(MIN(300,MAX(1,D2461)),0), FactorTable!$A$2:$A$301,0), Skills!M11+1)</f>
        <v/>
      </c>
      <c r="F2461">
        <f>IF(Skills!N11=TRUE,(Skills!L11/10)*(E2461/1000),Skills!L11/10)+Skills!O11</f>
        <v/>
      </c>
      <c r="G2461">
        <f>Skills!G11*IF(Skills!H11&gt;0,Skills!I11/Skills!H11,1)</f>
        <v/>
      </c>
      <c r="H2461">
        <f>1-(1-Skills!J11/100)^Skills!K11</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2470=TRUE)*(F2470-Calc!F20)),(Inputs!$B$23+0+(IF(ArtifactsInput!$M$15,CHOOSE(ArtifactsInput!$N$15+1,25,30,35,40,45,50)/100*(Inputs!$B$11-Inputs!$B$11),0))))/100+(Inputs!$B$23+0+(IF(ArtifactsInput!$M$15,CHOOSE(ArtifactsInput!$N$15+1,25,30,35,40,45,50)/100*(Inputs!$B$11-Inputs!$B$11),0)))/100)/2</f>
        <v/>
      </c>
      <c r="M2461">
        <f>L2461*(1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IF(B2486=0,0,O2461/B2486)</f>
        <v/>
      </c>
      <c r="Q2461">
        <f>IFERROR(1/(IF(Inputs!$B$38="pvp",15,MAX(0.1,Skills!D11-IF(Skills!E11=TRUE,Inputs!$B$32,0)))*(1-IF(AND(ArtifactsInput!$M$27,Inputs!$B$4="Chapter Hunt"),CHOOSE(ArtifactsInput!$N$27+1,20,24,28,32,36,40),0)/100)),0)</f>
        <v/>
      </c>
      <c r="R2461">
        <f>IF(AND(Inputs!$B$38&lt;&gt;"pvp",Inputs!$B$43&gt;0),IF(MAX(0,Inputs!$B$43-B2483)&lt;=0,0,(INT(MAX(0,Inputs!$B$43-B2483)/(IF(Inputs!$B$38="pvp",15,MAX(0.1,Skills!D11-IF(Skills!E11=TRUE,Inputs!$B$32,0)))*(1-IF(AND(ArtifactsInput!$M$27,Inputs!$B$4="Chapter Hunt"),CHOOSE(ArtifactsInput!$N$27+1,20,24,28,32,36,40),0)/100)))+1)),0)</f>
        <v/>
      </c>
      <c r="S2461">
        <f>IFERROR(O2461/N2461,0)</f>
        <v/>
      </c>
      <c r="T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$21+Skills!Q11+(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Skills!A12</f>
        <v/>
      </c>
      <c r="B2462">
        <f>Skills!B12</f>
        <v/>
      </c>
      <c r="C2462">
        <f>Inputs!$B$3&gt;=100</f>
        <v/>
      </c>
      <c r="D2462">
        <f>IF(Skills!C12=1,60+Inputs!$B$25+Inputs!$B$29,IF(Skills!C12=2,90+Inputs!$B$26+Inputs!$B$29,IF(Skills!C12=3,120+Inputs!$B$27+Inputs!$B$29,MAX(0,(Inputs!$B$3-100)*3)+Inputs!$B$28+Inputs!$B$29)))</f>
        <v/>
      </c>
      <c r="E2462">
        <f>INDEX(FactorTable!$B$2:$Y$301, MATCH(ROUND(MIN(300,MAX(1,D2462)),0), FactorTable!$A$2:$A$301,0), Skills!M12+1)</f>
        <v/>
      </c>
      <c r="F2462">
        <f>IF(Skills!N12=TRUE,(Skills!L12/10)*(E2462/1000),Skills!L12/10)+Skills!O12</f>
        <v/>
      </c>
      <c r="G2462" t="inlineStr"/>
      <c r="H2462" t="inlineStr"/>
      <c r="I2462" t="inlineStr">
        <is>
          <t>1</t>
        </is>
      </c>
      <c r="J2462" t="inlineStr"/>
      <c r="K2462" t="inlineStr"/>
      <c r="L2462" t="inlineStr"/>
      <c r="M2462" t="inlineStr"/>
      <c r="N2462" t="inlineStr"/>
      <c r="O2462" t="inlineStr"/>
      <c r="P2462" t="inlineStr"/>
      <c r="Q2462" t="inlineStr"/>
      <c r="R2462" t="inlineStr"/>
      <c r="S2462" t="inlineStr"/>
      <c r="T2462" t="inlineStr"/>
      <c r="V2462" t="inlineStr"/>
    </row>
    <row r="2463">
      <c r="A2463">
        <f>Skills!A13</f>
        <v/>
      </c>
      <c r="B2463">
        <f>Skills!B13</f>
        <v/>
      </c>
      <c r="C2463">
        <f>Inputs!$B$3&gt;=66</f>
        <v/>
      </c>
      <c r="D2463">
        <f>IF(Skills!C13=1,60+Inputs!$B$25+Inputs!$B$29,IF(Skills!C13=2,90+Inputs!$B$26+Inputs!$B$29,IF(Skills!C13=3,120+Inputs!$B$27+Inputs!$B$29,MAX(0,(Inputs!$B$3-100)*3)+Inputs!$B$28+Inputs!$B$29)))</f>
        <v/>
      </c>
      <c r="E2463">
        <f>INDEX(FactorTable!$B$2:$Y$301, MATCH(ROUND(MIN(300,MAX(1,D2463)),0), FactorTable!$A$2:$A$301,0), Skills!M13+1)</f>
        <v/>
      </c>
      <c r="F2463">
        <f>IF(Skills!N13=TRUE,(Skills!L13/10)*(E2463/1000),Skills!L13/10)+Skills!O13</f>
        <v/>
      </c>
      <c r="G2463">
        <f>Skills!G13*IF(Skills!H13&gt;0,Skills!I13/Skills!H13,1)</f>
        <v/>
      </c>
      <c r="H2463">
        <f>1-(1-Skills!J13/100)^Skills!K13</f>
        <v/>
      </c>
      <c r="I2463" t="inlineStr">
        <is>
          <t>1</t>
        </is>
      </c>
      <c r="J2463" t="inlineStr"/>
      <c r="K2463" t="inlineStr"/>
      <c r="L2463" t="inlineStr"/>
      <c r="M2463" t="inlineStr"/>
      <c r="N2463" t="inlineStr"/>
      <c r="O2463">
        <f>(1-Summary!$B$11)*T2463+Summary!$B$11*V2463</f>
        <v/>
      </c>
      <c r="P2463">
        <f>IF(B2486=0,0,O2463/B2486)</f>
        <v/>
      </c>
      <c r="Q2463" t="n">
        <v>0</v>
      </c>
      <c r="R2463" t="n">
        <v>0</v>
      </c>
      <c r="S2463">
        <f>IFERROR(O2463/N2463,0)</f>
        <v/>
      </c>
      <c r="T2463" t="n">
        <v>0</v>
      </c>
      <c r="V2463" t="n">
        <v>0</v>
      </c>
    </row>
    <row r="2464">
      <c r="A2464">
        <f>Skills!A14</f>
        <v/>
      </c>
      <c r="B2464">
        <f>Skills!B14</f>
        <v/>
      </c>
      <c r="C2464">
        <f>Inputs!$B$3&gt;=107</f>
        <v/>
      </c>
      <c r="D2464">
        <f>IF(Skills!C14=1,60+Inputs!$B$25+Inputs!$B$29,IF(Skills!C14=2,90+Inputs!$B$26+Inputs!$B$29,IF(Skills!C14=3,120+Inputs!$B$27+Inputs!$B$29,MAX(0,(Inputs!$B$3-100)*3)+Inputs!$B$28+Inputs!$B$29)))</f>
        <v/>
      </c>
      <c r="E2464">
        <f>INDEX(FactorTable!$B$2:$Y$301, MATCH(ROUND(MIN(300,MAX(1,D2464)),0), FactorTable!$A$2:$A$301,0), Skills!M14+1)</f>
        <v/>
      </c>
      <c r="F2464">
        <f>IF(Skills!N14=TRUE,(Skills!L14/10)*(E2464/1000),Skills!L14/10)+Skills!O14</f>
        <v/>
      </c>
      <c r="G2464">
        <f>Skills!G14*IF(Skills!H14&gt;0,Skills!I14/Skills!H14,1)</f>
        <v/>
      </c>
      <c r="H2464">
        <f>1-(1-Skills!J14/100)^Skills!K14</f>
        <v/>
      </c>
      <c r="I2464" t="inlineStr">
        <is>
          <t>1</t>
        </is>
      </c>
      <c r="J2464" t="inlineStr"/>
      <c r="K2464" t="inlineStr"/>
      <c r="L2464" t="inlineStr"/>
      <c r="M2464" t="inlineStr"/>
      <c r="N2464" t="inlineStr"/>
      <c r="O2464">
        <f>(1-Summary!$B$11)*T2464+Summary!$B$11*V2464</f>
        <v/>
      </c>
      <c r="P2464">
        <f>IF(B2486=0,0,O2464/B2486)</f>
        <v/>
      </c>
      <c r="Q2464" t="n">
        <v>0</v>
      </c>
      <c r="R2464" t="n">
        <v>0</v>
      </c>
      <c r="S2464">
        <f>IFERROR(O2464/N2464,0)</f>
        <v/>
      </c>
      <c r="T2464" t="n">
        <v>0</v>
      </c>
      <c r="V2464" t="n">
        <v>0</v>
      </c>
    </row>
    <row r="2465">
      <c r="A2465">
        <f>Skills!A15</f>
        <v/>
      </c>
      <c r="B2465">
        <f>Skills!B15</f>
        <v/>
      </c>
      <c r="C2465">
        <f>Inputs!$B$3&gt;=115</f>
        <v/>
      </c>
      <c r="D2465">
        <f>IF(Skills!C15=1,60+Inputs!$B$25+Inputs!$B$29,IF(Skills!C15=2,90+Inputs!$B$26+Inputs!$B$29,IF(Skills!C15=3,120+Inputs!$B$27+Inputs!$B$29,MAX(0,(Inputs!$B$3-100)*3)+Inputs!$B$28+Inputs!$B$29)))</f>
        <v/>
      </c>
      <c r="E2465">
        <f>INDEX(FactorTable!$B$2:$Y$301, MATCH(ROUND(MIN(300,MAX(1,D2465)),0), FactorTable!$A$2:$A$301,0), Skills!M15+1)</f>
        <v/>
      </c>
      <c r="F2465">
        <f>IF(Skills!N15=TRUE,(Skills!L15/10)*(E2465/1000),Skills!L15/10)+Skills!O15</f>
        <v/>
      </c>
      <c r="G2465">
        <f>Skills!G15*IF(Skills!H15&gt;0,Skills!I15/Skills!H15,1)</f>
        <v/>
      </c>
      <c r="H2465">
        <f>1-(1-Skills!J15/100)^Skills!K15</f>
        <v/>
      </c>
      <c r="I2465" t="inlineStr">
        <is>
          <t>1</t>
        </is>
      </c>
      <c r="J2465" t="inlineStr"/>
      <c r="K2465" t="inlineStr"/>
      <c r="L2465" t="inlineStr"/>
      <c r="M2465" t="inlineStr"/>
      <c r="N2465" t="inlineStr"/>
      <c r="O2465">
        <f>(1-Summary!$B$11)*T2465+Summary!$B$11*V2465</f>
        <v/>
      </c>
      <c r="P2465">
        <f>IF(B2486=0,0,O2465/B2486)</f>
        <v/>
      </c>
      <c r="Q2465" t="n">
        <v>0</v>
      </c>
      <c r="R2465" t="n">
        <v>0</v>
      </c>
      <c r="S2465">
        <f>IFERROR(O2465/N2465,0)</f>
        <v/>
      </c>
      <c r="T2465" t="n">
        <v>0</v>
      </c>
      <c r="V2465" t="n">
        <v>0</v>
      </c>
    </row>
    <row r="2466">
      <c r="A2466">
        <f>Skills!A16</f>
        <v/>
      </c>
      <c r="B2466">
        <f>Skills!B16</f>
        <v/>
      </c>
      <c r="C2466">
        <f>Inputs!$B$3&gt;=15</f>
        <v/>
      </c>
      <c r="D2466">
        <f>IF(Skills!C16=1,60+Inputs!$B$25+Inputs!$B$29,IF(Skills!C16=2,90+Inputs!$B$26+Inputs!$B$29,IF(Skills!C16=3,120+Inputs!$B$27+Inputs!$B$29,MAX(0,(Inputs!$B$3-100)*3)+Inputs!$B$28+Inputs!$B$29)))</f>
        <v/>
      </c>
      <c r="E2466">
        <f>INDEX(FactorTable!$B$2:$Y$301, MATCH(ROUND(MIN(300,MAX(1,D2466)),0), FactorTable!$A$2:$A$301,0), Skills!M16+1)</f>
        <v/>
      </c>
      <c r="F2466">
        <f>IF(Skills!N16=TRUE,(Skills!L16/10)*(E2466/1000),Skills!L16/10)+Skills!O16</f>
        <v/>
      </c>
      <c r="G2466">
        <f>Skills!G16*IF(Skills!H16&gt;0,Skills!I16/Skills!H16,1)</f>
        <v/>
      </c>
      <c r="H2466">
        <f>1-(1-Skills!J16/100)^Skills!K16</f>
        <v/>
      </c>
      <c r="I2466" t="inlineStr">
        <is>
          <t>1</t>
        </is>
      </c>
      <c r="J2466" t="inlineStr"/>
      <c r="K2466" t="inlineStr"/>
      <c r="L2466" t="inlineStr"/>
      <c r="M2466" t="inlineStr"/>
      <c r="N2466" t="inlineStr"/>
      <c r="O2466">
        <f>(1-Summary!$B$11)*T2466+Summary!$B$11*V2466</f>
        <v/>
      </c>
      <c r="P2466">
        <f>IF(B2486=0,0,O2466/B2486)</f>
        <v/>
      </c>
      <c r="Q2466" t="n">
        <v>0</v>
      </c>
      <c r="R2466" t="n">
        <v>0</v>
      </c>
      <c r="S2466">
        <f>IFERROR(O2466/N2466,0)</f>
        <v/>
      </c>
      <c r="T2466" t="n">
        <v>0</v>
      </c>
      <c r="V2466" t="n">
        <v>0</v>
      </c>
    </row>
    <row r="2467">
      <c r="A2467">
        <f>Skills!A17</f>
        <v/>
      </c>
      <c r="B2467">
        <f>Skills!B17</f>
        <v/>
      </c>
      <c r="C2467">
        <f>Inputs!$B$3&gt;=10</f>
        <v/>
      </c>
      <c r="D2467">
        <f>IF(Skills!C17=1,60+Inputs!$B$25+Inputs!$B$29,IF(Skills!C17=2,90+Inputs!$B$26+Inputs!$B$29,IF(Skills!C17=3,120+Inputs!$B$27+Inputs!$B$29,MAX(0,(Inputs!$B$3-100)*3)+Inputs!$B$28+Inputs!$B$29)))</f>
        <v/>
      </c>
      <c r="E2467">
        <f>INDEX(FactorTable!$B$2:$Y$301, MATCH(ROUND(MIN(300,MAX(1,D2467)),0), FactorTable!$A$2:$A$301,0), Skills!M17+1)</f>
        <v/>
      </c>
      <c r="F2467">
        <f>IF(Skills!N17=TRUE,(Skills!L17/10)*(E2467/1000),Skills!L17/10)+Skills!O17</f>
        <v/>
      </c>
      <c r="G2467">
        <f>Skills!G17*IF(Skills!H17&gt;0,Skills!I17/Skills!H17,1)</f>
        <v/>
      </c>
      <c r="H2467">
        <f>1-(1-Skills!J17/100)^Skills!K17</f>
        <v/>
      </c>
      <c r="I2467" t="inlineStr">
        <is>
          <t>1</t>
        </is>
      </c>
      <c r="J2467" t="inlineStr"/>
      <c r="K2467" t="inlineStr"/>
      <c r="L2467" t="inlineStr"/>
      <c r="M2467" t="inlineStr"/>
      <c r="N2467" t="inlineStr"/>
      <c r="O2467">
        <f>(1-Summary!$B$11)*T2467+Summary!$B$11*V2467</f>
        <v/>
      </c>
      <c r="P2467">
        <f>IF(B2486=0,0,O2467/B2486)</f>
        <v/>
      </c>
      <c r="Q2467" t="n">
        <v>0</v>
      </c>
      <c r="R2467" t="n">
        <v>0</v>
      </c>
      <c r="S2467">
        <f>IFERROR(O2467/N2467,0)</f>
        <v/>
      </c>
      <c r="T2467" t="n">
        <v>0</v>
      </c>
      <c r="V2467" t="n">
        <v>0</v>
      </c>
    </row>
    <row r="2468">
      <c r="A2468">
        <f>Skills!A18</f>
        <v/>
      </c>
      <c r="B2468">
        <f>Skills!B18</f>
        <v/>
      </c>
      <c r="C2468">
        <f>Inputs!$B$3&gt;=33</f>
        <v/>
      </c>
      <c r="D2468">
        <f>IF(Skills!C18=1,60+Inputs!$B$25+Inputs!$B$29,IF(Skills!C18=2,90+Inputs!$B$26+Inputs!$B$29,IF(Skills!C18=3,120+Inputs!$B$27+Inputs!$B$29,MAX(0,(Inputs!$B$3-100)*3)+Inputs!$B$28+Inputs!$B$29)))</f>
        <v/>
      </c>
      <c r="E2468">
        <f>INDEX(FactorTable!$B$2:$Y$301, MATCH(ROUND(MIN(300,MAX(1,D2468)),0), FactorTable!$A$2:$A$301,0), Skills!M18+1)</f>
        <v/>
      </c>
      <c r="F2468">
        <f>IF(Skills!N18=TRUE,(Skills!L18/10)*(E2468/1000),Skills!L18/10)+Skills!O18</f>
        <v/>
      </c>
      <c r="G2468">
        <f>Skills!G18*IF(Skills!H18&gt;0,Skills!I18/Skills!H18,1)</f>
        <v/>
      </c>
      <c r="H2468">
        <f>1-(1-Skills!J18/100)^Skills!K18</f>
        <v/>
      </c>
      <c r="I2468" t="inlineStr">
        <is>
          <t>1</t>
        </is>
      </c>
      <c r="J2468" t="inlineStr"/>
      <c r="K2468" t="inlineStr"/>
      <c r="L2468" t="inlineStr"/>
      <c r="M2468" t="inlineStr"/>
      <c r="N2468" t="inlineStr"/>
      <c r="O2468">
        <f>(1-Summary!$B$11)*T2468+Summary!$B$11*V2468</f>
        <v/>
      </c>
      <c r="P2468">
        <f>IF(B2486=0,0,O2468/B2486)</f>
        <v/>
      </c>
      <c r="Q2468" t="n">
        <v>0</v>
      </c>
      <c r="R2468" t="n">
        <v>0</v>
      </c>
      <c r="S2468">
        <f>IFERROR(O2468/N2468,0)</f>
        <v/>
      </c>
      <c r="T2468" t="n">
        <v>0</v>
      </c>
      <c r="V2468" t="n">
        <v>0</v>
      </c>
    </row>
    <row r="2469">
      <c r="A2469">
        <f>Skills!A19</f>
        <v/>
      </c>
      <c r="B2469">
        <f>Skills!B19</f>
        <v/>
      </c>
      <c r="C2469">
        <f>Inputs!$B$3&gt;=40</f>
        <v/>
      </c>
      <c r="D2469">
        <f>IF(Skills!C19=1,60+Inputs!$B$25+Inputs!$B$29,IF(Skills!C19=2,90+Inputs!$B$26+Inputs!$B$29,IF(Skills!C19=3,120+Inputs!$B$27+Inputs!$B$29,MAX(0,(Inputs!$B$3-100)*3)+Inputs!$B$28+Inputs!$B$29)))</f>
        <v/>
      </c>
      <c r="E2469">
        <f>INDEX(FactorTable!$B$2:$Y$301, MATCH(ROUND(MIN(300,MAX(1,D2469)),0), FactorTable!$A$2:$A$301,0), Skills!M19+1)</f>
        <v/>
      </c>
      <c r="F2469">
        <f>IF(Skills!N19=TRUE,(Skills!L19/10)*(E2469/1000),Skills!L19/10)+Skills!O19</f>
        <v/>
      </c>
      <c r="G2469">
        <f>Skills!G19*IF(Skills!H19&gt;0,Skills!I19/Skills!H19,1)</f>
        <v/>
      </c>
      <c r="H2469">
        <f>1-(1-Skills!J19/100)^Skills!K19</f>
        <v/>
      </c>
      <c r="I2469" t="inlineStr">
        <is>
          <t>1</t>
        </is>
      </c>
      <c r="J2469" t="inlineStr"/>
      <c r="K2469" t="inlineStr"/>
      <c r="L2469" t="inlineStr"/>
      <c r="M2469" t="inlineStr"/>
      <c r="N2469" t="inlineStr"/>
      <c r="O2469">
        <f>(1-Summary!$B$11)*T2469+Summary!$B$11*V2469</f>
        <v/>
      </c>
      <c r="P2469">
        <f>IF(B2486=0,0,O2469/B2486)</f>
        <v/>
      </c>
      <c r="Q2469" t="n">
        <v>0</v>
      </c>
      <c r="R2469" t="n">
        <v>0</v>
      </c>
      <c r="S2469">
        <f>IFERROR(O2469/N2469,0)</f>
        <v/>
      </c>
      <c r="T2469" t="n">
        <v>0</v>
      </c>
      <c r="V2469" t="n">
        <v>0</v>
      </c>
    </row>
    <row r="2470">
      <c r="A2470">
        <f>Skills!A20</f>
        <v/>
      </c>
      <c r="B2470">
        <f>Skills!B20</f>
        <v/>
      </c>
      <c r="C2470">
        <f>Inputs!$B$3&gt;=43</f>
        <v/>
      </c>
      <c r="D2470">
        <f>IF(Skills!C20=1,60+Inputs!$B$25+Inputs!$B$29,IF(Skills!C20=2,90+Inputs!$B$26+Inputs!$B$29,IF(Skills!C20=3,120+Inputs!$B$27+Inputs!$B$29,MAX(0,(Inputs!$B$3-100)*3)+Inputs!$B$28+Inputs!$B$29)))</f>
        <v/>
      </c>
      <c r="E2470">
        <f>INDEX(FactorTable!$B$2:$Y$301, MATCH(ROUND(MIN(300,MAX(1,D2470)),0), FactorTable!$A$2:$A$301,0), Skills!M20+1)</f>
        <v/>
      </c>
      <c r="F2470">
        <f>IF(Skills!N20=TRUE,(Skills!L20/10)*(E2470/1000),Skills!L20/10)+Skills!O20</f>
        <v/>
      </c>
      <c r="G2470">
        <f>Skills!G20*IF(Skills!H20&gt;0,Skills!I20/Skills!H20,1)</f>
        <v/>
      </c>
      <c r="H2470">
        <f>1-(1-Skills!J20/100)^Skills!K20</f>
        <v/>
      </c>
      <c r="I2470" t="inlineStr">
        <is>
          <t>1</t>
        </is>
      </c>
      <c r="J2470" t="inlineStr"/>
      <c r="K2470" t="inlineStr"/>
      <c r="L2470" t="inlineStr"/>
      <c r="M2470" t="inlineStr"/>
      <c r="N2470" t="inlineStr"/>
      <c r="O2470">
        <f>(1-Summary!$B$11)*T2470+Summary!$B$11*V2470</f>
        <v/>
      </c>
      <c r="P2470">
        <f>IF(B2486=0,0,O2470/B2486)</f>
        <v/>
      </c>
      <c r="Q2470" t="n">
        <v>0</v>
      </c>
      <c r="R2470" t="n">
        <v>0</v>
      </c>
      <c r="S2470">
        <f>IFERROR(O2470/N2470,0)</f>
        <v/>
      </c>
      <c r="T2470" t="n">
        <v>0</v>
      </c>
      <c r="V2470" t="n">
        <v>0</v>
      </c>
    </row>
    <row r="2471">
      <c r="A2471">
        <f>Skills!A21</f>
        <v/>
      </c>
      <c r="B2471">
        <f>Skills!B21</f>
        <v/>
      </c>
      <c r="C2471">
        <f>Inputs!$B$3&gt;=38</f>
        <v/>
      </c>
      <c r="D2471">
        <f>IF(Skills!C21=1,60+Inputs!$B$25+Inputs!$B$29,IF(Skills!C21=2,90+Inputs!$B$26+Inputs!$B$29,IF(Skills!C21=3,120+Inputs!$B$27+Inputs!$B$29,MAX(0,(Inputs!$B$3-100)*3)+Inputs!$B$28+Inputs!$B$29)))</f>
        <v/>
      </c>
      <c r="E2471">
        <f>INDEX(FactorTable!$B$2:$Y$301, MATCH(ROUND(MIN(300,MAX(1,D2471)),0), FactorTable!$A$2:$A$301,0), Skills!M21+1)</f>
        <v/>
      </c>
      <c r="F2471">
        <f>IF(Skills!N21=TRUE,(Skills!L21/10)*(E2471/1000),Skills!L21/10)+Skills!O21</f>
        <v/>
      </c>
      <c r="G2471">
        <f>Skills!G21*IF(Skills!H21&gt;0,Skills!I21/Skills!H21,1)</f>
        <v/>
      </c>
      <c r="H2471">
        <f>1-(1-Skills!J21/100)^Skills!K21</f>
        <v/>
      </c>
      <c r="I2471" t="inlineStr">
        <is>
          <t>1</t>
        </is>
      </c>
      <c r="J2471" t="inlineStr"/>
      <c r="K2471" t="inlineStr"/>
      <c r="L2471" t="inlineStr"/>
      <c r="M2471" t="inlineStr"/>
      <c r="N2471" t="inlineStr"/>
      <c r="O2471">
        <f>(1-Summary!$B$11)*T2471+Summary!$B$11*V2471</f>
        <v/>
      </c>
      <c r="P2471">
        <f>IF(B2486=0,0,O2471/B2486)</f>
        <v/>
      </c>
      <c r="Q2471" t="n">
        <v>0</v>
      </c>
      <c r="R2471" t="n">
        <v>0</v>
      </c>
      <c r="S2471">
        <f>IFERROR(O2471/N2471,0)</f>
        <v/>
      </c>
      <c r="T2471" t="n">
        <v>0</v>
      </c>
      <c r="V2471" t="n">
        <v>0</v>
      </c>
    </row>
    <row r="2472">
      <c r="A2472">
        <f>Skills!A22</f>
        <v/>
      </c>
      <c r="B2472">
        <f>Skills!B22</f>
        <v/>
      </c>
      <c r="C2472">
        <f>Inputs!$B$3&gt;=75</f>
        <v/>
      </c>
      <c r="D2472">
        <f>IF(Skills!C22=1,60+Inputs!$B$25+Inputs!$B$29,IF(Skills!C22=2,90+Inputs!$B$26+Inputs!$B$29,IF(Skills!C22=3,120+Inputs!$B$27+Inputs!$B$29,MAX(0,(Inputs!$B$3-100)*3)+Inputs!$B$28+Inputs!$B$29)))</f>
        <v/>
      </c>
      <c r="E2472">
        <f>INDEX(FactorTable!$B$2:$Y$301, MATCH(ROUND(MIN(300,MAX(1,D2472)),0), FactorTable!$A$2:$A$301,0), Skills!M22+1)</f>
        <v/>
      </c>
      <c r="F2472">
        <f>IF(Skills!N22=TRUE,(Skills!L22/10)*(E2472/1000),Skills!L22/10)+Skills!O22</f>
        <v/>
      </c>
      <c r="G2472">
        <f>Skills!G22*IF(Skills!H22&gt;0,Skills!I22/Skills!H22,1)</f>
        <v/>
      </c>
      <c r="H2472">
        <f>1-(1-Skills!J22/100)^Skills!K22</f>
        <v/>
      </c>
      <c r="I2472" t="inlineStr">
        <is>
          <t>1</t>
        </is>
      </c>
      <c r="J2472" t="inlineStr"/>
      <c r="K2472" t="inlineStr"/>
      <c r="L2472" t="inlineStr"/>
      <c r="M2472" t="inlineStr"/>
      <c r="N2472" t="inlineStr"/>
      <c r="O2472">
        <f>(1-Summary!$B$11)*T2472+Summary!$B$11*V2472</f>
        <v/>
      </c>
      <c r="P2472">
        <f>IF(B2486=0,0,O2472/B2486)</f>
        <v/>
      </c>
      <c r="Q2472" t="n">
        <v>0</v>
      </c>
      <c r="R2472" t="n">
        <v>0</v>
      </c>
      <c r="S2472">
        <f>IFERROR(O2472/N2472,0)</f>
        <v/>
      </c>
      <c r="T2472" t="n">
        <v>0</v>
      </c>
      <c r="V2472" t="n">
        <v>0</v>
      </c>
    </row>
    <row r="2473">
      <c r="A2473">
        <f>Skills!A23</f>
        <v/>
      </c>
      <c r="B2473">
        <f>Skills!B23</f>
        <v/>
      </c>
      <c r="C2473">
        <f>TRUE</f>
        <v/>
      </c>
      <c r="D2473">
        <f>IF(Skills!C23=1,60+Inputs!$B$25+Inputs!$B$29,IF(Skills!C23=2,90+Inputs!$B$26+Inputs!$B$29,IF(Skills!C23=3,120+Inputs!$B$27+Inputs!$B$29,MAX(0,(Inputs!$B$3-100)*3)+Inputs!$B$28+Inputs!$B$29)))</f>
        <v/>
      </c>
      <c r="E2473">
        <f>INDEX(FactorTable!$B$2:$Y$301, MATCH(ROUND(MIN(300,MAX(1,D2473)),0), FactorTable!$A$2:$A$301,0), Skills!M23+1)</f>
        <v/>
      </c>
      <c r="F2473">
        <f>IF(Skills!N23=TRUE,(Skills!L23/10)*(E2473/1000),Skills!L23/10)+Skills!O23</f>
        <v/>
      </c>
      <c r="G2473">
        <f>Skills!G23*IF(Skills!H23&gt;0,Skills!I23/Skills!H23,1)</f>
        <v/>
      </c>
      <c r="H2473">
        <f>1-(1-Skills!J23/100)^Skills!K23</f>
        <v/>
      </c>
      <c r="I2473" t="inlineStr">
        <is>
          <t>1</t>
        </is>
      </c>
      <c r="J2473" t="inlineStr"/>
      <c r="K2473" t="inlineStr"/>
      <c r="L2473" t="inlineStr"/>
      <c r="M2473" t="inlineStr"/>
      <c r="N2473" t="inlineStr"/>
      <c r="O2473">
        <f>(1-Summary!$B$11)*T2473+Summary!$B$11*V2473</f>
        <v/>
      </c>
      <c r="P2473">
        <f>IF(B2486=0,0,O2473/B2486)</f>
        <v/>
      </c>
      <c r="Q2473">
        <f>IFERROR(1/(IF(Inputs!$B$38="pvp",15,MAX(0.1,Skills!D23-IF(Skills!E23=TRUE,Inputs!$B$32,0)))*(1-IF(AND(ArtifactsInput!$M$27,Inputs!$B$4="Chapter Hunt"),CHOOSE(ArtifactsInput!$N$27+1,20,24,28,32,36,40),0)/100)),0)</f>
        <v/>
      </c>
      <c r="R2473">
        <f>IF(AND(Inputs!$B$38&lt;&gt;"pvp",Inputs!$B$43&gt;0),IF(Inputs!$B$43&lt;=0,0,(INT(Inputs!$B$43/(IF(Inputs!$B$38="pvp",15,MAX(0.1,Skills!D23-IF(Skills!E23=TRUE,Inputs!$B$32,0)))*(1-IF(AND(ArtifactsInput!$M$27,Inputs!$B$4="Chapter Hunt"),CHOOSE(ArtifactsInput!$N$27+1,20,24,28,32,36,40),0)/100)))+1)),0)</f>
        <v/>
      </c>
      <c r="S2473">
        <f>IFERROR(O2473/N2473,0)</f>
        <v/>
      </c>
      <c r="T2473" t="n">
        <v>0</v>
      </c>
      <c r="V2473" t="n">
        <v>0</v>
      </c>
    </row>
    <row r="2475">
      <c r="A2475" t="inlineStr">
        <is>
          <t>Attack% Bucket Multiplier</t>
        </is>
      </c>
      <c r="B2475">
        <f>(1+(((C2463=TRUE)*F2463*5/7)+((C2469=TRUE)*(F2469-Calc!F19))+(IF(ArtifactsInput!$M$21,CHOOSE(ArtifactsInput!$N$21+1,25,30,35,40,45,50)*(IF(OR(Inputs!$B$4="Chapter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6">
      <c r="A2476" t="inlineStr">
        <is>
          <t>Global Crit Rate Bonus %</t>
        </is>
      </c>
      <c r="B2476" t="n">
        <v>0</v>
      </c>
    </row>
    <row r="2477">
      <c r="A2477" t="inlineStr">
        <is>
          <t>Attack Speed Buff Bonus % (Nimble Feet, duty-cycle averaged)</t>
        </is>
      </c>
      <c r="B2477">
        <f>((C2473=TRUE)*F2473*IF(AND(Inputs!$B$38&lt;&gt;"pvp",Inputs!$B$43&gt;0),(((R2473-1)*(Skills!T23*(1+Inputs!$B$34/100))+MIN((Skills!T23*(1+Inputs!$B$34/100)),MAX(0,Inputs!$B$43-((R2473-1)*Skills!D23))))/Inputs!$B$43),IF(Inputs!$B$38="pvp",MIN((Skills!T23*(1+Inputs!$B$34/100)),15)/15,(Skills!T23*(1+Inputs!$B$34/100))/Skills!D23)))</f>
        <v/>
      </c>
    </row>
    <row r="2478">
      <c r="A2478" t="inlineStr">
        <is>
          <t>Actions Per Second</t>
        </is>
      </c>
      <c r="B2478">
        <f>1+MIN(150,150*(1-(1-(Inputs!$B$11+((C2467=TRUE)*(F2467-Calc!F17))+((C2468=TRUE)*(F2468-Calc!F18)))/150)*(1-B2477/150)))/100</f>
        <v/>
      </c>
    </row>
    <row r="2479">
      <c r="A2479" t="inlineStr">
        <is>
          <t>Skill + Buff Cast Rate</t>
        </is>
      </c>
      <c r="B2479">
        <f>IF(AND(Inputs!$B$38&lt;&gt;"pvp",Inputs!$B$43&gt;0),SUMPRODUCT((Skills!E2:E23=TRUE)*(C2452:C2473=TRUE)*R2452:R2473*Skills!F2:F23)/Inputs!$B$43,SUMPRODUCT((Skills!E2:E23=TRUE)*(C2452:C2473=TRUE)*Q2452:Q2473*Skills!F2:F23))</f>
        <v/>
      </c>
    </row>
    <row r="2480">
      <c r="A2480" t="inlineStr">
        <is>
          <t>Hook Bomber Casts Per Second</t>
        </is>
      </c>
      <c r="B2480">
        <f>MAX(0,B2478-B2479)</f>
        <v/>
      </c>
    </row>
    <row r="2481">
      <c r="A2481" t="inlineStr">
        <is>
          <t>Global Critical Damage Bonus % (unused)</t>
        </is>
      </c>
      <c r="B2481" t="n">
        <v>0</v>
      </c>
    </row>
    <row r="2482">
      <c r="A2482" t="inlineStr">
        <is>
          <t>Global Final Damage Bonus % (Serpent Scale + Crossbones + Time Leap + Speed Infusion)</t>
        </is>
      </c>
      <c r="B2482">
        <f>((C2455=TRUE)*F2455*((10+IF(Inputs!$B$3&gt;=94,5,0))/((10+IF(Inputs!$B$3&gt;=94,5,0))+5/(B2480*(1+IF(Inputs!$B$3&gt;=104,1,0))))))+((C2464=TRUE)*F2464)+((C2465=TRUE)*F2465)+((Inputs!$B$3&gt;=110)*20*(B2478-1))</f>
        <v/>
      </c>
    </row>
    <row r="2483">
      <c r="A2483" t="inlineStr">
        <is>
          <t>Buff-Casting Startup Delay (s, fixed-duration only)</t>
        </is>
      </c>
      <c r="B2483">
        <f>IF(AND(Inputs!$B$38&lt;&gt;"pvp",Inputs!$B$43&gt;0),SUMPRODUCT((Skills!T2:T23&gt;0)*(Skills!E2:E23=TRUE)*(C2452:C2473=TRUE))/B2478,0)</f>
        <v/>
      </c>
    </row>
    <row r="2484">
      <c r="A2484" t="inlineStr">
        <is>
          <t>Boss-Only Total DPS (this block's swept value)</t>
        </is>
      </c>
      <c r="B2484">
        <f>SUM(T2452:T2473)</f>
        <v/>
      </c>
    </row>
    <row r="2485">
      <c r="A2485" t="inlineStr">
        <is>
          <t>Normal-Only Total DPS (this block's swept value)</t>
        </is>
      </c>
      <c r="B2485">
        <f>SUM(V2452:V2473)</f>
        <v/>
      </c>
    </row>
    <row r="2486">
      <c r="A2486" s="6" t="inlineStr">
        <is>
          <t>TOTAL DPS</t>
        </is>
      </c>
      <c r="B2486" s="6">
        <f>SUM(O2452:O2473)</f>
        <v/>
      </c>
    </row>
    <row r="2489">
      <c r="A2489" s="9" t="inlineStr">
        <is>
          <t>Cooldown Reduction Milestone Sweep (absolute CDR seconds, fixed-duration content only)</t>
        </is>
      </c>
    </row>
    <row r="2490">
      <c r="A2490" s="5" t="inlineStr">
        <is>
          <t>CDR (s)</t>
        </is>
      </c>
      <c r="B2490" s="5" t="inlineStr">
        <is>
          <t>Total DPS</t>
        </is>
      </c>
      <c r="C2490" s="5" t="inlineStr">
        <is>
          <t>DPS Gain (vs prior step)</t>
        </is>
      </c>
      <c r="D2490" s="5" t="inlineStr">
        <is>
          <t>% Gain (vs current CDR)</t>
        </is>
      </c>
    </row>
    <row r="2491">
      <c r="A2491" t="n">
        <v>0.5</v>
      </c>
      <c r="B2491">
        <f>B2539</f>
        <v/>
      </c>
      <c r="C2491" t="n">
        <v>0</v>
      </c>
      <c r="D2491">
        <f>IF(Summary!$B$3=0,0,(B2491-Summary!$B$3)/Summary!$B$3*100)</f>
        <v/>
      </c>
    </row>
    <row r="2492">
      <c r="A2492" t="n">
        <v>1</v>
      </c>
      <c r="B2492">
        <f>B2578</f>
        <v/>
      </c>
      <c r="C2492">
        <f>B2492-B2491</f>
        <v/>
      </c>
      <c r="D2492">
        <f>IF(Summary!$B$3=0,0,(B2492-Summary!$B$3)/Summary!$B$3*100)</f>
        <v/>
      </c>
    </row>
    <row r="2493">
      <c r="A2493" t="n">
        <v>1.5</v>
      </c>
      <c r="B2493">
        <f>B2617</f>
        <v/>
      </c>
      <c r="C2493">
        <f>B2493-B2492</f>
        <v/>
      </c>
      <c r="D2493">
        <f>IF(Summary!$B$3=0,0,(B2493-Summary!$B$3)/Summary!$B$3*100)</f>
        <v/>
      </c>
    </row>
    <row r="2494">
      <c r="A2494" t="n">
        <v>2</v>
      </c>
      <c r="B2494">
        <f>B2656</f>
        <v/>
      </c>
      <c r="C2494">
        <f>B2494-B2493</f>
        <v/>
      </c>
      <c r="D2494">
        <f>IF(Summary!$B$3=0,0,(B2494-Summary!$B$3)/Summary!$B$3*100)</f>
        <v/>
      </c>
    </row>
    <row r="2495">
      <c r="A2495" t="n">
        <v>2.5</v>
      </c>
      <c r="B2495">
        <f>B2695</f>
        <v/>
      </c>
      <c r="C2495">
        <f>B2495-B2494</f>
        <v/>
      </c>
      <c r="D2495">
        <f>IF(Summary!$B$3=0,0,(B2495-Summary!$B$3)/Summary!$B$3*100)</f>
        <v/>
      </c>
    </row>
    <row r="2496">
      <c r="A2496" t="n">
        <v>3</v>
      </c>
      <c r="B2496">
        <f>B2734</f>
        <v/>
      </c>
      <c r="C2496">
        <f>B2496-B2495</f>
        <v/>
      </c>
      <c r="D2496">
        <f>IF(Summary!$B$3=0,0,(B2496-Summary!$B$3)/Summary!$B$3*100)</f>
        <v/>
      </c>
    </row>
    <row r="2497">
      <c r="A2497" t="n">
        <v>3.5</v>
      </c>
      <c r="B2497">
        <f>B2773</f>
        <v/>
      </c>
      <c r="C2497">
        <f>B2497-B2496</f>
        <v/>
      </c>
      <c r="D2497">
        <f>IF(Summary!$B$3=0,0,(B2497-Summary!$B$3)/Summary!$B$3*100)</f>
        <v/>
      </c>
    </row>
    <row r="2498">
      <c r="A2498" t="n">
        <v>4</v>
      </c>
      <c r="B2498">
        <f>B2812</f>
        <v/>
      </c>
      <c r="C2498">
        <f>B2498-B2497</f>
        <v/>
      </c>
      <c r="D2498">
        <f>IF(Summary!$B$3=0,0,(B2498-Summary!$B$3)/Summary!$B$3*100)</f>
        <v/>
      </c>
    </row>
    <row r="2499">
      <c r="A2499" t="n">
        <v>4.5</v>
      </c>
      <c r="B2499">
        <f>B2851</f>
        <v/>
      </c>
      <c r="C2499">
        <f>B2499-B2498</f>
        <v/>
      </c>
      <c r="D2499">
        <f>IF(Summary!$B$3=0,0,(B2499-Summary!$B$3)/Summary!$B$3*100)</f>
        <v/>
      </c>
    </row>
    <row r="2500">
      <c r="A2500" t="n">
        <v>5</v>
      </c>
      <c r="B2500">
        <f>B2890</f>
        <v/>
      </c>
      <c r="C2500">
        <f>B2500-B2499</f>
        <v/>
      </c>
      <c r="D2500">
        <f>IF(Summary!$B$3=0,0,(B2500-Summary!$B$3)/Summary!$B$3*100)</f>
        <v/>
      </c>
    </row>
    <row r="2503">
      <c r="A2503" s="6" t="inlineStr">
        <is>
          <t>Stat: CDR = 0.5s</t>
        </is>
      </c>
    </row>
    <row r="2504">
      <c r="A2504" s="5" t="inlineStr">
        <is>
          <t>Key</t>
        </is>
      </c>
      <c r="B2504" s="5" t="inlineStr">
        <is>
          <t>Name</t>
        </is>
      </c>
      <c r="C2504" s="5" t="inlineStr">
        <is>
          <t>Unlocked</t>
        </is>
      </c>
      <c r="D2504" s="5" t="inlineStr">
        <is>
          <t>InputLevel</t>
        </is>
      </c>
      <c r="E2504" s="5" t="inlineStr">
        <is>
          <t>Factor</t>
        </is>
      </c>
      <c r="F2504" s="5" t="inlineStr">
        <is>
          <t>CoefficientPercent</t>
        </is>
      </c>
      <c r="G2504" s="5" t="inlineStr">
        <is>
          <t>EffectiveHits</t>
        </is>
      </c>
      <c r="H2504" s="5" t="inlineStr">
        <is>
          <t>ProcProbability</t>
        </is>
      </c>
      <c r="I2504" s="5" t="inlineStr">
        <is>
          <t>MapleHeroMultiplier</t>
        </is>
      </c>
      <c r="J2504" s="5" t="inlineStr">
        <is>
          <t>BaseDamage</t>
        </is>
      </c>
      <c r="K2504" s="5" t="inlineStr">
        <is>
          <t>BaseHitDamage</t>
        </is>
      </c>
      <c r="L2504" s="5" t="inlineStr">
        <is>
          <t>NonCritAvg</t>
        </is>
      </c>
      <c r="M2504" s="5" t="inlineStr">
        <is>
          <t>CritAvg</t>
        </is>
      </c>
      <c r="N2504" s="5" t="inlineStr">
        <is>
          <t>ExpectedDamage(perHit)</t>
        </is>
      </c>
      <c r="O2504" s="5" t="inlineStr">
        <is>
          <t>DPS</t>
        </is>
      </c>
      <c r="P2504" s="5" t="inlineStr">
        <is>
          <t>% of Total</t>
        </is>
      </c>
      <c r="Q2504" s="5" t="inlineStr">
        <is>
          <t>InvCooldown</t>
        </is>
      </c>
      <c r="R2504" s="5" t="inlineStr">
        <is>
          <t>CastsInFight</t>
        </is>
      </c>
      <c r="S2504" s="5" t="inlineStr">
        <is>
          <t>HitRate(perSec)</t>
        </is>
      </c>
      <c r="U2504" t="inlineStr">
        <is>
          <t>helpers</t>
        </is>
      </c>
    </row>
    <row r="2505">
      <c r="A2505">
        <f>Skills!A2</f>
        <v/>
      </c>
      <c r="B2505">
        <f>Skills!B2</f>
        <v/>
      </c>
      <c r="C2505">
        <f>Inputs!$B$3&gt;=100</f>
        <v/>
      </c>
      <c r="D2505" t="inlineStr"/>
      <c r="E2505" t="inlineStr"/>
      <c r="F2505">
        <f>U2507+Skills!O2</f>
        <v/>
      </c>
      <c r="G2505">
        <f>Skills!G2*IF(Skills!H2&gt;0,Skills!I2/Skills!H2,1)</f>
        <v/>
      </c>
      <c r="H2505">
        <f>1-(1-Skills!J2/100)^Skills!K2</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2523=TRUE)*(F2523-Calc!F20)),(Inputs!$B$23+0+(IF(ArtifactsInput!$M$15,CHOOSE(ArtifactsInput!$N$15+1,25,30,35,40,45,50)/100*(Inputs!$B$11-Inputs!$B$11),0))))/100+(Inputs!$B$23+0+(IF(ArtifactsInput!$M$15,CHOOSE(ArtifactsInput!$N$15+1,25,30,35,40,45,50)/100*(Inputs!$B$11-Inputs!$B$11),0)))/100)/2</f>
        <v/>
      </c>
      <c r="M2505">
        <f>L2505*(1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IF(B2539=0,0,O2505/B2539)</f>
        <v/>
      </c>
      <c r="Q2505" t="n">
        <v>0</v>
      </c>
      <c r="R2505" t="n">
        <v>0</v>
      </c>
      <c r="S2505">
        <f>IFERROR(O2505/N2505,0)</f>
        <v/>
      </c>
      <c r="T2505">
        <f>IF(C2505,(Skills!G2*N2505*B2533)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MAX(0,(Inputs!$B$3-100)*3)+Inputs!$B$28+Inputs!$B$29</f>
        <v/>
      </c>
      <c r="V2505">
        <f>IF(C2505,(Skills!G2*N2505*B2533)*IF(Inputs!$B$38="pvp",1,(1+(Inputs!$B$21+Skills!Q2+(IF(ArtifactsInput!$M$33,CHOOSE(ArtifactsInput!$N$33+1,30,36,42,48,54,60),0))+(IF(AND(ArtifactsInput!$M$35,Inputs!$B$4&lt;&gt;"Chapter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Skills!A3</f>
        <v/>
      </c>
      <c r="B2506">
        <f>Skills!B3</f>
        <v/>
      </c>
      <c r="C2506">
        <f>Inputs!$B$3&gt;=35</f>
        <v/>
      </c>
      <c r="D2506">
        <f>IF(Skills!C3=1,60+Inputs!$B$25+Inputs!$B$29,IF(Skills!C3=2,90+Inputs!$B$26+Inputs!$B$29,IF(Skills!C3=3,120+Inputs!$B$27+Inputs!$B$29,MAX(0,(Inputs!$B$3-100)*3)+Inputs!$B$28+Inputs!$B$29)))</f>
        <v/>
      </c>
      <c r="E2506">
        <f>INDEX(FactorTable!$B$2:$Y$301, MATCH(ROUND(MIN(300,MAX(1,D2506)),0), FactorTable!$A$2:$A$301,0), Skills!M3+1)</f>
        <v/>
      </c>
      <c r="F2506">
        <f>IF(Skills!N3=TRUE,(Skills!L3/10)*(E2506/1000),Skills!L3/10)+Skills!O3</f>
        <v/>
      </c>
      <c r="G2506">
        <f>Skills!G3*IF(Skills!H3&gt;0,Skills!I3/Skills!H3,1)</f>
        <v/>
      </c>
      <c r="H2506">
        <f>1-(1-Skills!J3/100)^Skills!K3</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2523=TRUE)*(F2523-Calc!F20)),(Inputs!$B$23+0+(IF(ArtifactsInput!$M$15,CHOOSE(ArtifactsInput!$N$15+1,25,30,35,40,45,50)/100*(Inputs!$B$11-Inputs!$B$11),0))))/100+(Inputs!$B$23+0+(IF(ArtifactsInput!$M$15,CHOOSE(ArtifactsInput!$N$15+1,25,30,35,40,45,50)/100*(Inputs!$B$11-Inputs!$B$11),0)))/100)/2</f>
        <v/>
      </c>
      <c r="M2506">
        <f>L2506*(1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IF(B2539=0,0,O2506/B2539)</f>
        <v/>
      </c>
      <c r="Q2506" t="n">
        <v>0</v>
      </c>
      <c r="R2506" t="n">
        <v>0</v>
      </c>
      <c r="S2506">
        <f>IFERROR(O2506/N2506,0)</f>
        <v/>
      </c>
      <c r="T2506">
        <f>IF(C2506,(Skills!G3*H2506*N2506*B2533)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INDEX(FactorTable!$B$2:$Y$301, MATCH(ROUND(MIN(300,MAX(1,U2505)),0), FactorTable!$A$2:$A$301,0), 22)</f>
        <v/>
      </c>
      <c r="V2506">
        <f>IF(C2506,(Skills!G3*H2506*N2506*B2533)*IF(Inputs!$B$38="pvp",1,(1+(Inputs!$B$21+Skills!Q3+(IF(ArtifactsInput!$M$33,CHOOSE(ArtifactsInput!$N$33+1,30,36,42,48,54,60),0))+(IF(AND(ArtifactsInput!$M$35,Inputs!$B$4&lt;&gt;"Chapter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Skills!A4</f>
        <v/>
      </c>
      <c r="B2507">
        <f>Skills!B4</f>
        <v/>
      </c>
      <c r="C2507">
        <f>Inputs!$B$3&gt;=60</f>
        <v/>
      </c>
      <c r="D2507">
        <f>IF(Skills!C4=1,60+Inputs!$B$25+Inputs!$B$29,IF(Skills!C4=2,90+Inputs!$B$26+Inputs!$B$29,IF(Skills!C4=3,120+Inputs!$B$27+Inputs!$B$29,MAX(0,(Inputs!$B$3-100)*3)+Inputs!$B$28+Inputs!$B$29)))</f>
        <v/>
      </c>
      <c r="E2507">
        <f>INDEX(FactorTable!$B$2:$Y$301, MATCH(ROUND(MIN(300,MAX(1,D2507)),0), FactorTable!$A$2:$A$301,0), Skills!M4+1)</f>
        <v/>
      </c>
      <c r="F2507">
        <f>IF(Skills!N4=TRUE,(Skills!L4/10)*(E2507/1000),Skills!L4/10)+Skills!O4</f>
        <v/>
      </c>
      <c r="G2507">
        <f>Skills!G4*IF(Skills!H4&gt;0,Skills!I4/Skills!H4,1)</f>
        <v/>
      </c>
      <c r="H2507">
        <f>1-(1-Skills!J4/100)^Skills!K4</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2515=TRUE,F2515,0)/100)*(1+(IF(Skills!A4="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2523=TRUE)*(F2523-Calc!F20)),(Inputs!$B$23+0+(IF(ArtifactsInput!$M$15,CHOOSE(ArtifactsInput!$N$15+1,25,30,35,40,45,50)/100*(Inputs!$B$11-Inputs!$B$11),0))))/100+(Inputs!$B$23+0+(IF(ArtifactsInput!$M$15,CHOOSE(ArtifactsInput!$N$15+1,25,30,35,40,45,50)/100*(Inputs!$B$11-Inputs!$B$11),0)))/100)/2</f>
        <v/>
      </c>
      <c r="M2507">
        <f>L2507*(1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IF(B2539=0,0,O2507/B2539)</f>
        <v/>
      </c>
      <c r="Q2507" t="n">
        <v>0</v>
      </c>
      <c r="R2507" t="n">
        <v>0</v>
      </c>
      <c r="S2507">
        <f>IFERROR(O2507/N2507,0)</f>
        <v/>
      </c>
      <c r="T2507">
        <f>IF(C2507,(Skills!G4*H2507*N2507*B2533)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290*U2506/1000</f>
        <v/>
      </c>
      <c r="V2507">
        <f>IF(C2507,(Skills!G4*H2507*N2507*B2533)*IF(Inputs!$B$38="pvp",1,(1+(Inputs!$B$21+Skills!Q4+(IF(ArtifactsInput!$M$33,CHOOSE(ArtifactsInput!$N$33+1,30,36,42,48,54,60),0))+(IF(AND(ArtifactsInput!$M$35,Inputs!$B$4&lt;&gt;"Chapter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Skills!A5</f>
        <v/>
      </c>
      <c r="B2508">
        <f>Skills!B5</f>
        <v/>
      </c>
      <c r="C2508">
        <f>Inputs!$B$3&gt;=60</f>
        <v/>
      </c>
      <c r="D2508">
        <f>IF(Skills!C5=1,60+Inputs!$B$25+Inputs!$B$29,IF(Skills!C5=2,90+Inputs!$B$26+Inputs!$B$29,IF(Skills!C5=3,120+Inputs!$B$27+Inputs!$B$29,MAX(0,(Inputs!$B$3-100)*3)+Inputs!$B$28+Inputs!$B$29)))</f>
        <v/>
      </c>
      <c r="E2508">
        <f>INDEX(FactorTable!$B$2:$Y$301, MATCH(ROUND(MIN(300,MAX(1,D2508)),0), FactorTable!$A$2:$A$301,0), Skills!M5+1)</f>
        <v/>
      </c>
      <c r="F2508">
        <f>IF(Skills!N5=TRUE,(Skills!L5/10)*(E2508/1000),Skills!L5/10)+Skills!O5</f>
        <v/>
      </c>
      <c r="G2508">
        <f>Skills!G5*IF(Skills!H5&gt;0,Skills!I5/Skills!H5,1)</f>
        <v/>
      </c>
      <c r="H2508">
        <f>1-(1-Skills!J5/100)^Skills!K5</f>
        <v/>
      </c>
      <c r="I2508" t="inlineStr">
        <is>
          <t>1</t>
        </is>
      </c>
      <c r="J2508" t="inlineStr"/>
      <c r="K2508" t="inlineStr"/>
      <c r="L2508" t="inlineStr"/>
      <c r="M2508" t="inlineStr"/>
      <c r="N2508" t="inlineStr"/>
      <c r="O2508">
        <f>(1-Summary!$B$11)*T2508+Summary!$B$11*V2508</f>
        <v/>
      </c>
      <c r="P2508">
        <f>IF(B2539=0,0,O2508/B2539)</f>
        <v/>
      </c>
      <c r="Q2508" t="n">
        <v>0</v>
      </c>
      <c r="R2508" t="n">
        <v>0</v>
      </c>
      <c r="S2508">
        <f>IFERROR(O2508/N2508,0)</f>
        <v/>
      </c>
      <c r="T2508" t="n">
        <v>0</v>
      </c>
      <c r="V2508" t="n">
        <v>0</v>
      </c>
    </row>
    <row r="2509">
      <c r="A2509">
        <f>Skills!A6</f>
        <v/>
      </c>
      <c r="B2509">
        <f>Skills!B6</f>
        <v/>
      </c>
      <c r="C2509">
        <f>Inputs!$B$3&gt;=63</f>
        <v/>
      </c>
      <c r="D2509">
        <f>IF(Skills!C6=1,60+Inputs!$B$25+Inputs!$B$29,IF(Skills!C6=2,90+Inputs!$B$26+Inputs!$B$29,IF(Skills!C6=3,120+Inputs!$B$27+Inputs!$B$29,MAX(0,(Inputs!$B$3-100)*3)+Inputs!$B$28+Inputs!$B$29)))</f>
        <v/>
      </c>
      <c r="E2509">
        <f>INDEX(FactorTable!$B$2:$Y$301, MATCH(ROUND(MIN(300,MAX(1,D2509)),0), FactorTable!$A$2:$A$301,0), Skills!M6+1)</f>
        <v/>
      </c>
      <c r="F2509">
        <f>IF(Skills!N6=TRUE,(Skills!L6/10)*(E2509/1000),Skills!L6/10)+Skills!O6</f>
        <v/>
      </c>
      <c r="G2509">
        <f>Skills!G6*IF(Skills!H6&gt;0,Skills!I6/Skills!H6,1)</f>
        <v/>
      </c>
      <c r="H2509">
        <f>1-(1-Skills!J6/100)^Skills!K6</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2523=TRUE)*(F2523-Calc!F20)),(Inputs!$B$23+0+(IF(ArtifactsInput!$M$15,CHOOSE(ArtifactsInput!$N$15+1,25,30,35,40,45,50)/100*(Inputs!$B$11-Inputs!$B$11),0))))/100+(Inputs!$B$23+0+(IF(ArtifactsInput!$M$15,CHOOSE(ArtifactsInput!$N$15+1,25,30,35,40,45,50)/100*(Inputs!$B$11-Inputs!$B$11),0)))/100)/2</f>
        <v/>
      </c>
      <c r="M2509">
        <f>L2509*(1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IF(B2539=0,0,O2509/B2539)</f>
        <v/>
      </c>
      <c r="Q2509">
        <f>IFERROR(1/(IF(Inputs!$B$38="pvp",15,MAX(0.1,Skills!D6-IF(Skills!E6=TRUE,0.5,0)))*(1-IF(AND(ArtifactsInput!$M$27,Inputs!$B$4="Chapter Hunt"),CHOOSE(ArtifactsInput!$N$27+1,20,24,28,32,36,40),0)/100)),0)</f>
        <v/>
      </c>
      <c r="R2509">
        <f>IF(AND(Inputs!$B$38&lt;&gt;"pvp",Inputs!$B$43&gt;0),IF(MAX(0,Inputs!$B$43-B2536)&lt;=0,0,(INT(MAX(0,Inputs!$B$43-B2536)/(IF(Inputs!$B$38="pvp",15,MAX(0.1,Skills!D6-IF(Skills!E6=TRUE,0.5,0)))*(1-IF(AND(ArtifactsInput!$M$27,Inputs!$B$4="Chapter Hunt"),CHOOSE(ArtifactsInput!$N$27+1,20,24,28,32,36,40),0)/100)))+1)),0)</f>
        <v/>
      </c>
      <c r="S2509">
        <f>IFERROR(O2509/N2509,0)</f>
        <v/>
      </c>
      <c r="T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$21+Skills!Q6+(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Skills!A7</f>
        <v/>
      </c>
      <c r="B2510">
        <f>Skills!B7</f>
        <v/>
      </c>
      <c r="C2510">
        <f>Inputs!$B$3&gt;=100</f>
        <v/>
      </c>
      <c r="D2510">
        <f>IF(Skills!C7=1,60+Inputs!$B$25+Inputs!$B$29,IF(Skills!C7=2,90+Inputs!$B$26+Inputs!$B$29,IF(Skills!C7=3,120+Inputs!$B$27+Inputs!$B$29,MAX(0,(Inputs!$B$3-100)*3)+Inputs!$B$28+Inputs!$B$29)))</f>
        <v/>
      </c>
      <c r="E2510">
        <f>INDEX(FactorTable!$B$2:$Y$301, MATCH(ROUND(MIN(300,MAX(1,D2510)),0), FactorTable!$A$2:$A$301,0), Skills!M7+1)</f>
        <v/>
      </c>
      <c r="F2510">
        <f>IF(Skills!N7=TRUE,(Skills!L7/10)*(E2510/1000),Skills!L7/10)+Skills!O7</f>
        <v/>
      </c>
      <c r="G2510">
        <f>Skills!G7*IF(Skills!H7&gt;0,Skills!I7/Skills!H7,1)</f>
        <v/>
      </c>
      <c r="H2510">
        <f>1-(1-Skills!J7/100)^Skills!K7</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2523=TRUE)*(F2523-Calc!F20)),(Inputs!$B$23+0+(IF(ArtifactsInput!$M$15,CHOOSE(ArtifactsInput!$N$15+1,25,30,35,40,45,50)/100*(Inputs!$B$11-Inputs!$B$11),0))))/100+(Inputs!$B$23+0+(IF(ArtifactsInput!$M$15,CHOOSE(ArtifactsInput!$N$15+1,25,30,35,40,45,50)/100*(Inputs!$B$11-Inputs!$B$11),0)))/100)/2</f>
        <v/>
      </c>
      <c r="M2510">
        <f>L2510*(1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IF(B2539=0,0,O2510/B2539)</f>
        <v/>
      </c>
      <c r="Q2510">
        <f>IFERROR(1/(IF(Inputs!$B$38="pvp",15,MAX(0.1,Skills!D7-IF(Skills!E7=TRUE,0.5,0)))*(1-IF(AND(ArtifactsInput!$M$27,Inputs!$B$4="Chapter Hunt"),CHOOSE(ArtifactsInput!$N$27+1,20,24,28,32,36,40),0)/100)),0)</f>
        <v/>
      </c>
      <c r="R2510">
        <f>IF(AND(Inputs!$B$38&lt;&gt;"pvp",Inputs!$B$43&gt;0),IF(MAX(0,Inputs!$B$43-B2536)&lt;=0,0,(INT(MAX(0,Inputs!$B$43-B2536)/(IF(Inputs!$B$38="pvp",15,MAX(0.1,Skills!D7-IF(Skills!E7=TRUE,0.5,0)))*(1-IF(AND(ArtifactsInput!$M$27,Inputs!$B$4="Chapter Hunt"),CHOOSE(ArtifactsInput!$N$27+1,20,24,28,32,36,40),0)/100)))+1)),0)</f>
        <v/>
      </c>
      <c r="S2510">
        <f>IFERROR(O2510/N2510,0)</f>
        <v/>
      </c>
      <c r="T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$21+Skills!Q7+(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Skills!A8</f>
        <v/>
      </c>
      <c r="B2511">
        <f>Skills!B8</f>
        <v/>
      </c>
      <c r="C2511">
        <f>Inputs!$B$3&gt;=110</f>
        <v/>
      </c>
      <c r="D2511">
        <f>IF(Skills!C8=1,60+Inputs!$B$25+Inputs!$B$29,IF(Skills!C8=2,90+Inputs!$B$26+Inputs!$B$29,IF(Skills!C8=3,120+Inputs!$B$27+Inputs!$B$29,MAX(0,(Inputs!$B$3-100)*3)+Inputs!$B$28+Inputs!$B$29)))</f>
        <v/>
      </c>
      <c r="E2511">
        <f>INDEX(FactorTable!$B$2:$Y$301, MATCH(ROUND(MIN(300,MAX(1,D2511)),0), FactorTable!$A$2:$A$301,0), Skills!M8+1)</f>
        <v/>
      </c>
      <c r="F2511">
        <f>IF(Skills!N8=TRUE,(Skills!L8/10)*(E2511/1000),Skills!L8/10)+Skills!O8</f>
        <v/>
      </c>
      <c r="G2511">
        <f>Skills!G8*IF(Skills!H8&gt;0,Skills!I8/Skills!H8,1)</f>
        <v/>
      </c>
      <c r="H2511">
        <f>1-(1-Skills!J8/100)^Skills!K8</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2523=TRUE)*(F2523-Calc!F20)),(Inputs!$B$23+0+(IF(ArtifactsInput!$M$15,CHOOSE(ArtifactsInput!$N$15+1,25,30,35,40,45,50)/100*(Inputs!$B$11-Inputs!$B$11),0))))/100+(Inputs!$B$23+0+(IF(ArtifactsInput!$M$15,CHOOSE(ArtifactsInput!$N$15+1,25,30,35,40,45,50)/100*(Inputs!$B$11-Inputs!$B$11),0)))/100)/2</f>
        <v/>
      </c>
      <c r="M2511">
        <f>L2511*(1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IF(B2539=0,0,O2511/B2539)</f>
        <v/>
      </c>
      <c r="Q2511">
        <f>IFERROR(1/(IF(Inputs!$B$38="pvp",15,MAX(0.1,Skills!D8-IF(Skills!E8=TRUE,0.5,0)))*(1-IF(AND(ArtifactsInput!$M$27,Inputs!$B$4="Chapter Hunt"),CHOOSE(ArtifactsInput!$N$27+1,20,24,28,32,36,40),0)/100)),0)</f>
        <v/>
      </c>
      <c r="R2511">
        <f>IF(AND(Inputs!$B$38&lt;&gt;"pvp",Inputs!$B$43&gt;0),IF(MAX(0,Inputs!$B$43-B2536)&lt;=0,0,(INT(MAX(0,Inputs!$B$43-B2536)/(IF(Inputs!$B$38="pvp",15,MAX(0.1,Skills!D8-IF(Skills!E8=TRUE,0.5,0)))*(1-IF(AND(ArtifactsInput!$M$27,Inputs!$B$4="Chapter Hunt"),CHOOSE(ArtifactsInput!$N$27+1,20,24,28,32,36,40),0)/100)))+1)),0)</f>
        <v/>
      </c>
      <c r="S2511">
        <f>IFERROR(O2511/N2511,0)</f>
        <v/>
      </c>
      <c r="T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$21+Skills!Q8+(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Skills!A9</f>
        <v/>
      </c>
      <c r="B2512">
        <f>Skills!B9</f>
        <v/>
      </c>
      <c r="C2512">
        <f>Inputs!$B$3&gt;=110</f>
        <v/>
      </c>
      <c r="D2512">
        <f>IF(Skills!C9=1,60+Inputs!$B$25+Inputs!$B$29,IF(Skills!C9=2,90+Inputs!$B$26+Inputs!$B$29,IF(Skills!C9=3,120+Inputs!$B$27+Inputs!$B$29,MAX(0,(Inputs!$B$3-100)*3)+Inputs!$B$28+Inputs!$B$29)))</f>
        <v/>
      </c>
      <c r="E2512">
        <f>INDEX(FactorTable!$B$2:$Y$301, MATCH(ROUND(MIN(300,MAX(1,D2512)),0), FactorTable!$A$2:$A$301,0), Skills!M9+1)</f>
        <v/>
      </c>
      <c r="F2512">
        <f>IF(Skills!N9=TRUE,(Skills!L9/10)*(E2512/1000),Skills!L9/10)+Skills!O9</f>
        <v/>
      </c>
      <c r="G2512">
        <f>Skills!G9*IF(Skills!H9&gt;0,Skills!I9/Skills!H9,1)</f>
        <v/>
      </c>
      <c r="H2512">
        <f>1-(1-Skills!J9/100)^Skills!K9</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2523=TRUE)*(F2523-Calc!F20)),(Inputs!$B$23+0+(IF(ArtifactsInput!$M$15,CHOOSE(ArtifactsInput!$N$15+1,25,30,35,40,45,50)/100*(Inputs!$B$11-Inputs!$B$11),0))))/100+(Inputs!$B$23+0+(IF(ArtifactsInput!$M$15,CHOOSE(ArtifactsInput!$N$15+1,25,30,35,40,45,50)/100*(Inputs!$B$11-Inputs!$B$11),0)))/100)/2</f>
        <v/>
      </c>
      <c r="M2512">
        <f>L2512*(1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IF(B2539=0,0,O2512/B2539)</f>
        <v/>
      </c>
      <c r="Q2512">
        <f>IFERROR(1/(IF(Inputs!$B$38="pvp",15,MAX(0.1,Skills!D9-IF(Skills!E9=TRUE,0.5,0)))*(1-IF(AND(ArtifactsInput!$M$27,Inputs!$B$4="Chapter Hunt"),CHOOSE(ArtifactsInput!$N$27+1,20,24,28,32,36,40),0)/100)),0)</f>
        <v/>
      </c>
      <c r="R2512">
        <f>IF(AND(Inputs!$B$38&lt;&gt;"pvp",Inputs!$B$43&gt;0),IF(MAX(0,Inputs!$B$43-B2536)&lt;=0,0,(INT(MAX(0,Inputs!$B$43-B2536)/(IF(Inputs!$B$38="pvp",15,MAX(0.1,Skills!D9-IF(Skills!E9=TRUE,0.5,0)))*(1-IF(AND(ArtifactsInput!$M$27,Inputs!$B$4="Chapter Hunt"),CHOOSE(ArtifactsInput!$N$27+1,20,24,28,32,36,40),0)/100)))+1)),0)</f>
        <v/>
      </c>
      <c r="S2512">
        <f>IFERROR(O2512/N2512,0)</f>
        <v/>
      </c>
      <c r="T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$21+Skills!Q9+(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Skills!A10</f>
        <v/>
      </c>
      <c r="B2513">
        <f>Skills!B10</f>
        <v/>
      </c>
      <c r="C2513">
        <f>Inputs!$B$3&gt;=103</f>
        <v/>
      </c>
      <c r="D2513">
        <f>IF(Skills!C10=1,60+Inputs!$B$25+Inputs!$B$29,IF(Skills!C10=2,90+Inputs!$B$26+Inputs!$B$29,IF(Skills!C10=3,120+Inputs!$B$27+Inputs!$B$29,MAX(0,(Inputs!$B$3-100)*3)+Inputs!$B$28+Inputs!$B$29)))</f>
        <v/>
      </c>
      <c r="E2513">
        <f>INDEX(FactorTable!$B$2:$Y$301, MATCH(ROUND(MIN(300,MAX(1,D2513)),0), FactorTable!$A$2:$A$301,0), Skills!M10+1)</f>
        <v/>
      </c>
      <c r="F2513">
        <f>IF(Skills!N10=TRUE,(Skills!L10/10)*(E2513/1000),Skills!L10/10)+Skills!O10</f>
        <v/>
      </c>
      <c r="G2513">
        <f>Skills!G10*IF(Skills!H10&gt;0,Skills!I10/Skills!H10,1)</f>
        <v/>
      </c>
      <c r="H2513">
        <f>1-(1-Skills!J10/100)^Skills!K10</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2523=TRUE)*(F2523-Calc!F20)),(Inputs!$B$23+0+(IF(ArtifactsInput!$M$15,CHOOSE(ArtifactsInput!$N$15+1,25,30,35,40,45,50)/100*(Inputs!$B$11-Inputs!$B$11),0))))/100+(Inputs!$B$23+0+(IF(ArtifactsInput!$M$15,CHOOSE(ArtifactsInput!$N$15+1,25,30,35,40,45,50)/100*(Inputs!$B$11-Inputs!$B$11),0)))/100)/2</f>
        <v/>
      </c>
      <c r="M2513">
        <f>L2513*(1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IF(B2539=0,0,O2513/B2539)</f>
        <v/>
      </c>
      <c r="Q2513">
        <f>IFERROR(1/(IF(Inputs!$B$38="pvp",15,MAX(0.1,Skills!D10-IF(Skills!E10=TRUE,0.5,0)))*(1-IF(AND(ArtifactsInput!$M$27,Inputs!$B$4="Chapter Hunt"),CHOOSE(ArtifactsInput!$N$27+1,20,24,28,32,36,40),0)/100)),0)</f>
        <v/>
      </c>
      <c r="R2513">
        <f>IF(AND(Inputs!$B$38&lt;&gt;"pvp",Inputs!$B$43&gt;0),IF(MAX(0,Inputs!$B$43-B2536)&lt;=0,0,(INT(MAX(0,Inputs!$B$43-B2536)/(IF(Inputs!$B$38="pvp",15,MAX(0.1,Skills!D10-IF(Skills!E10=TRUE,0.5,0)))*(1-IF(AND(ArtifactsInput!$M$27,Inputs!$B$4="Chapter Hunt"),CHOOSE(ArtifactsInput!$N$27+1,20,24,28,32,36,40),0)/100)))+1)),0)</f>
        <v/>
      </c>
      <c r="S2513">
        <f>IFERROR(O2513/N2513,0)</f>
        <v/>
      </c>
      <c r="T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$21+Skills!Q10+(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Skills!A11</f>
        <v/>
      </c>
      <c r="B2514">
        <f>Skills!B11</f>
        <v/>
      </c>
      <c r="C2514">
        <f>Inputs!$B$3&gt;=113</f>
        <v/>
      </c>
      <c r="D2514">
        <f>IF(Skills!C11=1,60+Inputs!$B$25+Inputs!$B$29,IF(Skills!C11=2,90+Inputs!$B$26+Inputs!$B$29,IF(Skills!C11=3,120+Inputs!$B$27+Inputs!$B$29,MAX(0,(Inputs!$B$3-100)*3)+Inputs!$B$28+Inputs!$B$29)))</f>
        <v/>
      </c>
      <c r="E2514">
        <f>INDEX(FactorTable!$B$2:$Y$301, MATCH(ROUND(MIN(300,MAX(1,D2514)),0), FactorTable!$A$2:$A$301,0), Skills!M11+1)</f>
        <v/>
      </c>
      <c r="F2514">
        <f>IF(Skills!N11=TRUE,(Skills!L11/10)*(E2514/1000),Skills!L11/10)+Skills!O11</f>
        <v/>
      </c>
      <c r="G2514">
        <f>Skills!G11*IF(Skills!H11&gt;0,Skills!I11/Skills!H11,1)</f>
        <v/>
      </c>
      <c r="H2514">
        <f>1-(1-Skills!J11/100)^Skills!K11</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2523=TRUE)*(F2523-Calc!F20)),(Inputs!$B$23+0+(IF(ArtifactsInput!$M$15,CHOOSE(ArtifactsInput!$N$15+1,25,30,35,40,45,50)/100*(Inputs!$B$11-Inputs!$B$11),0))))/100+(Inputs!$B$23+0+(IF(ArtifactsInput!$M$15,CHOOSE(ArtifactsInput!$N$15+1,25,30,35,40,45,50)/100*(Inputs!$B$11-Inputs!$B$11),0)))/100)/2</f>
        <v/>
      </c>
      <c r="M2514">
        <f>L2514*(1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IF(B2539=0,0,O2514/B2539)</f>
        <v/>
      </c>
      <c r="Q2514">
        <f>IFERROR(1/(IF(Inputs!$B$38="pvp",15,MAX(0.1,Skills!D11-IF(Skills!E11=TRUE,0.5,0)))*(1-IF(AND(ArtifactsInput!$M$27,Inputs!$B$4="Chapter Hunt"),CHOOSE(ArtifactsInput!$N$27+1,20,24,28,32,36,40),0)/100)),0)</f>
        <v/>
      </c>
      <c r="R2514">
        <f>IF(AND(Inputs!$B$38&lt;&gt;"pvp",Inputs!$B$43&gt;0),IF(MAX(0,Inputs!$B$43-B2536)&lt;=0,0,(INT(MAX(0,Inputs!$B$43-B2536)/(IF(Inputs!$B$38="pvp",15,MAX(0.1,Skills!D11-IF(Skills!E11=TRUE,0.5,0)))*(1-IF(AND(ArtifactsInput!$M$27,Inputs!$B$4="Chapter Hunt"),CHOOSE(ArtifactsInput!$N$27+1,20,24,28,32,36,40),0)/100)))+1)),0)</f>
        <v/>
      </c>
      <c r="S2514">
        <f>IFERROR(O2514/N2514,0)</f>
        <v/>
      </c>
      <c r="T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$21+Skills!Q11+(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Skills!A12</f>
        <v/>
      </c>
      <c r="B2515">
        <f>Skills!B12</f>
        <v/>
      </c>
      <c r="C2515">
        <f>Inputs!$B$3&gt;=100</f>
        <v/>
      </c>
      <c r="D2515">
        <f>IF(Skills!C12=1,60+Inputs!$B$25+Inputs!$B$29,IF(Skills!C12=2,90+Inputs!$B$26+Inputs!$B$29,IF(Skills!C12=3,120+Inputs!$B$27+Inputs!$B$29,MAX(0,(Inputs!$B$3-100)*3)+Inputs!$B$28+Inputs!$B$29)))</f>
        <v/>
      </c>
      <c r="E2515">
        <f>INDEX(FactorTable!$B$2:$Y$301, MATCH(ROUND(MIN(300,MAX(1,D2515)),0), FactorTable!$A$2:$A$301,0), Skills!M12+1)</f>
        <v/>
      </c>
      <c r="F2515">
        <f>IF(Skills!N12=TRUE,(Skills!L12/10)*(E2515/1000),Skills!L12/10)+Skills!O12</f>
        <v/>
      </c>
      <c r="G2515" t="inlineStr"/>
      <c r="H2515" t="inlineStr"/>
      <c r="I2515" t="inlineStr">
        <is>
          <t>1</t>
        </is>
      </c>
      <c r="J2515" t="inlineStr"/>
      <c r="K2515" t="inlineStr"/>
      <c r="L2515" t="inlineStr"/>
      <c r="M2515" t="inlineStr"/>
      <c r="N2515" t="inlineStr"/>
      <c r="O2515" t="inlineStr"/>
      <c r="P2515" t="inlineStr"/>
      <c r="Q2515" t="inlineStr"/>
      <c r="R2515" t="inlineStr"/>
      <c r="S2515" t="inlineStr"/>
      <c r="T2515" t="inlineStr"/>
      <c r="V2515" t="inlineStr"/>
    </row>
    <row r="2516">
      <c r="A2516">
        <f>Skills!A13</f>
        <v/>
      </c>
      <c r="B2516">
        <f>Skills!B13</f>
        <v/>
      </c>
      <c r="C2516">
        <f>Inputs!$B$3&gt;=66</f>
        <v/>
      </c>
      <c r="D2516">
        <f>IF(Skills!C13=1,60+Inputs!$B$25+Inputs!$B$29,IF(Skills!C13=2,90+Inputs!$B$26+Inputs!$B$29,IF(Skills!C13=3,120+Inputs!$B$27+Inputs!$B$29,MAX(0,(Inputs!$B$3-100)*3)+Inputs!$B$28+Inputs!$B$29)))</f>
        <v/>
      </c>
      <c r="E2516">
        <f>INDEX(FactorTable!$B$2:$Y$301, MATCH(ROUND(MIN(300,MAX(1,D2516)),0), FactorTable!$A$2:$A$301,0), Skills!M13+1)</f>
        <v/>
      </c>
      <c r="F2516">
        <f>IF(Skills!N13=TRUE,(Skills!L13/10)*(E2516/1000),Skills!L13/10)+Skills!O13</f>
        <v/>
      </c>
      <c r="G2516">
        <f>Skills!G13*IF(Skills!H13&gt;0,Skills!I13/Skills!H13,1)</f>
        <v/>
      </c>
      <c r="H2516">
        <f>1-(1-Skills!J13/100)^Skills!K13</f>
        <v/>
      </c>
      <c r="I2516" t="inlineStr">
        <is>
          <t>1</t>
        </is>
      </c>
      <c r="J2516" t="inlineStr"/>
      <c r="K2516" t="inlineStr"/>
      <c r="L2516" t="inlineStr"/>
      <c r="M2516" t="inlineStr"/>
      <c r="N2516" t="inlineStr"/>
      <c r="O2516">
        <f>(1-Summary!$B$11)*T2516+Summary!$B$11*V2516</f>
        <v/>
      </c>
      <c r="P2516">
        <f>IF(B2539=0,0,O2516/B2539)</f>
        <v/>
      </c>
      <c r="Q2516" t="n">
        <v>0</v>
      </c>
      <c r="R2516" t="n">
        <v>0</v>
      </c>
      <c r="S2516">
        <f>IFERROR(O2516/N2516,0)</f>
        <v/>
      </c>
      <c r="T2516" t="n">
        <v>0</v>
      </c>
      <c r="V2516" t="n">
        <v>0</v>
      </c>
    </row>
    <row r="2517">
      <c r="A2517">
        <f>Skills!A14</f>
        <v/>
      </c>
      <c r="B2517">
        <f>Skills!B14</f>
        <v/>
      </c>
      <c r="C2517">
        <f>Inputs!$B$3&gt;=107</f>
        <v/>
      </c>
      <c r="D2517">
        <f>IF(Skills!C14=1,60+Inputs!$B$25+Inputs!$B$29,IF(Skills!C14=2,90+Inputs!$B$26+Inputs!$B$29,IF(Skills!C14=3,120+Inputs!$B$27+Inputs!$B$29,MAX(0,(Inputs!$B$3-100)*3)+Inputs!$B$28+Inputs!$B$29)))</f>
        <v/>
      </c>
      <c r="E2517">
        <f>INDEX(FactorTable!$B$2:$Y$301, MATCH(ROUND(MIN(300,MAX(1,D2517)),0), FactorTable!$A$2:$A$301,0), Skills!M14+1)</f>
        <v/>
      </c>
      <c r="F2517">
        <f>IF(Skills!N14=TRUE,(Skills!L14/10)*(E2517/1000),Skills!L14/10)+Skills!O14</f>
        <v/>
      </c>
      <c r="G2517">
        <f>Skills!G14*IF(Skills!H14&gt;0,Skills!I14/Skills!H14,1)</f>
        <v/>
      </c>
      <c r="H2517">
        <f>1-(1-Skills!J14/100)^Skills!K14</f>
        <v/>
      </c>
      <c r="I2517" t="inlineStr">
        <is>
          <t>1</t>
        </is>
      </c>
      <c r="J2517" t="inlineStr"/>
      <c r="K2517" t="inlineStr"/>
      <c r="L2517" t="inlineStr"/>
      <c r="M2517" t="inlineStr"/>
      <c r="N2517" t="inlineStr"/>
      <c r="O2517">
        <f>(1-Summary!$B$11)*T2517+Summary!$B$11*V2517</f>
        <v/>
      </c>
      <c r="P2517">
        <f>IF(B2539=0,0,O2517/B2539)</f>
        <v/>
      </c>
      <c r="Q2517" t="n">
        <v>0</v>
      </c>
      <c r="R2517" t="n">
        <v>0</v>
      </c>
      <c r="S2517">
        <f>IFERROR(O2517/N2517,0)</f>
        <v/>
      </c>
      <c r="T2517" t="n">
        <v>0</v>
      </c>
      <c r="V2517" t="n">
        <v>0</v>
      </c>
    </row>
    <row r="2518">
      <c r="A2518">
        <f>Skills!A15</f>
        <v/>
      </c>
      <c r="B2518">
        <f>Skills!B15</f>
        <v/>
      </c>
      <c r="C2518">
        <f>Inputs!$B$3&gt;=115</f>
        <v/>
      </c>
      <c r="D2518">
        <f>IF(Skills!C15=1,60+Inputs!$B$25+Inputs!$B$29,IF(Skills!C15=2,90+Inputs!$B$26+Inputs!$B$29,IF(Skills!C15=3,120+Inputs!$B$27+Inputs!$B$29,MAX(0,(Inputs!$B$3-100)*3)+Inputs!$B$28+Inputs!$B$29)))</f>
        <v/>
      </c>
      <c r="E2518">
        <f>INDEX(FactorTable!$B$2:$Y$301, MATCH(ROUND(MIN(300,MAX(1,D2518)),0), FactorTable!$A$2:$A$301,0), Skills!M15+1)</f>
        <v/>
      </c>
      <c r="F2518">
        <f>IF(Skills!N15=TRUE,(Skills!L15/10)*(E2518/1000),Skills!L15/10)+Skills!O15</f>
        <v/>
      </c>
      <c r="G2518">
        <f>Skills!G15*IF(Skills!H15&gt;0,Skills!I15/Skills!H15,1)</f>
        <v/>
      </c>
      <c r="H2518">
        <f>1-(1-Skills!J15/100)^Skills!K15</f>
        <v/>
      </c>
      <c r="I2518" t="inlineStr">
        <is>
          <t>1</t>
        </is>
      </c>
      <c r="J2518" t="inlineStr"/>
      <c r="K2518" t="inlineStr"/>
      <c r="L2518" t="inlineStr"/>
      <c r="M2518" t="inlineStr"/>
      <c r="N2518" t="inlineStr"/>
      <c r="O2518">
        <f>(1-Summary!$B$11)*T2518+Summary!$B$11*V2518</f>
        <v/>
      </c>
      <c r="P2518">
        <f>IF(B2539=0,0,O2518/B2539)</f>
        <v/>
      </c>
      <c r="Q2518" t="n">
        <v>0</v>
      </c>
      <c r="R2518" t="n">
        <v>0</v>
      </c>
      <c r="S2518">
        <f>IFERROR(O2518/N2518,0)</f>
        <v/>
      </c>
      <c r="T2518" t="n">
        <v>0</v>
      </c>
      <c r="V2518" t="n">
        <v>0</v>
      </c>
    </row>
    <row r="2519">
      <c r="A2519">
        <f>Skills!A16</f>
        <v/>
      </c>
      <c r="B2519">
        <f>Skills!B16</f>
        <v/>
      </c>
      <c r="C2519">
        <f>Inputs!$B$3&gt;=15</f>
        <v/>
      </c>
      <c r="D2519">
        <f>IF(Skills!C16=1,60+Inputs!$B$25+Inputs!$B$29,IF(Skills!C16=2,90+Inputs!$B$26+Inputs!$B$29,IF(Skills!C16=3,120+Inputs!$B$27+Inputs!$B$29,MAX(0,(Inputs!$B$3-100)*3)+Inputs!$B$28+Inputs!$B$29)))</f>
        <v/>
      </c>
      <c r="E2519">
        <f>INDEX(FactorTable!$B$2:$Y$301, MATCH(ROUND(MIN(300,MAX(1,D2519)),0), FactorTable!$A$2:$A$301,0), Skills!M16+1)</f>
        <v/>
      </c>
      <c r="F2519">
        <f>IF(Skills!N16=TRUE,(Skills!L16/10)*(E2519/1000),Skills!L16/10)+Skills!O16</f>
        <v/>
      </c>
      <c r="G2519">
        <f>Skills!G16*IF(Skills!H16&gt;0,Skills!I16/Skills!H16,1)</f>
        <v/>
      </c>
      <c r="H2519">
        <f>1-(1-Skills!J16/100)^Skills!K16</f>
        <v/>
      </c>
      <c r="I2519" t="inlineStr">
        <is>
          <t>1</t>
        </is>
      </c>
      <c r="J2519" t="inlineStr"/>
      <c r="K2519" t="inlineStr"/>
      <c r="L2519" t="inlineStr"/>
      <c r="M2519" t="inlineStr"/>
      <c r="N2519" t="inlineStr"/>
      <c r="O2519">
        <f>(1-Summary!$B$11)*T2519+Summary!$B$11*V2519</f>
        <v/>
      </c>
      <c r="P2519">
        <f>IF(B2539=0,0,O2519/B2539)</f>
        <v/>
      </c>
      <c r="Q2519" t="n">
        <v>0</v>
      </c>
      <c r="R2519" t="n">
        <v>0</v>
      </c>
      <c r="S2519">
        <f>IFERROR(O2519/N2519,0)</f>
        <v/>
      </c>
      <c r="T2519" t="n">
        <v>0</v>
      </c>
      <c r="V2519" t="n">
        <v>0</v>
      </c>
    </row>
    <row r="2520">
      <c r="A2520">
        <f>Skills!A17</f>
        <v/>
      </c>
      <c r="B2520">
        <f>Skills!B17</f>
        <v/>
      </c>
      <c r="C2520">
        <f>Inputs!$B$3&gt;=10</f>
        <v/>
      </c>
      <c r="D2520">
        <f>IF(Skills!C17=1,60+Inputs!$B$25+Inputs!$B$29,IF(Skills!C17=2,90+Inputs!$B$26+Inputs!$B$29,IF(Skills!C17=3,120+Inputs!$B$27+Inputs!$B$29,MAX(0,(Inputs!$B$3-100)*3)+Inputs!$B$28+Inputs!$B$29)))</f>
        <v/>
      </c>
      <c r="E2520">
        <f>INDEX(FactorTable!$B$2:$Y$301, MATCH(ROUND(MIN(300,MAX(1,D2520)),0), FactorTable!$A$2:$A$301,0), Skills!M17+1)</f>
        <v/>
      </c>
      <c r="F2520">
        <f>IF(Skills!N17=TRUE,(Skills!L17/10)*(E2520/1000),Skills!L17/10)+Skills!O17</f>
        <v/>
      </c>
      <c r="G2520">
        <f>Skills!G17*IF(Skills!H17&gt;0,Skills!I17/Skills!H17,1)</f>
        <v/>
      </c>
      <c r="H2520">
        <f>1-(1-Skills!J17/100)^Skills!K17</f>
        <v/>
      </c>
      <c r="I2520" t="inlineStr">
        <is>
          <t>1</t>
        </is>
      </c>
      <c r="J2520" t="inlineStr"/>
      <c r="K2520" t="inlineStr"/>
      <c r="L2520" t="inlineStr"/>
      <c r="M2520" t="inlineStr"/>
      <c r="N2520" t="inlineStr"/>
      <c r="O2520">
        <f>(1-Summary!$B$11)*T2520+Summary!$B$11*V2520</f>
        <v/>
      </c>
      <c r="P2520">
        <f>IF(B2539=0,0,O2520/B2539)</f>
        <v/>
      </c>
      <c r="Q2520" t="n">
        <v>0</v>
      </c>
      <c r="R2520" t="n">
        <v>0</v>
      </c>
      <c r="S2520">
        <f>IFERROR(O2520/N2520,0)</f>
        <v/>
      </c>
      <c r="T2520" t="n">
        <v>0</v>
      </c>
      <c r="V2520" t="n">
        <v>0</v>
      </c>
    </row>
    <row r="2521">
      <c r="A2521">
        <f>Skills!A18</f>
        <v/>
      </c>
      <c r="B2521">
        <f>Skills!B18</f>
        <v/>
      </c>
      <c r="C2521">
        <f>Inputs!$B$3&gt;=33</f>
        <v/>
      </c>
      <c r="D2521">
        <f>IF(Skills!C18=1,60+Inputs!$B$25+Inputs!$B$29,IF(Skills!C18=2,90+Inputs!$B$26+Inputs!$B$29,IF(Skills!C18=3,120+Inputs!$B$27+Inputs!$B$29,MAX(0,(Inputs!$B$3-100)*3)+Inputs!$B$28+Inputs!$B$29)))</f>
        <v/>
      </c>
      <c r="E2521">
        <f>INDEX(FactorTable!$B$2:$Y$301, MATCH(ROUND(MIN(300,MAX(1,D2521)),0), FactorTable!$A$2:$A$301,0), Skills!M18+1)</f>
        <v/>
      </c>
      <c r="F2521">
        <f>IF(Skills!N18=TRUE,(Skills!L18/10)*(E2521/1000),Skills!L18/10)+Skills!O18</f>
        <v/>
      </c>
      <c r="G2521">
        <f>Skills!G18*IF(Skills!H18&gt;0,Skills!I18/Skills!H18,1)</f>
        <v/>
      </c>
      <c r="H2521">
        <f>1-(1-Skills!J18/100)^Skills!K18</f>
        <v/>
      </c>
      <c r="I2521" t="inlineStr">
        <is>
          <t>1</t>
        </is>
      </c>
      <c r="J2521" t="inlineStr"/>
      <c r="K2521" t="inlineStr"/>
      <c r="L2521" t="inlineStr"/>
      <c r="M2521" t="inlineStr"/>
      <c r="N2521" t="inlineStr"/>
      <c r="O2521">
        <f>(1-Summary!$B$11)*T2521+Summary!$B$11*V2521</f>
        <v/>
      </c>
      <c r="P2521">
        <f>IF(B2539=0,0,O2521/B2539)</f>
        <v/>
      </c>
      <c r="Q2521" t="n">
        <v>0</v>
      </c>
      <c r="R2521" t="n">
        <v>0</v>
      </c>
      <c r="S2521">
        <f>IFERROR(O2521/N2521,0)</f>
        <v/>
      </c>
      <c r="T2521" t="n">
        <v>0</v>
      </c>
      <c r="V2521" t="n">
        <v>0</v>
      </c>
    </row>
    <row r="2522">
      <c r="A2522">
        <f>Skills!A19</f>
        <v/>
      </c>
      <c r="B2522">
        <f>Skills!B19</f>
        <v/>
      </c>
      <c r="C2522">
        <f>Inputs!$B$3&gt;=40</f>
        <v/>
      </c>
      <c r="D2522">
        <f>IF(Skills!C19=1,60+Inputs!$B$25+Inputs!$B$29,IF(Skills!C19=2,90+Inputs!$B$26+Inputs!$B$29,IF(Skills!C19=3,120+Inputs!$B$27+Inputs!$B$29,MAX(0,(Inputs!$B$3-100)*3)+Inputs!$B$28+Inputs!$B$29)))</f>
        <v/>
      </c>
      <c r="E2522">
        <f>INDEX(FactorTable!$B$2:$Y$301, MATCH(ROUND(MIN(300,MAX(1,D2522)),0), FactorTable!$A$2:$A$301,0), Skills!M19+1)</f>
        <v/>
      </c>
      <c r="F2522">
        <f>IF(Skills!N19=TRUE,(Skills!L19/10)*(E2522/1000),Skills!L19/10)+Skills!O19</f>
        <v/>
      </c>
      <c r="G2522">
        <f>Skills!G19*IF(Skills!H19&gt;0,Skills!I19/Skills!H19,1)</f>
        <v/>
      </c>
      <c r="H2522">
        <f>1-(1-Skills!J19/100)^Skills!K19</f>
        <v/>
      </c>
      <c r="I2522" t="inlineStr">
        <is>
          <t>1</t>
        </is>
      </c>
      <c r="J2522" t="inlineStr"/>
      <c r="K2522" t="inlineStr"/>
      <c r="L2522" t="inlineStr"/>
      <c r="M2522" t="inlineStr"/>
      <c r="N2522" t="inlineStr"/>
      <c r="O2522">
        <f>(1-Summary!$B$11)*T2522+Summary!$B$11*V2522</f>
        <v/>
      </c>
      <c r="P2522">
        <f>IF(B2539=0,0,O2522/B2539)</f>
        <v/>
      </c>
      <c r="Q2522" t="n">
        <v>0</v>
      </c>
      <c r="R2522" t="n">
        <v>0</v>
      </c>
      <c r="S2522">
        <f>IFERROR(O2522/N2522,0)</f>
        <v/>
      </c>
      <c r="T2522" t="n">
        <v>0</v>
      </c>
      <c r="V2522" t="n">
        <v>0</v>
      </c>
    </row>
    <row r="2523">
      <c r="A2523">
        <f>Skills!A20</f>
        <v/>
      </c>
      <c r="B2523">
        <f>Skills!B20</f>
        <v/>
      </c>
      <c r="C2523">
        <f>Inputs!$B$3&gt;=43</f>
        <v/>
      </c>
      <c r="D2523">
        <f>IF(Skills!C20=1,60+Inputs!$B$25+Inputs!$B$29,IF(Skills!C20=2,90+Inputs!$B$26+Inputs!$B$29,IF(Skills!C20=3,120+Inputs!$B$27+Inputs!$B$29,MAX(0,(Inputs!$B$3-100)*3)+Inputs!$B$28+Inputs!$B$29)))</f>
        <v/>
      </c>
      <c r="E2523">
        <f>INDEX(FactorTable!$B$2:$Y$301, MATCH(ROUND(MIN(300,MAX(1,D2523)),0), FactorTable!$A$2:$A$301,0), Skills!M20+1)</f>
        <v/>
      </c>
      <c r="F2523">
        <f>IF(Skills!N20=TRUE,(Skills!L20/10)*(E2523/1000),Skills!L20/10)+Skills!O20</f>
        <v/>
      </c>
      <c r="G2523">
        <f>Skills!G20*IF(Skills!H20&gt;0,Skills!I20/Skills!H20,1)</f>
        <v/>
      </c>
      <c r="H2523">
        <f>1-(1-Skills!J20/100)^Skills!K20</f>
        <v/>
      </c>
      <c r="I2523" t="inlineStr">
        <is>
          <t>1</t>
        </is>
      </c>
      <c r="J2523" t="inlineStr"/>
      <c r="K2523" t="inlineStr"/>
      <c r="L2523" t="inlineStr"/>
      <c r="M2523" t="inlineStr"/>
      <c r="N2523" t="inlineStr"/>
      <c r="O2523">
        <f>(1-Summary!$B$11)*T2523+Summary!$B$11*V2523</f>
        <v/>
      </c>
      <c r="P2523">
        <f>IF(B2539=0,0,O2523/B2539)</f>
        <v/>
      </c>
      <c r="Q2523" t="n">
        <v>0</v>
      </c>
      <c r="R2523" t="n">
        <v>0</v>
      </c>
      <c r="S2523">
        <f>IFERROR(O2523/N2523,0)</f>
        <v/>
      </c>
      <c r="T2523" t="n">
        <v>0</v>
      </c>
      <c r="V2523" t="n">
        <v>0</v>
      </c>
    </row>
    <row r="2524">
      <c r="A2524">
        <f>Skills!A21</f>
        <v/>
      </c>
      <c r="B2524">
        <f>Skills!B21</f>
        <v/>
      </c>
      <c r="C2524">
        <f>Inputs!$B$3&gt;=38</f>
        <v/>
      </c>
      <c r="D2524">
        <f>IF(Skills!C21=1,60+Inputs!$B$25+Inputs!$B$29,IF(Skills!C21=2,90+Inputs!$B$26+Inputs!$B$29,IF(Skills!C21=3,120+Inputs!$B$27+Inputs!$B$29,MAX(0,(Inputs!$B$3-100)*3)+Inputs!$B$28+Inputs!$B$29)))</f>
        <v/>
      </c>
      <c r="E2524">
        <f>INDEX(FactorTable!$B$2:$Y$301, MATCH(ROUND(MIN(300,MAX(1,D2524)),0), FactorTable!$A$2:$A$301,0), Skills!M21+1)</f>
        <v/>
      </c>
      <c r="F2524">
        <f>IF(Skills!N21=TRUE,(Skills!L21/10)*(E2524/1000),Skills!L21/10)+Skills!O21</f>
        <v/>
      </c>
      <c r="G2524">
        <f>Skills!G21*IF(Skills!H21&gt;0,Skills!I21/Skills!H21,1)</f>
        <v/>
      </c>
      <c r="H2524">
        <f>1-(1-Skills!J21/100)^Skills!K21</f>
        <v/>
      </c>
      <c r="I2524" t="inlineStr">
        <is>
          <t>1</t>
        </is>
      </c>
      <c r="J2524" t="inlineStr"/>
      <c r="K2524" t="inlineStr"/>
      <c r="L2524" t="inlineStr"/>
      <c r="M2524" t="inlineStr"/>
      <c r="N2524" t="inlineStr"/>
      <c r="O2524">
        <f>(1-Summary!$B$11)*T2524+Summary!$B$11*V2524</f>
        <v/>
      </c>
      <c r="P2524">
        <f>IF(B2539=0,0,O2524/B2539)</f>
        <v/>
      </c>
      <c r="Q2524" t="n">
        <v>0</v>
      </c>
      <c r="R2524" t="n">
        <v>0</v>
      </c>
      <c r="S2524">
        <f>IFERROR(O2524/N2524,0)</f>
        <v/>
      </c>
      <c r="T2524" t="n">
        <v>0</v>
      </c>
      <c r="V2524" t="n">
        <v>0</v>
      </c>
    </row>
    <row r="2525">
      <c r="A2525">
        <f>Skills!A22</f>
        <v/>
      </c>
      <c r="B2525">
        <f>Skills!B22</f>
        <v/>
      </c>
      <c r="C2525">
        <f>Inputs!$B$3&gt;=75</f>
        <v/>
      </c>
      <c r="D2525">
        <f>IF(Skills!C22=1,60+Inputs!$B$25+Inputs!$B$29,IF(Skills!C22=2,90+Inputs!$B$26+Inputs!$B$29,IF(Skills!C22=3,120+Inputs!$B$27+Inputs!$B$29,MAX(0,(Inputs!$B$3-100)*3)+Inputs!$B$28+Inputs!$B$29)))</f>
        <v/>
      </c>
      <c r="E2525">
        <f>INDEX(FactorTable!$B$2:$Y$301, MATCH(ROUND(MIN(300,MAX(1,D2525)),0), FactorTable!$A$2:$A$301,0), Skills!M22+1)</f>
        <v/>
      </c>
      <c r="F2525">
        <f>IF(Skills!N22=TRUE,(Skills!L22/10)*(E2525/1000),Skills!L22/10)+Skills!O22</f>
        <v/>
      </c>
      <c r="G2525">
        <f>Skills!G22*IF(Skills!H22&gt;0,Skills!I22/Skills!H22,1)</f>
        <v/>
      </c>
      <c r="H2525">
        <f>1-(1-Skills!J22/100)^Skills!K22</f>
        <v/>
      </c>
      <c r="I2525" t="inlineStr">
        <is>
          <t>1</t>
        </is>
      </c>
      <c r="J2525" t="inlineStr"/>
      <c r="K2525" t="inlineStr"/>
      <c r="L2525" t="inlineStr"/>
      <c r="M2525" t="inlineStr"/>
      <c r="N2525" t="inlineStr"/>
      <c r="O2525">
        <f>(1-Summary!$B$11)*T2525+Summary!$B$11*V2525</f>
        <v/>
      </c>
      <c r="P2525">
        <f>IF(B2539=0,0,O2525/B2539)</f>
        <v/>
      </c>
      <c r="Q2525" t="n">
        <v>0</v>
      </c>
      <c r="R2525" t="n">
        <v>0</v>
      </c>
      <c r="S2525">
        <f>IFERROR(O2525/N2525,0)</f>
        <v/>
      </c>
      <c r="T2525" t="n">
        <v>0</v>
      </c>
      <c r="V2525" t="n">
        <v>0</v>
      </c>
    </row>
    <row r="2526">
      <c r="A2526">
        <f>Skills!A23</f>
        <v/>
      </c>
      <c r="B2526">
        <f>Skills!B23</f>
        <v/>
      </c>
      <c r="C2526">
        <f>TRUE</f>
        <v/>
      </c>
      <c r="D2526">
        <f>IF(Skills!C23=1,60+Inputs!$B$25+Inputs!$B$29,IF(Skills!C23=2,90+Inputs!$B$26+Inputs!$B$29,IF(Skills!C23=3,120+Inputs!$B$27+Inputs!$B$29,MAX(0,(Inputs!$B$3-100)*3)+Inputs!$B$28+Inputs!$B$29)))</f>
        <v/>
      </c>
      <c r="E2526">
        <f>INDEX(FactorTable!$B$2:$Y$301, MATCH(ROUND(MIN(300,MAX(1,D2526)),0), FactorTable!$A$2:$A$301,0), Skills!M23+1)</f>
        <v/>
      </c>
      <c r="F2526">
        <f>IF(Skills!N23=TRUE,(Skills!L23/10)*(E2526/1000),Skills!L23/10)+Skills!O23</f>
        <v/>
      </c>
      <c r="G2526">
        <f>Skills!G23*IF(Skills!H23&gt;0,Skills!I23/Skills!H23,1)</f>
        <v/>
      </c>
      <c r="H2526">
        <f>1-(1-Skills!J23/100)^Skills!K23</f>
        <v/>
      </c>
      <c r="I2526" t="inlineStr">
        <is>
          <t>1</t>
        </is>
      </c>
      <c r="J2526" t="inlineStr"/>
      <c r="K2526" t="inlineStr"/>
      <c r="L2526" t="inlineStr"/>
      <c r="M2526" t="inlineStr"/>
      <c r="N2526" t="inlineStr"/>
      <c r="O2526">
        <f>(1-Summary!$B$11)*T2526+Summary!$B$11*V2526</f>
        <v/>
      </c>
      <c r="P2526">
        <f>IF(B2539=0,0,O2526/B2539)</f>
        <v/>
      </c>
      <c r="Q2526">
        <f>IFERROR(1/(IF(Inputs!$B$38="pvp",15,MAX(0.1,Skills!D23-IF(Skills!E23=TRUE,0.5,0)))*(1-IF(AND(ArtifactsInput!$M$27,Inputs!$B$4="Chapter Hunt"),CHOOSE(ArtifactsInput!$N$27+1,20,24,28,32,36,40),0)/100)),0)</f>
        <v/>
      </c>
      <c r="R2526">
        <f>IF(AND(Inputs!$B$38&lt;&gt;"pvp",Inputs!$B$43&gt;0),IF(Inputs!$B$43&lt;=0,0,(INT(Inputs!$B$43/(IF(Inputs!$B$38="pvp",15,MAX(0.1,Skills!D23-IF(Skills!E23=TRUE,0.5,0)))*(1-IF(AND(ArtifactsInput!$M$27,Inputs!$B$4="Chapter Hunt"),CHOOSE(ArtifactsInput!$N$27+1,20,24,28,32,36,40),0)/100)))+1)),0)</f>
        <v/>
      </c>
      <c r="S2526">
        <f>IFERROR(O2526/N2526,0)</f>
        <v/>
      </c>
      <c r="T2526" t="n">
        <v>0</v>
      </c>
      <c r="V2526" t="n">
        <v>0</v>
      </c>
    </row>
    <row r="2528">
      <c r="A2528" t="inlineStr">
        <is>
          <t>Attack% Bucket Multiplier</t>
        </is>
      </c>
      <c r="B2528">
        <f>(1+(((C2516=TRUE)*F2516*5/7)+((C2522=TRUE)*(F2522-Calc!F19))+(IF(ArtifactsInput!$M$21,CHOOSE(ArtifactsInput!$N$21+1,25,30,35,40,45,50)*(IF(OR(Inputs!$B$4="Chapter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9">
      <c r="A2529" t="inlineStr">
        <is>
          <t>Global Crit Rate Bonus %</t>
        </is>
      </c>
      <c r="B2529" t="n">
        <v>0</v>
      </c>
    </row>
    <row r="2530">
      <c r="A2530" t="inlineStr">
        <is>
          <t>Attack Speed Buff Bonus % (Nimble Feet, duty-cycle averaged)</t>
        </is>
      </c>
      <c r="B2530">
        <f>((C2526=TRUE)*F2526*IF(AND(Inputs!$B$38&lt;&gt;"pvp",Inputs!$B$43&gt;0),(((R2526-1)*(Skills!T23*(1+Inputs!$B$34/100))+MIN((Skills!T23*(1+Inputs!$B$34/100)),MAX(0,Inputs!$B$43-((R2526-1)*Skills!D23))))/Inputs!$B$43),IF(Inputs!$B$38="pvp",MIN((Skills!T23*(1+Inputs!$B$34/100)),15)/15,(Skills!T23*(1+Inputs!$B$34/100))/Skills!D23)))</f>
        <v/>
      </c>
    </row>
    <row r="2531">
      <c r="A2531" t="inlineStr">
        <is>
          <t>Actions Per Second</t>
        </is>
      </c>
      <c r="B2531">
        <f>1+MIN(150,150*(1-(1-(Inputs!$B$11+((C2520=TRUE)*(F2520-Calc!F17))+((C2521=TRUE)*(F2521-Calc!F18)))/150)*(1-B2530/150)))/100</f>
        <v/>
      </c>
    </row>
    <row r="2532">
      <c r="A2532" t="inlineStr">
        <is>
          <t>Skill + Buff Cast Rate</t>
        </is>
      </c>
      <c r="B2532">
        <f>IF(AND(Inputs!$B$38&lt;&gt;"pvp",Inputs!$B$43&gt;0),SUMPRODUCT((Skills!E2:E23=TRUE)*(C2505:C2526=TRUE)*R2505:R2526*Skills!F2:F23)/Inputs!$B$43,SUMPRODUCT((Skills!E2:E23=TRUE)*(C2505:C2526=TRUE)*Q2505:Q2526*Skills!F2:F23))</f>
        <v/>
      </c>
    </row>
    <row r="2533">
      <c r="A2533" t="inlineStr">
        <is>
          <t>Hook Bomber Casts Per Second</t>
        </is>
      </c>
      <c r="B2533">
        <f>MAX(0,B2531-B2532)</f>
        <v/>
      </c>
    </row>
    <row r="2534">
      <c r="A2534" t="inlineStr">
        <is>
          <t>Global Critical Damage Bonus % (unused)</t>
        </is>
      </c>
      <c r="B2534" t="n">
        <v>0</v>
      </c>
    </row>
    <row r="2535">
      <c r="A2535" t="inlineStr">
        <is>
          <t>Global Final Damage Bonus % (Serpent Scale + Crossbones + Time Leap + Speed Infusion)</t>
        </is>
      </c>
      <c r="B2535">
        <f>((C2508=TRUE)*F2508*((10+IF(Inputs!$B$3&gt;=94,5,0))/((10+IF(Inputs!$B$3&gt;=94,5,0))+5/(B2533*(1+IF(Inputs!$B$3&gt;=104,1,0))))))+((C2517=TRUE)*F2517)+((C2518=TRUE)*F2518)+((Inputs!$B$3&gt;=110)*20*(B2531-1))</f>
        <v/>
      </c>
    </row>
    <row r="2536">
      <c r="A2536" t="inlineStr">
        <is>
          <t>Buff-Casting Startup Delay (s, fixed-duration only)</t>
        </is>
      </c>
      <c r="B2536">
        <f>IF(AND(Inputs!$B$38&lt;&gt;"pvp",Inputs!$B$43&gt;0),SUMPRODUCT((Skills!T2:T23&gt;0)*(Skills!E2:E23=TRUE)*(C2505:C2526=TRUE))/B2531,0)</f>
        <v/>
      </c>
    </row>
    <row r="2537">
      <c r="A2537" t="inlineStr">
        <is>
          <t>Boss-Only Total DPS (this block's swept value)</t>
        </is>
      </c>
      <c r="B2537">
        <f>SUM(T2505:T2526)</f>
        <v/>
      </c>
    </row>
    <row r="2538">
      <c r="A2538" t="inlineStr">
        <is>
          <t>Normal-Only Total DPS (this block's swept value)</t>
        </is>
      </c>
      <c r="B2538">
        <f>SUM(V2505:V2526)</f>
        <v/>
      </c>
    </row>
    <row r="2539">
      <c r="A2539" s="6" t="inlineStr">
        <is>
          <t>TOTAL DPS</t>
        </is>
      </c>
      <c r="B2539" s="6">
        <f>SUM(O2505:O2526)</f>
        <v/>
      </c>
    </row>
    <row r="2542">
      <c r="A2542" s="6" t="inlineStr">
        <is>
          <t>Stat: CDR = 1.0s</t>
        </is>
      </c>
    </row>
    <row r="2543">
      <c r="A2543" s="5" t="inlineStr">
        <is>
          <t>Key</t>
        </is>
      </c>
      <c r="B2543" s="5" t="inlineStr">
        <is>
          <t>Name</t>
        </is>
      </c>
      <c r="C2543" s="5" t="inlineStr">
        <is>
          <t>Unlocked</t>
        </is>
      </c>
      <c r="D2543" s="5" t="inlineStr">
        <is>
          <t>InputLevel</t>
        </is>
      </c>
      <c r="E2543" s="5" t="inlineStr">
        <is>
          <t>Factor</t>
        </is>
      </c>
      <c r="F2543" s="5" t="inlineStr">
        <is>
          <t>CoefficientPercent</t>
        </is>
      </c>
      <c r="G2543" s="5" t="inlineStr">
        <is>
          <t>EffectiveHits</t>
        </is>
      </c>
      <c r="H2543" s="5" t="inlineStr">
        <is>
          <t>ProcProbability</t>
        </is>
      </c>
      <c r="I2543" s="5" t="inlineStr">
        <is>
          <t>MapleHeroMultiplier</t>
        </is>
      </c>
      <c r="J2543" s="5" t="inlineStr">
        <is>
          <t>BaseDamage</t>
        </is>
      </c>
      <c r="K2543" s="5" t="inlineStr">
        <is>
          <t>BaseHitDamage</t>
        </is>
      </c>
      <c r="L2543" s="5" t="inlineStr">
        <is>
          <t>NonCritAvg</t>
        </is>
      </c>
      <c r="M2543" s="5" t="inlineStr">
        <is>
          <t>CritAvg</t>
        </is>
      </c>
      <c r="N2543" s="5" t="inlineStr">
        <is>
          <t>ExpectedDamage(perHit)</t>
        </is>
      </c>
      <c r="O2543" s="5" t="inlineStr">
        <is>
          <t>DPS</t>
        </is>
      </c>
      <c r="P2543" s="5" t="inlineStr">
        <is>
          <t>% of Total</t>
        </is>
      </c>
      <c r="Q2543" s="5" t="inlineStr">
        <is>
          <t>InvCooldown</t>
        </is>
      </c>
      <c r="R2543" s="5" t="inlineStr">
        <is>
          <t>CastsInFight</t>
        </is>
      </c>
      <c r="S2543" s="5" t="inlineStr">
        <is>
          <t>HitRate(perSec)</t>
        </is>
      </c>
      <c r="U2543" t="inlineStr">
        <is>
          <t>helpers</t>
        </is>
      </c>
    </row>
    <row r="2544">
      <c r="A2544">
        <f>Skills!A2</f>
        <v/>
      </c>
      <c r="B2544">
        <f>Skills!B2</f>
        <v/>
      </c>
      <c r="C2544">
        <f>Inputs!$B$3&gt;=100</f>
        <v/>
      </c>
      <c r="D2544" t="inlineStr"/>
      <c r="E2544" t="inlineStr"/>
      <c r="F2544">
        <f>U2546+Skills!O2</f>
        <v/>
      </c>
      <c r="G2544">
        <f>Skills!G2*IF(Skills!H2&gt;0,Skills!I2/Skills!H2,1)</f>
        <v/>
      </c>
      <c r="H2544">
        <f>1-(1-Skills!J2/100)^Skills!K2</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2562=TRUE)*(F2562-Calc!F20)),(Inputs!$B$23+0+(IF(ArtifactsInput!$M$15,CHOOSE(ArtifactsInput!$N$15+1,25,30,35,40,45,50)/100*(Inputs!$B$11-Inputs!$B$11),0))))/100+(Inputs!$B$23+0+(IF(ArtifactsInput!$M$15,CHOOSE(ArtifactsInput!$N$15+1,25,30,35,40,45,50)/100*(Inputs!$B$11-Inputs!$B$11),0)))/100)/2</f>
        <v/>
      </c>
      <c r="M2544">
        <f>L2544*(1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IF(B2578=0,0,O2544/B2578)</f>
        <v/>
      </c>
      <c r="Q2544" t="n">
        <v>0</v>
      </c>
      <c r="R2544" t="n">
        <v>0</v>
      </c>
      <c r="S2544">
        <f>IFERROR(O2544/N2544,0)</f>
        <v/>
      </c>
      <c r="T2544">
        <f>IF(C2544,(Skills!G2*N2544*B2572)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MAX(0,(Inputs!$B$3-100)*3)+Inputs!$B$28+Inputs!$B$29</f>
        <v/>
      </c>
      <c r="V2544">
        <f>IF(C2544,(Skills!G2*N2544*B2572)*IF(Inputs!$B$38="pvp",1,(1+(Inputs!$B$21+Skills!Q2+(IF(ArtifactsInput!$M$33,CHOOSE(ArtifactsInput!$N$33+1,30,36,42,48,54,60),0))+(IF(AND(ArtifactsInput!$M$35,Inputs!$B$4&lt;&gt;"Chapter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Skills!A3</f>
        <v/>
      </c>
      <c r="B2545">
        <f>Skills!B3</f>
        <v/>
      </c>
      <c r="C2545">
        <f>Inputs!$B$3&gt;=35</f>
        <v/>
      </c>
      <c r="D2545">
        <f>IF(Skills!C3=1,60+Inputs!$B$25+Inputs!$B$29,IF(Skills!C3=2,90+Inputs!$B$26+Inputs!$B$29,IF(Skills!C3=3,120+Inputs!$B$27+Inputs!$B$29,MAX(0,(Inputs!$B$3-100)*3)+Inputs!$B$28+Inputs!$B$29)))</f>
        <v/>
      </c>
      <c r="E2545">
        <f>INDEX(FactorTable!$B$2:$Y$301, MATCH(ROUND(MIN(300,MAX(1,D2545)),0), FactorTable!$A$2:$A$301,0), Skills!M3+1)</f>
        <v/>
      </c>
      <c r="F2545">
        <f>IF(Skills!N3=TRUE,(Skills!L3/10)*(E2545/1000),Skills!L3/10)+Skills!O3</f>
        <v/>
      </c>
      <c r="G2545">
        <f>Skills!G3*IF(Skills!H3&gt;0,Skills!I3/Skills!H3,1)</f>
        <v/>
      </c>
      <c r="H2545">
        <f>1-(1-Skills!J3/100)^Skills!K3</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2562=TRUE)*(F2562-Calc!F20)),(Inputs!$B$23+0+(IF(ArtifactsInput!$M$15,CHOOSE(ArtifactsInput!$N$15+1,25,30,35,40,45,50)/100*(Inputs!$B$11-Inputs!$B$11),0))))/100+(Inputs!$B$23+0+(IF(ArtifactsInput!$M$15,CHOOSE(ArtifactsInput!$N$15+1,25,30,35,40,45,50)/100*(Inputs!$B$11-Inputs!$B$11),0)))/100)/2</f>
        <v/>
      </c>
      <c r="M2545">
        <f>L2545*(1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IF(B2578=0,0,O2545/B2578)</f>
        <v/>
      </c>
      <c r="Q2545" t="n">
        <v>0</v>
      </c>
      <c r="R2545" t="n">
        <v>0</v>
      </c>
      <c r="S2545">
        <f>IFERROR(O2545/N2545,0)</f>
        <v/>
      </c>
      <c r="T2545">
        <f>IF(C2545,(Skills!G3*H2545*N2545*B2572)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5">
        <f>INDEX(FactorTable!$B$2:$Y$301, MATCH(ROUND(MIN(300,MAX(1,U2544)),0), FactorTable!$A$2:$A$301,0), 22)</f>
        <v/>
      </c>
      <c r="V2545">
        <f>IF(C2545,(Skills!G3*H2545*N2545*B2572)*IF(Inputs!$B$38="pvp",1,(1+(Inputs!$B$21+Skills!Q3+(IF(ArtifactsInput!$M$33,CHOOSE(ArtifactsInput!$N$33+1,30,36,42,48,54,60),0))+(IF(AND(ArtifactsInput!$M$35,Inputs!$B$4&lt;&gt;"Chapter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Skills!A4</f>
        <v/>
      </c>
      <c r="B2546">
        <f>Skills!B4</f>
        <v/>
      </c>
      <c r="C2546">
        <f>Inputs!$B$3&gt;=60</f>
        <v/>
      </c>
      <c r="D2546">
        <f>IF(Skills!C4=1,60+Inputs!$B$25+Inputs!$B$29,IF(Skills!C4=2,90+Inputs!$B$26+Inputs!$B$29,IF(Skills!C4=3,120+Inputs!$B$27+Inputs!$B$29,MAX(0,(Inputs!$B$3-100)*3)+Inputs!$B$28+Inputs!$B$29)))</f>
        <v/>
      </c>
      <c r="E2546">
        <f>INDEX(FactorTable!$B$2:$Y$301, MATCH(ROUND(MIN(300,MAX(1,D2546)),0), FactorTable!$A$2:$A$301,0), Skills!M4+1)</f>
        <v/>
      </c>
      <c r="F2546">
        <f>IF(Skills!N4=TRUE,(Skills!L4/10)*(E2546/1000),Skills!L4/10)+Skills!O4</f>
        <v/>
      </c>
      <c r="G2546">
        <f>Skills!G4*IF(Skills!H4&gt;0,Skills!I4/Skills!H4,1)</f>
        <v/>
      </c>
      <c r="H2546">
        <f>1-(1-Skills!J4/100)^Skills!K4</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4="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2562=TRUE)*(F2562-Calc!F20)),(Inputs!$B$23+0+(IF(ArtifactsInput!$M$15,CHOOSE(ArtifactsInput!$N$15+1,25,30,35,40,45,50)/100*(Inputs!$B$11-Inputs!$B$11),0))))/100+(Inputs!$B$23+0+(IF(ArtifactsInput!$M$15,CHOOSE(ArtifactsInput!$N$15+1,25,30,35,40,45,50)/100*(Inputs!$B$11-Inputs!$B$11),0)))/100)/2</f>
        <v/>
      </c>
      <c r="M2546">
        <f>L2546*(1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IF(B2578=0,0,O2546/B2578)</f>
        <v/>
      </c>
      <c r="Q2546" t="n">
        <v>0</v>
      </c>
      <c r="R2546" t="n">
        <v>0</v>
      </c>
      <c r="S2546">
        <f>IFERROR(O2546/N2546,0)</f>
        <v/>
      </c>
      <c r="T2546">
        <f>IF(C2546,(Skills!G4*H2546*N2546*B2572)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290*U2545/1000</f>
        <v/>
      </c>
      <c r="V2546">
        <f>IF(C2546,(Skills!G4*H2546*N2546*B2572)*IF(Inputs!$B$38="pvp",1,(1+(Inputs!$B$21+Skills!Q4+(IF(ArtifactsInput!$M$33,CHOOSE(ArtifactsInput!$N$33+1,30,36,42,48,54,60),0))+(IF(AND(ArtifactsInput!$M$35,Inputs!$B$4&lt;&gt;"Chapter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Skills!A5</f>
        <v/>
      </c>
      <c r="B2547">
        <f>Skills!B5</f>
        <v/>
      </c>
      <c r="C2547">
        <f>Inputs!$B$3&gt;=60</f>
        <v/>
      </c>
      <c r="D2547">
        <f>IF(Skills!C5=1,60+Inputs!$B$25+Inputs!$B$29,IF(Skills!C5=2,90+Inputs!$B$26+Inputs!$B$29,IF(Skills!C5=3,120+Inputs!$B$27+Inputs!$B$29,MAX(0,(Inputs!$B$3-100)*3)+Inputs!$B$28+Inputs!$B$29)))</f>
        <v/>
      </c>
      <c r="E2547">
        <f>INDEX(FactorTable!$B$2:$Y$301, MATCH(ROUND(MIN(300,MAX(1,D2547)),0), FactorTable!$A$2:$A$301,0), Skills!M5+1)</f>
        <v/>
      </c>
      <c r="F2547">
        <f>IF(Skills!N5=TRUE,(Skills!L5/10)*(E2547/1000),Skills!L5/10)+Skills!O5</f>
        <v/>
      </c>
      <c r="G2547">
        <f>Skills!G5*IF(Skills!H5&gt;0,Skills!I5/Skills!H5,1)</f>
        <v/>
      </c>
      <c r="H2547">
        <f>1-(1-Skills!J5/100)^Skills!K5</f>
        <v/>
      </c>
      <c r="I2547" t="inlineStr">
        <is>
          <t>1</t>
        </is>
      </c>
      <c r="J2547" t="inlineStr"/>
      <c r="K2547" t="inlineStr"/>
      <c r="L2547" t="inlineStr"/>
      <c r="M2547" t="inlineStr"/>
      <c r="N2547" t="inlineStr"/>
      <c r="O2547">
        <f>(1-Summary!$B$11)*T2547+Summary!$B$11*V2547</f>
        <v/>
      </c>
      <c r="P2547">
        <f>IF(B2578=0,0,O2547/B2578)</f>
        <v/>
      </c>
      <c r="Q2547" t="n">
        <v>0</v>
      </c>
      <c r="R2547" t="n">
        <v>0</v>
      </c>
      <c r="S2547">
        <f>IFERROR(O2547/N2547,0)</f>
        <v/>
      </c>
      <c r="T2547" t="n">
        <v>0</v>
      </c>
      <c r="V2547" t="n">
        <v>0</v>
      </c>
    </row>
    <row r="2548">
      <c r="A2548">
        <f>Skills!A6</f>
        <v/>
      </c>
      <c r="B2548">
        <f>Skills!B6</f>
        <v/>
      </c>
      <c r="C2548">
        <f>Inputs!$B$3&gt;=63</f>
        <v/>
      </c>
      <c r="D2548">
        <f>IF(Skills!C6=1,60+Inputs!$B$25+Inputs!$B$29,IF(Skills!C6=2,90+Inputs!$B$26+Inputs!$B$29,IF(Skills!C6=3,120+Inputs!$B$27+Inputs!$B$29,MAX(0,(Inputs!$B$3-100)*3)+Inputs!$B$28+Inputs!$B$29)))</f>
        <v/>
      </c>
      <c r="E2548">
        <f>INDEX(FactorTable!$B$2:$Y$301, MATCH(ROUND(MIN(300,MAX(1,D2548)),0), FactorTable!$A$2:$A$301,0), Skills!M6+1)</f>
        <v/>
      </c>
      <c r="F2548">
        <f>IF(Skills!N6=TRUE,(Skills!L6/10)*(E2548/1000),Skills!L6/10)+Skills!O6</f>
        <v/>
      </c>
      <c r="G2548">
        <f>Skills!G6*IF(Skills!H6&gt;0,Skills!I6/Skills!H6,1)</f>
        <v/>
      </c>
      <c r="H2548">
        <f>1-(1-Skills!J6/100)^Skills!K6</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2562=TRUE)*(F2562-Calc!F20)),(Inputs!$B$23+0+(IF(ArtifactsInput!$M$15,CHOOSE(ArtifactsInput!$N$15+1,25,30,35,40,45,50)/100*(Inputs!$B$11-Inputs!$B$11),0))))/100+(Inputs!$B$23+0+(IF(ArtifactsInput!$M$15,CHOOSE(ArtifactsInput!$N$15+1,25,30,35,40,45,50)/100*(Inputs!$B$11-Inputs!$B$11),0)))/100)/2</f>
        <v/>
      </c>
      <c r="M2548">
        <f>L2548*(1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IF(B2578=0,0,O2548/B2578)</f>
        <v/>
      </c>
      <c r="Q2548">
        <f>IFERROR(1/(IF(Inputs!$B$38="pvp",15,MAX(0.1,Skills!D6-IF(Skills!E6=TRUE,1.0,0)))*(1-IF(AND(ArtifactsInput!$M$27,Inputs!$B$4="Chapter Hunt"),CHOOSE(ArtifactsInput!$N$27+1,20,24,28,32,36,40),0)/100)),0)</f>
        <v/>
      </c>
      <c r="R2548">
        <f>IF(AND(Inputs!$B$38&lt;&gt;"pvp",Inputs!$B$43&gt;0),IF(MAX(0,Inputs!$B$43-B2575)&lt;=0,0,(INT(MAX(0,Inputs!$B$43-B2575)/(IF(Inputs!$B$38="pvp",15,MAX(0.1,Skills!D6-IF(Skills!E6=TRUE,1.0,0)))*(1-IF(AND(ArtifactsInput!$M$27,Inputs!$B$4="Chapter Hunt"),CHOOSE(ArtifactsInput!$N$27+1,20,24,28,32,36,40),0)/100)))+1)),0)</f>
        <v/>
      </c>
      <c r="S2548">
        <f>IFERROR(O2548/N2548,0)</f>
        <v/>
      </c>
      <c r="T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$21+Skills!Q6+(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Skills!A7</f>
        <v/>
      </c>
      <c r="B2549">
        <f>Skills!B7</f>
        <v/>
      </c>
      <c r="C2549">
        <f>Inputs!$B$3&gt;=100</f>
        <v/>
      </c>
      <c r="D2549">
        <f>IF(Skills!C7=1,60+Inputs!$B$25+Inputs!$B$29,IF(Skills!C7=2,90+Inputs!$B$26+Inputs!$B$29,IF(Skills!C7=3,120+Inputs!$B$27+Inputs!$B$29,MAX(0,(Inputs!$B$3-100)*3)+Inputs!$B$28+Inputs!$B$29)))</f>
        <v/>
      </c>
      <c r="E2549">
        <f>INDEX(FactorTable!$B$2:$Y$301, MATCH(ROUND(MIN(300,MAX(1,D2549)),0), FactorTable!$A$2:$A$301,0), Skills!M7+1)</f>
        <v/>
      </c>
      <c r="F2549">
        <f>IF(Skills!N7=TRUE,(Skills!L7/10)*(E2549/1000),Skills!L7/10)+Skills!O7</f>
        <v/>
      </c>
      <c r="G2549">
        <f>Skills!G7*IF(Skills!H7&gt;0,Skills!I7/Skills!H7,1)</f>
        <v/>
      </c>
      <c r="H2549">
        <f>1-(1-Skills!J7/100)^Skills!K7</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2562=TRUE)*(F2562-Calc!F20)),(Inputs!$B$23+0+(IF(ArtifactsInput!$M$15,CHOOSE(ArtifactsInput!$N$15+1,25,30,35,40,45,50)/100*(Inputs!$B$11-Inputs!$B$11),0))))/100+(Inputs!$B$23+0+(IF(ArtifactsInput!$M$15,CHOOSE(ArtifactsInput!$N$15+1,25,30,35,40,45,50)/100*(Inputs!$B$11-Inputs!$B$11),0)))/100)/2</f>
        <v/>
      </c>
      <c r="M2549">
        <f>L2549*(1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IF(B2578=0,0,O2549/B2578)</f>
        <v/>
      </c>
      <c r="Q2549">
        <f>IFERROR(1/(IF(Inputs!$B$38="pvp",15,MAX(0.1,Skills!D7-IF(Skills!E7=TRUE,1.0,0)))*(1-IF(AND(ArtifactsInput!$M$27,Inputs!$B$4="Chapter Hunt"),CHOOSE(ArtifactsInput!$N$27+1,20,24,28,32,36,40),0)/100)),0)</f>
        <v/>
      </c>
      <c r="R2549">
        <f>IF(AND(Inputs!$B$38&lt;&gt;"pvp",Inputs!$B$43&gt;0),IF(MAX(0,Inputs!$B$43-B2575)&lt;=0,0,(INT(MAX(0,Inputs!$B$43-B2575)/(IF(Inputs!$B$38="pvp",15,MAX(0.1,Skills!D7-IF(Skills!E7=TRUE,1.0,0)))*(1-IF(AND(ArtifactsInput!$M$27,Inputs!$B$4="Chapter Hunt"),CHOOSE(ArtifactsInput!$N$27+1,20,24,28,32,36,40),0)/100)))+1)),0)</f>
        <v/>
      </c>
      <c r="S2549">
        <f>IFERROR(O2549/N2549,0)</f>
        <v/>
      </c>
      <c r="T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$21+Skills!Q7+(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Skills!A8</f>
        <v/>
      </c>
      <c r="B2550">
        <f>Skills!B8</f>
        <v/>
      </c>
      <c r="C2550">
        <f>Inputs!$B$3&gt;=110</f>
        <v/>
      </c>
      <c r="D2550">
        <f>IF(Skills!C8=1,60+Inputs!$B$25+Inputs!$B$29,IF(Skills!C8=2,90+Inputs!$B$26+Inputs!$B$29,IF(Skills!C8=3,120+Inputs!$B$27+Inputs!$B$29,MAX(0,(Inputs!$B$3-100)*3)+Inputs!$B$28+Inputs!$B$29)))</f>
        <v/>
      </c>
      <c r="E2550">
        <f>INDEX(FactorTable!$B$2:$Y$301, MATCH(ROUND(MIN(300,MAX(1,D2550)),0), FactorTable!$A$2:$A$301,0), Skills!M8+1)</f>
        <v/>
      </c>
      <c r="F2550">
        <f>IF(Skills!N8=TRUE,(Skills!L8/10)*(E2550/1000),Skills!L8/10)+Skills!O8</f>
        <v/>
      </c>
      <c r="G2550">
        <f>Skills!G8*IF(Skills!H8&gt;0,Skills!I8/Skills!H8,1)</f>
        <v/>
      </c>
      <c r="H2550">
        <f>1-(1-Skills!J8/100)^Skills!K8</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2562=TRUE)*(F2562-Calc!F20)),(Inputs!$B$23+0+(IF(ArtifactsInput!$M$15,CHOOSE(ArtifactsInput!$N$15+1,25,30,35,40,45,50)/100*(Inputs!$B$11-Inputs!$B$11),0))))/100+(Inputs!$B$23+0+(IF(ArtifactsInput!$M$15,CHOOSE(ArtifactsInput!$N$15+1,25,30,35,40,45,50)/100*(Inputs!$B$11-Inputs!$B$11),0)))/100)/2</f>
        <v/>
      </c>
      <c r="M2550">
        <f>L2550*(1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IF(B2578=0,0,O2550/B2578)</f>
        <v/>
      </c>
      <c r="Q2550">
        <f>IFERROR(1/(IF(Inputs!$B$38="pvp",15,MAX(0.1,Skills!D8-IF(Skills!E8=TRUE,1.0,0)))*(1-IF(AND(ArtifactsInput!$M$27,Inputs!$B$4="Chapter Hunt"),CHOOSE(ArtifactsInput!$N$27+1,20,24,28,32,36,40),0)/100)),0)</f>
        <v/>
      </c>
      <c r="R2550">
        <f>IF(AND(Inputs!$B$38&lt;&gt;"pvp",Inputs!$B$43&gt;0),IF(MAX(0,Inputs!$B$43-B2575)&lt;=0,0,(INT(MAX(0,Inputs!$B$43-B2575)/(IF(Inputs!$B$38="pvp",15,MAX(0.1,Skills!D8-IF(Skills!E8=TRUE,1.0,0)))*(1-IF(AND(ArtifactsInput!$M$27,Inputs!$B$4="Chapter Hunt"),CHOOSE(ArtifactsInput!$N$27+1,20,24,28,32,36,40),0)/100)))+1)),0)</f>
        <v/>
      </c>
      <c r="S2550">
        <f>IFERROR(O2550/N2550,0)</f>
        <v/>
      </c>
      <c r="T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$21+Skills!Q8+(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Skills!A9</f>
        <v/>
      </c>
      <c r="B2551">
        <f>Skills!B9</f>
        <v/>
      </c>
      <c r="C2551">
        <f>Inputs!$B$3&gt;=110</f>
        <v/>
      </c>
      <c r="D2551">
        <f>IF(Skills!C9=1,60+Inputs!$B$25+Inputs!$B$29,IF(Skills!C9=2,90+Inputs!$B$26+Inputs!$B$29,IF(Skills!C9=3,120+Inputs!$B$27+Inputs!$B$29,MAX(0,(Inputs!$B$3-100)*3)+Inputs!$B$28+Inputs!$B$29)))</f>
        <v/>
      </c>
      <c r="E2551">
        <f>INDEX(FactorTable!$B$2:$Y$301, MATCH(ROUND(MIN(300,MAX(1,D2551)),0), FactorTable!$A$2:$A$301,0), Skills!M9+1)</f>
        <v/>
      </c>
      <c r="F2551">
        <f>IF(Skills!N9=TRUE,(Skills!L9/10)*(E2551/1000),Skills!L9/10)+Skills!O9</f>
        <v/>
      </c>
      <c r="G2551">
        <f>Skills!G9*IF(Skills!H9&gt;0,Skills!I9/Skills!H9,1)</f>
        <v/>
      </c>
      <c r="H2551">
        <f>1-(1-Skills!J9/100)^Skills!K9</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2562=TRUE)*(F2562-Calc!F20)),(Inputs!$B$23+0+(IF(ArtifactsInput!$M$15,CHOOSE(ArtifactsInput!$N$15+1,25,30,35,40,45,50)/100*(Inputs!$B$11-Inputs!$B$11),0))))/100+(Inputs!$B$23+0+(IF(ArtifactsInput!$M$15,CHOOSE(ArtifactsInput!$N$15+1,25,30,35,40,45,50)/100*(Inputs!$B$11-Inputs!$B$11),0)))/100)/2</f>
        <v/>
      </c>
      <c r="M2551">
        <f>L2551*(1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IF(B2578=0,0,O2551/B2578)</f>
        <v/>
      </c>
      <c r="Q2551">
        <f>IFERROR(1/(IF(Inputs!$B$38="pvp",15,MAX(0.1,Skills!D9-IF(Skills!E9=TRUE,1.0,0)))*(1-IF(AND(ArtifactsInput!$M$27,Inputs!$B$4="Chapter Hunt"),CHOOSE(ArtifactsInput!$N$27+1,20,24,28,32,36,40),0)/100)),0)</f>
        <v/>
      </c>
      <c r="R2551">
        <f>IF(AND(Inputs!$B$38&lt;&gt;"pvp",Inputs!$B$43&gt;0),IF(MAX(0,Inputs!$B$43-B2575)&lt;=0,0,(INT(MAX(0,Inputs!$B$43-B2575)/(IF(Inputs!$B$38="pvp",15,MAX(0.1,Skills!D9-IF(Skills!E9=TRUE,1.0,0)))*(1-IF(AND(ArtifactsInput!$M$27,Inputs!$B$4="Chapter Hunt"),CHOOSE(ArtifactsInput!$N$27+1,20,24,28,32,36,40),0)/100)))+1)),0)</f>
        <v/>
      </c>
      <c r="S2551">
        <f>IFERROR(O2551/N2551,0)</f>
        <v/>
      </c>
      <c r="T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$21+Skills!Q9+(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Skills!A10</f>
        <v/>
      </c>
      <c r="B2552">
        <f>Skills!B10</f>
        <v/>
      </c>
      <c r="C2552">
        <f>Inputs!$B$3&gt;=103</f>
        <v/>
      </c>
      <c r="D2552">
        <f>IF(Skills!C10=1,60+Inputs!$B$25+Inputs!$B$29,IF(Skills!C10=2,90+Inputs!$B$26+Inputs!$B$29,IF(Skills!C10=3,120+Inputs!$B$27+Inputs!$B$29,MAX(0,(Inputs!$B$3-100)*3)+Inputs!$B$28+Inputs!$B$29)))</f>
        <v/>
      </c>
      <c r="E2552">
        <f>INDEX(FactorTable!$B$2:$Y$301, MATCH(ROUND(MIN(300,MAX(1,D2552)),0), FactorTable!$A$2:$A$301,0), Skills!M10+1)</f>
        <v/>
      </c>
      <c r="F2552">
        <f>IF(Skills!N10=TRUE,(Skills!L10/10)*(E2552/1000),Skills!L10/10)+Skills!O10</f>
        <v/>
      </c>
      <c r="G2552">
        <f>Skills!G10*IF(Skills!H10&gt;0,Skills!I10/Skills!H10,1)</f>
        <v/>
      </c>
      <c r="H2552">
        <f>1-(1-Skills!J10/100)^Skills!K10</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2562=TRUE)*(F2562-Calc!F20)),(Inputs!$B$23+0+(IF(ArtifactsInput!$M$15,CHOOSE(ArtifactsInput!$N$15+1,25,30,35,40,45,50)/100*(Inputs!$B$11-Inputs!$B$11),0))))/100+(Inputs!$B$23+0+(IF(ArtifactsInput!$M$15,CHOOSE(ArtifactsInput!$N$15+1,25,30,35,40,45,50)/100*(Inputs!$B$11-Inputs!$B$11),0)))/100)/2</f>
        <v/>
      </c>
      <c r="M2552">
        <f>L2552*(1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IF(B2578=0,0,O2552/B2578)</f>
        <v/>
      </c>
      <c r="Q2552">
        <f>IFERROR(1/(IF(Inputs!$B$38="pvp",15,MAX(0.1,Skills!D10-IF(Skills!E10=TRUE,1.0,0)))*(1-IF(AND(ArtifactsInput!$M$27,Inputs!$B$4="Chapter Hunt"),CHOOSE(ArtifactsInput!$N$27+1,20,24,28,32,36,40),0)/100)),0)</f>
        <v/>
      </c>
      <c r="R2552">
        <f>IF(AND(Inputs!$B$38&lt;&gt;"pvp",Inputs!$B$43&gt;0),IF(MAX(0,Inputs!$B$43-B2575)&lt;=0,0,(INT(MAX(0,Inputs!$B$43-B2575)/(IF(Inputs!$B$38="pvp",15,MAX(0.1,Skills!D10-IF(Skills!E10=TRUE,1.0,0)))*(1-IF(AND(ArtifactsInput!$M$27,Inputs!$B$4="Chapter Hunt"),CHOOSE(ArtifactsInput!$N$27+1,20,24,28,32,36,40),0)/100)))+1)),0)</f>
        <v/>
      </c>
      <c r="S2552">
        <f>IFERROR(O2552/N2552,0)</f>
        <v/>
      </c>
      <c r="T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$21+Skills!Q10+(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Skills!A11</f>
        <v/>
      </c>
      <c r="B2553">
        <f>Skills!B11</f>
        <v/>
      </c>
      <c r="C2553">
        <f>Inputs!$B$3&gt;=113</f>
        <v/>
      </c>
      <c r="D2553">
        <f>IF(Skills!C11=1,60+Inputs!$B$25+Inputs!$B$29,IF(Skills!C11=2,90+Inputs!$B$26+Inputs!$B$29,IF(Skills!C11=3,120+Inputs!$B$27+Inputs!$B$29,MAX(0,(Inputs!$B$3-100)*3)+Inputs!$B$28+Inputs!$B$29)))</f>
        <v/>
      </c>
      <c r="E2553">
        <f>INDEX(FactorTable!$B$2:$Y$301, MATCH(ROUND(MIN(300,MAX(1,D2553)),0), FactorTable!$A$2:$A$301,0), Skills!M11+1)</f>
        <v/>
      </c>
      <c r="F2553">
        <f>IF(Skills!N11=TRUE,(Skills!L11/10)*(E2553/1000),Skills!L11/10)+Skills!O11</f>
        <v/>
      </c>
      <c r="G2553">
        <f>Skills!G11*IF(Skills!H11&gt;0,Skills!I11/Skills!H11,1)</f>
        <v/>
      </c>
      <c r="H2553">
        <f>1-(1-Skills!J11/100)^Skills!K11</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2562=TRUE)*(F2562-Calc!F20)),(Inputs!$B$23+0+(IF(ArtifactsInput!$M$15,CHOOSE(ArtifactsInput!$N$15+1,25,30,35,40,45,50)/100*(Inputs!$B$11-Inputs!$B$11),0))))/100+(Inputs!$B$23+0+(IF(ArtifactsInput!$M$15,CHOOSE(ArtifactsInput!$N$15+1,25,30,35,40,45,50)/100*(Inputs!$B$11-Inputs!$B$11),0)))/100)/2</f>
        <v/>
      </c>
      <c r="M2553">
        <f>L2553*(1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IF(B2578=0,0,O2553/B2578)</f>
        <v/>
      </c>
      <c r="Q2553">
        <f>IFERROR(1/(IF(Inputs!$B$38="pvp",15,MAX(0.1,Skills!D11-IF(Skills!E11=TRUE,1.0,0)))*(1-IF(AND(ArtifactsInput!$M$27,Inputs!$B$4="Chapter Hunt"),CHOOSE(ArtifactsInput!$N$27+1,20,24,28,32,36,40),0)/100)),0)</f>
        <v/>
      </c>
      <c r="R2553">
        <f>IF(AND(Inputs!$B$38&lt;&gt;"pvp",Inputs!$B$43&gt;0),IF(MAX(0,Inputs!$B$43-B2575)&lt;=0,0,(INT(MAX(0,Inputs!$B$43-B2575)/(IF(Inputs!$B$38="pvp",15,MAX(0.1,Skills!D11-IF(Skills!E11=TRUE,1.0,0)))*(1-IF(AND(ArtifactsInput!$M$27,Inputs!$B$4="Chapter Hunt"),CHOOSE(ArtifactsInput!$N$27+1,20,24,28,32,36,40),0)/100)))+1)),0)</f>
        <v/>
      </c>
      <c r="S2553">
        <f>IFERROR(O2553/N2553,0)</f>
        <v/>
      </c>
      <c r="T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$21+Skills!Q11+(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Skills!A12</f>
        <v/>
      </c>
      <c r="B2554">
        <f>Skills!B12</f>
        <v/>
      </c>
      <c r="C2554">
        <f>Inputs!$B$3&gt;=100</f>
        <v/>
      </c>
      <c r="D2554">
        <f>IF(Skills!C12=1,60+Inputs!$B$25+Inputs!$B$29,IF(Skills!C12=2,90+Inputs!$B$26+Inputs!$B$29,IF(Skills!C12=3,120+Inputs!$B$27+Inputs!$B$29,MAX(0,(Inputs!$B$3-100)*3)+Inputs!$B$28+Inputs!$B$29)))</f>
        <v/>
      </c>
      <c r="E2554">
        <f>INDEX(FactorTable!$B$2:$Y$301, MATCH(ROUND(MIN(300,MAX(1,D2554)),0), FactorTable!$A$2:$A$301,0), Skills!M12+1)</f>
        <v/>
      </c>
      <c r="F2554">
        <f>IF(Skills!N12=TRUE,(Skills!L12/10)*(E2554/1000),Skills!L12/10)+Skills!O12</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Skills!A13</f>
        <v/>
      </c>
      <c r="B2555">
        <f>Skills!B13</f>
        <v/>
      </c>
      <c r="C2555">
        <f>Inputs!$B$3&gt;=66</f>
        <v/>
      </c>
      <c r="D2555">
        <f>IF(Skills!C13=1,60+Inputs!$B$25+Inputs!$B$29,IF(Skills!C13=2,90+Inputs!$B$26+Inputs!$B$29,IF(Skills!C13=3,120+Inputs!$B$27+Inputs!$B$29,MAX(0,(Inputs!$B$3-100)*3)+Inputs!$B$28+Inputs!$B$29)))</f>
        <v/>
      </c>
      <c r="E2555">
        <f>INDEX(FactorTable!$B$2:$Y$301, MATCH(ROUND(MIN(300,MAX(1,D2555)),0), FactorTable!$A$2:$A$301,0), Skills!M13+1)</f>
        <v/>
      </c>
      <c r="F2555">
        <f>IF(Skills!N13=TRUE,(Skills!L13/10)*(E2555/1000),Skills!L13/10)+Skills!O13</f>
        <v/>
      </c>
      <c r="G2555">
        <f>Skills!G13*IF(Skills!H13&gt;0,Skills!I13/Skills!H13,1)</f>
        <v/>
      </c>
      <c r="H2555">
        <f>1-(1-Skills!J13/100)^Skills!K13</f>
        <v/>
      </c>
      <c r="I2555" t="inlineStr">
        <is>
          <t>1</t>
        </is>
      </c>
      <c r="J2555" t="inlineStr"/>
      <c r="K2555" t="inlineStr"/>
      <c r="L2555" t="inlineStr"/>
      <c r="M2555" t="inlineStr"/>
      <c r="N2555" t="inlineStr"/>
      <c r="O2555">
        <f>(1-Summary!$B$11)*T2555+Summary!$B$11*V2555</f>
        <v/>
      </c>
      <c r="P2555">
        <f>IF(B2578=0,0,O2555/B2578)</f>
        <v/>
      </c>
      <c r="Q2555" t="n">
        <v>0</v>
      </c>
      <c r="R2555" t="n">
        <v>0</v>
      </c>
      <c r="S2555">
        <f>IFERROR(O2555/N2555,0)</f>
        <v/>
      </c>
      <c r="T2555" t="n">
        <v>0</v>
      </c>
      <c r="V2555" t="n">
        <v>0</v>
      </c>
    </row>
    <row r="2556">
      <c r="A2556">
        <f>Skills!A14</f>
        <v/>
      </c>
      <c r="B2556">
        <f>Skills!B14</f>
        <v/>
      </c>
      <c r="C2556">
        <f>Inputs!$B$3&gt;=107</f>
        <v/>
      </c>
      <c r="D2556">
        <f>IF(Skills!C14=1,60+Inputs!$B$25+Inputs!$B$29,IF(Skills!C14=2,90+Inputs!$B$26+Inputs!$B$29,IF(Skills!C14=3,120+Inputs!$B$27+Inputs!$B$29,MAX(0,(Inputs!$B$3-100)*3)+Inputs!$B$28+Inputs!$B$29)))</f>
        <v/>
      </c>
      <c r="E2556">
        <f>INDEX(FactorTable!$B$2:$Y$301, MATCH(ROUND(MIN(300,MAX(1,D2556)),0), FactorTable!$A$2:$A$301,0), Skills!M14+1)</f>
        <v/>
      </c>
      <c r="F2556">
        <f>IF(Skills!N14=TRUE,(Skills!L14/10)*(E2556/1000),Skills!L14/10)+Skills!O14</f>
        <v/>
      </c>
      <c r="G2556">
        <f>Skills!G14*IF(Skills!H14&gt;0,Skills!I14/Skills!H14,1)</f>
        <v/>
      </c>
      <c r="H2556">
        <f>1-(1-Skills!J14/100)^Skills!K14</f>
        <v/>
      </c>
      <c r="I2556" t="inlineStr">
        <is>
          <t>1</t>
        </is>
      </c>
      <c r="J2556" t="inlineStr"/>
      <c r="K2556" t="inlineStr"/>
      <c r="L2556" t="inlineStr"/>
      <c r="M2556" t="inlineStr"/>
      <c r="N2556" t="inlineStr"/>
      <c r="O2556">
        <f>(1-Summary!$B$11)*T2556+Summary!$B$11*V2556</f>
        <v/>
      </c>
      <c r="P2556">
        <f>IF(B2578=0,0,O2556/B2578)</f>
        <v/>
      </c>
      <c r="Q2556" t="n">
        <v>0</v>
      </c>
      <c r="R2556" t="n">
        <v>0</v>
      </c>
      <c r="S2556">
        <f>IFERROR(O2556/N2556,0)</f>
        <v/>
      </c>
      <c r="T2556" t="n">
        <v>0</v>
      </c>
      <c r="V2556" t="n">
        <v>0</v>
      </c>
    </row>
    <row r="2557">
      <c r="A2557">
        <f>Skills!A15</f>
        <v/>
      </c>
      <c r="B2557">
        <f>Skills!B15</f>
        <v/>
      </c>
      <c r="C2557">
        <f>Inputs!$B$3&gt;=115</f>
        <v/>
      </c>
      <c r="D2557">
        <f>IF(Skills!C15=1,60+Inputs!$B$25+Inputs!$B$29,IF(Skills!C15=2,90+Inputs!$B$26+Inputs!$B$29,IF(Skills!C15=3,120+Inputs!$B$27+Inputs!$B$29,MAX(0,(Inputs!$B$3-100)*3)+Inputs!$B$28+Inputs!$B$29)))</f>
        <v/>
      </c>
      <c r="E2557">
        <f>INDEX(FactorTable!$B$2:$Y$301, MATCH(ROUND(MIN(300,MAX(1,D2557)),0), FactorTable!$A$2:$A$301,0), Skills!M15+1)</f>
        <v/>
      </c>
      <c r="F2557">
        <f>IF(Skills!N15=TRUE,(Skills!L15/10)*(E2557/1000),Skills!L15/10)+Skills!O15</f>
        <v/>
      </c>
      <c r="G2557">
        <f>Skills!G15*IF(Skills!H15&gt;0,Skills!I15/Skills!H15,1)</f>
        <v/>
      </c>
      <c r="H2557">
        <f>1-(1-Skills!J15/100)^Skills!K15</f>
        <v/>
      </c>
      <c r="I2557" t="inlineStr">
        <is>
          <t>1</t>
        </is>
      </c>
      <c r="J2557" t="inlineStr"/>
      <c r="K2557" t="inlineStr"/>
      <c r="L2557" t="inlineStr"/>
      <c r="M2557" t="inlineStr"/>
      <c r="N2557" t="inlineStr"/>
      <c r="O2557">
        <f>(1-Summary!$B$11)*T2557+Summary!$B$11*V2557</f>
        <v/>
      </c>
      <c r="P2557">
        <f>IF(B2578=0,0,O2557/B2578)</f>
        <v/>
      </c>
      <c r="Q2557" t="n">
        <v>0</v>
      </c>
      <c r="R2557" t="n">
        <v>0</v>
      </c>
      <c r="S2557">
        <f>IFERROR(O2557/N2557,0)</f>
        <v/>
      </c>
      <c r="T2557" t="n">
        <v>0</v>
      </c>
      <c r="V2557" t="n">
        <v>0</v>
      </c>
    </row>
    <row r="2558">
      <c r="A2558">
        <f>Skills!A16</f>
        <v/>
      </c>
      <c r="B2558">
        <f>Skills!B16</f>
        <v/>
      </c>
      <c r="C2558">
        <f>Inputs!$B$3&gt;=15</f>
        <v/>
      </c>
      <c r="D2558">
        <f>IF(Skills!C16=1,60+Inputs!$B$25+Inputs!$B$29,IF(Skills!C16=2,90+Inputs!$B$26+Inputs!$B$29,IF(Skills!C16=3,120+Inputs!$B$27+Inputs!$B$29,MAX(0,(Inputs!$B$3-100)*3)+Inputs!$B$28+Inputs!$B$29)))</f>
        <v/>
      </c>
      <c r="E2558">
        <f>INDEX(FactorTable!$B$2:$Y$301, MATCH(ROUND(MIN(300,MAX(1,D2558)),0), FactorTable!$A$2:$A$301,0), Skills!M16+1)</f>
        <v/>
      </c>
      <c r="F2558">
        <f>IF(Skills!N16=TRUE,(Skills!L16/10)*(E2558/1000),Skills!L16/10)+Skills!O16</f>
        <v/>
      </c>
      <c r="G2558">
        <f>Skills!G16*IF(Skills!H16&gt;0,Skills!I16/Skills!H16,1)</f>
        <v/>
      </c>
      <c r="H2558">
        <f>1-(1-Skills!J16/100)^Skills!K16</f>
        <v/>
      </c>
      <c r="I2558" t="inlineStr">
        <is>
          <t>1</t>
        </is>
      </c>
      <c r="J2558" t="inlineStr"/>
      <c r="K2558" t="inlineStr"/>
      <c r="L2558" t="inlineStr"/>
      <c r="M2558" t="inlineStr"/>
      <c r="N2558" t="inlineStr"/>
      <c r="O2558">
        <f>(1-Summary!$B$11)*T2558+Summary!$B$11*V2558</f>
        <v/>
      </c>
      <c r="P2558">
        <f>IF(B2578=0,0,O2558/B2578)</f>
        <v/>
      </c>
      <c r="Q2558" t="n">
        <v>0</v>
      </c>
      <c r="R2558" t="n">
        <v>0</v>
      </c>
      <c r="S2558">
        <f>IFERROR(O2558/N2558,0)</f>
        <v/>
      </c>
      <c r="T2558" t="n">
        <v>0</v>
      </c>
      <c r="V2558" t="n">
        <v>0</v>
      </c>
    </row>
    <row r="2559">
      <c r="A2559">
        <f>Skills!A17</f>
        <v/>
      </c>
      <c r="B2559">
        <f>Skills!B17</f>
        <v/>
      </c>
      <c r="C2559">
        <f>Inputs!$B$3&gt;=10</f>
        <v/>
      </c>
      <c r="D2559">
        <f>IF(Skills!C17=1,60+Inputs!$B$25+Inputs!$B$29,IF(Skills!C17=2,90+Inputs!$B$26+Inputs!$B$29,IF(Skills!C17=3,120+Inputs!$B$27+Inputs!$B$29,MAX(0,(Inputs!$B$3-100)*3)+Inputs!$B$28+Inputs!$B$29)))</f>
        <v/>
      </c>
      <c r="E2559">
        <f>INDEX(FactorTable!$B$2:$Y$301, MATCH(ROUND(MIN(300,MAX(1,D2559)),0), FactorTable!$A$2:$A$301,0), Skills!M17+1)</f>
        <v/>
      </c>
      <c r="F2559">
        <f>IF(Skills!N17=TRUE,(Skills!L17/10)*(E2559/1000),Skills!L17/10)+Skills!O17</f>
        <v/>
      </c>
      <c r="G2559">
        <f>Skills!G17*IF(Skills!H17&gt;0,Skills!I17/Skills!H17,1)</f>
        <v/>
      </c>
      <c r="H2559">
        <f>1-(1-Skills!J17/100)^Skills!K17</f>
        <v/>
      </c>
      <c r="I2559" t="inlineStr">
        <is>
          <t>1</t>
        </is>
      </c>
      <c r="J2559" t="inlineStr"/>
      <c r="K2559" t="inlineStr"/>
      <c r="L2559" t="inlineStr"/>
      <c r="M2559" t="inlineStr"/>
      <c r="N2559" t="inlineStr"/>
      <c r="O2559">
        <f>(1-Summary!$B$11)*T2559+Summary!$B$11*V2559</f>
        <v/>
      </c>
      <c r="P2559">
        <f>IF(B2578=0,0,O2559/B2578)</f>
        <v/>
      </c>
      <c r="Q2559" t="n">
        <v>0</v>
      </c>
      <c r="R2559" t="n">
        <v>0</v>
      </c>
      <c r="S2559">
        <f>IFERROR(O2559/N2559,0)</f>
        <v/>
      </c>
      <c r="T2559" t="n">
        <v>0</v>
      </c>
      <c r="V2559" t="n">
        <v>0</v>
      </c>
    </row>
    <row r="2560">
      <c r="A2560">
        <f>Skills!A18</f>
        <v/>
      </c>
      <c r="B2560">
        <f>Skills!B18</f>
        <v/>
      </c>
      <c r="C2560">
        <f>Inputs!$B$3&gt;=33</f>
        <v/>
      </c>
      <c r="D2560">
        <f>IF(Skills!C18=1,60+Inputs!$B$25+Inputs!$B$29,IF(Skills!C18=2,90+Inputs!$B$26+Inputs!$B$29,IF(Skills!C18=3,120+Inputs!$B$27+Inputs!$B$29,MAX(0,(Inputs!$B$3-100)*3)+Inputs!$B$28+Inputs!$B$29)))</f>
        <v/>
      </c>
      <c r="E2560">
        <f>INDEX(FactorTable!$B$2:$Y$301, MATCH(ROUND(MIN(300,MAX(1,D2560)),0), FactorTable!$A$2:$A$301,0), Skills!M18+1)</f>
        <v/>
      </c>
      <c r="F2560">
        <f>IF(Skills!N18=TRUE,(Skills!L18/10)*(E2560/1000),Skills!L18/10)+Skills!O18</f>
        <v/>
      </c>
      <c r="G2560">
        <f>Skills!G18*IF(Skills!H18&gt;0,Skills!I18/Skills!H18,1)</f>
        <v/>
      </c>
      <c r="H2560">
        <f>1-(1-Skills!J18/100)^Skills!K18</f>
        <v/>
      </c>
      <c r="I2560" t="inlineStr">
        <is>
          <t>1</t>
        </is>
      </c>
      <c r="J2560" t="inlineStr"/>
      <c r="K2560" t="inlineStr"/>
      <c r="L2560" t="inlineStr"/>
      <c r="M2560" t="inlineStr"/>
      <c r="N2560" t="inlineStr"/>
      <c r="O2560">
        <f>(1-Summary!$B$11)*T2560+Summary!$B$11*V2560</f>
        <v/>
      </c>
      <c r="P2560">
        <f>IF(B2578=0,0,O2560/B2578)</f>
        <v/>
      </c>
      <c r="Q2560" t="n">
        <v>0</v>
      </c>
      <c r="R2560" t="n">
        <v>0</v>
      </c>
      <c r="S2560">
        <f>IFERROR(O2560/N2560,0)</f>
        <v/>
      </c>
      <c r="T2560" t="n">
        <v>0</v>
      </c>
      <c r="V2560" t="n">
        <v>0</v>
      </c>
    </row>
    <row r="2561">
      <c r="A2561">
        <f>Skills!A19</f>
        <v/>
      </c>
      <c r="B2561">
        <f>Skills!B19</f>
        <v/>
      </c>
      <c r="C2561">
        <f>Inputs!$B$3&gt;=40</f>
        <v/>
      </c>
      <c r="D2561">
        <f>IF(Skills!C19=1,60+Inputs!$B$25+Inputs!$B$29,IF(Skills!C19=2,90+Inputs!$B$26+Inputs!$B$29,IF(Skills!C19=3,120+Inputs!$B$27+Inputs!$B$29,MAX(0,(Inputs!$B$3-100)*3)+Inputs!$B$28+Inputs!$B$29)))</f>
        <v/>
      </c>
      <c r="E2561">
        <f>INDEX(FactorTable!$B$2:$Y$301, MATCH(ROUND(MIN(300,MAX(1,D2561)),0), FactorTable!$A$2:$A$301,0), Skills!M19+1)</f>
        <v/>
      </c>
      <c r="F2561">
        <f>IF(Skills!N19=TRUE,(Skills!L19/10)*(E2561/1000),Skills!L19/10)+Skills!O19</f>
        <v/>
      </c>
      <c r="G2561">
        <f>Skills!G19*IF(Skills!H19&gt;0,Skills!I19/Skills!H19,1)</f>
        <v/>
      </c>
      <c r="H2561">
        <f>1-(1-Skills!J19/100)^Skills!K19</f>
        <v/>
      </c>
      <c r="I2561" t="inlineStr">
        <is>
          <t>1</t>
        </is>
      </c>
      <c r="J2561" t="inlineStr"/>
      <c r="K2561" t="inlineStr"/>
      <c r="L2561" t="inlineStr"/>
      <c r="M2561" t="inlineStr"/>
      <c r="N2561" t="inlineStr"/>
      <c r="O2561">
        <f>(1-Summary!$B$11)*T2561+Summary!$B$11*V2561</f>
        <v/>
      </c>
      <c r="P2561">
        <f>IF(B2578=0,0,O2561/B2578)</f>
        <v/>
      </c>
      <c r="Q2561" t="n">
        <v>0</v>
      </c>
      <c r="R2561" t="n">
        <v>0</v>
      </c>
      <c r="S2561">
        <f>IFERROR(O2561/N2561,0)</f>
        <v/>
      </c>
      <c r="T2561" t="n">
        <v>0</v>
      </c>
      <c r="V2561" t="n">
        <v>0</v>
      </c>
    </row>
    <row r="2562">
      <c r="A2562">
        <f>Skills!A20</f>
        <v/>
      </c>
      <c r="B2562">
        <f>Skills!B20</f>
        <v/>
      </c>
      <c r="C2562">
        <f>Inputs!$B$3&gt;=43</f>
        <v/>
      </c>
      <c r="D2562">
        <f>IF(Skills!C20=1,60+Inputs!$B$25+Inputs!$B$29,IF(Skills!C20=2,90+Inputs!$B$26+Inputs!$B$29,IF(Skills!C20=3,120+Inputs!$B$27+Inputs!$B$29,MAX(0,(Inputs!$B$3-100)*3)+Inputs!$B$28+Inputs!$B$29)))</f>
        <v/>
      </c>
      <c r="E2562">
        <f>INDEX(FactorTable!$B$2:$Y$301, MATCH(ROUND(MIN(300,MAX(1,D2562)),0), FactorTable!$A$2:$A$301,0), Skills!M20+1)</f>
        <v/>
      </c>
      <c r="F2562">
        <f>IF(Skills!N20=TRUE,(Skills!L20/10)*(E2562/1000),Skills!L20/10)+Skills!O20</f>
        <v/>
      </c>
      <c r="G2562">
        <f>Skills!G20*IF(Skills!H20&gt;0,Skills!I20/Skills!H20,1)</f>
        <v/>
      </c>
      <c r="H2562">
        <f>1-(1-Skills!J20/100)^Skills!K20</f>
        <v/>
      </c>
      <c r="I2562" t="inlineStr">
        <is>
          <t>1</t>
        </is>
      </c>
      <c r="J2562" t="inlineStr"/>
      <c r="K2562" t="inlineStr"/>
      <c r="L2562" t="inlineStr"/>
      <c r="M2562" t="inlineStr"/>
      <c r="N2562" t="inlineStr"/>
      <c r="O2562">
        <f>(1-Summary!$B$11)*T2562+Summary!$B$11*V2562</f>
        <v/>
      </c>
      <c r="P2562">
        <f>IF(B2578=0,0,O2562/B2578)</f>
        <v/>
      </c>
      <c r="Q2562" t="n">
        <v>0</v>
      </c>
      <c r="R2562" t="n">
        <v>0</v>
      </c>
      <c r="S2562">
        <f>IFERROR(O2562/N2562,0)</f>
        <v/>
      </c>
      <c r="T2562" t="n">
        <v>0</v>
      </c>
      <c r="V2562" t="n">
        <v>0</v>
      </c>
    </row>
    <row r="2563">
      <c r="A2563">
        <f>Skills!A21</f>
        <v/>
      </c>
      <c r="B2563">
        <f>Skills!B21</f>
        <v/>
      </c>
      <c r="C2563">
        <f>Inputs!$B$3&gt;=38</f>
        <v/>
      </c>
      <c r="D2563">
        <f>IF(Skills!C21=1,60+Inputs!$B$25+Inputs!$B$29,IF(Skills!C21=2,90+Inputs!$B$26+Inputs!$B$29,IF(Skills!C21=3,120+Inputs!$B$27+Inputs!$B$29,MAX(0,(Inputs!$B$3-100)*3)+Inputs!$B$28+Inputs!$B$29)))</f>
        <v/>
      </c>
      <c r="E2563">
        <f>INDEX(FactorTable!$B$2:$Y$301, MATCH(ROUND(MIN(300,MAX(1,D2563)),0), FactorTable!$A$2:$A$301,0), Skills!M21+1)</f>
        <v/>
      </c>
      <c r="F2563">
        <f>IF(Skills!N21=TRUE,(Skills!L21/10)*(E2563/1000),Skills!L21/10)+Skills!O21</f>
        <v/>
      </c>
      <c r="G2563">
        <f>Skills!G21*IF(Skills!H21&gt;0,Skills!I21/Skills!H21,1)</f>
        <v/>
      </c>
      <c r="H2563">
        <f>1-(1-Skills!J21/100)^Skills!K21</f>
        <v/>
      </c>
      <c r="I2563" t="inlineStr">
        <is>
          <t>1</t>
        </is>
      </c>
      <c r="J2563" t="inlineStr"/>
      <c r="K2563" t="inlineStr"/>
      <c r="L2563" t="inlineStr"/>
      <c r="M2563" t="inlineStr"/>
      <c r="N2563" t="inlineStr"/>
      <c r="O2563">
        <f>(1-Summary!$B$11)*T2563+Summary!$B$11*V2563</f>
        <v/>
      </c>
      <c r="P2563">
        <f>IF(B2578=0,0,O2563/B2578)</f>
        <v/>
      </c>
      <c r="Q2563" t="n">
        <v>0</v>
      </c>
      <c r="R2563" t="n">
        <v>0</v>
      </c>
      <c r="S2563">
        <f>IFERROR(O2563/N2563,0)</f>
        <v/>
      </c>
      <c r="T2563" t="n">
        <v>0</v>
      </c>
      <c r="V2563" t="n">
        <v>0</v>
      </c>
    </row>
    <row r="2564">
      <c r="A2564">
        <f>Skills!A22</f>
        <v/>
      </c>
      <c r="B2564">
        <f>Skills!B22</f>
        <v/>
      </c>
      <c r="C2564">
        <f>Inputs!$B$3&gt;=75</f>
        <v/>
      </c>
      <c r="D2564">
        <f>IF(Skills!C22=1,60+Inputs!$B$25+Inputs!$B$29,IF(Skills!C22=2,90+Inputs!$B$26+Inputs!$B$29,IF(Skills!C22=3,120+Inputs!$B$27+Inputs!$B$29,MAX(0,(Inputs!$B$3-100)*3)+Inputs!$B$28+Inputs!$B$29)))</f>
        <v/>
      </c>
      <c r="E2564">
        <f>INDEX(FactorTable!$B$2:$Y$301, MATCH(ROUND(MIN(300,MAX(1,D2564)),0), FactorTable!$A$2:$A$301,0), Skills!M22+1)</f>
        <v/>
      </c>
      <c r="F2564">
        <f>IF(Skills!N22=TRUE,(Skills!L22/10)*(E2564/1000),Skills!L22/10)+Skills!O22</f>
        <v/>
      </c>
      <c r="G2564">
        <f>Skills!G22*IF(Skills!H22&gt;0,Skills!I22/Skills!H22,1)</f>
        <v/>
      </c>
      <c r="H2564">
        <f>1-(1-Skills!J22/100)^Skills!K22</f>
        <v/>
      </c>
      <c r="I2564" t="inlineStr">
        <is>
          <t>1</t>
        </is>
      </c>
      <c r="J2564" t="inlineStr"/>
      <c r="K2564" t="inlineStr"/>
      <c r="L2564" t="inlineStr"/>
      <c r="M2564" t="inlineStr"/>
      <c r="N2564" t="inlineStr"/>
      <c r="O2564">
        <f>(1-Summary!$B$11)*T2564+Summary!$B$11*V2564</f>
        <v/>
      </c>
      <c r="P2564">
        <f>IF(B2578=0,0,O2564/B2578)</f>
        <v/>
      </c>
      <c r="Q2564" t="n">
        <v>0</v>
      </c>
      <c r="R2564" t="n">
        <v>0</v>
      </c>
      <c r="S2564">
        <f>IFERROR(O2564/N2564,0)</f>
        <v/>
      </c>
      <c r="T2564" t="n">
        <v>0</v>
      </c>
      <c r="V2564" t="n">
        <v>0</v>
      </c>
    </row>
    <row r="2565">
      <c r="A2565">
        <f>Skills!A23</f>
        <v/>
      </c>
      <c r="B2565">
        <f>Skills!B23</f>
        <v/>
      </c>
      <c r="C2565">
        <f>TRUE</f>
        <v/>
      </c>
      <c r="D2565">
        <f>IF(Skills!C23=1,60+Inputs!$B$25+Inputs!$B$29,IF(Skills!C23=2,90+Inputs!$B$26+Inputs!$B$29,IF(Skills!C23=3,120+Inputs!$B$27+Inputs!$B$29,MAX(0,(Inputs!$B$3-100)*3)+Inputs!$B$28+Inputs!$B$29)))</f>
        <v/>
      </c>
      <c r="E2565">
        <f>INDEX(FactorTable!$B$2:$Y$301, MATCH(ROUND(MIN(300,MAX(1,D2565)),0), FactorTable!$A$2:$A$301,0), Skills!M23+1)</f>
        <v/>
      </c>
      <c r="F2565">
        <f>IF(Skills!N23=TRUE,(Skills!L23/10)*(E2565/1000),Skills!L23/10)+Skills!O23</f>
        <v/>
      </c>
      <c r="G2565">
        <f>Skills!G23*IF(Skills!H23&gt;0,Skills!I23/Skills!H23,1)</f>
        <v/>
      </c>
      <c r="H2565">
        <f>1-(1-Skills!J23/100)^Skills!K23</f>
        <v/>
      </c>
      <c r="I2565" t="inlineStr">
        <is>
          <t>1</t>
        </is>
      </c>
      <c r="J2565" t="inlineStr"/>
      <c r="K2565" t="inlineStr"/>
      <c r="L2565" t="inlineStr"/>
      <c r="M2565" t="inlineStr"/>
      <c r="N2565" t="inlineStr"/>
      <c r="O2565">
        <f>(1-Summary!$B$11)*T2565+Summary!$B$11*V2565</f>
        <v/>
      </c>
      <c r="P2565">
        <f>IF(B2578=0,0,O2565/B2578)</f>
        <v/>
      </c>
      <c r="Q2565">
        <f>IFERROR(1/(IF(Inputs!$B$38="pvp",15,MAX(0.1,Skills!D23-IF(Skills!E23=TRUE,1.0,0)))*(1-IF(AND(ArtifactsInput!$M$27,Inputs!$B$4="Chapter Hunt"),CHOOSE(ArtifactsInput!$N$27+1,20,24,28,32,36,40),0)/100)),0)</f>
        <v/>
      </c>
      <c r="R2565">
        <f>IF(AND(Inputs!$B$38&lt;&gt;"pvp",Inputs!$B$43&gt;0),IF(Inputs!$B$43&lt;=0,0,(INT(Inputs!$B$43/(IF(Inputs!$B$38="pvp",15,MAX(0.1,Skills!D23-IF(Skills!E23=TRUE,1.0,0)))*(1-IF(AND(ArtifactsInput!$M$27,Inputs!$B$4="Chapter Hunt"),CHOOSE(ArtifactsInput!$N$27+1,20,24,28,32,36,40),0)/100)))+1)),0)</f>
        <v/>
      </c>
      <c r="S2565">
        <f>IFERROR(O2565/N2565,0)</f>
        <v/>
      </c>
      <c r="T2565" t="n">
        <v>0</v>
      </c>
      <c r="V2565" t="n">
        <v>0</v>
      </c>
    </row>
    <row r="2567">
      <c r="A2567" t="inlineStr">
        <is>
          <t>Attack% Bucket Multiplier</t>
        </is>
      </c>
      <c r="B2567">
        <f>(1+(((C2555=TRUE)*F2555*5/7)+((C2561=TRUE)*(F2561-Calc!F19))+(IF(ArtifactsInput!$M$21,CHOOSE(ArtifactsInput!$N$21+1,25,30,35,40,45,50)*(IF(OR(Inputs!$B$4="Chapter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8">
      <c r="A2568" t="inlineStr">
        <is>
          <t>Global Crit Rate Bonus %</t>
        </is>
      </c>
      <c r="B2568" t="n">
        <v>0</v>
      </c>
    </row>
    <row r="2569">
      <c r="A2569" t="inlineStr">
        <is>
          <t>Attack Speed Buff Bonus % (Nimble Feet, duty-cycle averaged)</t>
        </is>
      </c>
      <c r="B2569">
        <f>((C2565=TRUE)*F2565*IF(AND(Inputs!$B$38&lt;&gt;"pvp",Inputs!$B$43&gt;0),(((R2565-1)*(Skills!T23*(1+Inputs!$B$34/100))+MIN((Skills!T23*(1+Inputs!$B$34/100)),MAX(0,Inputs!$B$43-((R2565-1)*Skills!D23))))/Inputs!$B$43),IF(Inputs!$B$38="pvp",MIN((Skills!T23*(1+Inputs!$B$34/100)),15)/15,(Skills!T23*(1+Inputs!$B$34/100))/Skills!D23)))</f>
        <v/>
      </c>
    </row>
    <row r="2570">
      <c r="A2570" t="inlineStr">
        <is>
          <t>Actions Per Second</t>
        </is>
      </c>
      <c r="B2570">
        <f>1+MIN(150,150*(1-(1-(Inputs!$B$11+((C2559=TRUE)*(F2559-Calc!F17))+((C2560=TRUE)*(F2560-Calc!F18)))/150)*(1-B2569/150)))/100</f>
        <v/>
      </c>
    </row>
    <row r="2571">
      <c r="A2571" t="inlineStr">
        <is>
          <t>Skill + Buff Cast Rate</t>
        </is>
      </c>
      <c r="B2571">
        <f>IF(AND(Inputs!$B$38&lt;&gt;"pvp",Inputs!$B$43&gt;0),SUMPRODUCT((Skills!E2:E23=TRUE)*(C2544:C2565=TRUE)*R2544:R2565*Skills!F2:F23)/Inputs!$B$43,SUMPRODUCT((Skills!E2:E23=TRUE)*(C2544:C2565=TRUE)*Q2544:Q2565*Skills!F2:F23))</f>
        <v/>
      </c>
    </row>
    <row r="2572">
      <c r="A2572" t="inlineStr">
        <is>
          <t>Hook Bomber Casts Per Second</t>
        </is>
      </c>
      <c r="B2572">
        <f>MAX(0,B2570-B2571)</f>
        <v/>
      </c>
    </row>
    <row r="2573">
      <c r="A2573" t="inlineStr">
        <is>
          <t>Global Critical Damage Bonus % (unused)</t>
        </is>
      </c>
      <c r="B2573" t="n">
        <v>0</v>
      </c>
    </row>
    <row r="2574">
      <c r="A2574" t="inlineStr">
        <is>
          <t>Global Final Damage Bonus % (Serpent Scale + Crossbones + Time Leap + Speed Infusion)</t>
        </is>
      </c>
      <c r="B2574">
        <f>((C2547=TRUE)*F2547*((10+IF(Inputs!$B$3&gt;=94,5,0))/((10+IF(Inputs!$B$3&gt;=94,5,0))+5/(B2572*(1+IF(Inputs!$B$3&gt;=104,1,0))))))+((C2556=TRUE)*F2556)+((C2557=TRUE)*F2557)+((Inputs!$B$3&gt;=110)*20*(B2570-1))</f>
        <v/>
      </c>
    </row>
    <row r="2575">
      <c r="A2575" t="inlineStr">
        <is>
          <t>Buff-Casting Startup Delay (s, fixed-duration only)</t>
        </is>
      </c>
      <c r="B2575">
        <f>IF(AND(Inputs!$B$38&lt;&gt;"pvp",Inputs!$B$43&gt;0),SUMPRODUCT((Skills!T2:T23&gt;0)*(Skills!E2:E23=TRUE)*(C2544:C2565=TRUE))/B2570,0)</f>
        <v/>
      </c>
    </row>
    <row r="2576">
      <c r="A2576" t="inlineStr">
        <is>
          <t>Boss-Only Total DPS (this block's swept value)</t>
        </is>
      </c>
      <c r="B2576">
        <f>SUM(T2544:T2565)</f>
        <v/>
      </c>
    </row>
    <row r="2577">
      <c r="A2577" t="inlineStr">
        <is>
          <t>Normal-Only Total DPS (this block's swept value)</t>
        </is>
      </c>
      <c r="B2577">
        <f>SUM(V2544:V2565)</f>
        <v/>
      </c>
    </row>
    <row r="2578">
      <c r="A2578" s="6" t="inlineStr">
        <is>
          <t>TOTAL DPS</t>
        </is>
      </c>
      <c r="B2578" s="6">
        <f>SUM(O2544:O2565)</f>
        <v/>
      </c>
    </row>
    <row r="2581">
      <c r="A2581" s="6" t="inlineStr">
        <is>
          <t>Stat: CDR = 1.5s</t>
        </is>
      </c>
    </row>
    <row r="2582">
      <c r="A2582" s="5" t="inlineStr">
        <is>
          <t>Key</t>
        </is>
      </c>
      <c r="B2582" s="5" t="inlineStr">
        <is>
          <t>Name</t>
        </is>
      </c>
      <c r="C2582" s="5" t="inlineStr">
        <is>
          <t>Unlocked</t>
        </is>
      </c>
      <c r="D2582" s="5" t="inlineStr">
        <is>
          <t>InputLevel</t>
        </is>
      </c>
      <c r="E2582" s="5" t="inlineStr">
        <is>
          <t>Factor</t>
        </is>
      </c>
      <c r="F2582" s="5" t="inlineStr">
        <is>
          <t>CoefficientPercent</t>
        </is>
      </c>
      <c r="G2582" s="5" t="inlineStr">
        <is>
          <t>EffectiveHits</t>
        </is>
      </c>
      <c r="H2582" s="5" t="inlineStr">
        <is>
          <t>ProcProbability</t>
        </is>
      </c>
      <c r="I2582" s="5" t="inlineStr">
        <is>
          <t>MapleHeroMultiplier</t>
        </is>
      </c>
      <c r="J2582" s="5" t="inlineStr">
        <is>
          <t>BaseDamage</t>
        </is>
      </c>
      <c r="K2582" s="5" t="inlineStr">
        <is>
          <t>BaseHitDamage</t>
        </is>
      </c>
      <c r="L2582" s="5" t="inlineStr">
        <is>
          <t>NonCritAvg</t>
        </is>
      </c>
      <c r="M2582" s="5" t="inlineStr">
        <is>
          <t>CritAvg</t>
        </is>
      </c>
      <c r="N2582" s="5" t="inlineStr">
        <is>
          <t>ExpectedDamage(perHit)</t>
        </is>
      </c>
      <c r="O2582" s="5" t="inlineStr">
        <is>
          <t>DPS</t>
        </is>
      </c>
      <c r="P2582" s="5" t="inlineStr">
        <is>
          <t>% of Total</t>
        </is>
      </c>
      <c r="Q2582" s="5" t="inlineStr">
        <is>
          <t>InvCooldown</t>
        </is>
      </c>
      <c r="R2582" s="5" t="inlineStr">
        <is>
          <t>CastsInFight</t>
        </is>
      </c>
      <c r="S2582" s="5" t="inlineStr">
        <is>
          <t>HitRate(perSec)</t>
        </is>
      </c>
      <c r="U2582" t="inlineStr">
        <is>
          <t>helpers</t>
        </is>
      </c>
    </row>
    <row r="2583">
      <c r="A2583">
        <f>Skills!A2</f>
        <v/>
      </c>
      <c r="B2583">
        <f>Skills!B2</f>
        <v/>
      </c>
      <c r="C2583">
        <f>Inputs!$B$3&gt;=100</f>
        <v/>
      </c>
      <c r="D2583" t="inlineStr"/>
      <c r="E2583" t="inlineStr"/>
      <c r="F2583">
        <f>U2585+Skills!O2</f>
        <v/>
      </c>
      <c r="G2583">
        <f>Skills!G2*IF(Skills!H2&gt;0,Skills!I2/Skills!H2,1)</f>
        <v/>
      </c>
      <c r="H2583">
        <f>1-(1-Skills!J2/100)^Skills!K2</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20)),(Inputs!$B$23+0+(IF(ArtifactsInput!$M$15,CHOOSE(ArtifactsInput!$N$15+1,25,30,35,40,45,50)/100*(Inputs!$B$11-Inputs!$B$11),0))))/100+(Inputs!$B$23+0+(IF(ArtifactsInput!$M$15,CHOOSE(ArtifactsInput!$N$15+1,25,30,35,40,45,50)/100*(Inputs!$B$11-Inputs!$B$11),0)))/100)/2</f>
        <v/>
      </c>
      <c r="M2583">
        <f>L2583*(1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IF(B2617=0,0,O2583/B2617)</f>
        <v/>
      </c>
      <c r="Q2583" t="n">
        <v>0</v>
      </c>
      <c r="R2583" t="n">
        <v>0</v>
      </c>
      <c r="S2583">
        <f>IFERROR(O2583/N2583,0)</f>
        <v/>
      </c>
      <c r="T2583">
        <f>IF(C2583,(Skills!G2*N2583*B2611)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MAX(0,(Inputs!$B$3-100)*3)+Inputs!$B$28+Inputs!$B$29</f>
        <v/>
      </c>
      <c r="V2583">
        <f>IF(C2583,(Skills!G2*N2583*B2611)*IF(Inputs!$B$38="pvp",1,(1+(Inputs!$B$21+Skills!Q2+(IF(ArtifactsInput!$M$33,CHOOSE(ArtifactsInput!$N$33+1,30,36,42,48,54,60),0))+(IF(AND(ArtifactsInput!$M$35,Inputs!$B$4&lt;&gt;"Chapter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Skills!A3</f>
        <v/>
      </c>
      <c r="B2584">
        <f>Skills!B3</f>
        <v/>
      </c>
      <c r="C2584">
        <f>Inputs!$B$3&gt;=35</f>
        <v/>
      </c>
      <c r="D2584">
        <f>IF(Skills!C3=1,60+Inputs!$B$25+Inputs!$B$29,IF(Skills!C3=2,90+Inputs!$B$26+Inputs!$B$29,IF(Skills!C3=3,120+Inputs!$B$27+Inputs!$B$29,MAX(0,(Inputs!$B$3-100)*3)+Inputs!$B$28+Inputs!$B$29)))</f>
        <v/>
      </c>
      <c r="E2584">
        <f>INDEX(FactorTable!$B$2:$Y$301, MATCH(ROUND(MIN(300,MAX(1,D2584)),0), FactorTable!$A$2:$A$301,0), Skills!M3+1)</f>
        <v/>
      </c>
      <c r="F2584">
        <f>IF(Skills!N3=TRUE,(Skills!L3/10)*(E2584/1000),Skills!L3/10)+Skills!O3</f>
        <v/>
      </c>
      <c r="G2584">
        <f>Skills!G3*IF(Skills!H3&gt;0,Skills!I3/Skills!H3,1)</f>
        <v/>
      </c>
      <c r="H2584">
        <f>1-(1-Skills!J3/100)^Skills!K3</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20)),(Inputs!$B$23+0+(IF(ArtifactsInput!$M$15,CHOOSE(ArtifactsInput!$N$15+1,25,30,35,40,45,50)/100*(Inputs!$B$11-Inputs!$B$11),0))))/100+(Inputs!$B$23+0+(IF(ArtifactsInput!$M$15,CHOOSE(ArtifactsInput!$N$15+1,25,30,35,40,45,50)/100*(Inputs!$B$11-Inputs!$B$11),0)))/100)/2</f>
        <v/>
      </c>
      <c r="M2584">
        <f>L2584*(1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IF(B2617=0,0,O2584/B2617)</f>
        <v/>
      </c>
      <c r="Q2584" t="n">
        <v>0</v>
      </c>
      <c r="R2584" t="n">
        <v>0</v>
      </c>
      <c r="S2584">
        <f>IFERROR(O2584/N2584,0)</f>
        <v/>
      </c>
      <c r="T2584">
        <f>IF(C2584,(Skills!G3*H2584*N2584*B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4">
        <f>INDEX(FactorTable!$B$2:$Y$301, MATCH(ROUND(MIN(300,MAX(1,U2583)),0), FactorTable!$A$2:$A$301,0), 22)</f>
        <v/>
      </c>
      <c r="V2584">
        <f>IF(C2584,(Skills!G3*H2584*N2584*B2611)*IF(Inputs!$B$38="pvp",1,(1+(Inputs!$B$21+Skills!Q3+(IF(ArtifactsInput!$M$33,CHOOSE(ArtifactsInput!$N$33+1,30,36,42,48,54,60),0))+(IF(AND(ArtifactsInput!$M$35,Inputs!$B$4&lt;&gt;"Chapter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Skills!A4</f>
        <v/>
      </c>
      <c r="B2585">
        <f>Skills!B4</f>
        <v/>
      </c>
      <c r="C2585">
        <f>Inputs!$B$3&gt;=60</f>
        <v/>
      </c>
      <c r="D2585">
        <f>IF(Skills!C4=1,60+Inputs!$B$25+Inputs!$B$29,IF(Skills!C4=2,90+Inputs!$B$26+Inputs!$B$29,IF(Skills!C4=3,120+Inputs!$B$27+Inputs!$B$29,MAX(0,(Inputs!$B$3-100)*3)+Inputs!$B$28+Inputs!$B$29)))</f>
        <v/>
      </c>
      <c r="E2585">
        <f>INDEX(FactorTable!$B$2:$Y$301, MATCH(ROUND(MIN(300,MAX(1,D2585)),0), FactorTable!$A$2:$A$301,0), Skills!M4+1)</f>
        <v/>
      </c>
      <c r="F2585">
        <f>IF(Skills!N4=TRUE,(Skills!L4/10)*(E2585/1000),Skills!L4/10)+Skills!O4</f>
        <v/>
      </c>
      <c r="G2585">
        <f>Skills!G4*IF(Skills!H4&gt;0,Skills!I4/Skills!H4,1)</f>
        <v/>
      </c>
      <c r="H2585">
        <f>1-(1-Skills!J4/100)^Skills!K4</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2593=TRUE,F2593,0)/100)*(1+(IF(Skills!A4="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20)),(Inputs!$B$23+0+(IF(ArtifactsInput!$M$15,CHOOSE(ArtifactsInput!$N$15+1,25,30,35,40,45,50)/100*(Inputs!$B$11-Inputs!$B$11),0))))/100+(Inputs!$B$23+0+(IF(ArtifactsInput!$M$15,CHOOSE(ArtifactsInput!$N$15+1,25,30,35,40,45,50)/100*(Inputs!$B$11-Inputs!$B$11),0)))/100)/2</f>
        <v/>
      </c>
      <c r="M2585">
        <f>L2585*(1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IF(B2617=0,0,O2585/B2617)</f>
        <v/>
      </c>
      <c r="Q2585" t="n">
        <v>0</v>
      </c>
      <c r="R2585" t="n">
        <v>0</v>
      </c>
      <c r="S2585">
        <f>IFERROR(O2585/N2585,0)</f>
        <v/>
      </c>
      <c r="T2585">
        <f>IF(C2585,(Skills!G4*H2585*N2585*B2611)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290*U2584/1000</f>
        <v/>
      </c>
      <c r="V2585">
        <f>IF(C2585,(Skills!G4*H2585*N2585*B2611)*IF(Inputs!$B$38="pvp",1,(1+(Inputs!$B$21+Skills!Q4+(IF(ArtifactsInput!$M$33,CHOOSE(ArtifactsInput!$N$33+1,30,36,42,48,54,60),0))+(IF(AND(ArtifactsInput!$M$35,Inputs!$B$4&lt;&gt;"Chapter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Skills!A5</f>
        <v/>
      </c>
      <c r="B2586">
        <f>Skills!B5</f>
        <v/>
      </c>
      <c r="C2586">
        <f>Inputs!$B$3&gt;=60</f>
        <v/>
      </c>
      <c r="D2586">
        <f>IF(Skills!C5=1,60+Inputs!$B$25+Inputs!$B$29,IF(Skills!C5=2,90+Inputs!$B$26+Inputs!$B$29,IF(Skills!C5=3,120+Inputs!$B$27+Inputs!$B$29,MAX(0,(Inputs!$B$3-100)*3)+Inputs!$B$28+Inputs!$B$29)))</f>
        <v/>
      </c>
      <c r="E2586">
        <f>INDEX(FactorTable!$B$2:$Y$301, MATCH(ROUND(MIN(300,MAX(1,D2586)),0), FactorTable!$A$2:$A$301,0), Skills!M5+1)</f>
        <v/>
      </c>
      <c r="F2586">
        <f>IF(Skills!N5=TRUE,(Skills!L5/10)*(E2586/1000),Skills!L5/10)+Skills!O5</f>
        <v/>
      </c>
      <c r="G2586">
        <f>Skills!G5*IF(Skills!H5&gt;0,Skills!I5/Skills!H5,1)</f>
        <v/>
      </c>
      <c r="H2586">
        <f>1-(1-Skills!J5/100)^Skills!K5</f>
        <v/>
      </c>
      <c r="I2586" t="inlineStr">
        <is>
          <t>1</t>
        </is>
      </c>
      <c r="J2586" t="inlineStr"/>
      <c r="K2586" t="inlineStr"/>
      <c r="L2586" t="inlineStr"/>
      <c r="M2586" t="inlineStr"/>
      <c r="N2586" t="inlineStr"/>
      <c r="O2586">
        <f>(1-Summary!$B$11)*T2586+Summary!$B$11*V2586</f>
        <v/>
      </c>
      <c r="P2586">
        <f>IF(B2617=0,0,O2586/B2617)</f>
        <v/>
      </c>
      <c r="Q2586" t="n">
        <v>0</v>
      </c>
      <c r="R2586" t="n">
        <v>0</v>
      </c>
      <c r="S2586">
        <f>IFERROR(O2586/N2586,0)</f>
        <v/>
      </c>
      <c r="T2586" t="n">
        <v>0</v>
      </c>
      <c r="V2586" t="n">
        <v>0</v>
      </c>
    </row>
    <row r="2587">
      <c r="A2587">
        <f>Skills!A6</f>
        <v/>
      </c>
      <c r="B2587">
        <f>Skills!B6</f>
        <v/>
      </c>
      <c r="C2587">
        <f>Inputs!$B$3&gt;=63</f>
        <v/>
      </c>
      <c r="D2587">
        <f>IF(Skills!C6=1,60+Inputs!$B$25+Inputs!$B$29,IF(Skills!C6=2,90+Inputs!$B$26+Inputs!$B$29,IF(Skills!C6=3,120+Inputs!$B$27+Inputs!$B$29,MAX(0,(Inputs!$B$3-100)*3)+Inputs!$B$28+Inputs!$B$29)))</f>
        <v/>
      </c>
      <c r="E2587">
        <f>INDEX(FactorTable!$B$2:$Y$301, MATCH(ROUND(MIN(300,MAX(1,D2587)),0), FactorTable!$A$2:$A$301,0), Skills!M6+1)</f>
        <v/>
      </c>
      <c r="F2587">
        <f>IF(Skills!N6=TRUE,(Skills!L6/10)*(E2587/1000),Skills!L6/10)+Skills!O6</f>
        <v/>
      </c>
      <c r="G2587">
        <f>Skills!G6*IF(Skills!H6&gt;0,Skills!I6/Skills!H6,1)</f>
        <v/>
      </c>
      <c r="H2587">
        <f>1-(1-Skills!J6/100)^Skills!K6</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20)),(Inputs!$B$23+0+(IF(ArtifactsInput!$M$15,CHOOSE(ArtifactsInput!$N$15+1,25,30,35,40,45,50)/100*(Inputs!$B$11-Inputs!$B$11),0))))/100+(Inputs!$B$23+0+(IF(ArtifactsInput!$M$15,CHOOSE(ArtifactsInput!$N$15+1,25,30,35,40,45,50)/100*(Inputs!$B$11-Inputs!$B$11),0)))/100)/2</f>
        <v/>
      </c>
      <c r="M2587">
        <f>L2587*(1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IF(B2617=0,0,O2587/B2617)</f>
        <v/>
      </c>
      <c r="Q2587">
        <f>IFERROR(1/(IF(Inputs!$B$38="pvp",15,MAX(0.1,Skills!D6-IF(Skills!E6=TRUE,1.5,0)))*(1-IF(AND(ArtifactsInput!$M$27,Inputs!$B$4="Chapter Hunt"),CHOOSE(ArtifactsInput!$N$27+1,20,24,28,32,36,40),0)/100)),0)</f>
        <v/>
      </c>
      <c r="R2587">
        <f>IF(AND(Inputs!$B$38&lt;&gt;"pvp",Inputs!$B$43&gt;0),IF(MAX(0,Inputs!$B$43-B2614)&lt;=0,0,(INT(MAX(0,Inputs!$B$43-B2614)/(IF(Inputs!$B$38="pvp",15,MAX(0.1,Skills!D6-IF(Skills!E6=TRUE,1.5,0)))*(1-IF(AND(ArtifactsInput!$M$27,Inputs!$B$4="Chapter Hunt"),CHOOSE(ArtifactsInput!$N$27+1,20,24,28,32,36,40),0)/100)))+1)),0)</f>
        <v/>
      </c>
      <c r="S2587">
        <f>IFERROR(O2587/N2587,0)</f>
        <v/>
      </c>
      <c r="T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$21+Skills!Q6+(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Skills!A7</f>
        <v/>
      </c>
      <c r="B2588">
        <f>Skills!B7</f>
        <v/>
      </c>
      <c r="C2588">
        <f>Inputs!$B$3&gt;=100</f>
        <v/>
      </c>
      <c r="D2588">
        <f>IF(Skills!C7=1,60+Inputs!$B$25+Inputs!$B$29,IF(Skills!C7=2,90+Inputs!$B$26+Inputs!$B$29,IF(Skills!C7=3,120+Inputs!$B$27+Inputs!$B$29,MAX(0,(Inputs!$B$3-100)*3)+Inputs!$B$28+Inputs!$B$29)))</f>
        <v/>
      </c>
      <c r="E2588">
        <f>INDEX(FactorTable!$B$2:$Y$301, MATCH(ROUND(MIN(300,MAX(1,D2588)),0), FactorTable!$A$2:$A$301,0), Skills!M7+1)</f>
        <v/>
      </c>
      <c r="F2588">
        <f>IF(Skills!N7=TRUE,(Skills!L7/10)*(E2588/1000),Skills!L7/10)+Skills!O7</f>
        <v/>
      </c>
      <c r="G2588">
        <f>Skills!G7*IF(Skills!H7&gt;0,Skills!I7/Skills!H7,1)</f>
        <v/>
      </c>
      <c r="H2588">
        <f>1-(1-Skills!J7/100)^Skills!K7</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20)),(Inputs!$B$23+0+(IF(ArtifactsInput!$M$15,CHOOSE(ArtifactsInput!$N$15+1,25,30,35,40,45,50)/100*(Inputs!$B$11-Inputs!$B$11),0))))/100+(Inputs!$B$23+0+(IF(ArtifactsInput!$M$15,CHOOSE(ArtifactsInput!$N$15+1,25,30,35,40,45,50)/100*(Inputs!$B$11-Inputs!$B$11),0)))/100)/2</f>
        <v/>
      </c>
      <c r="M2588">
        <f>L2588*(1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IF(B2617=0,0,O2588/B2617)</f>
        <v/>
      </c>
      <c r="Q2588">
        <f>IFERROR(1/(IF(Inputs!$B$38="pvp",15,MAX(0.1,Skills!D7-IF(Skills!E7=TRUE,1.5,0)))*(1-IF(AND(ArtifactsInput!$M$27,Inputs!$B$4="Chapter Hunt"),CHOOSE(ArtifactsInput!$N$27+1,20,24,28,32,36,40),0)/100)),0)</f>
        <v/>
      </c>
      <c r="R2588">
        <f>IF(AND(Inputs!$B$38&lt;&gt;"pvp",Inputs!$B$43&gt;0),IF(MAX(0,Inputs!$B$43-B2614)&lt;=0,0,(INT(MAX(0,Inputs!$B$43-B2614)/(IF(Inputs!$B$38="pvp",15,MAX(0.1,Skills!D7-IF(Skills!E7=TRUE,1.5,0)))*(1-IF(AND(ArtifactsInput!$M$27,Inputs!$B$4="Chapter Hunt"),CHOOSE(ArtifactsInput!$N$27+1,20,24,28,32,36,40),0)/100)))+1)),0)</f>
        <v/>
      </c>
      <c r="S2588">
        <f>IFERROR(O2588/N2588,0)</f>
        <v/>
      </c>
      <c r="T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$21+Skills!Q7+(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Skills!A8</f>
        <v/>
      </c>
      <c r="B2589">
        <f>Skills!B8</f>
        <v/>
      </c>
      <c r="C2589">
        <f>Inputs!$B$3&gt;=110</f>
        <v/>
      </c>
      <c r="D2589">
        <f>IF(Skills!C8=1,60+Inputs!$B$25+Inputs!$B$29,IF(Skills!C8=2,90+Inputs!$B$26+Inputs!$B$29,IF(Skills!C8=3,120+Inputs!$B$27+Inputs!$B$29,MAX(0,(Inputs!$B$3-100)*3)+Inputs!$B$28+Inputs!$B$29)))</f>
        <v/>
      </c>
      <c r="E2589">
        <f>INDEX(FactorTable!$B$2:$Y$301, MATCH(ROUND(MIN(300,MAX(1,D2589)),0), FactorTable!$A$2:$A$301,0), Skills!M8+1)</f>
        <v/>
      </c>
      <c r="F2589">
        <f>IF(Skills!N8=TRUE,(Skills!L8/10)*(E2589/1000),Skills!L8/10)+Skills!O8</f>
        <v/>
      </c>
      <c r="G2589">
        <f>Skills!G8*IF(Skills!H8&gt;0,Skills!I8/Skills!H8,1)</f>
        <v/>
      </c>
      <c r="H2589">
        <f>1-(1-Skills!J8/100)^Skills!K8</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20)),(Inputs!$B$23+0+(IF(ArtifactsInput!$M$15,CHOOSE(ArtifactsInput!$N$15+1,25,30,35,40,45,50)/100*(Inputs!$B$11-Inputs!$B$11),0))))/100+(Inputs!$B$23+0+(IF(ArtifactsInput!$M$15,CHOOSE(ArtifactsInput!$N$15+1,25,30,35,40,45,50)/100*(Inputs!$B$11-Inputs!$B$11),0)))/100)/2</f>
        <v/>
      </c>
      <c r="M2589">
        <f>L2589*(1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IF(B2617=0,0,O2589/B2617)</f>
        <v/>
      </c>
      <c r="Q2589">
        <f>IFERROR(1/(IF(Inputs!$B$38="pvp",15,MAX(0.1,Skills!D8-IF(Skills!E8=TRUE,1.5,0)))*(1-IF(AND(ArtifactsInput!$M$27,Inputs!$B$4="Chapter Hunt"),CHOOSE(ArtifactsInput!$N$27+1,20,24,28,32,36,40),0)/100)),0)</f>
        <v/>
      </c>
      <c r="R2589">
        <f>IF(AND(Inputs!$B$38&lt;&gt;"pvp",Inputs!$B$43&gt;0),IF(MAX(0,Inputs!$B$43-B2614)&lt;=0,0,(INT(MAX(0,Inputs!$B$43-B2614)/(IF(Inputs!$B$38="pvp",15,MAX(0.1,Skills!D8-IF(Skills!E8=TRUE,1.5,0)))*(1-IF(AND(ArtifactsInput!$M$27,Inputs!$B$4="Chapter Hunt"),CHOOSE(ArtifactsInput!$N$27+1,20,24,28,32,36,40),0)/100)))+1)),0)</f>
        <v/>
      </c>
      <c r="S2589">
        <f>IFERROR(O2589/N2589,0)</f>
        <v/>
      </c>
      <c r="T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$21+Skills!Q8+(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Skills!A9</f>
        <v/>
      </c>
      <c r="B2590">
        <f>Skills!B9</f>
        <v/>
      </c>
      <c r="C2590">
        <f>Inputs!$B$3&gt;=110</f>
        <v/>
      </c>
      <c r="D2590">
        <f>IF(Skills!C9=1,60+Inputs!$B$25+Inputs!$B$29,IF(Skills!C9=2,90+Inputs!$B$26+Inputs!$B$29,IF(Skills!C9=3,120+Inputs!$B$27+Inputs!$B$29,MAX(0,(Inputs!$B$3-100)*3)+Inputs!$B$28+Inputs!$B$29)))</f>
        <v/>
      </c>
      <c r="E2590">
        <f>INDEX(FactorTable!$B$2:$Y$301, MATCH(ROUND(MIN(300,MAX(1,D2590)),0), FactorTable!$A$2:$A$301,0), Skills!M9+1)</f>
        <v/>
      </c>
      <c r="F2590">
        <f>IF(Skills!N9=TRUE,(Skills!L9/10)*(E2590/1000),Skills!L9/10)+Skills!O9</f>
        <v/>
      </c>
      <c r="G2590">
        <f>Skills!G9*IF(Skills!H9&gt;0,Skills!I9/Skills!H9,1)</f>
        <v/>
      </c>
      <c r="H2590">
        <f>1-(1-Skills!J9/100)^Skills!K9</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20)),(Inputs!$B$23+0+(IF(ArtifactsInput!$M$15,CHOOSE(ArtifactsInput!$N$15+1,25,30,35,40,45,50)/100*(Inputs!$B$11-Inputs!$B$11),0))))/100+(Inputs!$B$23+0+(IF(ArtifactsInput!$M$15,CHOOSE(ArtifactsInput!$N$15+1,25,30,35,40,45,50)/100*(Inputs!$B$11-Inputs!$B$11),0)))/100)/2</f>
        <v/>
      </c>
      <c r="M2590">
        <f>L2590*(1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IF(B2617=0,0,O2590/B2617)</f>
        <v/>
      </c>
      <c r="Q2590">
        <f>IFERROR(1/(IF(Inputs!$B$38="pvp",15,MAX(0.1,Skills!D9-IF(Skills!E9=TRUE,1.5,0)))*(1-IF(AND(ArtifactsInput!$M$27,Inputs!$B$4="Chapter Hunt"),CHOOSE(ArtifactsInput!$N$27+1,20,24,28,32,36,40),0)/100)),0)</f>
        <v/>
      </c>
      <c r="R2590">
        <f>IF(AND(Inputs!$B$38&lt;&gt;"pvp",Inputs!$B$43&gt;0),IF(MAX(0,Inputs!$B$43-B2614)&lt;=0,0,(INT(MAX(0,Inputs!$B$43-B2614)/(IF(Inputs!$B$38="pvp",15,MAX(0.1,Skills!D9-IF(Skills!E9=TRUE,1.5,0)))*(1-IF(AND(ArtifactsInput!$M$27,Inputs!$B$4="Chapter Hunt"),CHOOSE(ArtifactsInput!$N$27+1,20,24,28,32,36,40),0)/100)))+1)),0)</f>
        <v/>
      </c>
      <c r="S2590">
        <f>IFERROR(O2590/N2590,0)</f>
        <v/>
      </c>
      <c r="T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$21+Skills!Q9+(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Skills!A10</f>
        <v/>
      </c>
      <c r="B2591">
        <f>Skills!B10</f>
        <v/>
      </c>
      <c r="C2591">
        <f>Inputs!$B$3&gt;=103</f>
        <v/>
      </c>
      <c r="D2591">
        <f>IF(Skills!C10=1,60+Inputs!$B$25+Inputs!$B$29,IF(Skills!C10=2,90+Inputs!$B$26+Inputs!$B$29,IF(Skills!C10=3,120+Inputs!$B$27+Inputs!$B$29,MAX(0,(Inputs!$B$3-100)*3)+Inputs!$B$28+Inputs!$B$29)))</f>
        <v/>
      </c>
      <c r="E2591">
        <f>INDEX(FactorTable!$B$2:$Y$301, MATCH(ROUND(MIN(300,MAX(1,D2591)),0), FactorTable!$A$2:$A$301,0), Skills!M10+1)</f>
        <v/>
      </c>
      <c r="F2591">
        <f>IF(Skills!N10=TRUE,(Skills!L10/10)*(E2591/1000),Skills!L10/10)+Skills!O10</f>
        <v/>
      </c>
      <c r="G2591">
        <f>Skills!G10*IF(Skills!H10&gt;0,Skills!I10/Skills!H10,1)</f>
        <v/>
      </c>
      <c r="H2591">
        <f>1-(1-Skills!J10/100)^Skills!K10</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20)),(Inputs!$B$23+0+(IF(ArtifactsInput!$M$15,CHOOSE(ArtifactsInput!$N$15+1,25,30,35,40,45,50)/100*(Inputs!$B$11-Inputs!$B$11),0))))/100+(Inputs!$B$23+0+(IF(ArtifactsInput!$M$15,CHOOSE(ArtifactsInput!$N$15+1,25,30,35,40,45,50)/100*(Inputs!$B$11-Inputs!$B$11),0)))/100)/2</f>
        <v/>
      </c>
      <c r="M2591">
        <f>L2591*(1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IF(B2617=0,0,O2591/B2617)</f>
        <v/>
      </c>
      <c r="Q2591">
        <f>IFERROR(1/(IF(Inputs!$B$38="pvp",15,MAX(0.1,Skills!D10-IF(Skills!E10=TRUE,1.5,0)))*(1-IF(AND(ArtifactsInput!$M$27,Inputs!$B$4="Chapter Hunt"),CHOOSE(ArtifactsInput!$N$27+1,20,24,28,32,36,40),0)/100)),0)</f>
        <v/>
      </c>
      <c r="R2591">
        <f>IF(AND(Inputs!$B$38&lt;&gt;"pvp",Inputs!$B$43&gt;0),IF(MAX(0,Inputs!$B$43-B2614)&lt;=0,0,(INT(MAX(0,Inputs!$B$43-B2614)/(IF(Inputs!$B$38="pvp",15,MAX(0.1,Skills!D10-IF(Skills!E10=TRUE,1.5,0)))*(1-IF(AND(ArtifactsInput!$M$27,Inputs!$B$4="Chapter Hunt"),CHOOSE(ArtifactsInput!$N$27+1,20,24,28,32,36,40),0)/100)))+1)),0)</f>
        <v/>
      </c>
      <c r="S2591">
        <f>IFERROR(O2591/N2591,0)</f>
        <v/>
      </c>
      <c r="T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$21+Skills!Q10+(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Skills!A11</f>
        <v/>
      </c>
      <c r="B2592">
        <f>Skills!B11</f>
        <v/>
      </c>
      <c r="C2592">
        <f>Inputs!$B$3&gt;=113</f>
        <v/>
      </c>
      <c r="D2592">
        <f>IF(Skills!C11=1,60+Inputs!$B$25+Inputs!$B$29,IF(Skills!C11=2,90+Inputs!$B$26+Inputs!$B$29,IF(Skills!C11=3,120+Inputs!$B$27+Inputs!$B$29,MAX(0,(Inputs!$B$3-100)*3)+Inputs!$B$28+Inputs!$B$29)))</f>
        <v/>
      </c>
      <c r="E2592">
        <f>INDEX(FactorTable!$B$2:$Y$301, MATCH(ROUND(MIN(300,MAX(1,D2592)),0), FactorTable!$A$2:$A$301,0), Skills!M11+1)</f>
        <v/>
      </c>
      <c r="F2592">
        <f>IF(Skills!N11=TRUE,(Skills!L11/10)*(E2592/1000),Skills!L11/10)+Skills!O11</f>
        <v/>
      </c>
      <c r="G2592">
        <f>Skills!G11*IF(Skills!H11&gt;0,Skills!I11/Skills!H11,1)</f>
        <v/>
      </c>
      <c r="H2592">
        <f>1-(1-Skills!J11/100)^Skills!K11</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20)),(Inputs!$B$23+0+(IF(ArtifactsInput!$M$15,CHOOSE(ArtifactsInput!$N$15+1,25,30,35,40,45,50)/100*(Inputs!$B$11-Inputs!$B$11),0))))/100+(Inputs!$B$23+0+(IF(ArtifactsInput!$M$15,CHOOSE(ArtifactsInput!$N$15+1,25,30,35,40,45,50)/100*(Inputs!$B$11-Inputs!$B$11),0)))/100)/2</f>
        <v/>
      </c>
      <c r="M2592">
        <f>L2592*(1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IF(B2617=0,0,O2592/B2617)</f>
        <v/>
      </c>
      <c r="Q2592">
        <f>IFERROR(1/(IF(Inputs!$B$38="pvp",15,MAX(0.1,Skills!D11-IF(Skills!E11=TRUE,1.5,0)))*(1-IF(AND(ArtifactsInput!$M$27,Inputs!$B$4="Chapter Hunt"),CHOOSE(ArtifactsInput!$N$27+1,20,24,28,32,36,40),0)/100)),0)</f>
        <v/>
      </c>
      <c r="R2592">
        <f>IF(AND(Inputs!$B$38&lt;&gt;"pvp",Inputs!$B$43&gt;0),IF(MAX(0,Inputs!$B$43-B2614)&lt;=0,0,(INT(MAX(0,Inputs!$B$43-B2614)/(IF(Inputs!$B$38="pvp",15,MAX(0.1,Skills!D11-IF(Skills!E11=TRUE,1.5,0)))*(1-IF(AND(ArtifactsInput!$M$27,Inputs!$B$4="Chapter Hunt"),CHOOSE(ArtifactsInput!$N$27+1,20,24,28,32,36,40),0)/100)))+1)),0)</f>
        <v/>
      </c>
      <c r="S2592">
        <f>IFERROR(O2592/N2592,0)</f>
        <v/>
      </c>
      <c r="T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$21+Skills!Q11+(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Skills!A12</f>
        <v/>
      </c>
      <c r="B2593">
        <f>Skills!B12</f>
        <v/>
      </c>
      <c r="C2593">
        <f>Inputs!$B$3&gt;=100</f>
        <v/>
      </c>
      <c r="D2593">
        <f>IF(Skills!C12=1,60+Inputs!$B$25+Inputs!$B$29,IF(Skills!C12=2,90+Inputs!$B$26+Inputs!$B$29,IF(Skills!C12=3,120+Inputs!$B$27+Inputs!$B$29,MAX(0,(Inputs!$B$3-100)*3)+Inputs!$B$28+Inputs!$B$29)))</f>
        <v/>
      </c>
      <c r="E2593">
        <f>INDEX(FactorTable!$B$2:$Y$301, MATCH(ROUND(MIN(300,MAX(1,D2593)),0), FactorTable!$A$2:$A$301,0), Skills!M12+1)</f>
        <v/>
      </c>
      <c r="F2593">
        <f>IF(Skills!N12=TRUE,(Skills!L12/10)*(E2593/1000),Skills!L12/10)+Skills!O12</f>
        <v/>
      </c>
      <c r="G2593" t="inlineStr"/>
      <c r="H2593" t="inlineStr"/>
      <c r="I2593" t="inlineStr">
        <is>
          <t>1</t>
        </is>
      </c>
      <c r="J2593" t="inlineStr"/>
      <c r="K2593" t="inlineStr"/>
      <c r="L2593" t="inlineStr"/>
      <c r="M2593" t="inlineStr"/>
      <c r="N2593" t="inlineStr"/>
      <c r="O2593" t="inlineStr"/>
      <c r="P2593" t="inlineStr"/>
      <c r="Q2593" t="inlineStr"/>
      <c r="R2593" t="inlineStr"/>
      <c r="S2593" t="inlineStr"/>
      <c r="T2593" t="inlineStr"/>
      <c r="V2593" t="inlineStr"/>
    </row>
    <row r="2594">
      <c r="A2594">
        <f>Skills!A13</f>
        <v/>
      </c>
      <c r="B2594">
        <f>Skills!B13</f>
        <v/>
      </c>
      <c r="C2594">
        <f>Inputs!$B$3&gt;=66</f>
        <v/>
      </c>
      <c r="D2594">
        <f>IF(Skills!C13=1,60+Inputs!$B$25+Inputs!$B$29,IF(Skills!C13=2,90+Inputs!$B$26+Inputs!$B$29,IF(Skills!C13=3,120+Inputs!$B$27+Inputs!$B$29,MAX(0,(Inputs!$B$3-100)*3)+Inputs!$B$28+Inputs!$B$29)))</f>
        <v/>
      </c>
      <c r="E2594">
        <f>INDEX(FactorTable!$B$2:$Y$301, MATCH(ROUND(MIN(300,MAX(1,D2594)),0), FactorTable!$A$2:$A$301,0), Skills!M13+1)</f>
        <v/>
      </c>
      <c r="F2594">
        <f>IF(Skills!N13=TRUE,(Skills!L13/10)*(E2594/1000),Skills!L13/10)+Skills!O13</f>
        <v/>
      </c>
      <c r="G2594">
        <f>Skills!G13*IF(Skills!H13&gt;0,Skills!I13/Skills!H13,1)</f>
        <v/>
      </c>
      <c r="H2594">
        <f>1-(1-Skills!J13/100)^Skills!K13</f>
        <v/>
      </c>
      <c r="I2594" t="inlineStr">
        <is>
          <t>1</t>
        </is>
      </c>
      <c r="J2594" t="inlineStr"/>
      <c r="K2594" t="inlineStr"/>
      <c r="L2594" t="inlineStr"/>
      <c r="M2594" t="inlineStr"/>
      <c r="N2594" t="inlineStr"/>
      <c r="O2594">
        <f>(1-Summary!$B$11)*T2594+Summary!$B$11*V2594</f>
        <v/>
      </c>
      <c r="P2594">
        <f>IF(B2617=0,0,O2594/B2617)</f>
        <v/>
      </c>
      <c r="Q2594" t="n">
        <v>0</v>
      </c>
      <c r="R2594" t="n">
        <v>0</v>
      </c>
      <c r="S2594">
        <f>IFERROR(O2594/N2594,0)</f>
        <v/>
      </c>
      <c r="T2594" t="n">
        <v>0</v>
      </c>
      <c r="V2594" t="n">
        <v>0</v>
      </c>
    </row>
    <row r="2595">
      <c r="A2595">
        <f>Skills!A14</f>
        <v/>
      </c>
      <c r="B2595">
        <f>Skills!B14</f>
        <v/>
      </c>
      <c r="C2595">
        <f>Inputs!$B$3&gt;=107</f>
        <v/>
      </c>
      <c r="D2595">
        <f>IF(Skills!C14=1,60+Inputs!$B$25+Inputs!$B$29,IF(Skills!C14=2,90+Inputs!$B$26+Inputs!$B$29,IF(Skills!C14=3,120+Inputs!$B$27+Inputs!$B$29,MAX(0,(Inputs!$B$3-100)*3)+Inputs!$B$28+Inputs!$B$29)))</f>
        <v/>
      </c>
      <c r="E2595">
        <f>INDEX(FactorTable!$B$2:$Y$301, MATCH(ROUND(MIN(300,MAX(1,D2595)),0), FactorTable!$A$2:$A$301,0), Skills!M14+1)</f>
        <v/>
      </c>
      <c r="F2595">
        <f>IF(Skills!N14=TRUE,(Skills!L14/10)*(E2595/1000),Skills!L14/10)+Skills!O14</f>
        <v/>
      </c>
      <c r="G2595">
        <f>Skills!G14*IF(Skills!H14&gt;0,Skills!I14/Skills!H14,1)</f>
        <v/>
      </c>
      <c r="H2595">
        <f>1-(1-Skills!J14/100)^Skills!K14</f>
        <v/>
      </c>
      <c r="I2595" t="inlineStr">
        <is>
          <t>1</t>
        </is>
      </c>
      <c r="J2595" t="inlineStr"/>
      <c r="K2595" t="inlineStr"/>
      <c r="L2595" t="inlineStr"/>
      <c r="M2595" t="inlineStr"/>
      <c r="N2595" t="inlineStr"/>
      <c r="O2595">
        <f>(1-Summary!$B$11)*T2595+Summary!$B$11*V2595</f>
        <v/>
      </c>
      <c r="P2595">
        <f>IF(B2617=0,0,O2595/B2617)</f>
        <v/>
      </c>
      <c r="Q2595" t="n">
        <v>0</v>
      </c>
      <c r="R2595" t="n">
        <v>0</v>
      </c>
      <c r="S2595">
        <f>IFERROR(O2595/N2595,0)</f>
        <v/>
      </c>
      <c r="T2595" t="n">
        <v>0</v>
      </c>
      <c r="V2595" t="n">
        <v>0</v>
      </c>
    </row>
    <row r="2596">
      <c r="A2596">
        <f>Skills!A15</f>
        <v/>
      </c>
      <c r="B2596">
        <f>Skills!B15</f>
        <v/>
      </c>
      <c r="C2596">
        <f>Inputs!$B$3&gt;=115</f>
        <v/>
      </c>
      <c r="D2596">
        <f>IF(Skills!C15=1,60+Inputs!$B$25+Inputs!$B$29,IF(Skills!C15=2,90+Inputs!$B$26+Inputs!$B$29,IF(Skills!C15=3,120+Inputs!$B$27+Inputs!$B$29,MAX(0,(Inputs!$B$3-100)*3)+Inputs!$B$28+Inputs!$B$29)))</f>
        <v/>
      </c>
      <c r="E2596">
        <f>INDEX(FactorTable!$B$2:$Y$301, MATCH(ROUND(MIN(300,MAX(1,D2596)),0), FactorTable!$A$2:$A$301,0), Skills!M15+1)</f>
        <v/>
      </c>
      <c r="F2596">
        <f>IF(Skills!N15=TRUE,(Skills!L15/10)*(E2596/1000),Skills!L15/10)+Skills!O15</f>
        <v/>
      </c>
      <c r="G2596">
        <f>Skills!G15*IF(Skills!H15&gt;0,Skills!I15/Skills!H15,1)</f>
        <v/>
      </c>
      <c r="H2596">
        <f>1-(1-Skills!J15/100)^Skills!K15</f>
        <v/>
      </c>
      <c r="I2596" t="inlineStr">
        <is>
          <t>1</t>
        </is>
      </c>
      <c r="J2596" t="inlineStr"/>
      <c r="K2596" t="inlineStr"/>
      <c r="L2596" t="inlineStr"/>
      <c r="M2596" t="inlineStr"/>
      <c r="N2596" t="inlineStr"/>
      <c r="O2596">
        <f>(1-Summary!$B$11)*T2596+Summary!$B$11*V2596</f>
        <v/>
      </c>
      <c r="P2596">
        <f>IF(B2617=0,0,O2596/B2617)</f>
        <v/>
      </c>
      <c r="Q2596" t="n">
        <v>0</v>
      </c>
      <c r="R2596" t="n">
        <v>0</v>
      </c>
      <c r="S2596">
        <f>IFERROR(O2596/N2596,0)</f>
        <v/>
      </c>
      <c r="T2596" t="n">
        <v>0</v>
      </c>
      <c r="V2596" t="n">
        <v>0</v>
      </c>
    </row>
    <row r="2597">
      <c r="A2597">
        <f>Skills!A16</f>
        <v/>
      </c>
      <c r="B2597">
        <f>Skills!B16</f>
        <v/>
      </c>
      <c r="C2597">
        <f>Inputs!$B$3&gt;=15</f>
        <v/>
      </c>
      <c r="D2597">
        <f>IF(Skills!C16=1,60+Inputs!$B$25+Inputs!$B$29,IF(Skills!C16=2,90+Inputs!$B$26+Inputs!$B$29,IF(Skills!C16=3,120+Inputs!$B$27+Inputs!$B$29,MAX(0,(Inputs!$B$3-100)*3)+Inputs!$B$28+Inputs!$B$29)))</f>
        <v/>
      </c>
      <c r="E2597">
        <f>INDEX(FactorTable!$B$2:$Y$301, MATCH(ROUND(MIN(300,MAX(1,D2597)),0), FactorTable!$A$2:$A$301,0), Skills!M16+1)</f>
        <v/>
      </c>
      <c r="F2597">
        <f>IF(Skills!N16=TRUE,(Skills!L16/10)*(E2597/1000),Skills!L16/10)+Skills!O16</f>
        <v/>
      </c>
      <c r="G2597">
        <f>Skills!G16*IF(Skills!H16&gt;0,Skills!I16/Skills!H16,1)</f>
        <v/>
      </c>
      <c r="H2597">
        <f>1-(1-Skills!J16/100)^Skills!K16</f>
        <v/>
      </c>
      <c r="I2597" t="inlineStr">
        <is>
          <t>1</t>
        </is>
      </c>
      <c r="J2597" t="inlineStr"/>
      <c r="K2597" t="inlineStr"/>
      <c r="L2597" t="inlineStr"/>
      <c r="M2597" t="inlineStr"/>
      <c r="N2597" t="inlineStr"/>
      <c r="O2597">
        <f>(1-Summary!$B$11)*T2597+Summary!$B$11*V2597</f>
        <v/>
      </c>
      <c r="P2597">
        <f>IF(B2617=0,0,O2597/B2617)</f>
        <v/>
      </c>
      <c r="Q2597" t="n">
        <v>0</v>
      </c>
      <c r="R2597" t="n">
        <v>0</v>
      </c>
      <c r="S2597">
        <f>IFERROR(O2597/N2597,0)</f>
        <v/>
      </c>
      <c r="T2597" t="n">
        <v>0</v>
      </c>
      <c r="V2597" t="n">
        <v>0</v>
      </c>
    </row>
    <row r="2598">
      <c r="A2598">
        <f>Skills!A17</f>
        <v/>
      </c>
      <c r="B2598">
        <f>Skills!B17</f>
        <v/>
      </c>
      <c r="C2598">
        <f>Inputs!$B$3&gt;=10</f>
        <v/>
      </c>
      <c r="D2598">
        <f>IF(Skills!C17=1,60+Inputs!$B$25+Inputs!$B$29,IF(Skills!C17=2,90+Inputs!$B$26+Inputs!$B$29,IF(Skills!C17=3,120+Inputs!$B$27+Inputs!$B$29,MAX(0,(Inputs!$B$3-100)*3)+Inputs!$B$28+Inputs!$B$29)))</f>
        <v/>
      </c>
      <c r="E2598">
        <f>INDEX(FactorTable!$B$2:$Y$301, MATCH(ROUND(MIN(300,MAX(1,D2598)),0), FactorTable!$A$2:$A$301,0), Skills!M17+1)</f>
        <v/>
      </c>
      <c r="F2598">
        <f>IF(Skills!N17=TRUE,(Skills!L17/10)*(E2598/1000),Skills!L17/10)+Skills!O17</f>
        <v/>
      </c>
      <c r="G2598">
        <f>Skills!G17*IF(Skills!H17&gt;0,Skills!I17/Skills!H17,1)</f>
        <v/>
      </c>
      <c r="H2598">
        <f>1-(1-Skills!J17/100)^Skills!K17</f>
        <v/>
      </c>
      <c r="I2598" t="inlineStr">
        <is>
          <t>1</t>
        </is>
      </c>
      <c r="J2598" t="inlineStr"/>
      <c r="K2598" t="inlineStr"/>
      <c r="L2598" t="inlineStr"/>
      <c r="M2598" t="inlineStr"/>
      <c r="N2598" t="inlineStr"/>
      <c r="O2598">
        <f>(1-Summary!$B$11)*T2598+Summary!$B$11*V2598</f>
        <v/>
      </c>
      <c r="P2598">
        <f>IF(B2617=0,0,O2598/B2617)</f>
        <v/>
      </c>
      <c r="Q2598" t="n">
        <v>0</v>
      </c>
      <c r="R2598" t="n">
        <v>0</v>
      </c>
      <c r="S2598">
        <f>IFERROR(O2598/N2598,0)</f>
        <v/>
      </c>
      <c r="T2598" t="n">
        <v>0</v>
      </c>
      <c r="V2598" t="n">
        <v>0</v>
      </c>
    </row>
    <row r="2599">
      <c r="A2599">
        <f>Skills!A18</f>
        <v/>
      </c>
      <c r="B2599">
        <f>Skills!B18</f>
        <v/>
      </c>
      <c r="C2599">
        <f>Inputs!$B$3&gt;=33</f>
        <v/>
      </c>
      <c r="D2599">
        <f>IF(Skills!C18=1,60+Inputs!$B$25+Inputs!$B$29,IF(Skills!C18=2,90+Inputs!$B$26+Inputs!$B$29,IF(Skills!C18=3,120+Inputs!$B$27+Inputs!$B$29,MAX(0,(Inputs!$B$3-100)*3)+Inputs!$B$28+Inputs!$B$29)))</f>
        <v/>
      </c>
      <c r="E2599">
        <f>INDEX(FactorTable!$B$2:$Y$301, MATCH(ROUND(MIN(300,MAX(1,D2599)),0), FactorTable!$A$2:$A$301,0), Skills!M18+1)</f>
        <v/>
      </c>
      <c r="F2599">
        <f>IF(Skills!N18=TRUE,(Skills!L18/10)*(E2599/1000),Skills!L18/10)+Skills!O18</f>
        <v/>
      </c>
      <c r="G2599">
        <f>Skills!G18*IF(Skills!H18&gt;0,Skills!I18/Skills!H18,1)</f>
        <v/>
      </c>
      <c r="H2599">
        <f>1-(1-Skills!J18/100)^Skills!K18</f>
        <v/>
      </c>
      <c r="I2599" t="inlineStr">
        <is>
          <t>1</t>
        </is>
      </c>
      <c r="J2599" t="inlineStr"/>
      <c r="K2599" t="inlineStr"/>
      <c r="L2599" t="inlineStr"/>
      <c r="M2599" t="inlineStr"/>
      <c r="N2599" t="inlineStr"/>
      <c r="O2599">
        <f>(1-Summary!$B$11)*T2599+Summary!$B$11*V2599</f>
        <v/>
      </c>
      <c r="P2599">
        <f>IF(B2617=0,0,O2599/B2617)</f>
        <v/>
      </c>
      <c r="Q2599" t="n">
        <v>0</v>
      </c>
      <c r="R2599" t="n">
        <v>0</v>
      </c>
      <c r="S2599">
        <f>IFERROR(O2599/N2599,0)</f>
        <v/>
      </c>
      <c r="T2599" t="n">
        <v>0</v>
      </c>
      <c r="V2599" t="n">
        <v>0</v>
      </c>
    </row>
    <row r="2600">
      <c r="A2600">
        <f>Skills!A19</f>
        <v/>
      </c>
      <c r="B2600">
        <f>Skills!B19</f>
        <v/>
      </c>
      <c r="C2600">
        <f>Inputs!$B$3&gt;=40</f>
        <v/>
      </c>
      <c r="D2600">
        <f>IF(Skills!C19=1,60+Inputs!$B$25+Inputs!$B$29,IF(Skills!C19=2,90+Inputs!$B$26+Inputs!$B$29,IF(Skills!C19=3,120+Inputs!$B$27+Inputs!$B$29,MAX(0,(Inputs!$B$3-100)*3)+Inputs!$B$28+Inputs!$B$29)))</f>
        <v/>
      </c>
      <c r="E2600">
        <f>INDEX(FactorTable!$B$2:$Y$301, MATCH(ROUND(MIN(300,MAX(1,D2600)),0), FactorTable!$A$2:$A$301,0), Skills!M19+1)</f>
        <v/>
      </c>
      <c r="F2600">
        <f>IF(Skills!N19=TRUE,(Skills!L19/10)*(E2600/1000),Skills!L19/10)+Skills!O19</f>
        <v/>
      </c>
      <c r="G2600">
        <f>Skills!G19*IF(Skills!H19&gt;0,Skills!I19/Skills!H19,1)</f>
        <v/>
      </c>
      <c r="H2600">
        <f>1-(1-Skills!J19/100)^Skills!K19</f>
        <v/>
      </c>
      <c r="I2600" t="inlineStr">
        <is>
          <t>1</t>
        </is>
      </c>
      <c r="J2600" t="inlineStr"/>
      <c r="K2600" t="inlineStr"/>
      <c r="L2600" t="inlineStr"/>
      <c r="M2600" t="inlineStr"/>
      <c r="N2600" t="inlineStr"/>
      <c r="O2600">
        <f>(1-Summary!$B$11)*T2600+Summary!$B$11*V2600</f>
        <v/>
      </c>
      <c r="P2600">
        <f>IF(B2617=0,0,O2600/B2617)</f>
        <v/>
      </c>
      <c r="Q2600" t="n">
        <v>0</v>
      </c>
      <c r="R2600" t="n">
        <v>0</v>
      </c>
      <c r="S2600">
        <f>IFERROR(O2600/N2600,0)</f>
        <v/>
      </c>
      <c r="T2600" t="n">
        <v>0</v>
      </c>
      <c r="V2600" t="n">
        <v>0</v>
      </c>
    </row>
    <row r="2601">
      <c r="A2601">
        <f>Skills!A20</f>
        <v/>
      </c>
      <c r="B2601">
        <f>Skills!B20</f>
        <v/>
      </c>
      <c r="C2601">
        <f>Inputs!$B$3&gt;=43</f>
        <v/>
      </c>
      <c r="D2601">
        <f>IF(Skills!C20=1,60+Inputs!$B$25+Inputs!$B$29,IF(Skills!C20=2,90+Inputs!$B$26+Inputs!$B$29,IF(Skills!C20=3,120+Inputs!$B$27+Inputs!$B$29,MAX(0,(Inputs!$B$3-100)*3)+Inputs!$B$28+Inputs!$B$29)))</f>
        <v/>
      </c>
      <c r="E2601">
        <f>INDEX(FactorTable!$B$2:$Y$301, MATCH(ROUND(MIN(300,MAX(1,D2601)),0), FactorTable!$A$2:$A$301,0), Skills!M20+1)</f>
        <v/>
      </c>
      <c r="F2601">
        <f>IF(Skills!N20=TRUE,(Skills!L20/10)*(E2601/1000),Skills!L20/10)+Skills!O20</f>
        <v/>
      </c>
      <c r="G2601">
        <f>Skills!G20*IF(Skills!H20&gt;0,Skills!I20/Skills!H20,1)</f>
        <v/>
      </c>
      <c r="H2601">
        <f>1-(1-Skills!J20/100)^Skills!K20</f>
        <v/>
      </c>
      <c r="I2601" t="inlineStr">
        <is>
          <t>1</t>
        </is>
      </c>
      <c r="J2601" t="inlineStr"/>
      <c r="K2601" t="inlineStr"/>
      <c r="L2601" t="inlineStr"/>
      <c r="M2601" t="inlineStr"/>
      <c r="N2601" t="inlineStr"/>
      <c r="O2601">
        <f>(1-Summary!$B$11)*T2601+Summary!$B$11*V2601</f>
        <v/>
      </c>
      <c r="P2601">
        <f>IF(B2617=0,0,O2601/B2617)</f>
        <v/>
      </c>
      <c r="Q2601" t="n">
        <v>0</v>
      </c>
      <c r="R2601" t="n">
        <v>0</v>
      </c>
      <c r="S2601">
        <f>IFERROR(O2601/N2601,0)</f>
        <v/>
      </c>
      <c r="T2601" t="n">
        <v>0</v>
      </c>
      <c r="V2601" t="n">
        <v>0</v>
      </c>
    </row>
    <row r="2602">
      <c r="A2602">
        <f>Skills!A21</f>
        <v/>
      </c>
      <c r="B2602">
        <f>Skills!B21</f>
        <v/>
      </c>
      <c r="C2602">
        <f>Inputs!$B$3&gt;=38</f>
        <v/>
      </c>
      <c r="D2602">
        <f>IF(Skills!C21=1,60+Inputs!$B$25+Inputs!$B$29,IF(Skills!C21=2,90+Inputs!$B$26+Inputs!$B$29,IF(Skills!C21=3,120+Inputs!$B$27+Inputs!$B$29,MAX(0,(Inputs!$B$3-100)*3)+Inputs!$B$28+Inputs!$B$29)))</f>
        <v/>
      </c>
      <c r="E2602">
        <f>INDEX(FactorTable!$B$2:$Y$301, MATCH(ROUND(MIN(300,MAX(1,D2602)),0), FactorTable!$A$2:$A$301,0), Skills!M21+1)</f>
        <v/>
      </c>
      <c r="F2602">
        <f>IF(Skills!N21=TRUE,(Skills!L21/10)*(E2602/1000),Skills!L21/10)+Skills!O21</f>
        <v/>
      </c>
      <c r="G2602">
        <f>Skills!G21*IF(Skills!H21&gt;0,Skills!I21/Skills!H21,1)</f>
        <v/>
      </c>
      <c r="H2602">
        <f>1-(1-Skills!J21/100)^Skills!K21</f>
        <v/>
      </c>
      <c r="I2602" t="inlineStr">
        <is>
          <t>1</t>
        </is>
      </c>
      <c r="J2602" t="inlineStr"/>
      <c r="K2602" t="inlineStr"/>
      <c r="L2602" t="inlineStr"/>
      <c r="M2602" t="inlineStr"/>
      <c r="N2602" t="inlineStr"/>
      <c r="O2602">
        <f>(1-Summary!$B$11)*T2602+Summary!$B$11*V2602</f>
        <v/>
      </c>
      <c r="P2602">
        <f>IF(B2617=0,0,O2602/B2617)</f>
        <v/>
      </c>
      <c r="Q2602" t="n">
        <v>0</v>
      </c>
      <c r="R2602" t="n">
        <v>0</v>
      </c>
      <c r="S2602">
        <f>IFERROR(O2602/N2602,0)</f>
        <v/>
      </c>
      <c r="T2602" t="n">
        <v>0</v>
      </c>
      <c r="V2602" t="n">
        <v>0</v>
      </c>
    </row>
    <row r="2603">
      <c r="A2603">
        <f>Skills!A22</f>
        <v/>
      </c>
      <c r="B2603">
        <f>Skills!B22</f>
        <v/>
      </c>
      <c r="C2603">
        <f>Inputs!$B$3&gt;=75</f>
        <v/>
      </c>
      <c r="D2603">
        <f>IF(Skills!C22=1,60+Inputs!$B$25+Inputs!$B$29,IF(Skills!C22=2,90+Inputs!$B$26+Inputs!$B$29,IF(Skills!C22=3,120+Inputs!$B$27+Inputs!$B$29,MAX(0,(Inputs!$B$3-100)*3)+Inputs!$B$28+Inputs!$B$29)))</f>
        <v/>
      </c>
      <c r="E2603">
        <f>INDEX(FactorTable!$B$2:$Y$301, MATCH(ROUND(MIN(300,MAX(1,D2603)),0), FactorTable!$A$2:$A$301,0), Skills!M22+1)</f>
        <v/>
      </c>
      <c r="F2603">
        <f>IF(Skills!N22=TRUE,(Skills!L22/10)*(E2603/1000),Skills!L22/10)+Skills!O22</f>
        <v/>
      </c>
      <c r="G2603">
        <f>Skills!G22*IF(Skills!H22&gt;0,Skills!I22/Skills!H22,1)</f>
        <v/>
      </c>
      <c r="H2603">
        <f>1-(1-Skills!J22/100)^Skills!K22</f>
        <v/>
      </c>
      <c r="I2603" t="inlineStr">
        <is>
          <t>1</t>
        </is>
      </c>
      <c r="J2603" t="inlineStr"/>
      <c r="K2603" t="inlineStr"/>
      <c r="L2603" t="inlineStr"/>
      <c r="M2603" t="inlineStr"/>
      <c r="N2603" t="inlineStr"/>
      <c r="O2603">
        <f>(1-Summary!$B$11)*T2603+Summary!$B$11*V2603</f>
        <v/>
      </c>
      <c r="P2603">
        <f>IF(B2617=0,0,O2603/B2617)</f>
        <v/>
      </c>
      <c r="Q2603" t="n">
        <v>0</v>
      </c>
      <c r="R2603" t="n">
        <v>0</v>
      </c>
      <c r="S2603">
        <f>IFERROR(O2603/N2603,0)</f>
        <v/>
      </c>
      <c r="T2603" t="n">
        <v>0</v>
      </c>
      <c r="V2603" t="n">
        <v>0</v>
      </c>
    </row>
    <row r="2604">
      <c r="A2604">
        <f>Skills!A23</f>
        <v/>
      </c>
      <c r="B2604">
        <f>Skills!B23</f>
        <v/>
      </c>
      <c r="C2604">
        <f>TRUE</f>
        <v/>
      </c>
      <c r="D2604">
        <f>IF(Skills!C23=1,60+Inputs!$B$25+Inputs!$B$29,IF(Skills!C23=2,90+Inputs!$B$26+Inputs!$B$29,IF(Skills!C23=3,120+Inputs!$B$27+Inputs!$B$29,MAX(0,(Inputs!$B$3-100)*3)+Inputs!$B$28+Inputs!$B$29)))</f>
        <v/>
      </c>
      <c r="E2604">
        <f>INDEX(FactorTable!$B$2:$Y$301, MATCH(ROUND(MIN(300,MAX(1,D2604)),0), FactorTable!$A$2:$A$301,0), Skills!M23+1)</f>
        <v/>
      </c>
      <c r="F2604">
        <f>IF(Skills!N23=TRUE,(Skills!L23/10)*(E2604/1000),Skills!L23/10)+Skills!O23</f>
        <v/>
      </c>
      <c r="G2604">
        <f>Skills!G23*IF(Skills!H23&gt;0,Skills!I23/Skills!H23,1)</f>
        <v/>
      </c>
      <c r="H2604">
        <f>1-(1-Skills!J23/100)^Skills!K23</f>
        <v/>
      </c>
      <c r="I2604" t="inlineStr">
        <is>
          <t>1</t>
        </is>
      </c>
      <c r="J2604" t="inlineStr"/>
      <c r="K2604" t="inlineStr"/>
      <c r="L2604" t="inlineStr"/>
      <c r="M2604" t="inlineStr"/>
      <c r="N2604" t="inlineStr"/>
      <c r="O2604">
        <f>(1-Summary!$B$11)*T2604+Summary!$B$11*V2604</f>
        <v/>
      </c>
      <c r="P2604">
        <f>IF(B2617=0,0,O2604/B2617)</f>
        <v/>
      </c>
      <c r="Q2604">
        <f>IFERROR(1/(IF(Inputs!$B$38="pvp",15,MAX(0.1,Skills!D23-IF(Skills!E23=TRUE,1.5,0)))*(1-IF(AND(ArtifactsInput!$M$27,Inputs!$B$4="Chapter Hunt"),CHOOSE(ArtifactsInput!$N$27+1,20,24,28,32,36,40),0)/100)),0)</f>
        <v/>
      </c>
      <c r="R2604">
        <f>IF(AND(Inputs!$B$38&lt;&gt;"pvp",Inputs!$B$43&gt;0),IF(Inputs!$B$43&lt;=0,0,(INT(Inputs!$B$43/(IF(Inputs!$B$38="pvp",15,MAX(0.1,Skills!D23-IF(Skills!E23=TRUE,1.5,0)))*(1-IF(AND(ArtifactsInput!$M$27,Inputs!$B$4="Chapter Hunt"),CHOOSE(ArtifactsInput!$N$27+1,20,24,28,32,36,40),0)/100)))+1)),0)</f>
        <v/>
      </c>
      <c r="S2604">
        <f>IFERROR(O2604/N2604,0)</f>
        <v/>
      </c>
      <c r="T2604" t="n">
        <v>0</v>
      </c>
      <c r="V2604" t="n">
        <v>0</v>
      </c>
    </row>
    <row r="2606">
      <c r="A2606" t="inlineStr">
        <is>
          <t>Attack% Bucket Multiplier</t>
        </is>
      </c>
      <c r="B2606">
        <f>(1+(((C2594=TRUE)*F2594*5/7)+((C2600=TRUE)*(F2600-Calc!F19))+(IF(ArtifactsInput!$M$21,CHOOSE(ArtifactsInput!$N$21+1,25,30,35,40,45,50)*(IF(OR(Inputs!$B$4="Chapter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7">
      <c r="A2607" t="inlineStr">
        <is>
          <t>Global Crit Rate Bonus %</t>
        </is>
      </c>
      <c r="B2607" t="n">
        <v>0</v>
      </c>
    </row>
    <row r="2608">
      <c r="A2608" t="inlineStr">
        <is>
          <t>Attack Speed Buff Bonus % (Nimble Feet, duty-cycle averaged)</t>
        </is>
      </c>
      <c r="B2608">
        <f>((C2604=TRUE)*F2604*IF(AND(Inputs!$B$38&lt;&gt;"pvp",Inputs!$B$43&gt;0),(((R2604-1)*(Skills!T23*(1+Inputs!$B$34/100))+MIN((Skills!T23*(1+Inputs!$B$34/100)),MAX(0,Inputs!$B$43-((R2604-1)*Skills!D23))))/Inputs!$B$43),IF(Inputs!$B$38="pvp",MIN((Skills!T23*(1+Inputs!$B$34/100)),15)/15,(Skills!T23*(1+Inputs!$B$34/100))/Skills!D23)))</f>
        <v/>
      </c>
    </row>
    <row r="2609">
      <c r="A2609" t="inlineStr">
        <is>
          <t>Actions Per Second</t>
        </is>
      </c>
      <c r="B2609">
        <f>1+MIN(150,150*(1-(1-(Inputs!$B$11+((C2598=TRUE)*(F2598-Calc!F17))+((C2599=TRUE)*(F2599-Calc!F18)))/150)*(1-B2608/150)))/100</f>
        <v/>
      </c>
    </row>
    <row r="2610">
      <c r="A2610" t="inlineStr">
        <is>
          <t>Skill + Buff Cast Rate</t>
        </is>
      </c>
      <c r="B2610">
        <f>IF(AND(Inputs!$B$38&lt;&gt;"pvp",Inputs!$B$43&gt;0),SUMPRODUCT((Skills!E2:E23=TRUE)*(C2583:C2604=TRUE)*R2583:R2604*Skills!F2:F23)/Inputs!$B$43,SUMPRODUCT((Skills!E2:E23=TRUE)*(C2583:C2604=TRUE)*Q2583:Q2604*Skills!F2:F23))</f>
        <v/>
      </c>
    </row>
    <row r="2611">
      <c r="A2611" t="inlineStr">
        <is>
          <t>Hook Bomber Casts Per Second</t>
        </is>
      </c>
      <c r="B2611">
        <f>MAX(0,B2609-B2610)</f>
        <v/>
      </c>
    </row>
    <row r="2612">
      <c r="A2612" t="inlineStr">
        <is>
          <t>Global Critical Damage Bonus % (unused)</t>
        </is>
      </c>
      <c r="B2612" t="n">
        <v>0</v>
      </c>
    </row>
    <row r="2613">
      <c r="A2613" t="inlineStr">
        <is>
          <t>Global Final Damage Bonus % (Serpent Scale + Crossbones + Time Leap + Speed Infusion)</t>
        </is>
      </c>
      <c r="B2613">
        <f>((C2586=TRUE)*F2586*((10+IF(Inputs!$B$3&gt;=94,5,0))/((10+IF(Inputs!$B$3&gt;=94,5,0))+5/(B2611*(1+IF(Inputs!$B$3&gt;=104,1,0))))))+((C2595=TRUE)*F2595)+((C2596=TRUE)*F2596)+((Inputs!$B$3&gt;=110)*20*(B2609-1))</f>
        <v/>
      </c>
    </row>
    <row r="2614">
      <c r="A2614" t="inlineStr">
        <is>
          <t>Buff-Casting Startup Delay (s, fixed-duration only)</t>
        </is>
      </c>
      <c r="B2614">
        <f>IF(AND(Inputs!$B$38&lt;&gt;"pvp",Inputs!$B$43&gt;0),SUMPRODUCT((Skills!T2:T23&gt;0)*(Skills!E2:E23=TRUE)*(C2583:C2604=TRUE))/B2609,0)</f>
        <v/>
      </c>
    </row>
    <row r="2615">
      <c r="A2615" t="inlineStr">
        <is>
          <t>Boss-Only Total DPS (this block's swept value)</t>
        </is>
      </c>
      <c r="B2615">
        <f>SUM(T2583:T2604)</f>
        <v/>
      </c>
    </row>
    <row r="2616">
      <c r="A2616" t="inlineStr">
        <is>
          <t>Normal-Only Total DPS (this block's swept value)</t>
        </is>
      </c>
      <c r="B2616">
        <f>SUM(V2583:V2604)</f>
        <v/>
      </c>
    </row>
    <row r="2617">
      <c r="A2617" s="6" t="inlineStr">
        <is>
          <t>TOTAL DPS</t>
        </is>
      </c>
      <c r="B2617" s="6">
        <f>SUM(O2583:O2604)</f>
        <v/>
      </c>
    </row>
    <row r="2620">
      <c r="A2620" s="6" t="inlineStr">
        <is>
          <t>Stat: CDR = 2.0s</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2640=TRUE)*(F2640-Calc!F20)),(Inputs!$B$23+0+(IF(ArtifactsInput!$M$15,CHOOSE(ArtifactsInput!$N$15+1,25,30,35,40,45,50)/100*(Inputs!$B$11-Inputs!$B$11),0))))/100+(Inputs!$B$23+0+(IF(ArtifactsInput!$M$15,CHOOSE(ArtifactsInput!$N$15+1,25,30,35,40,45,50)/100*(Inputs!$B$11-Inputs!$B$11),0)))/100)/2</f>
        <v/>
      </c>
      <c r="M2622">
        <f>L2622*(1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IF(B2656=0,0,O2622/B2656)</f>
        <v/>
      </c>
      <c r="Q2622" t="n">
        <v>0</v>
      </c>
      <c r="R2622" t="n">
        <v>0</v>
      </c>
      <c r="S2622">
        <f>IFERROR(O2622/N2622,0)</f>
        <v/>
      </c>
      <c r="T2622">
        <f>IF(C2622,(Skills!G2*N2622*B2650)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2">
        <f>MAX(0,(Inputs!$B$3-100)*3)+Inputs!$B$28+Inputs!$B$29</f>
        <v/>
      </c>
      <c r="V2622">
        <f>IF(C2622,(Skills!G2*N2622*B2650)*IF(Inputs!$B$38="pvp",1,(1+(Inputs!$B$21+Skills!Q2+(IF(ArtifactsInput!$M$33,CHOOSE(ArtifactsInput!$N$33+1,30,36,42,48,54,60),0))+(IF(AND(ArtifactsInput!$M$35,Inputs!$B$4&lt;&gt;"Chapter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f>((Inputs!$B$6*(1+Inputs!$B$7/100))+(((Inputs!$B$12*(1+Inputs!$B$13/100))-(Inputs!$B$12*(1+Inputs!$B$13/100)))+0.25*(Inputs!$B$14-Inputs!$B$14))*(1+Inputs!$B$7/100))*(F2623/100)</f>
        <v/>
      </c>
      <c r="K2623">
        <f>J2623*(1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2640=TRUE)*(F2640-Calc!F20)),(Inputs!$B$23+0+(IF(ArtifactsInput!$M$15,CHOOSE(ArtifactsInput!$N$15+1,25,30,35,40,45,50)/100*(Inputs!$B$11-Inputs!$B$11),0))))/100+(Inputs!$B$23+0+(IF(ArtifactsInput!$M$15,CHOOSE(ArtifactsInput!$N$15+1,25,30,35,40,45,50)/100*(Inputs!$B$11-Inputs!$B$11),0)))/100)/2</f>
        <v/>
      </c>
      <c r="M2623">
        <f>L2623*(1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IF(B2656=0,0,O2623/B2656)</f>
        <v/>
      </c>
      <c r="Q2623" t="n">
        <v>0</v>
      </c>
      <c r="R2623" t="n">
        <v>0</v>
      </c>
      <c r="S2623">
        <f>IFERROR(O2623/N2623,0)</f>
        <v/>
      </c>
      <c r="T2623">
        <f>IF(C2623,(Skills!G3*H2623*N2623*B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3">
        <f>INDEX(FactorTable!$B$2:$Y$301, MATCH(ROUND(MIN(300,MAX(1,U2622)),0), FactorTable!$A$2:$A$301,0), 22)</f>
        <v/>
      </c>
      <c r="V2623">
        <f>IF(C2623,(Skills!G3*H2623*N2623*B2650)*IF(Inputs!$B$38="pvp",1,(1+(Inputs!$B$21+Skills!Q3+(IF(ArtifactsInput!$M$33,CHOOSE(ArtifactsInput!$N$33+1,30,36,42,48,54,60),0))+(IF(AND(ArtifactsInput!$M$35,Inputs!$B$4&lt;&gt;"Chapter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Skills!A4</f>
        <v/>
      </c>
      <c r="B2624">
        <f>Skills!B4</f>
        <v/>
      </c>
      <c r="C2624">
        <f>Inputs!$B$3&gt;=60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2632=TRUE,F2632,0)/100)*(1+(IF(Skills!A4="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2640=TRUE)*(F2640-Calc!F20)),(Inputs!$B$23+0+(IF(ArtifactsInput!$M$15,CHOOSE(ArtifactsInput!$N$15+1,25,30,35,40,45,50)/100*(Inputs!$B$11-Inputs!$B$11),0))))/100+(Inputs!$B$23+0+(IF(ArtifactsInput!$M$15,CHOOSE(ArtifactsInput!$N$15+1,25,30,35,40,45,50)/100*(Inputs!$B$11-Inputs!$B$11),0)))/100)/2</f>
        <v/>
      </c>
      <c r="M2624">
        <f>L2624*(1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IF(B2656=0,0,O2624/B2656)</f>
        <v/>
      </c>
      <c r="Q2624" t="n">
        <v>0</v>
      </c>
      <c r="R2624" t="n">
        <v>0</v>
      </c>
      <c r="S2624">
        <f>IFERROR(O2624/N2624,0)</f>
        <v/>
      </c>
      <c r="T2624">
        <f>IF(C2624,(Skills!G4*H2624*N2624*B2650)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290*U2623/1000</f>
        <v/>
      </c>
      <c r="V2624">
        <f>IF(C2624,(Skills!G4*H2624*N2624*B2650)*IF(Inputs!$B$38="pvp",1,(1+(Inputs!$B$21+Skills!Q4+(IF(ArtifactsInput!$M$33,CHOOSE(ArtifactsInput!$N$33+1,30,36,42,48,54,60),0))+(IF(AND(ArtifactsInput!$M$35,Inputs!$B$4&lt;&gt;"Chapter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Skills!A5</f>
        <v/>
      </c>
      <c r="B2625">
        <f>Skills!B5</f>
        <v/>
      </c>
      <c r="C2625">
        <f>Inputs!$B$3&gt;=60</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t="inlineStr"/>
      <c r="K2625" t="inlineStr"/>
      <c r="L2625" t="inlineStr"/>
      <c r="M2625" t="inlineStr"/>
      <c r="N2625" t="inlineStr"/>
      <c r="O2625">
        <f>(1-Summary!$B$11)*T2625+Summary!$B$11*V2625</f>
        <v/>
      </c>
      <c r="P2625">
        <f>IF(B2656=0,0,O2625/B2656)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2640=TRUE)*(F2640-Calc!F20)),(Inputs!$B$23+0+(IF(ArtifactsInput!$M$15,CHOOSE(ArtifactsInput!$N$15+1,25,30,35,40,45,50)/100*(Inputs!$B$11-Inputs!$B$11),0))))/100+(Inputs!$B$23+0+(IF(ArtifactsInput!$M$15,CHOOSE(ArtifactsInput!$N$15+1,25,30,35,40,45,50)/100*(Inputs!$B$11-Inputs!$B$11),0)))/100)/2</f>
        <v/>
      </c>
      <c r="M2626">
        <f>L2626*(1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IF(B2656=0,0,O2626/B2656)</f>
        <v/>
      </c>
      <c r="Q2626">
        <f>IFERROR(1/(IF(Inputs!$B$38="pvp",15,MAX(0.1,Skills!D6-IF(Skills!E6=TRUE,2.0,0)))*(1-IF(AND(ArtifactsInput!$M$27,Inputs!$B$4="Chapter Hunt"),CHOOSE(ArtifactsInput!$N$27+1,20,24,28,32,36,40),0)/100)),0)</f>
        <v/>
      </c>
      <c r="R2626">
        <f>IF(AND(Inputs!$B$38&lt;&gt;"pvp",Inputs!$B$43&gt;0),IF(MAX(0,Inputs!$B$43-B2653)&lt;=0,0,(INT(MAX(0,Inputs!$B$43-B2653)/(IF(Inputs!$B$38="pvp",15,MAX(0.1,Skills!D6-IF(Skills!E6=TRUE,2.0,0)))*(1-IF(AND(ArtifactsInput!$M$27,Inputs!$B$4="Chapter Hunt"),CHOOSE(ArtifactsInput!$N$27+1,20,24,28,32,36,40),0)/100)))+1)),0)</f>
        <v/>
      </c>
      <c r="S2626">
        <f>IFERROR(O2626/N2626,0)</f>
        <v/>
      </c>
      <c r="T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$21+Skills!Q6+(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Skills!A7</f>
        <v/>
      </c>
      <c r="B2627">
        <f>Skills!B7</f>
        <v/>
      </c>
      <c r="C2627">
        <f>Inputs!$B$3&gt;=100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2640=TRUE)*(F2640-Calc!F20)),(Inputs!$B$23+0+(IF(ArtifactsInput!$M$15,CHOOSE(ArtifactsInput!$N$15+1,25,30,35,40,45,50)/100*(Inputs!$B$11-Inputs!$B$11),0))))/100+(Inputs!$B$23+0+(IF(ArtifactsInput!$M$15,CHOOSE(ArtifactsInput!$N$15+1,25,30,35,40,45,50)/100*(Inputs!$B$11-Inputs!$B$11),0)))/100)/2</f>
        <v/>
      </c>
      <c r="M2627">
        <f>L2627*(1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IF(B2656=0,0,O2627/B2656)</f>
        <v/>
      </c>
      <c r="Q2627">
        <f>IFERROR(1/(IF(Inputs!$B$38="pvp",15,MAX(0.1,Skills!D7-IF(Skills!E7=TRUE,2.0,0)))*(1-IF(AND(ArtifactsInput!$M$27,Inputs!$B$4="Chapter Hunt"),CHOOSE(ArtifactsInput!$N$27+1,20,24,28,32,36,40),0)/100)),0)</f>
        <v/>
      </c>
      <c r="R2627">
        <f>IF(AND(Inputs!$B$38&lt;&gt;"pvp",Inputs!$B$43&gt;0),IF(MAX(0,Inputs!$B$43-B2653)&lt;=0,0,(INT(MAX(0,Inputs!$B$43-B2653)/(IF(Inputs!$B$38="pvp",15,MAX(0.1,Skills!D7-IF(Skills!E7=TRUE,2.0,0)))*(1-IF(AND(ArtifactsInput!$M$27,Inputs!$B$4="Chapter Hunt"),CHOOSE(ArtifactsInput!$N$27+1,20,24,28,32,36,40),0)/100)))+1)),0)</f>
        <v/>
      </c>
      <c r="S2627">
        <f>IFERROR(O2627/N2627,0)</f>
        <v/>
      </c>
      <c r="T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$21+Skills!Q7+(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Skills!A8</f>
        <v/>
      </c>
      <c r="B2628">
        <f>Skills!B8</f>
        <v/>
      </c>
      <c r="C2628">
        <f>Inputs!$B$3&gt;=110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2640=TRUE)*(F2640-Calc!F20)),(Inputs!$B$23+0+(IF(ArtifactsInput!$M$15,CHOOSE(ArtifactsInput!$N$15+1,25,30,35,40,45,50)/100*(Inputs!$B$11-Inputs!$B$11),0))))/100+(Inputs!$B$23+0+(IF(ArtifactsInput!$M$15,CHOOSE(ArtifactsInput!$N$15+1,25,30,35,40,45,50)/100*(Inputs!$B$11-Inputs!$B$11),0)))/100)/2</f>
        <v/>
      </c>
      <c r="M2628">
        <f>L2628*(1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IF(B2656=0,0,O2628/B2656)</f>
        <v/>
      </c>
      <c r="Q2628">
        <f>IFERROR(1/(IF(Inputs!$B$38="pvp",15,MAX(0.1,Skills!D8-IF(Skills!E8=TRUE,2.0,0)))*(1-IF(AND(ArtifactsInput!$M$27,Inputs!$B$4="Chapter Hunt"),CHOOSE(ArtifactsInput!$N$27+1,20,24,28,32,36,40),0)/100)),0)</f>
        <v/>
      </c>
      <c r="R2628">
        <f>IF(AND(Inputs!$B$38&lt;&gt;"pvp",Inputs!$B$43&gt;0),IF(MAX(0,Inputs!$B$43-B2653)&lt;=0,0,(INT(MAX(0,Inputs!$B$43-B2653)/(IF(Inputs!$B$38="pvp",15,MAX(0.1,Skills!D8-IF(Skills!E8=TRUE,2.0,0)))*(1-IF(AND(ArtifactsInput!$M$27,Inputs!$B$4="Chapter Hunt"),CHOOSE(ArtifactsInput!$N$27+1,20,24,28,32,36,40),0)/100)))+1)),0)</f>
        <v/>
      </c>
      <c r="S2628">
        <f>IFERROR(O2628/N2628,0)</f>
        <v/>
      </c>
      <c r="T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$21+Skills!Q8+(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Skills!A9</f>
        <v/>
      </c>
      <c r="B2629">
        <f>Skills!B9</f>
        <v/>
      </c>
      <c r="C2629">
        <f>Inputs!$B$3&gt;=110</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2640=TRUE)*(F2640-Calc!F20)),(Inputs!$B$23+0+(IF(ArtifactsInput!$M$15,CHOOSE(ArtifactsInput!$N$15+1,25,30,35,40,45,50)/100*(Inputs!$B$11-Inputs!$B$11),0))))/100+(Inputs!$B$23+0+(IF(ArtifactsInput!$M$15,CHOOSE(ArtifactsInput!$N$15+1,25,30,35,40,45,50)/100*(Inputs!$B$11-Inputs!$B$11),0)))/100)/2</f>
        <v/>
      </c>
      <c r="M2629">
        <f>L2629*(1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IF(B2656=0,0,O2629/B2656)</f>
        <v/>
      </c>
      <c r="Q2629">
        <f>IFERROR(1/(IF(Inputs!$B$38="pvp",15,MAX(0.1,Skills!D9-IF(Skills!E9=TRUE,2.0,0)))*(1-IF(AND(ArtifactsInput!$M$27,Inputs!$B$4="Chapter Hunt"),CHOOSE(ArtifactsInput!$N$27+1,20,24,28,32,36,40),0)/100)),0)</f>
        <v/>
      </c>
      <c r="R2629">
        <f>IF(AND(Inputs!$B$38&lt;&gt;"pvp",Inputs!$B$43&gt;0),IF(MAX(0,Inputs!$B$43-B2653)&lt;=0,0,(INT(MAX(0,Inputs!$B$43-B2653)/(IF(Inputs!$B$38="pvp",15,MAX(0.1,Skills!D9-IF(Skills!E9=TRUE,2.0,0)))*(1-IF(AND(ArtifactsInput!$M$27,Inputs!$B$4="Chapter Hunt"),CHOOSE(ArtifactsInput!$N$27+1,20,24,28,32,36,40),0)/100)))+1)),0)</f>
        <v/>
      </c>
      <c r="S2629">
        <f>IFERROR(O2629/N2629,0)</f>
        <v/>
      </c>
      <c r="T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$21+Skills!Q9+(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Skills!A10</f>
        <v/>
      </c>
      <c r="B2630">
        <f>Skills!B10</f>
        <v/>
      </c>
      <c r="C2630">
        <f>Inputs!$B$3&gt;=103</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2640=TRUE)*(F2640-Calc!F20)),(Inputs!$B$23+0+(IF(ArtifactsInput!$M$15,CHOOSE(ArtifactsInput!$N$15+1,25,30,35,40,45,50)/100*(Inputs!$B$11-Inputs!$B$11),0))))/100+(Inputs!$B$23+0+(IF(ArtifactsInput!$M$15,CHOOSE(ArtifactsInput!$N$15+1,25,30,35,40,45,50)/100*(Inputs!$B$11-Inputs!$B$11),0)))/100)/2</f>
        <v/>
      </c>
      <c r="M2630">
        <f>L2630*(1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IF(B2656=0,0,O2630/B2656)</f>
        <v/>
      </c>
      <c r="Q2630">
        <f>IFERROR(1/(IF(Inputs!$B$38="pvp",15,MAX(0.1,Skills!D10-IF(Skills!E10=TRUE,2.0,0)))*(1-IF(AND(ArtifactsInput!$M$27,Inputs!$B$4="Chapter Hunt"),CHOOSE(ArtifactsInput!$N$27+1,20,24,28,32,36,40),0)/100)),0)</f>
        <v/>
      </c>
      <c r="R2630">
        <f>IF(AND(Inputs!$B$38&lt;&gt;"pvp",Inputs!$B$43&gt;0),IF(MAX(0,Inputs!$B$43-B2653)&lt;=0,0,(INT(MAX(0,Inputs!$B$43-B2653)/(IF(Inputs!$B$38="pvp",15,MAX(0.1,Skills!D10-IF(Skills!E10=TRUE,2.0,0)))*(1-IF(AND(ArtifactsInput!$M$27,Inputs!$B$4="Chapter Hunt"),CHOOSE(ArtifactsInput!$N$27+1,20,24,28,32,36,40),0)/100)))+1)),0)</f>
        <v/>
      </c>
      <c r="S2630">
        <f>IFERROR(O2630/N2630,0)</f>
        <v/>
      </c>
      <c r="T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$21+Skills!Q10+(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Skills!A11</f>
        <v/>
      </c>
      <c r="B2631">
        <f>Skills!B11</f>
        <v/>
      </c>
      <c r="C2631">
        <f>Inputs!$B$3&gt;=113</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2640=TRUE)*(F2640-Calc!F20)),(Inputs!$B$23+0+(IF(ArtifactsInput!$M$15,CHOOSE(ArtifactsInput!$N$15+1,25,30,35,40,45,50)/100*(Inputs!$B$11-Inputs!$B$11),0))))/100+(Inputs!$B$23+0+(IF(ArtifactsInput!$M$15,CHOOSE(ArtifactsInput!$N$15+1,25,30,35,40,45,50)/100*(Inputs!$B$11-Inputs!$B$11),0)))/100)/2</f>
        <v/>
      </c>
      <c r="M2631">
        <f>L2631*(1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IF(B2656=0,0,O2631/B2656)</f>
        <v/>
      </c>
      <c r="Q2631">
        <f>IFERROR(1/(IF(Inputs!$B$38="pvp",15,MAX(0.1,Skills!D11-IF(Skills!E11=TRUE,2.0,0)))*(1-IF(AND(ArtifactsInput!$M$27,Inputs!$B$4="Chapter Hunt"),CHOOSE(ArtifactsInput!$N$27+1,20,24,28,32,36,40),0)/100)),0)</f>
        <v/>
      </c>
      <c r="R2631">
        <f>IF(AND(Inputs!$B$38&lt;&gt;"pvp",Inputs!$B$43&gt;0),IF(MAX(0,Inputs!$B$43-B2653)&lt;=0,0,(INT(MAX(0,Inputs!$B$43-B2653)/(IF(Inputs!$B$38="pvp",15,MAX(0.1,Skills!D11-IF(Skills!E11=TRUE,2.0,0)))*(1-IF(AND(ArtifactsInput!$M$27,Inputs!$B$4="Chapter Hunt"),CHOOSE(ArtifactsInput!$N$27+1,20,24,28,32,36,40),0)/100)))+1)),0)</f>
        <v/>
      </c>
      <c r="S2631">
        <f>IFERROR(O2631/N2631,0)</f>
        <v/>
      </c>
      <c r="T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$21+Skills!Q11+(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Skills!A12</f>
        <v/>
      </c>
      <c r="B2632">
        <f>Skills!B12</f>
        <v/>
      </c>
      <c r="C2632">
        <f>Inputs!$B$3&gt;=100</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t="inlineStr"/>
      <c r="H2632" t="inlineStr"/>
      <c r="I2632" t="inlineStr">
        <is>
          <t>1</t>
        </is>
      </c>
      <c r="J2632" t="inlineStr"/>
      <c r="K2632" t="inlineStr"/>
      <c r="L2632" t="inlineStr"/>
      <c r="M2632" t="inlineStr"/>
      <c r="N2632" t="inlineStr"/>
      <c r="O2632" t="inlineStr"/>
      <c r="P2632" t="inlineStr"/>
      <c r="Q2632" t="inlineStr"/>
      <c r="R2632" t="inlineStr"/>
      <c r="S2632" t="inlineStr"/>
      <c r="T2632" t="inlineStr"/>
      <c r="V2632" t="inlineStr"/>
    </row>
    <row r="2633">
      <c r="A2633">
        <f>Skills!A13</f>
        <v/>
      </c>
      <c r="B2633">
        <f>Skills!B13</f>
        <v/>
      </c>
      <c r="C2633">
        <f>Inputs!$B$3&gt;=66</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t="inlineStr"/>
      <c r="K2633" t="inlineStr"/>
      <c r="L2633" t="inlineStr"/>
      <c r="M2633" t="inlineStr"/>
      <c r="N2633" t="inlineStr"/>
      <c r="O2633">
        <f>(1-Summary!$B$11)*T2633+Summary!$B$11*V2633</f>
        <v/>
      </c>
      <c r="P2633">
        <f>IF(B2656=0,0,O2633/B2656)</f>
        <v/>
      </c>
      <c r="Q2633" t="n">
        <v>0</v>
      </c>
      <c r="R2633" t="n">
        <v>0</v>
      </c>
      <c r="S2633">
        <f>IFERROR(O2633/N2633,0)</f>
        <v/>
      </c>
      <c r="T2633" t="n">
        <v>0</v>
      </c>
      <c r="V2633" t="n">
        <v>0</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t="inlineStr"/>
      <c r="K2634" t="inlineStr"/>
      <c r="L2634" t="inlineStr"/>
      <c r="M2634" t="inlineStr"/>
      <c r="N2634" t="inlineStr"/>
      <c r="O2634">
        <f>(1-Summary!$B$11)*T2634+Summary!$B$11*V2634</f>
        <v/>
      </c>
      <c r="P2634">
        <f>IF(B2656=0,0,O2634/B2656)</f>
        <v/>
      </c>
      <c r="Q2634" t="n">
        <v>0</v>
      </c>
      <c r="R2634" t="n">
        <v>0</v>
      </c>
      <c r="S2634">
        <f>IFERROR(O2634/N2634,0)</f>
        <v/>
      </c>
      <c r="T2634" t="n">
        <v>0</v>
      </c>
      <c r="V2634" t="n">
        <v>0</v>
      </c>
    </row>
    <row r="2635">
      <c r="A2635">
        <f>Skills!A15</f>
        <v/>
      </c>
      <c r="B2635">
        <f>Skills!B15</f>
        <v/>
      </c>
      <c r="C2635">
        <f>Inputs!$B$3&gt;=115</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IF(B2656=0,0,O2635/B2656)</f>
        <v/>
      </c>
      <c r="Q2635" t="n">
        <v>0</v>
      </c>
      <c r="R2635" t="n">
        <v>0</v>
      </c>
      <c r="S2635">
        <f>IFERROR(O2635/N2635,0)</f>
        <v/>
      </c>
      <c r="T2635" t="n">
        <v>0</v>
      </c>
      <c r="V2635" t="n">
        <v>0</v>
      </c>
    </row>
    <row r="2636">
      <c r="A2636">
        <f>Skills!A16</f>
        <v/>
      </c>
      <c r="B2636">
        <f>Skills!B16</f>
        <v/>
      </c>
      <c r="C2636">
        <f>Inputs!$B$3&gt;=15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t="inlineStr"/>
      <c r="K2636" t="inlineStr"/>
      <c r="L2636" t="inlineStr"/>
      <c r="M2636" t="inlineStr"/>
      <c r="N2636" t="inlineStr"/>
      <c r="O2636">
        <f>(1-Summary!$B$11)*T2636+Summary!$B$11*V2636</f>
        <v/>
      </c>
      <c r="P2636">
        <f>IF(B2656=0,0,O2636/B2656)</f>
        <v/>
      </c>
      <c r="Q2636" t="n">
        <v>0</v>
      </c>
      <c r="R2636" t="n">
        <v>0</v>
      </c>
      <c r="S2636">
        <f>IFERROR(O2636/N2636,0)</f>
        <v/>
      </c>
      <c r="T2636" t="n">
        <v>0</v>
      </c>
      <c r="V2636" t="n">
        <v>0</v>
      </c>
    </row>
    <row r="2637">
      <c r="A2637">
        <f>Skills!A17</f>
        <v/>
      </c>
      <c r="B2637">
        <f>Skills!B17</f>
        <v/>
      </c>
      <c r="C2637">
        <f>Inputs!$B$3&gt;=10</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IF(B2656=0,0,O2637/B2656)</f>
        <v/>
      </c>
      <c r="Q2637" t="n">
        <v>0</v>
      </c>
      <c r="R2637" t="n">
        <v>0</v>
      </c>
      <c r="S2637">
        <f>IFERROR(O2637/N2637,0)</f>
        <v/>
      </c>
      <c r="T2637" t="n">
        <v>0</v>
      </c>
      <c r="V2637" t="n">
        <v>0</v>
      </c>
    </row>
    <row r="2638">
      <c r="A2638">
        <f>Skills!A18</f>
        <v/>
      </c>
      <c r="B2638">
        <f>Skills!B18</f>
        <v/>
      </c>
      <c r="C2638">
        <f>Inputs!$B$3&gt;=33</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IF(B2656=0,0,O2638/B2656)</f>
        <v/>
      </c>
      <c r="Q2638" t="n">
        <v>0</v>
      </c>
      <c r="R2638" t="n">
        <v>0</v>
      </c>
      <c r="S2638">
        <f>IFERROR(O2638/N2638,0)</f>
        <v/>
      </c>
      <c r="T2638" t="n">
        <v>0</v>
      </c>
      <c r="V2638" t="n">
        <v>0</v>
      </c>
    </row>
    <row r="2639">
      <c r="A2639">
        <f>Skills!A19</f>
        <v/>
      </c>
      <c r="B2639">
        <f>Skills!B19</f>
        <v/>
      </c>
      <c r="C2639">
        <f>Inputs!$B$3&gt;=40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IF(B2656=0,0,O2639/B2656)</f>
        <v/>
      </c>
      <c r="Q2639" t="n">
        <v>0</v>
      </c>
      <c r="R2639" t="n">
        <v>0</v>
      </c>
      <c r="S2639">
        <f>IFERROR(O2639/N2639,0)</f>
        <v/>
      </c>
      <c r="T2639" t="n">
        <v>0</v>
      </c>
      <c r="V2639" t="n">
        <v>0</v>
      </c>
    </row>
    <row r="2640">
      <c r="A2640">
        <f>Skills!A20</f>
        <v/>
      </c>
      <c r="B2640">
        <f>Skills!B20</f>
        <v/>
      </c>
      <c r="C2640">
        <f>Inputs!$B$3&gt;=43</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IF(B2656=0,0,O2640/B2656)</f>
        <v/>
      </c>
      <c r="Q2640" t="n">
        <v>0</v>
      </c>
      <c r="R2640" t="n">
        <v>0</v>
      </c>
      <c r="S2640">
        <f>IFERROR(O2640/N2640,0)</f>
        <v/>
      </c>
      <c r="T2640" t="n">
        <v>0</v>
      </c>
      <c r="V2640" t="n">
        <v>0</v>
      </c>
    </row>
    <row r="2641">
      <c r="A2641">
        <f>Skills!A21</f>
        <v/>
      </c>
      <c r="B2641">
        <f>Skills!B21</f>
        <v/>
      </c>
      <c r="C2641">
        <f>Inputs!$B$3&gt;=38</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IF(B2656=0,0,O2641/B2656)</f>
        <v/>
      </c>
      <c r="Q2641" t="n">
        <v>0</v>
      </c>
      <c r="R2641" t="n">
        <v>0</v>
      </c>
      <c r="S2641">
        <f>IFERROR(O2641/N2641,0)</f>
        <v/>
      </c>
      <c r="T2641" t="n">
        <v>0</v>
      </c>
      <c r="V2641" t="n">
        <v>0</v>
      </c>
    </row>
    <row r="2642">
      <c r="A2642">
        <f>Skills!A22</f>
        <v/>
      </c>
      <c r="B2642">
        <f>Skills!B22</f>
        <v/>
      </c>
      <c r="C2642">
        <f>Inputs!$B$3&gt;=75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IF(B2656=0,0,O2642/B2656)</f>
        <v/>
      </c>
      <c r="Q2642" t="n">
        <v>0</v>
      </c>
      <c r="R2642" t="n">
        <v>0</v>
      </c>
      <c r="S2642">
        <f>IFERROR(O2642/N2642,0)</f>
        <v/>
      </c>
      <c r="T2642" t="n">
        <v>0</v>
      </c>
      <c r="V2642" t="n">
        <v>0</v>
      </c>
    </row>
    <row r="2643">
      <c r="A2643">
        <f>Skills!A23</f>
        <v/>
      </c>
      <c r="B2643">
        <f>Skills!B23</f>
        <v/>
      </c>
      <c r="C2643">
        <f>TRUE</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IF(B2656=0,0,O2643/B2656)</f>
        <v/>
      </c>
      <c r="Q2643">
        <f>IFERROR(1/(IF(Inputs!$B$38="pvp",15,MAX(0.1,Skills!D23-IF(Skills!E23=TRUE,2.0,0)))*(1-IF(AND(ArtifactsInput!$M$27,Inputs!$B$4="Chapter Hunt"),CHOOSE(ArtifactsInput!$N$27+1,20,24,28,32,36,40),0)/100)),0)</f>
        <v/>
      </c>
      <c r="R2643">
        <f>IF(AND(Inputs!$B$38&lt;&gt;"pvp",Inputs!$B$43&gt;0),IF(Inputs!$B$43&lt;=0,0,(INT(Inputs!$B$43/(IF(Inputs!$B$38="pvp",15,MAX(0.1,Skills!D23-IF(Skills!E23=TRUE,2.0,0)))*(1-IF(AND(ArtifactsInput!$M$27,Inputs!$B$4="Chapter Hunt"),CHOOSE(ArtifactsInput!$N$27+1,20,24,28,32,36,40),0)/100)))+1)),0)</f>
        <v/>
      </c>
      <c r="S2643">
        <f>IFERROR(O2643/N2643,0)</f>
        <v/>
      </c>
      <c r="T2643" t="n">
        <v>0</v>
      </c>
      <c r="V2643" t="n">
        <v>0</v>
      </c>
    </row>
    <row r="2645">
      <c r="A2645" t="inlineStr">
        <is>
          <t>Attack% Bucket Multiplier</t>
        </is>
      </c>
      <c r="B2645">
        <f>(1+(((C2633=TRUE)*F2633*5/7)+((C2639=TRUE)*(F2639-Calc!F19))+(IF(ArtifactsInput!$M$21,CHOOSE(ArtifactsInput!$N$21+1,25,30,35,40,45,50)*(IF(OR(Inputs!$B$4="Chapter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6">
      <c r="A2646" t="inlineStr">
        <is>
          <t>Global Crit Rate Bonus %</t>
        </is>
      </c>
      <c r="B2646" t="n">
        <v>0</v>
      </c>
    </row>
    <row r="2647">
      <c r="A2647" t="inlineStr">
        <is>
          <t>Attack Speed Buff Bonus % (Nimble Feet, duty-cycle averaged)</t>
        </is>
      </c>
      <c r="B2647">
        <f>((C2643=TRUE)*F2643*IF(AND(Inputs!$B$38&lt;&gt;"pvp",Inputs!$B$43&gt;0),(((R2643-1)*(Skills!T23*(1+Inputs!$B$34/100))+MIN((Skills!T23*(1+Inputs!$B$34/100)),MAX(0,Inputs!$B$43-((R2643-1)*Skills!D23))))/Inputs!$B$43),IF(Inputs!$B$38="pvp",MIN((Skills!T23*(1+Inputs!$B$34/100)),15)/15,(Skills!T23*(1+Inputs!$B$34/100))/Skills!D23)))</f>
        <v/>
      </c>
    </row>
    <row r="2648">
      <c r="A2648" t="inlineStr">
        <is>
          <t>Actions Per Second</t>
        </is>
      </c>
      <c r="B2648">
        <f>1+MIN(150,150*(1-(1-(Inputs!$B$11+((C2637=TRUE)*(F2637-Calc!F17))+((C2638=TRUE)*(F2638-Calc!F18)))/150)*(1-B2647/150)))/100</f>
        <v/>
      </c>
    </row>
    <row r="2649">
      <c r="A2649" t="inlineStr">
        <is>
          <t>Skill + Buff Cast Rate</t>
        </is>
      </c>
      <c r="B2649">
        <f>IF(AND(Inputs!$B$38&lt;&gt;"pvp",Inputs!$B$43&gt;0),SUMPRODUCT((Skills!E2:E23=TRUE)*(C2622:C2643=TRUE)*R2622:R2643*Skills!F2:F23)/Inputs!$B$43,SUMPRODUCT((Skills!E2:E23=TRUE)*(C2622:C2643=TRUE)*Q2622:Q2643*Skills!F2:F23))</f>
        <v/>
      </c>
    </row>
    <row r="2650">
      <c r="A2650" t="inlineStr">
        <is>
          <t>Hook Bomber Casts Per Second</t>
        </is>
      </c>
      <c r="B2650">
        <f>MAX(0,B2648-B2649)</f>
        <v/>
      </c>
    </row>
    <row r="2651">
      <c r="A2651" t="inlineStr">
        <is>
          <t>Global Critical Damage Bonus % (unused)</t>
        </is>
      </c>
      <c r="B2651" t="n">
        <v>0</v>
      </c>
    </row>
    <row r="2652">
      <c r="A2652" t="inlineStr">
        <is>
          <t>Global Final Damage Bonus % (Serpent Scale + Crossbones + Time Leap + Speed Infusion)</t>
        </is>
      </c>
      <c r="B2652">
        <f>((C2625=TRUE)*F2625*((10+IF(Inputs!$B$3&gt;=94,5,0))/((10+IF(Inputs!$B$3&gt;=94,5,0))+5/(B2650*(1+IF(Inputs!$B$3&gt;=104,1,0))))))+((C2634=TRUE)*F2634)+((C2635=TRUE)*F2635)+((Inputs!$B$3&gt;=110)*20*(B2648-1))</f>
        <v/>
      </c>
    </row>
    <row r="2653">
      <c r="A2653" t="inlineStr">
        <is>
          <t>Buff-Casting Startup Delay (s, fixed-duration only)</t>
        </is>
      </c>
      <c r="B2653">
        <f>IF(AND(Inputs!$B$38&lt;&gt;"pvp",Inputs!$B$43&gt;0),SUMPRODUCT((Skills!T2:T23&gt;0)*(Skills!E2:E23=TRUE)*(C2622:C2643=TRUE))/B2648,0)</f>
        <v/>
      </c>
    </row>
    <row r="2654">
      <c r="A2654" t="inlineStr">
        <is>
          <t>Boss-Only Total DPS (this block's swept value)</t>
        </is>
      </c>
      <c r="B2654">
        <f>SUM(T2622:T2643)</f>
        <v/>
      </c>
    </row>
    <row r="2655">
      <c r="A2655" t="inlineStr">
        <is>
          <t>Normal-Only Total DPS (this block's swept value)</t>
        </is>
      </c>
      <c r="B2655">
        <f>SUM(V2622:V2643)</f>
        <v/>
      </c>
    </row>
    <row r="2656">
      <c r="A2656" s="6" t="inlineStr">
        <is>
          <t>TOTAL DPS</t>
        </is>
      </c>
      <c r="B2656" s="6">
        <f>SUM(O2622:O2643)</f>
        <v/>
      </c>
    </row>
    <row r="2659">
      <c r="A2659" s="6" t="inlineStr">
        <is>
          <t>Stat: CDR = 2.5s</t>
        </is>
      </c>
    </row>
    <row r="2660">
      <c r="A2660" s="5" t="inlineStr">
        <is>
          <t>Key</t>
        </is>
      </c>
      <c r="B2660" s="5" t="inlineStr">
        <is>
          <t>Name</t>
        </is>
      </c>
      <c r="C2660" s="5" t="inlineStr">
        <is>
          <t>Unlocked</t>
        </is>
      </c>
      <c r="D2660" s="5" t="inlineStr">
        <is>
          <t>InputLevel</t>
        </is>
      </c>
      <c r="E2660" s="5" t="inlineStr">
        <is>
          <t>Factor</t>
        </is>
      </c>
      <c r="F2660" s="5" t="inlineStr">
        <is>
          <t>CoefficientPercent</t>
        </is>
      </c>
      <c r="G2660" s="5" t="inlineStr">
        <is>
          <t>EffectiveHits</t>
        </is>
      </c>
      <c r="H2660" s="5" t="inlineStr">
        <is>
          <t>ProcProbability</t>
        </is>
      </c>
      <c r="I2660" s="5" t="inlineStr">
        <is>
          <t>MapleHeroMultiplier</t>
        </is>
      </c>
      <c r="J2660" s="5" t="inlineStr">
        <is>
          <t>BaseDamage</t>
        </is>
      </c>
      <c r="K2660" s="5" t="inlineStr">
        <is>
          <t>BaseHitDamage</t>
        </is>
      </c>
      <c r="L2660" s="5" t="inlineStr">
        <is>
          <t>NonCritAvg</t>
        </is>
      </c>
      <c r="M2660" s="5" t="inlineStr">
        <is>
          <t>CritAvg</t>
        </is>
      </c>
      <c r="N2660" s="5" t="inlineStr">
        <is>
          <t>ExpectedDamage(perHit)</t>
        </is>
      </c>
      <c r="O2660" s="5" t="inlineStr">
        <is>
          <t>DPS</t>
        </is>
      </c>
      <c r="P2660" s="5" t="inlineStr">
        <is>
          <t>% of Total</t>
        </is>
      </c>
      <c r="Q2660" s="5" t="inlineStr">
        <is>
          <t>InvCooldown</t>
        </is>
      </c>
      <c r="R2660" s="5" t="inlineStr">
        <is>
          <t>CastsInFight</t>
        </is>
      </c>
      <c r="S2660" s="5" t="inlineStr">
        <is>
          <t>HitRate(perSec)</t>
        </is>
      </c>
      <c r="U2660" t="inlineStr">
        <is>
          <t>helpers</t>
        </is>
      </c>
    </row>
    <row r="2661">
      <c r="A2661">
        <f>Skills!A2</f>
        <v/>
      </c>
      <c r="B2661">
        <f>Skills!B2</f>
        <v/>
      </c>
      <c r="C2661">
        <f>Inputs!$B$3&gt;=100</f>
        <v/>
      </c>
      <c r="D2661" t="inlineStr"/>
      <c r="E2661" t="inlineStr"/>
      <c r="F2661">
        <f>U2663+Skills!O2</f>
        <v/>
      </c>
      <c r="G2661">
        <f>Skills!G2*IF(Skills!H2&gt;0,Skills!I2/Skills!H2,1)</f>
        <v/>
      </c>
      <c r="H2661">
        <f>1-(1-Skills!J2/100)^Skills!K2</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2679=TRUE)*(F2679-Calc!F20)),(Inputs!$B$23+0+(IF(ArtifactsInput!$M$15,CHOOSE(ArtifactsInput!$N$15+1,25,30,35,40,45,50)/100*(Inputs!$B$11-Inputs!$B$11),0))))/100+(Inputs!$B$23+0+(IF(ArtifactsInput!$M$15,CHOOSE(ArtifactsInput!$N$15+1,25,30,35,40,45,50)/100*(Inputs!$B$11-Inputs!$B$11),0)))/100)/2</f>
        <v/>
      </c>
      <c r="M2661">
        <f>L2661*(1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IF(B2695=0,0,O2661/B2695)</f>
        <v/>
      </c>
      <c r="Q2661" t="n">
        <v>0</v>
      </c>
      <c r="R2661" t="n">
        <v>0</v>
      </c>
      <c r="S2661">
        <f>IFERROR(O2661/N2661,0)</f>
        <v/>
      </c>
      <c r="T2661">
        <f>IF(C2661,(Skills!G2*N2661*B2689)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1">
        <f>MAX(0,(Inputs!$B$3-100)*3)+Inputs!$B$28+Inputs!$B$29</f>
        <v/>
      </c>
      <c r="V2661">
        <f>IF(C2661,(Skills!G2*N2661*B2689)*IF(Inputs!$B$38="pvp",1,(1+(Inputs!$B$21+Skills!Q2+(IF(ArtifactsInput!$M$33,CHOOSE(ArtifactsInput!$N$33+1,30,36,42,48,54,60),0))+(IF(AND(ArtifactsInput!$M$35,Inputs!$B$4&lt;&gt;"Chapter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Skills!A3</f>
        <v/>
      </c>
      <c r="B2662">
        <f>Skills!B3</f>
        <v/>
      </c>
      <c r="C2662">
        <f>Inputs!$B$3&gt;=35</f>
        <v/>
      </c>
      <c r="D2662">
        <f>IF(Skills!C3=1,60+Inputs!$B$25+Inputs!$B$29,IF(Skills!C3=2,90+Inputs!$B$26+Inputs!$B$29,IF(Skills!C3=3,120+Inputs!$B$27+Inputs!$B$29,MAX(0,(Inputs!$B$3-100)*3)+Inputs!$B$28+Inputs!$B$29)))</f>
        <v/>
      </c>
      <c r="E2662">
        <f>INDEX(FactorTable!$B$2:$Y$301, MATCH(ROUND(MIN(300,MAX(1,D2662)),0), FactorTable!$A$2:$A$301,0), Skills!M3+1)</f>
        <v/>
      </c>
      <c r="F2662">
        <f>IF(Skills!N3=TRUE,(Skills!L3/10)*(E2662/1000),Skills!L3/10)+Skills!O3</f>
        <v/>
      </c>
      <c r="G2662">
        <f>Skills!G3*IF(Skills!H3&gt;0,Skills!I3/Skills!H3,1)</f>
        <v/>
      </c>
      <c r="H2662">
        <f>1-(1-Skills!J3/100)^Skills!K3</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2679=TRUE)*(F2679-Calc!F20)),(Inputs!$B$23+0+(IF(ArtifactsInput!$M$15,CHOOSE(ArtifactsInput!$N$15+1,25,30,35,40,45,50)/100*(Inputs!$B$11-Inputs!$B$11),0))))/100+(Inputs!$B$23+0+(IF(ArtifactsInput!$M$15,CHOOSE(ArtifactsInput!$N$15+1,25,30,35,40,45,50)/100*(Inputs!$B$11-Inputs!$B$11),0)))/100)/2</f>
        <v/>
      </c>
      <c r="M2662">
        <f>L2662*(1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IF(B2695=0,0,O2662/B2695)</f>
        <v/>
      </c>
      <c r="Q2662" t="n">
        <v>0</v>
      </c>
      <c r="R2662" t="n">
        <v>0</v>
      </c>
      <c r="S2662">
        <f>IFERROR(O2662/N2662,0)</f>
        <v/>
      </c>
      <c r="T2662">
        <f>IF(C2662,(Skills!G3*H2662*N2662*B2689)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2">
        <f>INDEX(FactorTable!$B$2:$Y$301, MATCH(ROUND(MIN(300,MAX(1,U2661)),0), FactorTable!$A$2:$A$301,0), 22)</f>
        <v/>
      </c>
      <c r="V2662">
        <f>IF(C2662,(Skills!G3*H2662*N2662*B2689)*IF(Inputs!$B$38="pvp",1,(1+(Inputs!$B$21+Skills!Q3+(IF(ArtifactsInput!$M$33,CHOOSE(ArtifactsInput!$N$33+1,30,36,42,48,54,60),0))+(IF(AND(ArtifactsInput!$M$35,Inputs!$B$4&lt;&gt;"Chapter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Skills!A4</f>
        <v/>
      </c>
      <c r="B2663">
        <f>Skills!B4</f>
        <v/>
      </c>
      <c r="C2663">
        <f>Inputs!$B$3&gt;=60</f>
        <v/>
      </c>
      <c r="D2663">
        <f>IF(Skills!C4=1,60+Inputs!$B$25+Inputs!$B$29,IF(Skills!C4=2,90+Inputs!$B$26+Inputs!$B$29,IF(Skills!C4=3,120+Inputs!$B$27+Inputs!$B$29,MAX(0,(Inputs!$B$3-100)*3)+Inputs!$B$28+Inputs!$B$29)))</f>
        <v/>
      </c>
      <c r="E2663">
        <f>INDEX(FactorTable!$B$2:$Y$301, MATCH(ROUND(MIN(300,MAX(1,D2663)),0), FactorTable!$A$2:$A$301,0), Skills!M4+1)</f>
        <v/>
      </c>
      <c r="F2663">
        <f>IF(Skills!N4=TRUE,(Skills!L4/10)*(E2663/1000),Skills!L4/10)+Skills!O4</f>
        <v/>
      </c>
      <c r="G2663">
        <f>Skills!G4*IF(Skills!H4&gt;0,Skills!I4/Skills!H4,1)</f>
        <v/>
      </c>
      <c r="H2663">
        <f>1-(1-Skills!J4/100)^Skills!K4</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2671=TRUE,F2671,0)/100)*(1+(IF(Skills!A4="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2679=TRUE)*(F2679-Calc!F20)),(Inputs!$B$23+0+(IF(ArtifactsInput!$M$15,CHOOSE(ArtifactsInput!$N$15+1,25,30,35,40,45,50)/100*(Inputs!$B$11-Inputs!$B$11),0))))/100+(Inputs!$B$23+0+(IF(ArtifactsInput!$M$15,CHOOSE(ArtifactsInput!$N$15+1,25,30,35,40,45,50)/100*(Inputs!$B$11-Inputs!$B$11),0)))/100)/2</f>
        <v/>
      </c>
      <c r="M2663">
        <f>L2663*(1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IF(B2695=0,0,O2663/B2695)</f>
        <v/>
      </c>
      <c r="Q2663" t="n">
        <v>0</v>
      </c>
      <c r="R2663" t="n">
        <v>0</v>
      </c>
      <c r="S2663">
        <f>IFERROR(O2663/N2663,0)</f>
        <v/>
      </c>
      <c r="T2663">
        <f>IF(C2663,(Skills!G4*H2663*N2663*B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290*U2662/1000</f>
        <v/>
      </c>
      <c r="V2663">
        <f>IF(C2663,(Skills!G4*H2663*N2663*B2689)*IF(Inputs!$B$38="pvp",1,(1+(Inputs!$B$21+Skills!Q4+(IF(ArtifactsInput!$M$33,CHOOSE(ArtifactsInput!$N$33+1,30,36,42,48,54,60),0))+(IF(AND(ArtifactsInput!$M$35,Inputs!$B$4&lt;&gt;"Chapter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Skills!A5</f>
        <v/>
      </c>
      <c r="B2664">
        <f>Skills!B5</f>
        <v/>
      </c>
      <c r="C2664">
        <f>Inputs!$B$3&gt;=60</f>
        <v/>
      </c>
      <c r="D2664">
        <f>IF(Skills!C5=1,60+Inputs!$B$25+Inputs!$B$29,IF(Skills!C5=2,90+Inputs!$B$26+Inputs!$B$29,IF(Skills!C5=3,120+Inputs!$B$27+Inputs!$B$29,MAX(0,(Inputs!$B$3-100)*3)+Inputs!$B$28+Inputs!$B$29)))</f>
        <v/>
      </c>
      <c r="E2664">
        <f>INDEX(FactorTable!$B$2:$Y$301, MATCH(ROUND(MIN(300,MAX(1,D2664)),0), FactorTable!$A$2:$A$301,0), Skills!M5+1)</f>
        <v/>
      </c>
      <c r="F2664">
        <f>IF(Skills!N5=TRUE,(Skills!L5/10)*(E2664/1000),Skills!L5/10)+Skills!O5</f>
        <v/>
      </c>
      <c r="G2664">
        <f>Skills!G5*IF(Skills!H5&gt;0,Skills!I5/Skills!H5,1)</f>
        <v/>
      </c>
      <c r="H2664">
        <f>1-(1-Skills!J5/100)^Skills!K5</f>
        <v/>
      </c>
      <c r="I2664" t="inlineStr">
        <is>
          <t>1</t>
        </is>
      </c>
      <c r="J2664" t="inlineStr"/>
      <c r="K2664" t="inlineStr"/>
      <c r="L2664" t="inlineStr"/>
      <c r="M2664" t="inlineStr"/>
      <c r="N2664" t="inlineStr"/>
      <c r="O2664">
        <f>(1-Summary!$B$11)*T2664+Summary!$B$11*V2664</f>
        <v/>
      </c>
      <c r="P2664">
        <f>IF(B2695=0,0,O2664/B2695)</f>
        <v/>
      </c>
      <c r="Q2664" t="n">
        <v>0</v>
      </c>
      <c r="R2664" t="n">
        <v>0</v>
      </c>
      <c r="S2664">
        <f>IFERROR(O2664/N2664,0)</f>
        <v/>
      </c>
      <c r="T2664" t="n">
        <v>0</v>
      </c>
      <c r="V2664" t="n">
        <v>0</v>
      </c>
    </row>
    <row r="2665">
      <c r="A2665">
        <f>Skills!A6</f>
        <v/>
      </c>
      <c r="B2665">
        <f>Skills!B6</f>
        <v/>
      </c>
      <c r="C2665">
        <f>Inputs!$B$3&gt;=63</f>
        <v/>
      </c>
      <c r="D2665">
        <f>IF(Skills!C6=1,60+Inputs!$B$25+Inputs!$B$29,IF(Skills!C6=2,90+Inputs!$B$26+Inputs!$B$29,IF(Skills!C6=3,120+Inputs!$B$27+Inputs!$B$29,MAX(0,(Inputs!$B$3-100)*3)+Inputs!$B$28+Inputs!$B$29)))</f>
        <v/>
      </c>
      <c r="E2665">
        <f>INDEX(FactorTable!$B$2:$Y$301, MATCH(ROUND(MIN(300,MAX(1,D2665)),0), FactorTable!$A$2:$A$301,0), Skills!M6+1)</f>
        <v/>
      </c>
      <c r="F2665">
        <f>IF(Skills!N6=TRUE,(Skills!L6/10)*(E2665/1000),Skills!L6/10)+Skills!O6</f>
        <v/>
      </c>
      <c r="G2665">
        <f>Skills!G6*IF(Skills!H6&gt;0,Skills!I6/Skills!H6,1)</f>
        <v/>
      </c>
      <c r="H2665">
        <f>1-(1-Skills!J6/100)^Skills!K6</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2679=TRUE)*(F2679-Calc!F20)),(Inputs!$B$23+0+(IF(ArtifactsInput!$M$15,CHOOSE(ArtifactsInput!$N$15+1,25,30,35,40,45,50)/100*(Inputs!$B$11-Inputs!$B$11),0))))/100+(Inputs!$B$23+0+(IF(ArtifactsInput!$M$15,CHOOSE(ArtifactsInput!$N$15+1,25,30,35,40,45,50)/100*(Inputs!$B$11-Inputs!$B$11),0)))/100)/2</f>
        <v/>
      </c>
      <c r="M2665">
        <f>L2665*(1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IF(B2695=0,0,O2665/B2695)</f>
        <v/>
      </c>
      <c r="Q2665">
        <f>IFERROR(1/(IF(Inputs!$B$38="pvp",15,MAX(0.1,Skills!D6-IF(Skills!E6=TRUE,2.5,0)))*(1-IF(AND(ArtifactsInput!$M$27,Inputs!$B$4="Chapter Hunt"),CHOOSE(ArtifactsInput!$N$27+1,20,24,28,32,36,40),0)/100)),0)</f>
        <v/>
      </c>
      <c r="R2665">
        <f>IF(AND(Inputs!$B$38&lt;&gt;"pvp",Inputs!$B$43&gt;0),IF(MAX(0,Inputs!$B$43-B2692)&lt;=0,0,(INT(MAX(0,Inputs!$B$43-B2692)/(IF(Inputs!$B$38="pvp",15,MAX(0.1,Skills!D6-IF(Skills!E6=TRUE,2.5,0)))*(1-IF(AND(ArtifactsInput!$M$27,Inputs!$B$4="Chapter Hunt"),CHOOSE(ArtifactsInput!$N$27+1,20,24,28,32,36,40),0)/100)))+1)),0)</f>
        <v/>
      </c>
      <c r="S2665">
        <f>IFERROR(O2665/N2665,0)</f>
        <v/>
      </c>
      <c r="T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$21+Skills!Q6+(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Skills!A7</f>
        <v/>
      </c>
      <c r="B2666">
        <f>Skills!B7</f>
        <v/>
      </c>
      <c r="C2666">
        <f>Inputs!$B$3&gt;=100</f>
        <v/>
      </c>
      <c r="D2666">
        <f>IF(Skills!C7=1,60+Inputs!$B$25+Inputs!$B$29,IF(Skills!C7=2,90+Inputs!$B$26+Inputs!$B$29,IF(Skills!C7=3,120+Inputs!$B$27+Inputs!$B$29,MAX(0,(Inputs!$B$3-100)*3)+Inputs!$B$28+Inputs!$B$29)))</f>
        <v/>
      </c>
      <c r="E2666">
        <f>INDEX(FactorTable!$B$2:$Y$301, MATCH(ROUND(MIN(300,MAX(1,D2666)),0), FactorTable!$A$2:$A$301,0), Skills!M7+1)</f>
        <v/>
      </c>
      <c r="F2666">
        <f>IF(Skills!N7=TRUE,(Skills!L7/10)*(E2666/1000),Skills!L7/10)+Skills!O7</f>
        <v/>
      </c>
      <c r="G2666">
        <f>Skills!G7*IF(Skills!H7&gt;0,Skills!I7/Skills!H7,1)</f>
        <v/>
      </c>
      <c r="H2666">
        <f>1-(1-Skills!J7/100)^Skills!K7</f>
        <v/>
      </c>
      <c r="I2666" t="inlineStr">
        <is>
          <t>1</t>
        </is>
      </c>
      <c r="J2666">
        <f>((Inputs!$B$6*(1+Inputs!$B$7/100))+(((Inputs!$B$12*(1+Inputs!$B$13/100))-(Inputs!$B$12*(1+Inputs!$B$13/100)))+0.25*(Inputs!$B$14-Inputs!$B$14))*(1+Inputs!$B$7/100))*(F2666/100)</f>
        <v/>
      </c>
      <c r="K2666">
        <f>J2666*(1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2679=TRUE)*(F2679-Calc!F20)),(Inputs!$B$23+0+(IF(ArtifactsInput!$M$15,CHOOSE(ArtifactsInput!$N$15+1,25,30,35,40,45,50)/100*(Inputs!$B$11-Inputs!$B$11),0))))/100+(Inputs!$B$23+0+(IF(ArtifactsInput!$M$15,CHOOSE(ArtifactsInput!$N$15+1,25,30,35,40,45,50)/100*(Inputs!$B$11-Inputs!$B$11),0)))/100)/2</f>
        <v/>
      </c>
      <c r="M2666">
        <f>L2666*(1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IF(B2695=0,0,O2666/B2695)</f>
        <v/>
      </c>
      <c r="Q2666">
        <f>IFERROR(1/(IF(Inputs!$B$38="pvp",15,MAX(0.1,Skills!D7-IF(Skills!E7=TRUE,2.5,0)))*(1-IF(AND(ArtifactsInput!$M$27,Inputs!$B$4="Chapter Hunt"),CHOOSE(ArtifactsInput!$N$27+1,20,24,28,32,36,40),0)/100)),0)</f>
        <v/>
      </c>
      <c r="R2666">
        <f>IF(AND(Inputs!$B$38&lt;&gt;"pvp",Inputs!$B$43&gt;0),IF(MAX(0,Inputs!$B$43-B2692)&lt;=0,0,(INT(MAX(0,Inputs!$B$43-B2692)/(IF(Inputs!$B$38="pvp",15,MAX(0.1,Skills!D7-IF(Skills!E7=TRUE,2.5,0)))*(1-IF(AND(ArtifactsInput!$M$27,Inputs!$B$4="Chapter Hunt"),CHOOSE(ArtifactsInput!$N$27+1,20,24,28,32,36,40),0)/100)))+1)),0)</f>
        <v/>
      </c>
      <c r="S2666">
        <f>IFERROR(O2666/N2666,0)</f>
        <v/>
      </c>
      <c r="T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$21+Skills!Q7+(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Skills!A8</f>
        <v/>
      </c>
      <c r="B2667">
        <f>Skills!B8</f>
        <v/>
      </c>
      <c r="C2667">
        <f>Inputs!$B$3&gt;=110</f>
        <v/>
      </c>
      <c r="D2667">
        <f>IF(Skills!C8=1,60+Inputs!$B$25+Inputs!$B$29,IF(Skills!C8=2,90+Inputs!$B$26+Inputs!$B$29,IF(Skills!C8=3,120+Inputs!$B$27+Inputs!$B$29,MAX(0,(Inputs!$B$3-100)*3)+Inputs!$B$28+Inputs!$B$29)))</f>
        <v/>
      </c>
      <c r="E2667">
        <f>INDEX(FactorTable!$B$2:$Y$301, MATCH(ROUND(MIN(300,MAX(1,D2667)),0), FactorTable!$A$2:$A$301,0), Skills!M8+1)</f>
        <v/>
      </c>
      <c r="F2667">
        <f>IF(Skills!N8=TRUE,(Skills!L8/10)*(E2667/1000),Skills!L8/10)+Skills!O8</f>
        <v/>
      </c>
      <c r="G2667">
        <f>Skills!G8*IF(Skills!H8&gt;0,Skills!I8/Skills!H8,1)</f>
        <v/>
      </c>
      <c r="H2667">
        <f>1-(1-Skills!J8/100)^Skills!K8</f>
        <v/>
      </c>
      <c r="I2667" t="inlineStr">
        <is>
          <t>1</t>
        </is>
      </c>
      <c r="J2667">
        <f>((Inputs!$B$6*(1+Inputs!$B$7/100))+(((Inputs!$B$12*(1+Inputs!$B$13/100))-(Inputs!$B$12*(1+Inputs!$B$13/100)))+0.25*(Inputs!$B$14-Inputs!$B$14))*(1+Inputs!$B$7/100))*(F2667/100)</f>
        <v/>
      </c>
      <c r="K2667">
        <f>J2667*(1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C2679=TRUE)*(F2679-Calc!F20)),(Inputs!$B$23+0+(IF(ArtifactsInput!$M$15,CHOOSE(ArtifactsInput!$N$15+1,25,30,35,40,45,50)/100*(Inputs!$B$11-Inputs!$B$11),0))))/100+(Inputs!$B$23+0+(IF(ArtifactsInput!$M$15,CHOOSE(ArtifactsInput!$N$15+1,25,30,35,40,45,50)/100*(Inputs!$B$11-Inputs!$B$11),0)))/100)/2</f>
        <v/>
      </c>
      <c r="M2667">
        <f>L2667*(1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(1-Summary!$B$11)*T2667+Summary!$B$11*V2667</f>
        <v/>
      </c>
      <c r="P2667">
        <f>IF(B2695=0,0,O2667/B2695)</f>
        <v/>
      </c>
      <c r="Q2667">
        <f>IFERROR(1/(IF(Inputs!$B$38="pvp",15,MAX(0.1,Skills!D8-IF(Skills!E8=TRUE,2.5,0)))*(1-IF(AND(ArtifactsInput!$M$27,Inputs!$B$4="Chapter Hunt"),CHOOSE(ArtifactsInput!$N$27+1,20,24,28,32,36,40),0)/100)),0)</f>
        <v/>
      </c>
      <c r="R2667">
        <f>IF(AND(Inputs!$B$38&lt;&gt;"pvp",Inputs!$B$43&gt;0),IF(MAX(0,Inputs!$B$43-B2692)&lt;=0,0,(INT(MAX(0,Inputs!$B$43-B2692)/(IF(Inputs!$B$38="pvp",15,MAX(0.1,Skills!D8-IF(Skills!E8=TRUE,2.5,0)))*(1-IF(AND(ArtifactsInput!$M$27,Inputs!$B$4="Chapter Hunt"),CHOOSE(ArtifactsInput!$N$27+1,20,24,28,32,36,40),0)/100)))+1)),0)</f>
        <v/>
      </c>
      <c r="S2667">
        <f>IFERROR(O2667/N2667,0)</f>
        <v/>
      </c>
      <c r="T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$21+Skills!Q8+(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Skills!A9</f>
        <v/>
      </c>
      <c r="B2668">
        <f>Skills!B9</f>
        <v/>
      </c>
      <c r="C2668">
        <f>Inputs!$B$3&gt;=110</f>
        <v/>
      </c>
      <c r="D2668">
        <f>IF(Skills!C9=1,60+Inputs!$B$25+Inputs!$B$29,IF(Skills!C9=2,90+Inputs!$B$26+Inputs!$B$29,IF(Skills!C9=3,120+Inputs!$B$27+Inputs!$B$29,MAX(0,(Inputs!$B$3-100)*3)+Inputs!$B$28+Inputs!$B$29)))</f>
        <v/>
      </c>
      <c r="E2668">
        <f>INDEX(FactorTable!$B$2:$Y$301, MATCH(ROUND(MIN(300,MAX(1,D2668)),0), FactorTable!$A$2:$A$301,0), Skills!M9+1)</f>
        <v/>
      </c>
      <c r="F2668">
        <f>IF(Skills!N9=TRUE,(Skills!L9/10)*(E2668/1000),Skills!L9/10)+Skills!O9</f>
        <v/>
      </c>
      <c r="G2668">
        <f>Skills!G9*IF(Skills!H9&gt;0,Skills!I9/Skills!H9,1)</f>
        <v/>
      </c>
      <c r="H2668">
        <f>1-(1-Skills!J9/100)^Skills!K9</f>
        <v/>
      </c>
      <c r="I2668" t="inlineStr">
        <is>
          <t>1</t>
        </is>
      </c>
      <c r="J2668">
        <f>((Inputs!$B$6*(1+Inputs!$B$7/100))+(((Inputs!$B$12*(1+Inputs!$B$13/100))-(Inputs!$B$12*(1+Inputs!$B$13/100)))+0.25*(Inputs!$B$14-Inputs!$B$14))*(1+Inputs!$B$7/100))*(F2668/100)</f>
        <v/>
      </c>
      <c r="K2668">
        <f>J2668*(1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2679=TRUE)*(F2679-Calc!F20)),(Inputs!$B$23+0+(IF(ArtifactsInput!$M$15,CHOOSE(ArtifactsInput!$N$15+1,25,30,35,40,45,50)/100*(Inputs!$B$11-Inputs!$B$11),0))))/100+(Inputs!$B$23+0+(IF(ArtifactsInput!$M$15,CHOOSE(ArtifactsInput!$N$15+1,25,30,35,40,45,50)/100*(Inputs!$B$11-Inputs!$B$11),0)))/100)/2</f>
        <v/>
      </c>
      <c r="M2668">
        <f>L2668*(1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IF(B2695=0,0,O2668/B2695)</f>
        <v/>
      </c>
      <c r="Q2668">
        <f>IFERROR(1/(IF(Inputs!$B$38="pvp",15,MAX(0.1,Skills!D9-IF(Skills!E9=TRUE,2.5,0)))*(1-IF(AND(ArtifactsInput!$M$27,Inputs!$B$4="Chapter Hunt"),CHOOSE(ArtifactsInput!$N$27+1,20,24,28,32,36,40),0)/100)),0)</f>
        <v/>
      </c>
      <c r="R2668">
        <f>IF(AND(Inputs!$B$38&lt;&gt;"pvp",Inputs!$B$43&gt;0),IF(MAX(0,Inputs!$B$43-B2692)&lt;=0,0,(INT(MAX(0,Inputs!$B$43-B2692)/(IF(Inputs!$B$38="pvp",15,MAX(0.1,Skills!D9-IF(Skills!E9=TRUE,2.5,0)))*(1-IF(AND(ArtifactsInput!$M$27,Inputs!$B$4="Chapter Hunt"),CHOOSE(ArtifactsInput!$N$27+1,20,24,28,32,36,40),0)/100)))+1)),0)</f>
        <v/>
      </c>
      <c r="S2668">
        <f>IFERROR(O2668/N2668,0)</f>
        <v/>
      </c>
      <c r="T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$21+Skills!Q9+(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Skills!A10</f>
        <v/>
      </c>
      <c r="B2669">
        <f>Skills!B10</f>
        <v/>
      </c>
      <c r="C2669">
        <f>Inputs!$B$3&gt;=103</f>
        <v/>
      </c>
      <c r="D2669">
        <f>IF(Skills!C10=1,60+Inputs!$B$25+Inputs!$B$29,IF(Skills!C10=2,90+Inputs!$B$26+Inputs!$B$29,IF(Skills!C10=3,120+Inputs!$B$27+Inputs!$B$29,MAX(0,(Inputs!$B$3-100)*3)+Inputs!$B$28+Inputs!$B$29)))</f>
        <v/>
      </c>
      <c r="E2669">
        <f>INDEX(FactorTable!$B$2:$Y$301, MATCH(ROUND(MIN(300,MAX(1,D2669)),0), FactorTable!$A$2:$A$301,0), Skills!M10+1)</f>
        <v/>
      </c>
      <c r="F2669">
        <f>IF(Skills!N10=TRUE,(Skills!L10/10)*(E2669/1000),Skills!L10/10)+Skills!O10</f>
        <v/>
      </c>
      <c r="G2669">
        <f>Skills!G10*IF(Skills!H10&gt;0,Skills!I10/Skills!H10,1)</f>
        <v/>
      </c>
      <c r="H2669">
        <f>1-(1-Skills!J10/100)^Skills!K10</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2679=TRUE)*(F2679-Calc!F20)),(Inputs!$B$23+0+(IF(ArtifactsInput!$M$15,CHOOSE(ArtifactsInput!$N$15+1,25,30,35,40,45,50)/100*(Inputs!$B$11-Inputs!$B$11),0))))/100+(Inputs!$B$23+0+(IF(ArtifactsInput!$M$15,CHOOSE(ArtifactsInput!$N$15+1,25,30,35,40,45,50)/100*(Inputs!$B$11-Inputs!$B$11),0)))/100)/2</f>
        <v/>
      </c>
      <c r="M2669">
        <f>L2669*(1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IF(B2695=0,0,O2669/B2695)</f>
        <v/>
      </c>
      <c r="Q2669">
        <f>IFERROR(1/(IF(Inputs!$B$38="pvp",15,MAX(0.1,Skills!D10-IF(Skills!E10=TRUE,2.5,0)))*(1-IF(AND(ArtifactsInput!$M$27,Inputs!$B$4="Chapter Hunt"),CHOOSE(ArtifactsInput!$N$27+1,20,24,28,32,36,40),0)/100)),0)</f>
        <v/>
      </c>
      <c r="R2669">
        <f>IF(AND(Inputs!$B$38&lt;&gt;"pvp",Inputs!$B$43&gt;0),IF(MAX(0,Inputs!$B$43-B2692)&lt;=0,0,(INT(MAX(0,Inputs!$B$43-B2692)/(IF(Inputs!$B$38="pvp",15,MAX(0.1,Skills!D10-IF(Skills!E10=TRUE,2.5,0)))*(1-IF(AND(ArtifactsInput!$M$27,Inputs!$B$4="Chapter Hunt"),CHOOSE(ArtifactsInput!$N$27+1,20,24,28,32,36,40),0)/100)))+1)),0)</f>
        <v/>
      </c>
      <c r="S2669">
        <f>IFERROR(O2669/N2669,0)</f>
        <v/>
      </c>
      <c r="T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$21+Skills!Q10+(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Skills!A11</f>
        <v/>
      </c>
      <c r="B2670">
        <f>Skills!B11</f>
        <v/>
      </c>
      <c r="C2670">
        <f>Inputs!$B$3&gt;=113</f>
        <v/>
      </c>
      <c r="D2670">
        <f>IF(Skills!C11=1,60+Inputs!$B$25+Inputs!$B$29,IF(Skills!C11=2,90+Inputs!$B$26+Inputs!$B$29,IF(Skills!C11=3,120+Inputs!$B$27+Inputs!$B$29,MAX(0,(Inputs!$B$3-100)*3)+Inputs!$B$28+Inputs!$B$29)))</f>
        <v/>
      </c>
      <c r="E2670">
        <f>INDEX(FactorTable!$B$2:$Y$301, MATCH(ROUND(MIN(300,MAX(1,D2670)),0), FactorTable!$A$2:$A$301,0), Skills!M11+1)</f>
        <v/>
      </c>
      <c r="F2670">
        <f>IF(Skills!N11=TRUE,(Skills!L11/10)*(E2670/1000),Skills!L11/10)+Skills!O11</f>
        <v/>
      </c>
      <c r="G2670">
        <f>Skills!G11*IF(Skills!H11&gt;0,Skills!I11/Skills!H11,1)</f>
        <v/>
      </c>
      <c r="H2670">
        <f>1-(1-Skills!J11/100)^Skills!K11</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2679=TRUE)*(F2679-Calc!F20)),(Inputs!$B$23+0+(IF(ArtifactsInput!$M$15,CHOOSE(ArtifactsInput!$N$15+1,25,30,35,40,45,50)/100*(Inputs!$B$11-Inputs!$B$11),0))))/100+(Inputs!$B$23+0+(IF(ArtifactsInput!$M$15,CHOOSE(ArtifactsInput!$N$15+1,25,30,35,40,45,50)/100*(Inputs!$B$11-Inputs!$B$11),0)))/100)/2</f>
        <v/>
      </c>
      <c r="M2670">
        <f>L2670*(1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IF(B2695=0,0,O2670/B2695)</f>
        <v/>
      </c>
      <c r="Q2670">
        <f>IFERROR(1/(IF(Inputs!$B$38="pvp",15,MAX(0.1,Skills!D11-IF(Skills!E11=TRUE,2.5,0)))*(1-IF(AND(ArtifactsInput!$M$27,Inputs!$B$4="Chapter Hunt"),CHOOSE(ArtifactsInput!$N$27+1,20,24,28,32,36,40),0)/100)),0)</f>
        <v/>
      </c>
      <c r="R2670">
        <f>IF(AND(Inputs!$B$38&lt;&gt;"pvp",Inputs!$B$43&gt;0),IF(MAX(0,Inputs!$B$43-B2692)&lt;=0,0,(INT(MAX(0,Inputs!$B$43-B2692)/(IF(Inputs!$B$38="pvp",15,MAX(0.1,Skills!D11-IF(Skills!E11=TRUE,2.5,0)))*(1-IF(AND(ArtifactsInput!$M$27,Inputs!$B$4="Chapter Hunt"),CHOOSE(ArtifactsInput!$N$27+1,20,24,28,32,36,40),0)/100)))+1)),0)</f>
        <v/>
      </c>
      <c r="S2670">
        <f>IFERROR(O2670/N2670,0)</f>
        <v/>
      </c>
      <c r="T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$21+Skills!Q11+(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Skills!A12</f>
        <v/>
      </c>
      <c r="B2671">
        <f>Skills!B12</f>
        <v/>
      </c>
      <c r="C2671">
        <f>Inputs!$B$3&gt;=100</f>
        <v/>
      </c>
      <c r="D2671">
        <f>IF(Skills!C12=1,60+Inputs!$B$25+Inputs!$B$29,IF(Skills!C12=2,90+Inputs!$B$26+Inputs!$B$29,IF(Skills!C12=3,120+Inputs!$B$27+Inputs!$B$29,MAX(0,(Inputs!$B$3-100)*3)+Inputs!$B$28+Inputs!$B$29)))</f>
        <v/>
      </c>
      <c r="E2671">
        <f>INDEX(FactorTable!$B$2:$Y$301, MATCH(ROUND(MIN(300,MAX(1,D2671)),0), FactorTable!$A$2:$A$301,0), Skills!M12+1)</f>
        <v/>
      </c>
      <c r="F2671">
        <f>IF(Skills!N12=TRUE,(Skills!L12/10)*(E2671/1000),Skills!L12/10)+Skills!O12</f>
        <v/>
      </c>
      <c r="G2671" t="inlineStr"/>
      <c r="H2671" t="inlineStr"/>
      <c r="I2671" t="inlineStr">
        <is>
          <t>1</t>
        </is>
      </c>
      <c r="J2671" t="inlineStr"/>
      <c r="K2671" t="inlineStr"/>
      <c r="L2671" t="inlineStr"/>
      <c r="M2671" t="inlineStr"/>
      <c r="N2671" t="inlineStr"/>
      <c r="O2671" t="inlineStr"/>
      <c r="P2671" t="inlineStr"/>
      <c r="Q2671" t="inlineStr"/>
      <c r="R2671" t="inlineStr"/>
      <c r="S2671" t="inlineStr"/>
      <c r="T2671" t="inlineStr"/>
      <c r="V2671" t="inlineStr"/>
    </row>
    <row r="2672">
      <c r="A2672">
        <f>Skills!A13</f>
        <v/>
      </c>
      <c r="B2672">
        <f>Skills!B13</f>
        <v/>
      </c>
      <c r="C2672">
        <f>Inputs!$B$3&gt;=66</f>
        <v/>
      </c>
      <c r="D2672">
        <f>IF(Skills!C13=1,60+Inputs!$B$25+Inputs!$B$29,IF(Skills!C13=2,90+Inputs!$B$26+Inputs!$B$29,IF(Skills!C13=3,120+Inputs!$B$27+Inputs!$B$29,MAX(0,(Inputs!$B$3-100)*3)+Inputs!$B$28+Inputs!$B$29)))</f>
        <v/>
      </c>
      <c r="E2672">
        <f>INDEX(FactorTable!$B$2:$Y$301, MATCH(ROUND(MIN(300,MAX(1,D2672)),0), FactorTable!$A$2:$A$301,0), Skills!M13+1)</f>
        <v/>
      </c>
      <c r="F2672">
        <f>IF(Skills!N13=TRUE,(Skills!L13/10)*(E2672/1000),Skills!L13/10)+Skills!O13</f>
        <v/>
      </c>
      <c r="G2672">
        <f>Skills!G13*IF(Skills!H13&gt;0,Skills!I13/Skills!H13,1)</f>
        <v/>
      </c>
      <c r="H2672">
        <f>1-(1-Skills!J13/100)^Skills!K13</f>
        <v/>
      </c>
      <c r="I2672" t="inlineStr">
        <is>
          <t>1</t>
        </is>
      </c>
      <c r="J2672" t="inlineStr"/>
      <c r="K2672" t="inlineStr"/>
      <c r="L2672" t="inlineStr"/>
      <c r="M2672" t="inlineStr"/>
      <c r="N2672" t="inlineStr"/>
      <c r="O2672">
        <f>(1-Summary!$B$11)*T2672+Summary!$B$11*V2672</f>
        <v/>
      </c>
      <c r="P2672">
        <f>IF(B2695=0,0,O2672/B2695)</f>
        <v/>
      </c>
      <c r="Q2672" t="n">
        <v>0</v>
      </c>
      <c r="R2672" t="n">
        <v>0</v>
      </c>
      <c r="S2672">
        <f>IFERROR(O2672/N2672,0)</f>
        <v/>
      </c>
      <c r="T2672" t="n">
        <v>0</v>
      </c>
      <c r="V2672" t="n">
        <v>0</v>
      </c>
    </row>
    <row r="2673">
      <c r="A2673">
        <f>Skills!A14</f>
        <v/>
      </c>
      <c r="B2673">
        <f>Skills!B14</f>
        <v/>
      </c>
      <c r="C2673">
        <f>Inputs!$B$3&gt;=107</f>
        <v/>
      </c>
      <c r="D2673">
        <f>IF(Skills!C14=1,60+Inputs!$B$25+Inputs!$B$29,IF(Skills!C14=2,90+Inputs!$B$26+Inputs!$B$29,IF(Skills!C14=3,120+Inputs!$B$27+Inputs!$B$29,MAX(0,(Inputs!$B$3-100)*3)+Inputs!$B$28+Inputs!$B$29)))</f>
        <v/>
      </c>
      <c r="E2673">
        <f>INDEX(FactorTable!$B$2:$Y$301, MATCH(ROUND(MIN(300,MAX(1,D2673)),0), FactorTable!$A$2:$A$301,0), Skills!M14+1)</f>
        <v/>
      </c>
      <c r="F2673">
        <f>IF(Skills!N14=TRUE,(Skills!L14/10)*(E2673/1000),Skills!L14/10)+Skills!O14</f>
        <v/>
      </c>
      <c r="G2673">
        <f>Skills!G14*IF(Skills!H14&gt;0,Skills!I14/Skills!H14,1)</f>
        <v/>
      </c>
      <c r="H2673">
        <f>1-(1-Skills!J14/100)^Skills!K14</f>
        <v/>
      </c>
      <c r="I2673" t="inlineStr">
        <is>
          <t>1</t>
        </is>
      </c>
      <c r="J2673" t="inlineStr"/>
      <c r="K2673" t="inlineStr"/>
      <c r="L2673" t="inlineStr"/>
      <c r="M2673" t="inlineStr"/>
      <c r="N2673" t="inlineStr"/>
      <c r="O2673">
        <f>(1-Summary!$B$11)*T2673+Summary!$B$11*V2673</f>
        <v/>
      </c>
      <c r="P2673">
        <f>IF(B2695=0,0,O2673/B2695)</f>
        <v/>
      </c>
      <c r="Q2673" t="n">
        <v>0</v>
      </c>
      <c r="R2673" t="n">
        <v>0</v>
      </c>
      <c r="S2673">
        <f>IFERROR(O2673/N2673,0)</f>
        <v/>
      </c>
      <c r="T2673" t="n">
        <v>0</v>
      </c>
      <c r="V2673" t="n">
        <v>0</v>
      </c>
    </row>
    <row r="2674">
      <c r="A2674">
        <f>Skills!A15</f>
        <v/>
      </c>
      <c r="B2674">
        <f>Skills!B15</f>
        <v/>
      </c>
      <c r="C2674">
        <f>Inputs!$B$3&gt;=115</f>
        <v/>
      </c>
      <c r="D2674">
        <f>IF(Skills!C15=1,60+Inputs!$B$25+Inputs!$B$29,IF(Skills!C15=2,90+Inputs!$B$26+Inputs!$B$29,IF(Skills!C15=3,120+Inputs!$B$27+Inputs!$B$29,MAX(0,(Inputs!$B$3-100)*3)+Inputs!$B$28+Inputs!$B$29)))</f>
        <v/>
      </c>
      <c r="E2674">
        <f>INDEX(FactorTable!$B$2:$Y$301, MATCH(ROUND(MIN(300,MAX(1,D2674)),0), FactorTable!$A$2:$A$301,0), Skills!M15+1)</f>
        <v/>
      </c>
      <c r="F2674">
        <f>IF(Skills!N15=TRUE,(Skills!L15/10)*(E2674/1000),Skills!L15/10)+Skills!O15</f>
        <v/>
      </c>
      <c r="G2674">
        <f>Skills!G15*IF(Skills!H15&gt;0,Skills!I15/Skills!H15,1)</f>
        <v/>
      </c>
      <c r="H2674">
        <f>1-(1-Skills!J15/100)^Skills!K15</f>
        <v/>
      </c>
      <c r="I2674" t="inlineStr">
        <is>
          <t>1</t>
        </is>
      </c>
      <c r="J2674" t="inlineStr"/>
      <c r="K2674" t="inlineStr"/>
      <c r="L2674" t="inlineStr"/>
      <c r="M2674" t="inlineStr"/>
      <c r="N2674" t="inlineStr"/>
      <c r="O2674">
        <f>(1-Summary!$B$11)*T2674+Summary!$B$11*V2674</f>
        <v/>
      </c>
      <c r="P2674">
        <f>IF(B2695=0,0,O2674/B2695)</f>
        <v/>
      </c>
      <c r="Q2674" t="n">
        <v>0</v>
      </c>
      <c r="R2674" t="n">
        <v>0</v>
      </c>
      <c r="S2674">
        <f>IFERROR(O2674/N2674,0)</f>
        <v/>
      </c>
      <c r="T2674" t="n">
        <v>0</v>
      </c>
      <c r="V2674" t="n">
        <v>0</v>
      </c>
    </row>
    <row r="2675">
      <c r="A2675">
        <f>Skills!A16</f>
        <v/>
      </c>
      <c r="B2675">
        <f>Skills!B16</f>
        <v/>
      </c>
      <c r="C2675">
        <f>Inputs!$B$3&gt;=15</f>
        <v/>
      </c>
      <c r="D2675">
        <f>IF(Skills!C16=1,60+Inputs!$B$25+Inputs!$B$29,IF(Skills!C16=2,90+Inputs!$B$26+Inputs!$B$29,IF(Skills!C16=3,120+Inputs!$B$27+Inputs!$B$29,MAX(0,(Inputs!$B$3-100)*3)+Inputs!$B$28+Inputs!$B$29)))</f>
        <v/>
      </c>
      <c r="E2675">
        <f>INDEX(FactorTable!$B$2:$Y$301, MATCH(ROUND(MIN(300,MAX(1,D2675)),0), FactorTable!$A$2:$A$301,0), Skills!M16+1)</f>
        <v/>
      </c>
      <c r="F2675">
        <f>IF(Skills!N16=TRUE,(Skills!L16/10)*(E2675/1000),Skills!L16/10)+Skills!O16</f>
        <v/>
      </c>
      <c r="G2675">
        <f>Skills!G16*IF(Skills!H16&gt;0,Skills!I16/Skills!H16,1)</f>
        <v/>
      </c>
      <c r="H2675">
        <f>1-(1-Skills!J16/100)^Skills!K16</f>
        <v/>
      </c>
      <c r="I2675" t="inlineStr">
        <is>
          <t>1</t>
        </is>
      </c>
      <c r="J2675" t="inlineStr"/>
      <c r="K2675" t="inlineStr"/>
      <c r="L2675" t="inlineStr"/>
      <c r="M2675" t="inlineStr"/>
      <c r="N2675" t="inlineStr"/>
      <c r="O2675">
        <f>(1-Summary!$B$11)*T2675+Summary!$B$11*V2675</f>
        <v/>
      </c>
      <c r="P2675">
        <f>IF(B2695=0,0,O2675/B2695)</f>
        <v/>
      </c>
      <c r="Q2675" t="n">
        <v>0</v>
      </c>
      <c r="R2675" t="n">
        <v>0</v>
      </c>
      <c r="S2675">
        <f>IFERROR(O2675/N2675,0)</f>
        <v/>
      </c>
      <c r="T2675" t="n">
        <v>0</v>
      </c>
      <c r="V2675" t="n">
        <v>0</v>
      </c>
    </row>
    <row r="2676">
      <c r="A2676">
        <f>Skills!A17</f>
        <v/>
      </c>
      <c r="B2676">
        <f>Skills!B17</f>
        <v/>
      </c>
      <c r="C2676">
        <f>Inputs!$B$3&gt;=10</f>
        <v/>
      </c>
      <c r="D2676">
        <f>IF(Skills!C17=1,60+Inputs!$B$25+Inputs!$B$29,IF(Skills!C17=2,90+Inputs!$B$26+Inputs!$B$29,IF(Skills!C17=3,120+Inputs!$B$27+Inputs!$B$29,MAX(0,(Inputs!$B$3-100)*3)+Inputs!$B$28+Inputs!$B$29)))</f>
        <v/>
      </c>
      <c r="E2676">
        <f>INDEX(FactorTable!$B$2:$Y$301, MATCH(ROUND(MIN(300,MAX(1,D2676)),0), FactorTable!$A$2:$A$301,0), Skills!M17+1)</f>
        <v/>
      </c>
      <c r="F2676">
        <f>IF(Skills!N17=TRUE,(Skills!L17/10)*(E2676/1000),Skills!L17/10)+Skills!O17</f>
        <v/>
      </c>
      <c r="G2676">
        <f>Skills!G17*IF(Skills!H17&gt;0,Skills!I17/Skills!H17,1)</f>
        <v/>
      </c>
      <c r="H2676">
        <f>1-(1-Skills!J17/100)^Skills!K17</f>
        <v/>
      </c>
      <c r="I2676" t="inlineStr">
        <is>
          <t>1</t>
        </is>
      </c>
      <c r="J2676" t="inlineStr"/>
      <c r="K2676" t="inlineStr"/>
      <c r="L2676" t="inlineStr"/>
      <c r="M2676" t="inlineStr"/>
      <c r="N2676" t="inlineStr"/>
      <c r="O2676">
        <f>(1-Summary!$B$11)*T2676+Summary!$B$11*V2676</f>
        <v/>
      </c>
      <c r="P2676">
        <f>IF(B2695=0,0,O2676/B2695)</f>
        <v/>
      </c>
      <c r="Q2676" t="n">
        <v>0</v>
      </c>
      <c r="R2676" t="n">
        <v>0</v>
      </c>
      <c r="S2676">
        <f>IFERROR(O2676/N2676,0)</f>
        <v/>
      </c>
      <c r="T2676" t="n">
        <v>0</v>
      </c>
      <c r="V2676" t="n">
        <v>0</v>
      </c>
    </row>
    <row r="2677">
      <c r="A2677">
        <f>Skills!A18</f>
        <v/>
      </c>
      <c r="B2677">
        <f>Skills!B18</f>
        <v/>
      </c>
      <c r="C2677">
        <f>Inputs!$B$3&gt;=33</f>
        <v/>
      </c>
      <c r="D2677">
        <f>IF(Skills!C18=1,60+Inputs!$B$25+Inputs!$B$29,IF(Skills!C18=2,90+Inputs!$B$26+Inputs!$B$29,IF(Skills!C18=3,120+Inputs!$B$27+Inputs!$B$29,MAX(0,(Inputs!$B$3-100)*3)+Inputs!$B$28+Inputs!$B$29)))</f>
        <v/>
      </c>
      <c r="E2677">
        <f>INDEX(FactorTable!$B$2:$Y$301, MATCH(ROUND(MIN(300,MAX(1,D2677)),0), FactorTable!$A$2:$A$301,0), Skills!M18+1)</f>
        <v/>
      </c>
      <c r="F2677">
        <f>IF(Skills!N18=TRUE,(Skills!L18/10)*(E2677/1000),Skills!L18/10)+Skills!O18</f>
        <v/>
      </c>
      <c r="G2677">
        <f>Skills!G18*IF(Skills!H18&gt;0,Skills!I18/Skills!H18,1)</f>
        <v/>
      </c>
      <c r="H2677">
        <f>1-(1-Skills!J18/100)^Skills!K18</f>
        <v/>
      </c>
      <c r="I2677" t="inlineStr">
        <is>
          <t>1</t>
        </is>
      </c>
      <c r="J2677" t="inlineStr"/>
      <c r="K2677" t="inlineStr"/>
      <c r="L2677" t="inlineStr"/>
      <c r="M2677" t="inlineStr"/>
      <c r="N2677" t="inlineStr"/>
      <c r="O2677">
        <f>(1-Summary!$B$11)*T2677+Summary!$B$11*V2677</f>
        <v/>
      </c>
      <c r="P2677">
        <f>IF(B2695=0,0,O2677/B2695)</f>
        <v/>
      </c>
      <c r="Q2677" t="n">
        <v>0</v>
      </c>
      <c r="R2677" t="n">
        <v>0</v>
      </c>
      <c r="S2677">
        <f>IFERROR(O2677/N2677,0)</f>
        <v/>
      </c>
      <c r="T2677" t="n">
        <v>0</v>
      </c>
      <c r="V2677" t="n">
        <v>0</v>
      </c>
    </row>
    <row r="2678">
      <c r="A2678">
        <f>Skills!A19</f>
        <v/>
      </c>
      <c r="B2678">
        <f>Skills!B19</f>
        <v/>
      </c>
      <c r="C2678">
        <f>Inputs!$B$3&gt;=40</f>
        <v/>
      </c>
      <c r="D2678">
        <f>IF(Skills!C19=1,60+Inputs!$B$25+Inputs!$B$29,IF(Skills!C19=2,90+Inputs!$B$26+Inputs!$B$29,IF(Skills!C19=3,120+Inputs!$B$27+Inputs!$B$29,MAX(0,(Inputs!$B$3-100)*3)+Inputs!$B$28+Inputs!$B$29)))</f>
        <v/>
      </c>
      <c r="E2678">
        <f>INDEX(FactorTable!$B$2:$Y$301, MATCH(ROUND(MIN(300,MAX(1,D2678)),0), FactorTable!$A$2:$A$301,0), Skills!M19+1)</f>
        <v/>
      </c>
      <c r="F2678">
        <f>IF(Skills!N19=TRUE,(Skills!L19/10)*(E2678/1000),Skills!L19/10)+Skills!O19</f>
        <v/>
      </c>
      <c r="G2678">
        <f>Skills!G19*IF(Skills!H19&gt;0,Skills!I19/Skills!H19,1)</f>
        <v/>
      </c>
      <c r="H2678">
        <f>1-(1-Skills!J19/100)^Skills!K19</f>
        <v/>
      </c>
      <c r="I2678" t="inlineStr">
        <is>
          <t>1</t>
        </is>
      </c>
      <c r="J2678" t="inlineStr"/>
      <c r="K2678" t="inlineStr"/>
      <c r="L2678" t="inlineStr"/>
      <c r="M2678" t="inlineStr"/>
      <c r="N2678" t="inlineStr"/>
      <c r="O2678">
        <f>(1-Summary!$B$11)*T2678+Summary!$B$11*V2678</f>
        <v/>
      </c>
      <c r="P2678">
        <f>IF(B2695=0,0,O2678/B2695)</f>
        <v/>
      </c>
      <c r="Q2678" t="n">
        <v>0</v>
      </c>
      <c r="R2678" t="n">
        <v>0</v>
      </c>
      <c r="S2678">
        <f>IFERROR(O2678/N2678,0)</f>
        <v/>
      </c>
      <c r="T2678" t="n">
        <v>0</v>
      </c>
      <c r="V2678" t="n">
        <v>0</v>
      </c>
    </row>
    <row r="2679">
      <c r="A2679">
        <f>Skills!A20</f>
        <v/>
      </c>
      <c r="B2679">
        <f>Skills!B20</f>
        <v/>
      </c>
      <c r="C2679">
        <f>Inputs!$B$3&gt;=43</f>
        <v/>
      </c>
      <c r="D2679">
        <f>IF(Skills!C20=1,60+Inputs!$B$25+Inputs!$B$29,IF(Skills!C20=2,90+Inputs!$B$26+Inputs!$B$29,IF(Skills!C20=3,120+Inputs!$B$27+Inputs!$B$29,MAX(0,(Inputs!$B$3-100)*3)+Inputs!$B$28+Inputs!$B$29)))</f>
        <v/>
      </c>
      <c r="E2679">
        <f>INDEX(FactorTable!$B$2:$Y$301, MATCH(ROUND(MIN(300,MAX(1,D2679)),0), FactorTable!$A$2:$A$301,0), Skills!M20+1)</f>
        <v/>
      </c>
      <c r="F2679">
        <f>IF(Skills!N20=TRUE,(Skills!L20/10)*(E2679/1000),Skills!L20/10)+Skills!O20</f>
        <v/>
      </c>
      <c r="G2679">
        <f>Skills!G20*IF(Skills!H20&gt;0,Skills!I20/Skills!H20,1)</f>
        <v/>
      </c>
      <c r="H2679">
        <f>1-(1-Skills!J20/100)^Skills!K20</f>
        <v/>
      </c>
      <c r="I2679" t="inlineStr">
        <is>
          <t>1</t>
        </is>
      </c>
      <c r="J2679" t="inlineStr"/>
      <c r="K2679" t="inlineStr"/>
      <c r="L2679" t="inlineStr"/>
      <c r="M2679" t="inlineStr"/>
      <c r="N2679" t="inlineStr"/>
      <c r="O2679">
        <f>(1-Summary!$B$11)*T2679+Summary!$B$11*V2679</f>
        <v/>
      </c>
      <c r="P2679">
        <f>IF(B2695=0,0,O2679/B2695)</f>
        <v/>
      </c>
      <c r="Q2679" t="n">
        <v>0</v>
      </c>
      <c r="R2679" t="n">
        <v>0</v>
      </c>
      <c r="S2679">
        <f>IFERROR(O2679/N2679,0)</f>
        <v/>
      </c>
      <c r="T2679" t="n">
        <v>0</v>
      </c>
      <c r="V2679" t="n">
        <v>0</v>
      </c>
    </row>
    <row r="2680">
      <c r="A2680">
        <f>Skills!A21</f>
        <v/>
      </c>
      <c r="B2680">
        <f>Skills!B21</f>
        <v/>
      </c>
      <c r="C2680">
        <f>Inputs!$B$3&gt;=38</f>
        <v/>
      </c>
      <c r="D2680">
        <f>IF(Skills!C21=1,60+Inputs!$B$25+Inputs!$B$29,IF(Skills!C21=2,90+Inputs!$B$26+Inputs!$B$29,IF(Skills!C21=3,120+Inputs!$B$27+Inputs!$B$29,MAX(0,(Inputs!$B$3-100)*3)+Inputs!$B$28+Inputs!$B$29)))</f>
        <v/>
      </c>
      <c r="E2680">
        <f>INDEX(FactorTable!$B$2:$Y$301, MATCH(ROUND(MIN(300,MAX(1,D2680)),0), FactorTable!$A$2:$A$301,0), Skills!M21+1)</f>
        <v/>
      </c>
      <c r="F2680">
        <f>IF(Skills!N21=TRUE,(Skills!L21/10)*(E2680/1000),Skills!L21/10)+Skills!O21</f>
        <v/>
      </c>
      <c r="G2680">
        <f>Skills!G21*IF(Skills!H21&gt;0,Skills!I21/Skills!H21,1)</f>
        <v/>
      </c>
      <c r="H2680">
        <f>1-(1-Skills!J21/100)^Skills!K21</f>
        <v/>
      </c>
      <c r="I2680" t="inlineStr">
        <is>
          <t>1</t>
        </is>
      </c>
      <c r="J2680" t="inlineStr"/>
      <c r="K2680" t="inlineStr"/>
      <c r="L2680" t="inlineStr"/>
      <c r="M2680" t="inlineStr"/>
      <c r="N2680" t="inlineStr"/>
      <c r="O2680">
        <f>(1-Summary!$B$11)*T2680+Summary!$B$11*V2680</f>
        <v/>
      </c>
      <c r="P2680">
        <f>IF(B2695=0,0,O2680/B2695)</f>
        <v/>
      </c>
      <c r="Q2680" t="n">
        <v>0</v>
      </c>
      <c r="R2680" t="n">
        <v>0</v>
      </c>
      <c r="S2680">
        <f>IFERROR(O2680/N2680,0)</f>
        <v/>
      </c>
      <c r="T2680" t="n">
        <v>0</v>
      </c>
      <c r="V2680" t="n">
        <v>0</v>
      </c>
    </row>
    <row r="2681">
      <c r="A2681">
        <f>Skills!A22</f>
        <v/>
      </c>
      <c r="B2681">
        <f>Skills!B22</f>
        <v/>
      </c>
      <c r="C2681">
        <f>Inputs!$B$3&gt;=75</f>
        <v/>
      </c>
      <c r="D2681">
        <f>IF(Skills!C22=1,60+Inputs!$B$25+Inputs!$B$29,IF(Skills!C22=2,90+Inputs!$B$26+Inputs!$B$29,IF(Skills!C22=3,120+Inputs!$B$27+Inputs!$B$29,MAX(0,(Inputs!$B$3-100)*3)+Inputs!$B$28+Inputs!$B$29)))</f>
        <v/>
      </c>
      <c r="E2681">
        <f>INDEX(FactorTable!$B$2:$Y$301, MATCH(ROUND(MIN(300,MAX(1,D2681)),0), FactorTable!$A$2:$A$301,0), Skills!M22+1)</f>
        <v/>
      </c>
      <c r="F2681">
        <f>IF(Skills!N22=TRUE,(Skills!L22/10)*(E2681/1000),Skills!L22/10)+Skills!O22</f>
        <v/>
      </c>
      <c r="G2681">
        <f>Skills!G22*IF(Skills!H22&gt;0,Skills!I22/Skills!H22,1)</f>
        <v/>
      </c>
      <c r="H2681">
        <f>1-(1-Skills!J22/100)^Skills!K22</f>
        <v/>
      </c>
      <c r="I2681" t="inlineStr">
        <is>
          <t>1</t>
        </is>
      </c>
      <c r="J2681" t="inlineStr"/>
      <c r="K2681" t="inlineStr"/>
      <c r="L2681" t="inlineStr"/>
      <c r="M2681" t="inlineStr"/>
      <c r="N2681" t="inlineStr"/>
      <c r="O2681">
        <f>(1-Summary!$B$11)*T2681+Summary!$B$11*V2681</f>
        <v/>
      </c>
      <c r="P2681">
        <f>IF(B2695=0,0,O2681/B2695)</f>
        <v/>
      </c>
      <c r="Q2681" t="n">
        <v>0</v>
      </c>
      <c r="R2681" t="n">
        <v>0</v>
      </c>
      <c r="S2681">
        <f>IFERROR(O2681/N2681,0)</f>
        <v/>
      </c>
      <c r="T2681" t="n">
        <v>0</v>
      </c>
      <c r="V2681" t="n">
        <v>0</v>
      </c>
    </row>
    <row r="2682">
      <c r="A2682">
        <f>Skills!A23</f>
        <v/>
      </c>
      <c r="B2682">
        <f>Skills!B23</f>
        <v/>
      </c>
      <c r="C2682">
        <f>TRUE</f>
        <v/>
      </c>
      <c r="D2682">
        <f>IF(Skills!C23=1,60+Inputs!$B$25+Inputs!$B$29,IF(Skills!C23=2,90+Inputs!$B$26+Inputs!$B$29,IF(Skills!C23=3,120+Inputs!$B$27+Inputs!$B$29,MAX(0,(Inputs!$B$3-100)*3)+Inputs!$B$28+Inputs!$B$29)))</f>
        <v/>
      </c>
      <c r="E2682">
        <f>INDEX(FactorTable!$B$2:$Y$301, MATCH(ROUND(MIN(300,MAX(1,D2682)),0), FactorTable!$A$2:$A$301,0), Skills!M23+1)</f>
        <v/>
      </c>
      <c r="F2682">
        <f>IF(Skills!N23=TRUE,(Skills!L23/10)*(E2682/1000),Skills!L23/10)+Skills!O23</f>
        <v/>
      </c>
      <c r="G2682">
        <f>Skills!G23*IF(Skills!H23&gt;0,Skills!I23/Skills!H23,1)</f>
        <v/>
      </c>
      <c r="H2682">
        <f>1-(1-Skills!J23/100)^Skills!K23</f>
        <v/>
      </c>
      <c r="I2682" t="inlineStr">
        <is>
          <t>1</t>
        </is>
      </c>
      <c r="J2682" t="inlineStr"/>
      <c r="K2682" t="inlineStr"/>
      <c r="L2682" t="inlineStr"/>
      <c r="M2682" t="inlineStr"/>
      <c r="N2682" t="inlineStr"/>
      <c r="O2682">
        <f>(1-Summary!$B$11)*T2682+Summary!$B$11*V2682</f>
        <v/>
      </c>
      <c r="P2682">
        <f>IF(B2695=0,0,O2682/B2695)</f>
        <v/>
      </c>
      <c r="Q2682">
        <f>IFERROR(1/(IF(Inputs!$B$38="pvp",15,MAX(0.1,Skills!D23-IF(Skills!E23=TRUE,2.5,0)))*(1-IF(AND(ArtifactsInput!$M$27,Inputs!$B$4="Chapter Hunt"),CHOOSE(ArtifactsInput!$N$27+1,20,24,28,32,36,40),0)/100)),0)</f>
        <v/>
      </c>
      <c r="R2682">
        <f>IF(AND(Inputs!$B$38&lt;&gt;"pvp",Inputs!$B$43&gt;0),IF(Inputs!$B$43&lt;=0,0,(INT(Inputs!$B$43/(IF(Inputs!$B$38="pvp",15,MAX(0.1,Skills!D23-IF(Skills!E23=TRUE,2.5,0)))*(1-IF(AND(ArtifactsInput!$M$27,Inputs!$B$4="Chapter Hunt"),CHOOSE(ArtifactsInput!$N$27+1,20,24,28,32,36,40),0)/100)))+1)),0)</f>
        <v/>
      </c>
      <c r="S2682">
        <f>IFERROR(O2682/N2682,0)</f>
        <v/>
      </c>
      <c r="T2682" t="n">
        <v>0</v>
      </c>
      <c r="V2682" t="n">
        <v>0</v>
      </c>
    </row>
    <row r="2684">
      <c r="A2684" t="inlineStr">
        <is>
          <t>Attack% Bucket Multiplier</t>
        </is>
      </c>
      <c r="B2684">
        <f>(1+(((C2672=TRUE)*F2672*5/7)+((C2678=TRUE)*(F2678-Calc!F19))+(IF(ArtifactsInput!$M$21,CHOOSE(ArtifactsInput!$N$21+1,25,30,35,40,45,50)*(IF(OR(Inputs!$B$4="Chapter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5">
      <c r="A2685" t="inlineStr">
        <is>
          <t>Global Crit Rate Bonus %</t>
        </is>
      </c>
      <c r="B2685" t="n">
        <v>0</v>
      </c>
    </row>
    <row r="2686">
      <c r="A2686" t="inlineStr">
        <is>
          <t>Attack Speed Buff Bonus % (Nimble Feet, duty-cycle averaged)</t>
        </is>
      </c>
      <c r="B2686">
        <f>((C2682=TRUE)*F2682*IF(AND(Inputs!$B$38&lt;&gt;"pvp",Inputs!$B$43&gt;0),(((R2682-1)*(Skills!T23*(1+Inputs!$B$34/100))+MIN((Skills!T23*(1+Inputs!$B$34/100)),MAX(0,Inputs!$B$43-((R2682-1)*Skills!D23))))/Inputs!$B$43),IF(Inputs!$B$38="pvp",MIN((Skills!T23*(1+Inputs!$B$34/100)),15)/15,(Skills!T23*(1+Inputs!$B$34/100))/Skills!D23)))</f>
        <v/>
      </c>
    </row>
    <row r="2687">
      <c r="A2687" t="inlineStr">
        <is>
          <t>Actions Per Second</t>
        </is>
      </c>
      <c r="B2687">
        <f>1+MIN(150,150*(1-(1-(Inputs!$B$11+((C2676=TRUE)*(F2676-Calc!F17))+((C2677=TRUE)*(F2677-Calc!F18)))/150)*(1-B2686/150)))/100</f>
        <v/>
      </c>
    </row>
    <row r="2688">
      <c r="A2688" t="inlineStr">
        <is>
          <t>Skill + Buff Cast Rate</t>
        </is>
      </c>
      <c r="B2688">
        <f>IF(AND(Inputs!$B$38&lt;&gt;"pvp",Inputs!$B$43&gt;0),SUMPRODUCT((Skills!E2:E23=TRUE)*(C2661:C2682=TRUE)*R2661:R2682*Skills!F2:F23)/Inputs!$B$43,SUMPRODUCT((Skills!E2:E23=TRUE)*(C2661:C2682=TRUE)*Q2661:Q2682*Skills!F2:F23))</f>
        <v/>
      </c>
    </row>
    <row r="2689">
      <c r="A2689" t="inlineStr">
        <is>
          <t>Hook Bomber Casts Per Second</t>
        </is>
      </c>
      <c r="B2689">
        <f>MAX(0,B2687-B2688)</f>
        <v/>
      </c>
    </row>
    <row r="2690">
      <c r="A2690" t="inlineStr">
        <is>
          <t>Global Critical Damage Bonus % (unused)</t>
        </is>
      </c>
      <c r="B2690" t="n">
        <v>0</v>
      </c>
    </row>
    <row r="2691">
      <c r="A2691" t="inlineStr">
        <is>
          <t>Global Final Damage Bonus % (Serpent Scale + Crossbones + Time Leap + Speed Infusion)</t>
        </is>
      </c>
      <c r="B2691">
        <f>((C2664=TRUE)*F2664*((10+IF(Inputs!$B$3&gt;=94,5,0))/((10+IF(Inputs!$B$3&gt;=94,5,0))+5/(B2689*(1+IF(Inputs!$B$3&gt;=104,1,0))))))+((C2673=TRUE)*F2673)+((C2674=TRUE)*F2674)+((Inputs!$B$3&gt;=110)*20*(B2687-1))</f>
        <v/>
      </c>
    </row>
    <row r="2692">
      <c r="A2692" t="inlineStr">
        <is>
          <t>Buff-Casting Startup Delay (s, fixed-duration only)</t>
        </is>
      </c>
      <c r="B2692">
        <f>IF(AND(Inputs!$B$38&lt;&gt;"pvp",Inputs!$B$43&gt;0),SUMPRODUCT((Skills!T2:T23&gt;0)*(Skills!E2:E23=TRUE)*(C2661:C2682=TRUE))/B2687,0)</f>
        <v/>
      </c>
    </row>
    <row r="2693">
      <c r="A2693" t="inlineStr">
        <is>
          <t>Boss-Only Total DPS (this block's swept value)</t>
        </is>
      </c>
      <c r="B2693">
        <f>SUM(T2661:T2682)</f>
        <v/>
      </c>
    </row>
    <row r="2694">
      <c r="A2694" t="inlineStr">
        <is>
          <t>Normal-Only Total DPS (this block's swept value)</t>
        </is>
      </c>
      <c r="B2694">
        <f>SUM(V2661:V2682)</f>
        <v/>
      </c>
    </row>
    <row r="2695">
      <c r="A2695" s="6" t="inlineStr">
        <is>
          <t>TOTAL DPS</t>
        </is>
      </c>
      <c r="B2695" s="6">
        <f>SUM(O2661:O2682)</f>
        <v/>
      </c>
    </row>
    <row r="2698">
      <c r="A2698" s="6" t="inlineStr">
        <is>
          <t>Stat: CDR = 3.0s</t>
        </is>
      </c>
    </row>
    <row r="2699">
      <c r="A2699" s="5" t="inlineStr">
        <is>
          <t>Key</t>
        </is>
      </c>
      <c r="B2699" s="5" t="inlineStr">
        <is>
          <t>Name</t>
        </is>
      </c>
      <c r="C2699" s="5" t="inlineStr">
        <is>
          <t>Unlocked</t>
        </is>
      </c>
      <c r="D2699" s="5" t="inlineStr">
        <is>
          <t>InputLevel</t>
        </is>
      </c>
      <c r="E2699" s="5" t="inlineStr">
        <is>
          <t>Factor</t>
        </is>
      </c>
      <c r="F2699" s="5" t="inlineStr">
        <is>
          <t>CoefficientPercent</t>
        </is>
      </c>
      <c r="G2699" s="5" t="inlineStr">
        <is>
          <t>EffectiveHits</t>
        </is>
      </c>
      <c r="H2699" s="5" t="inlineStr">
        <is>
          <t>ProcProbability</t>
        </is>
      </c>
      <c r="I2699" s="5" t="inlineStr">
        <is>
          <t>MapleHeroMultiplier</t>
        </is>
      </c>
      <c r="J2699" s="5" t="inlineStr">
        <is>
          <t>BaseDamage</t>
        </is>
      </c>
      <c r="K2699" s="5" t="inlineStr">
        <is>
          <t>BaseHitDamage</t>
        </is>
      </c>
      <c r="L2699" s="5" t="inlineStr">
        <is>
          <t>NonCritAvg</t>
        </is>
      </c>
      <c r="M2699" s="5" t="inlineStr">
        <is>
          <t>CritAvg</t>
        </is>
      </c>
      <c r="N2699" s="5" t="inlineStr">
        <is>
          <t>ExpectedDamage(perHit)</t>
        </is>
      </c>
      <c r="O2699" s="5" t="inlineStr">
        <is>
          <t>DPS</t>
        </is>
      </c>
      <c r="P2699" s="5" t="inlineStr">
        <is>
          <t>% of Total</t>
        </is>
      </c>
      <c r="Q2699" s="5" t="inlineStr">
        <is>
          <t>InvCooldown</t>
        </is>
      </c>
      <c r="R2699" s="5" t="inlineStr">
        <is>
          <t>CastsInFight</t>
        </is>
      </c>
      <c r="S2699" s="5" t="inlineStr">
        <is>
          <t>HitRate(perSec)</t>
        </is>
      </c>
      <c r="U2699" t="inlineStr">
        <is>
          <t>helpers</t>
        </is>
      </c>
    </row>
    <row r="2700">
      <c r="A2700">
        <f>Skills!A2</f>
        <v/>
      </c>
      <c r="B2700">
        <f>Skills!B2</f>
        <v/>
      </c>
      <c r="C2700">
        <f>Inputs!$B$3&gt;=100</f>
        <v/>
      </c>
      <c r="D2700" t="inlineStr"/>
      <c r="E2700" t="inlineStr"/>
      <c r="F2700">
        <f>U2702+Skills!O2</f>
        <v/>
      </c>
      <c r="G2700">
        <f>Skills!G2*IF(Skills!H2&gt;0,Skills!I2/Skills!H2,1)</f>
        <v/>
      </c>
      <c r="H2700">
        <f>1-(1-Skills!J2/100)^Skills!K2</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2718=TRUE)*(F2718-Calc!F20)),(Inputs!$B$23+0+(IF(ArtifactsInput!$M$15,CHOOSE(ArtifactsInput!$N$15+1,25,30,35,40,45,50)/100*(Inputs!$B$11-Inputs!$B$11),0))))/100+(Inputs!$B$23+0+(IF(ArtifactsInput!$M$15,CHOOSE(ArtifactsInput!$N$15+1,25,30,35,40,45,50)/100*(Inputs!$B$11-Inputs!$B$11),0)))/100)/2</f>
        <v/>
      </c>
      <c r="M2700">
        <f>L2700*(1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t="n">
        <v>0</v>
      </c>
      <c r="R2700" t="n">
        <v>0</v>
      </c>
      <c r="S2700">
        <f>IFERROR(O2700/N2700,0)</f>
        <v/>
      </c>
      <c r="T2700">
        <f>IF(C2700,(Skills!G2*N2700*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0">
        <f>MAX(0,(Inputs!$B$3-100)*3)+Inputs!$B$28+Inputs!$B$29</f>
        <v/>
      </c>
      <c r="V2700">
        <f>IF(C2700,(Skills!G2*N2700*B2728)*IF(Inputs!$B$38="pvp",1,(1+(Inputs!$B$21+Skills!Q2+(IF(ArtifactsInput!$M$33,CHOOSE(ArtifactsInput!$N$33+1,30,36,42,48,54,60),0))+(IF(AND(ArtifactsInput!$M$35,Inputs!$B$4&lt;&gt;"Chapter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Skills!A3</f>
        <v/>
      </c>
      <c r="B2701">
        <f>Skills!B3</f>
        <v/>
      </c>
      <c r="C2701">
        <f>Inputs!$B$3&gt;=35</f>
        <v/>
      </c>
      <c r="D2701">
        <f>IF(Skills!C3=1,60+Inputs!$B$25+Inputs!$B$29,IF(Skills!C3=2,90+Inputs!$B$26+Inputs!$B$29,IF(Skills!C3=3,120+Inputs!$B$27+Inputs!$B$29,MAX(0,(Inputs!$B$3-100)*3)+Inputs!$B$28+Inputs!$B$29)))</f>
        <v/>
      </c>
      <c r="E2701">
        <f>INDEX(FactorTable!$B$2:$Y$301, MATCH(ROUND(MIN(300,MAX(1,D2701)),0), FactorTable!$A$2:$A$301,0), Skills!M3+1)</f>
        <v/>
      </c>
      <c r="F2701">
        <f>IF(Skills!N3=TRUE,(Skills!L3/10)*(E2701/1000),Skills!L3/10)+Skills!O3</f>
        <v/>
      </c>
      <c r="G2701">
        <f>Skills!G3*IF(Skills!H3&gt;0,Skills!I3/Skills!H3,1)</f>
        <v/>
      </c>
      <c r="H2701">
        <f>1-(1-Skills!J3/100)^Skills!K3</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2718=TRUE)*(F2718-Calc!F20)),(Inputs!$B$23+0+(IF(ArtifactsInput!$M$15,CHOOSE(ArtifactsInput!$N$15+1,25,30,35,40,45,50)/100*(Inputs!$B$11-Inputs!$B$11),0))))/100+(Inputs!$B$23+0+(IF(ArtifactsInput!$M$15,CHOOSE(ArtifactsInput!$N$15+1,25,30,35,40,45,50)/100*(Inputs!$B$11-Inputs!$B$11),0)))/100)/2</f>
        <v/>
      </c>
      <c r="M2701">
        <f>L2701*(1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t="n">
        <v>0</v>
      </c>
      <c r="R2701" t="n">
        <v>0</v>
      </c>
      <c r="S2701">
        <f>IFERROR(O2701/N2701,0)</f>
        <v/>
      </c>
      <c r="T2701">
        <f>IF(C2701,(Skills!G3*H2701*N2701*B2728)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1">
        <f>INDEX(FactorTable!$B$2:$Y$301, MATCH(ROUND(MIN(300,MAX(1,U2700)),0), FactorTable!$A$2:$A$301,0), 22)</f>
        <v/>
      </c>
      <c r="V2701">
        <f>IF(C2701,(Skills!G3*H2701*N2701*B2728)*IF(Inputs!$B$38="pvp",1,(1+(Inputs!$B$21+Skills!Q3+(IF(ArtifactsInput!$M$33,CHOOSE(ArtifactsInput!$N$33+1,30,36,42,48,54,60),0))+(IF(AND(ArtifactsInput!$M$35,Inputs!$B$4&lt;&gt;"Chapter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Skills!A4</f>
        <v/>
      </c>
      <c r="B2702">
        <f>Skills!B4</f>
        <v/>
      </c>
      <c r="C2702">
        <f>Inputs!$B$3&gt;=60</f>
        <v/>
      </c>
      <c r="D2702">
        <f>IF(Skills!C4=1,60+Inputs!$B$25+Inputs!$B$29,IF(Skills!C4=2,90+Inputs!$B$26+Inputs!$B$29,IF(Skills!C4=3,120+Inputs!$B$27+Inputs!$B$29,MAX(0,(Inputs!$B$3-100)*3)+Inputs!$B$28+Inputs!$B$29)))</f>
        <v/>
      </c>
      <c r="E2702">
        <f>INDEX(FactorTable!$B$2:$Y$301, MATCH(ROUND(MIN(300,MAX(1,D2702)),0), FactorTable!$A$2:$A$301,0), Skills!M4+1)</f>
        <v/>
      </c>
      <c r="F2702">
        <f>IF(Skills!N4=TRUE,(Skills!L4/10)*(E2702/1000),Skills!L4/10)+Skills!O4</f>
        <v/>
      </c>
      <c r="G2702">
        <f>Skills!G4*IF(Skills!H4&gt;0,Skills!I4/Skills!H4,1)</f>
        <v/>
      </c>
      <c r="H2702">
        <f>1-(1-Skills!J4/100)^Skills!K4</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2718=TRUE)*(F2718-Calc!F20)),(Inputs!$B$23+0+(IF(ArtifactsInput!$M$15,CHOOSE(ArtifactsInput!$N$15+1,25,30,35,40,45,50)/100*(Inputs!$B$11-Inputs!$B$11),0))))/100+(Inputs!$B$23+0+(IF(ArtifactsInput!$M$15,CHOOSE(ArtifactsInput!$N$15+1,25,30,35,40,45,50)/100*(Inputs!$B$11-Inputs!$B$11),0)))/100)/2</f>
        <v/>
      </c>
      <c r="M2702">
        <f>L2702*(1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t="n">
        <v>0</v>
      </c>
      <c r="R2702" t="n">
        <v>0</v>
      </c>
      <c r="S2702">
        <f>IFERROR(O2702/N2702,0)</f>
        <v/>
      </c>
      <c r="T2702">
        <f>IF(C2702,(Skills!G4*H2702*N2702*B2728)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290*U2701/1000</f>
        <v/>
      </c>
      <c r="V2702">
        <f>IF(C2702,(Skills!G4*H2702*N2702*B2728)*IF(Inputs!$B$38="pvp",1,(1+(Inputs!$B$21+Skills!Q4+(IF(ArtifactsInput!$M$33,CHOOSE(ArtifactsInput!$N$33+1,30,36,42,48,54,60),0))+(IF(AND(ArtifactsInput!$M$35,Inputs!$B$4&lt;&gt;"Chapter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Skills!A5</f>
        <v/>
      </c>
      <c r="B2703">
        <f>Skills!B5</f>
        <v/>
      </c>
      <c r="C2703">
        <f>Inputs!$B$3&gt;=60</f>
        <v/>
      </c>
      <c r="D2703">
        <f>IF(Skills!C5=1,60+Inputs!$B$25+Inputs!$B$29,IF(Skills!C5=2,90+Inputs!$B$26+Inputs!$B$29,IF(Skills!C5=3,120+Inputs!$B$27+Inputs!$B$29,MAX(0,(Inputs!$B$3-100)*3)+Inputs!$B$28+Inputs!$B$29)))</f>
        <v/>
      </c>
      <c r="E2703">
        <f>INDEX(FactorTable!$B$2:$Y$301, MATCH(ROUND(MIN(300,MAX(1,D2703)),0), FactorTable!$A$2:$A$301,0), Skills!M5+1)</f>
        <v/>
      </c>
      <c r="F2703">
        <f>IF(Skills!N5=TRUE,(Skills!L5/10)*(E2703/1000),Skills!L5/10)+Skills!O5</f>
        <v/>
      </c>
      <c r="G2703">
        <f>Skills!G5*IF(Skills!H5&gt;0,Skills!I5/Skills!H5,1)</f>
        <v/>
      </c>
      <c r="H2703">
        <f>1-(1-Skills!J5/100)^Skills!K5</f>
        <v/>
      </c>
      <c r="I2703" t="inlineStr">
        <is>
          <t>1</t>
        </is>
      </c>
      <c r="J2703" t="inlineStr"/>
      <c r="K2703" t="inlineStr"/>
      <c r="L2703" t="inlineStr"/>
      <c r="M2703" t="inlineStr"/>
      <c r="N2703" t="inlineStr"/>
      <c r="O2703">
        <f>(1-Summary!$B$11)*T2703+Summary!$B$11*V2703</f>
        <v/>
      </c>
      <c r="P2703">
        <f>IF(B2734=0,0,O2703/B2734)</f>
        <v/>
      </c>
      <c r="Q2703" t="n">
        <v>0</v>
      </c>
      <c r="R2703" t="n">
        <v>0</v>
      </c>
      <c r="S2703">
        <f>IFERROR(O2703/N2703,0)</f>
        <v/>
      </c>
      <c r="T2703" t="n">
        <v>0</v>
      </c>
      <c r="V2703" t="n">
        <v>0</v>
      </c>
    </row>
    <row r="2704">
      <c r="A2704">
        <f>Skills!A6</f>
        <v/>
      </c>
      <c r="B2704">
        <f>Skills!B6</f>
        <v/>
      </c>
      <c r="C2704">
        <f>Inputs!$B$3&gt;=63</f>
        <v/>
      </c>
      <c r="D2704">
        <f>IF(Skills!C6=1,60+Inputs!$B$25+Inputs!$B$29,IF(Skills!C6=2,90+Inputs!$B$26+Inputs!$B$29,IF(Skills!C6=3,120+Inputs!$B$27+Inputs!$B$29,MAX(0,(Inputs!$B$3-100)*3)+Inputs!$B$28+Inputs!$B$29)))</f>
        <v/>
      </c>
      <c r="E2704">
        <f>INDEX(FactorTable!$B$2:$Y$301, MATCH(ROUND(MIN(300,MAX(1,D2704)),0), FactorTable!$A$2:$A$301,0), Skills!M6+1)</f>
        <v/>
      </c>
      <c r="F2704">
        <f>IF(Skills!N6=TRUE,(Skills!L6/10)*(E2704/1000),Skills!L6/10)+Skills!O6</f>
        <v/>
      </c>
      <c r="G2704">
        <f>Skills!G6*IF(Skills!H6&gt;0,Skills!I6/Skills!H6,1)</f>
        <v/>
      </c>
      <c r="H2704">
        <f>1-(1-Skills!J6/100)^Skills!K6</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2718=TRUE)*(F2718-Calc!F20)),(Inputs!$B$23+0+(IF(ArtifactsInput!$M$15,CHOOSE(ArtifactsInput!$N$15+1,25,30,35,40,45,50)/100*(Inputs!$B$11-Inputs!$B$11),0))))/100+(Inputs!$B$23+0+(IF(ArtifactsInput!$M$15,CHOOSE(ArtifactsInput!$N$15+1,25,30,35,40,45,50)/100*(Inputs!$B$11-Inputs!$B$11),0)))/100)/2</f>
        <v/>
      </c>
      <c r="M2704">
        <f>L2704*(1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IFERROR(1/(IF(Inputs!$B$38="pvp",15,MAX(0.1,Skills!D6-IF(Skills!E6=TRUE,3.0,0)))*(1-IF(AND(ArtifactsInput!$M$27,Inputs!$B$4="Chapter Hunt"),CHOOSE(ArtifactsInput!$N$27+1,20,24,28,32,36,40),0)/100)),0)</f>
        <v/>
      </c>
      <c r="R2704">
        <f>IF(AND(Inputs!$B$38&lt;&gt;"pvp",Inputs!$B$43&gt;0),IF(MAX(0,Inputs!$B$43-B2731)&lt;=0,0,(INT(MAX(0,Inputs!$B$43-B2731)/(IF(Inputs!$B$38="pvp",15,MAX(0.1,Skills!D6-IF(Skills!E6=TRUE,3.0,0)))*(1-IF(AND(ArtifactsInput!$M$27,Inputs!$B$4="Chapter Hunt"),CHOOSE(ArtifactsInput!$N$27+1,20,24,28,32,36,40),0)/100)))+1)),0)</f>
        <v/>
      </c>
      <c r="S2704">
        <f>IFERROR(O2704/N2704,0)</f>
        <v/>
      </c>
      <c r="T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Skills!A7</f>
        <v/>
      </c>
      <c r="B2705">
        <f>Skills!B7</f>
        <v/>
      </c>
      <c r="C2705">
        <f>Inputs!$B$3&gt;=100</f>
        <v/>
      </c>
      <c r="D2705">
        <f>IF(Skills!C7=1,60+Inputs!$B$25+Inputs!$B$29,IF(Skills!C7=2,90+Inputs!$B$26+Inputs!$B$29,IF(Skills!C7=3,120+Inputs!$B$27+Inputs!$B$29,MAX(0,(Inputs!$B$3-100)*3)+Inputs!$B$28+Inputs!$B$29)))</f>
        <v/>
      </c>
      <c r="E2705">
        <f>INDEX(FactorTable!$B$2:$Y$301, MATCH(ROUND(MIN(300,MAX(1,D2705)),0), FactorTable!$A$2:$A$301,0), Skills!M7+1)</f>
        <v/>
      </c>
      <c r="F2705">
        <f>IF(Skills!N7=TRUE,(Skills!L7/10)*(E2705/1000),Skills!L7/10)+Skills!O7</f>
        <v/>
      </c>
      <c r="G2705">
        <f>Skills!G7*IF(Skills!H7&gt;0,Skills!I7/Skills!H7,1)</f>
        <v/>
      </c>
      <c r="H2705">
        <f>1-(1-Skills!J7/100)^Skills!K7</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2718=TRUE)*(F2718-Calc!F20)),(Inputs!$B$23+0+(IF(ArtifactsInput!$M$15,CHOOSE(ArtifactsInput!$N$15+1,25,30,35,40,45,50)/100*(Inputs!$B$11-Inputs!$B$11),0))))/100+(Inputs!$B$23+0+(IF(ArtifactsInput!$M$15,CHOOSE(ArtifactsInput!$N$15+1,25,30,35,40,45,50)/100*(Inputs!$B$11-Inputs!$B$11),0)))/100)/2</f>
        <v/>
      </c>
      <c r="M2705">
        <f>L2705*(1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IFERROR(1/(IF(Inputs!$B$38="pvp",15,MAX(0.1,Skills!D7-IF(Skills!E7=TRUE,3.0,0)))*(1-IF(AND(ArtifactsInput!$M$27,Inputs!$B$4="Chapter Hunt"),CHOOSE(ArtifactsInput!$N$27+1,20,24,28,32,36,40),0)/100)),0)</f>
        <v/>
      </c>
      <c r="R2705">
        <f>IF(AND(Inputs!$B$38&lt;&gt;"pvp",Inputs!$B$43&gt;0),IF(MAX(0,Inputs!$B$43-B2731)&lt;=0,0,(INT(MAX(0,Inputs!$B$43-B2731)/(IF(Inputs!$B$38="pvp",15,MAX(0.1,Skills!D7-IF(Skills!E7=TRUE,3.0,0)))*(1-IF(AND(ArtifactsInput!$M$27,Inputs!$B$4="Chapter Hunt"),CHOOSE(ArtifactsInput!$N$27+1,20,24,28,32,36,40),0)/100)))+1)),0)</f>
        <v/>
      </c>
      <c r="S2705">
        <f>IFERROR(O2705/N2705,0)</f>
        <v/>
      </c>
      <c r="T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Skills!A8</f>
        <v/>
      </c>
      <c r="B2706">
        <f>Skills!B8</f>
        <v/>
      </c>
      <c r="C2706">
        <f>Inputs!$B$3&gt;=110</f>
        <v/>
      </c>
      <c r="D2706">
        <f>IF(Skills!C8=1,60+Inputs!$B$25+Inputs!$B$29,IF(Skills!C8=2,90+Inputs!$B$26+Inputs!$B$29,IF(Skills!C8=3,120+Inputs!$B$27+Inputs!$B$29,MAX(0,(Inputs!$B$3-100)*3)+Inputs!$B$28+Inputs!$B$29)))</f>
        <v/>
      </c>
      <c r="E2706">
        <f>INDEX(FactorTable!$B$2:$Y$301, MATCH(ROUND(MIN(300,MAX(1,D2706)),0), FactorTable!$A$2:$A$301,0), Skills!M8+1)</f>
        <v/>
      </c>
      <c r="F2706">
        <f>IF(Skills!N8=TRUE,(Skills!L8/10)*(E2706/1000),Skills!L8/10)+Skills!O8</f>
        <v/>
      </c>
      <c r="G2706">
        <f>Skills!G8*IF(Skills!H8&gt;0,Skills!I8/Skills!H8,1)</f>
        <v/>
      </c>
      <c r="H2706">
        <f>1-(1-Skills!J8/100)^Skills!K8</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2718=TRUE)*(F2718-Calc!F20)),(Inputs!$B$23+0+(IF(ArtifactsInput!$M$15,CHOOSE(ArtifactsInput!$N$15+1,25,30,35,40,45,50)/100*(Inputs!$B$11-Inputs!$B$11),0))))/100+(Inputs!$B$23+0+(IF(ArtifactsInput!$M$15,CHOOSE(ArtifactsInput!$N$15+1,25,30,35,40,45,50)/100*(Inputs!$B$11-Inputs!$B$11),0)))/100)/2</f>
        <v/>
      </c>
      <c r="M2706">
        <f>L2706*(1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IFERROR(1/(IF(Inputs!$B$38="pvp",15,MAX(0.1,Skills!D8-IF(Skills!E8=TRUE,3.0,0)))*(1-IF(AND(ArtifactsInput!$M$27,Inputs!$B$4="Chapter Hunt"),CHOOSE(ArtifactsInput!$N$27+1,20,24,28,32,36,40),0)/100)),0)</f>
        <v/>
      </c>
      <c r="R2706">
        <f>IF(AND(Inputs!$B$38&lt;&gt;"pvp",Inputs!$B$43&gt;0),IF(MAX(0,Inputs!$B$43-B2731)&lt;=0,0,(INT(MAX(0,Inputs!$B$43-B2731)/(IF(Inputs!$B$38="pvp",15,MAX(0.1,Skills!D8-IF(Skills!E8=TRUE,3.0,0)))*(1-IF(AND(ArtifactsInput!$M$27,Inputs!$B$4="Chapter Hunt"),CHOOSE(ArtifactsInput!$N$27+1,20,24,28,32,36,40),0)/100)))+1)),0)</f>
        <v/>
      </c>
      <c r="S2706">
        <f>IFERROR(O2706/N2706,0)</f>
        <v/>
      </c>
      <c r="T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Skills!A9</f>
        <v/>
      </c>
      <c r="B2707">
        <f>Skills!B9</f>
        <v/>
      </c>
      <c r="C2707">
        <f>Inputs!$B$3&gt;=110</f>
        <v/>
      </c>
      <c r="D2707">
        <f>IF(Skills!C9=1,60+Inputs!$B$25+Inputs!$B$29,IF(Skills!C9=2,90+Inputs!$B$26+Inputs!$B$29,IF(Skills!C9=3,120+Inputs!$B$27+Inputs!$B$29,MAX(0,(Inputs!$B$3-100)*3)+Inputs!$B$28+Inputs!$B$29)))</f>
        <v/>
      </c>
      <c r="E2707">
        <f>INDEX(FactorTable!$B$2:$Y$301, MATCH(ROUND(MIN(300,MAX(1,D2707)),0), FactorTable!$A$2:$A$301,0), Skills!M9+1)</f>
        <v/>
      </c>
      <c r="F2707">
        <f>IF(Skills!N9=TRUE,(Skills!L9/10)*(E2707/1000),Skills!L9/10)+Skills!O9</f>
        <v/>
      </c>
      <c r="G2707">
        <f>Skills!G9*IF(Skills!H9&gt;0,Skills!I9/Skills!H9,1)</f>
        <v/>
      </c>
      <c r="H2707">
        <f>1-(1-Skills!J9/100)^Skills!K9</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2718=TRUE)*(F2718-Calc!F20)),(Inputs!$B$23+0+(IF(ArtifactsInput!$M$15,CHOOSE(ArtifactsInput!$N$15+1,25,30,35,40,45,50)/100*(Inputs!$B$11-Inputs!$B$11),0))))/100+(Inputs!$B$23+0+(IF(ArtifactsInput!$M$15,CHOOSE(ArtifactsInput!$N$15+1,25,30,35,40,45,50)/100*(Inputs!$B$11-Inputs!$B$11),0)))/100)/2</f>
        <v/>
      </c>
      <c r="M2707">
        <f>L2707*(1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IFERROR(1/(IF(Inputs!$B$38="pvp",15,MAX(0.1,Skills!D9-IF(Skills!E9=TRUE,3.0,0)))*(1-IF(AND(ArtifactsInput!$M$27,Inputs!$B$4="Chapter Hunt"),CHOOSE(ArtifactsInput!$N$27+1,20,24,28,32,36,40),0)/100)),0)</f>
        <v/>
      </c>
      <c r="R2707">
        <f>IF(AND(Inputs!$B$38&lt;&gt;"pvp",Inputs!$B$43&gt;0),IF(MAX(0,Inputs!$B$43-B2731)&lt;=0,0,(INT(MAX(0,Inputs!$B$43-B2731)/(IF(Inputs!$B$38="pvp",15,MAX(0.1,Skills!D9-IF(Skills!E9=TRUE,3.0,0)))*(1-IF(AND(ArtifactsInput!$M$27,Inputs!$B$4="Chapter Hunt"),CHOOSE(ArtifactsInput!$N$27+1,20,24,28,32,36,40),0)/100)))+1)),0)</f>
        <v/>
      </c>
      <c r="S2707">
        <f>IFERROR(O2707/N2707,0)</f>
        <v/>
      </c>
      <c r="T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Skills!A10</f>
        <v/>
      </c>
      <c r="B2708">
        <f>Skills!B10</f>
        <v/>
      </c>
      <c r="C2708">
        <f>Inputs!$B$3&gt;=103</f>
        <v/>
      </c>
      <c r="D2708">
        <f>IF(Skills!C10=1,60+Inputs!$B$25+Inputs!$B$29,IF(Skills!C10=2,90+Inputs!$B$26+Inputs!$B$29,IF(Skills!C10=3,120+Inputs!$B$27+Inputs!$B$29,MAX(0,(Inputs!$B$3-100)*3)+Inputs!$B$28+Inputs!$B$29)))</f>
        <v/>
      </c>
      <c r="E2708">
        <f>INDEX(FactorTable!$B$2:$Y$301, MATCH(ROUND(MIN(300,MAX(1,D2708)),0), FactorTable!$A$2:$A$301,0), Skills!M10+1)</f>
        <v/>
      </c>
      <c r="F2708">
        <f>IF(Skills!N10=TRUE,(Skills!L10/10)*(E2708/1000),Skills!L10/10)+Skills!O10</f>
        <v/>
      </c>
      <c r="G2708">
        <f>Skills!G10*IF(Skills!H10&gt;0,Skills!I10/Skills!H10,1)</f>
        <v/>
      </c>
      <c r="H2708">
        <f>1-(1-Skills!J10/100)^Skills!K10</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2718=TRUE)*(F2718-Calc!F20)),(Inputs!$B$23+0+(IF(ArtifactsInput!$M$15,CHOOSE(ArtifactsInput!$N$15+1,25,30,35,40,45,50)/100*(Inputs!$B$11-Inputs!$B$11),0))))/100+(Inputs!$B$23+0+(IF(ArtifactsInput!$M$15,CHOOSE(ArtifactsInput!$N$15+1,25,30,35,40,45,50)/100*(Inputs!$B$11-Inputs!$B$11),0)))/100)/2</f>
        <v/>
      </c>
      <c r="M2708">
        <f>L2708*(1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f>IFERROR(1/(IF(Inputs!$B$38="pvp",15,MAX(0.1,Skills!D10-IF(Skills!E10=TRUE,3.0,0)))*(1-IF(AND(ArtifactsInput!$M$27,Inputs!$B$4="Chapter Hunt"),CHOOSE(ArtifactsInput!$N$27+1,20,24,28,32,36,40),0)/100)),0)</f>
        <v/>
      </c>
      <c r="R2708">
        <f>IF(AND(Inputs!$B$38&lt;&gt;"pvp",Inputs!$B$43&gt;0),IF(MAX(0,Inputs!$B$43-B2731)&lt;=0,0,(INT(MAX(0,Inputs!$B$43-B2731)/(IF(Inputs!$B$38="pvp",15,MAX(0.1,Skills!D10-IF(Skills!E10=TRUE,3.0,0)))*(1-IF(AND(ArtifactsInput!$M$27,Inputs!$B$4="Chapter Hunt"),CHOOSE(ArtifactsInput!$N$27+1,20,24,28,32,36,40),0)/100)))+1)),0)</f>
        <v/>
      </c>
      <c r="S2708">
        <f>IFERROR(O2708/N2708,0)</f>
        <v/>
      </c>
      <c r="T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Skills!A11</f>
        <v/>
      </c>
      <c r="B2709">
        <f>Skills!B11</f>
        <v/>
      </c>
      <c r="C2709">
        <f>Inputs!$B$3&gt;=113</f>
        <v/>
      </c>
      <c r="D2709">
        <f>IF(Skills!C11=1,60+Inputs!$B$25+Inputs!$B$29,IF(Skills!C11=2,90+Inputs!$B$26+Inputs!$B$29,IF(Skills!C11=3,120+Inputs!$B$27+Inputs!$B$29,MAX(0,(Inputs!$B$3-100)*3)+Inputs!$B$28+Inputs!$B$29)))</f>
        <v/>
      </c>
      <c r="E2709">
        <f>INDEX(FactorTable!$B$2:$Y$301, MATCH(ROUND(MIN(300,MAX(1,D2709)),0), FactorTable!$A$2:$A$301,0), Skills!M11+1)</f>
        <v/>
      </c>
      <c r="F2709">
        <f>IF(Skills!N11=TRUE,(Skills!L11/10)*(E2709/1000),Skills!L11/10)+Skills!O11</f>
        <v/>
      </c>
      <c r="G2709">
        <f>Skills!G11*IF(Skills!H11&gt;0,Skills!I11/Skills!H11,1)</f>
        <v/>
      </c>
      <c r="H2709">
        <f>1-(1-Skills!J11/100)^Skills!K11</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2718=TRUE)*(F2718-Calc!F20)),(Inputs!$B$23+0+(IF(ArtifactsInput!$M$15,CHOOSE(ArtifactsInput!$N$15+1,25,30,35,40,45,50)/100*(Inputs!$B$11-Inputs!$B$11),0))))/100+(Inputs!$B$23+0+(IF(ArtifactsInput!$M$15,CHOOSE(ArtifactsInput!$N$15+1,25,30,35,40,45,50)/100*(Inputs!$B$11-Inputs!$B$11),0)))/100)/2</f>
        <v/>
      </c>
      <c r="M2709">
        <f>L2709*(1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IF(B2734=0,0,O2709/B2734)</f>
        <v/>
      </c>
      <c r="Q2709">
        <f>IFERROR(1/(IF(Inputs!$B$38="pvp",15,MAX(0.1,Skills!D11-IF(Skills!E11=TRUE,3.0,0)))*(1-IF(AND(ArtifactsInput!$M$27,Inputs!$B$4="Chapter Hunt"),CHOOSE(ArtifactsInput!$N$27+1,20,24,28,32,36,40),0)/100)),0)</f>
        <v/>
      </c>
      <c r="R2709">
        <f>IF(AND(Inputs!$B$38&lt;&gt;"pvp",Inputs!$B$43&gt;0),IF(MAX(0,Inputs!$B$43-B2731)&lt;=0,0,(INT(MAX(0,Inputs!$B$43-B2731)/(IF(Inputs!$B$38="pvp",15,MAX(0.1,Skills!D11-IF(Skills!E11=TRUE,3.0,0)))*(1-IF(AND(ArtifactsInput!$M$27,Inputs!$B$4="Chapter Hunt"),CHOOSE(ArtifactsInput!$N$27+1,20,24,28,32,36,40),0)/100)))+1)),0)</f>
        <v/>
      </c>
      <c r="S2709">
        <f>IFERROR(O2709/N2709,0)</f>
        <v/>
      </c>
      <c r="T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Skills!A12</f>
        <v/>
      </c>
      <c r="B2710">
        <f>Skills!B12</f>
        <v/>
      </c>
      <c r="C2710">
        <f>Inputs!$B$3&gt;=100</f>
        <v/>
      </c>
      <c r="D2710">
        <f>IF(Skills!C12=1,60+Inputs!$B$25+Inputs!$B$29,IF(Skills!C12=2,90+Inputs!$B$26+Inputs!$B$29,IF(Skills!C12=3,120+Inputs!$B$27+Inputs!$B$29,MAX(0,(Inputs!$B$3-100)*3)+Inputs!$B$28+Inputs!$B$29)))</f>
        <v/>
      </c>
      <c r="E2710">
        <f>INDEX(FactorTable!$B$2:$Y$301, MATCH(ROUND(MIN(300,MAX(1,D2710)),0), FactorTable!$A$2:$A$301,0), Skills!M12+1)</f>
        <v/>
      </c>
      <c r="F2710">
        <f>IF(Skills!N12=TRUE,(Skills!L12/10)*(E2710/1000),Skills!L12/10)+Skills!O12</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Skills!A13</f>
        <v/>
      </c>
      <c r="B2711">
        <f>Skills!B13</f>
        <v/>
      </c>
      <c r="C2711">
        <f>Inputs!$B$3&gt;=66</f>
        <v/>
      </c>
      <c r="D2711">
        <f>IF(Skills!C13=1,60+Inputs!$B$25+Inputs!$B$29,IF(Skills!C13=2,90+Inputs!$B$26+Inputs!$B$29,IF(Skills!C13=3,120+Inputs!$B$27+Inputs!$B$29,MAX(0,(Inputs!$B$3-100)*3)+Inputs!$B$28+Inputs!$B$29)))</f>
        <v/>
      </c>
      <c r="E2711">
        <f>INDEX(FactorTable!$B$2:$Y$301, MATCH(ROUND(MIN(300,MAX(1,D2711)),0), FactorTable!$A$2:$A$301,0), Skills!M13+1)</f>
        <v/>
      </c>
      <c r="F2711">
        <f>IF(Skills!N13=TRUE,(Skills!L13/10)*(E2711/1000),Skills!L13/10)+Skills!O13</f>
        <v/>
      </c>
      <c r="G2711">
        <f>Skills!G13*IF(Skills!H13&gt;0,Skills!I13/Skills!H13,1)</f>
        <v/>
      </c>
      <c r="H2711">
        <f>1-(1-Skills!J13/100)^Skills!K13</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Skills!A14</f>
        <v/>
      </c>
      <c r="B2712">
        <f>Skills!B14</f>
        <v/>
      </c>
      <c r="C2712">
        <f>Inputs!$B$3&gt;=107</f>
        <v/>
      </c>
      <c r="D2712">
        <f>IF(Skills!C14=1,60+Inputs!$B$25+Inputs!$B$29,IF(Skills!C14=2,90+Inputs!$B$26+Inputs!$B$29,IF(Skills!C14=3,120+Inputs!$B$27+Inputs!$B$29,MAX(0,(Inputs!$B$3-100)*3)+Inputs!$B$28+Inputs!$B$29)))</f>
        <v/>
      </c>
      <c r="E2712">
        <f>INDEX(FactorTable!$B$2:$Y$301, MATCH(ROUND(MIN(300,MAX(1,D2712)),0), FactorTable!$A$2:$A$301,0), Skills!M14+1)</f>
        <v/>
      </c>
      <c r="F2712">
        <f>IF(Skills!N14=TRUE,(Skills!L14/10)*(E2712/1000),Skills!L14/10)+Skills!O14</f>
        <v/>
      </c>
      <c r="G2712">
        <f>Skills!G14*IF(Skills!H14&gt;0,Skills!I14/Skills!H14,1)</f>
        <v/>
      </c>
      <c r="H2712">
        <f>1-(1-Skills!J14/100)^Skills!K14</f>
        <v/>
      </c>
      <c r="I2712" t="inlineStr">
        <is>
          <t>1</t>
        </is>
      </c>
      <c r="J2712" t="inlineStr"/>
      <c r="K2712" t="inlineStr"/>
      <c r="L2712" t="inlineStr"/>
      <c r="M2712" t="inlineStr"/>
      <c r="N2712" t="inlineStr"/>
      <c r="O2712">
        <f>(1-Summary!$B$11)*T2712+Summary!$B$11*V2712</f>
        <v/>
      </c>
      <c r="P2712">
        <f>IF(B2734=0,0,O2712/B2734)</f>
        <v/>
      </c>
      <c r="Q2712" t="n">
        <v>0</v>
      </c>
      <c r="R2712" t="n">
        <v>0</v>
      </c>
      <c r="S2712">
        <f>IFERROR(O2712/N2712,0)</f>
        <v/>
      </c>
      <c r="T2712" t="n">
        <v>0</v>
      </c>
      <c r="V2712" t="n">
        <v>0</v>
      </c>
    </row>
    <row r="2713">
      <c r="A2713">
        <f>Skills!A15</f>
        <v/>
      </c>
      <c r="B2713">
        <f>Skills!B15</f>
        <v/>
      </c>
      <c r="C2713">
        <f>Inputs!$B$3&gt;=115</f>
        <v/>
      </c>
      <c r="D2713">
        <f>IF(Skills!C15=1,60+Inputs!$B$25+Inputs!$B$29,IF(Skills!C15=2,90+Inputs!$B$26+Inputs!$B$29,IF(Skills!C15=3,120+Inputs!$B$27+Inputs!$B$29,MAX(0,(Inputs!$B$3-100)*3)+Inputs!$B$28+Inputs!$B$29)))</f>
        <v/>
      </c>
      <c r="E2713">
        <f>INDEX(FactorTable!$B$2:$Y$301, MATCH(ROUND(MIN(300,MAX(1,D2713)),0), FactorTable!$A$2:$A$301,0), Skills!M15+1)</f>
        <v/>
      </c>
      <c r="F2713">
        <f>IF(Skills!N15=TRUE,(Skills!L15/10)*(E2713/1000),Skills!L15/10)+Skills!O15</f>
        <v/>
      </c>
      <c r="G2713">
        <f>Skills!G15*IF(Skills!H15&gt;0,Skills!I15/Skills!H15,1)</f>
        <v/>
      </c>
      <c r="H2713">
        <f>1-(1-Skills!J15/100)^Skills!K15</f>
        <v/>
      </c>
      <c r="I2713" t="inlineStr">
        <is>
          <t>1</t>
        </is>
      </c>
      <c r="J2713" t="inlineStr"/>
      <c r="K2713" t="inlineStr"/>
      <c r="L2713" t="inlineStr"/>
      <c r="M2713" t="inlineStr"/>
      <c r="N2713" t="inlineStr"/>
      <c r="O2713">
        <f>(1-Summary!$B$11)*T2713+Summary!$B$11*V2713</f>
        <v/>
      </c>
      <c r="P2713">
        <f>IF(B2734=0,0,O2713/B2734)</f>
        <v/>
      </c>
      <c r="Q2713" t="n">
        <v>0</v>
      </c>
      <c r="R2713" t="n">
        <v>0</v>
      </c>
      <c r="S2713">
        <f>IFERROR(O2713/N2713,0)</f>
        <v/>
      </c>
      <c r="T2713" t="n">
        <v>0</v>
      </c>
      <c r="V2713" t="n">
        <v>0</v>
      </c>
    </row>
    <row r="2714">
      <c r="A2714">
        <f>Skills!A16</f>
        <v/>
      </c>
      <c r="B2714">
        <f>Skills!B16</f>
        <v/>
      </c>
      <c r="C2714">
        <f>Inputs!$B$3&gt;=15</f>
        <v/>
      </c>
      <c r="D2714">
        <f>IF(Skills!C16=1,60+Inputs!$B$25+Inputs!$B$29,IF(Skills!C16=2,90+Inputs!$B$26+Inputs!$B$29,IF(Skills!C16=3,120+Inputs!$B$27+Inputs!$B$29,MAX(0,(Inputs!$B$3-100)*3)+Inputs!$B$28+Inputs!$B$29)))</f>
        <v/>
      </c>
      <c r="E2714">
        <f>INDEX(FactorTable!$B$2:$Y$301, MATCH(ROUND(MIN(300,MAX(1,D2714)),0), FactorTable!$A$2:$A$301,0), Skills!M16+1)</f>
        <v/>
      </c>
      <c r="F2714">
        <f>IF(Skills!N16=TRUE,(Skills!L16/10)*(E2714/1000),Skills!L16/10)+Skills!O16</f>
        <v/>
      </c>
      <c r="G2714">
        <f>Skills!G16*IF(Skills!H16&gt;0,Skills!I16/Skills!H16,1)</f>
        <v/>
      </c>
      <c r="H2714">
        <f>1-(1-Skills!J16/100)^Skills!K16</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Skills!A17</f>
        <v/>
      </c>
      <c r="B2715">
        <f>Skills!B17</f>
        <v/>
      </c>
      <c r="C2715">
        <f>Inputs!$B$3&gt;=10</f>
        <v/>
      </c>
      <c r="D2715">
        <f>IF(Skills!C17=1,60+Inputs!$B$25+Inputs!$B$29,IF(Skills!C17=2,90+Inputs!$B$26+Inputs!$B$29,IF(Skills!C17=3,120+Inputs!$B$27+Inputs!$B$29,MAX(0,(Inputs!$B$3-100)*3)+Inputs!$B$28+Inputs!$B$29)))</f>
        <v/>
      </c>
      <c r="E2715">
        <f>INDEX(FactorTable!$B$2:$Y$301, MATCH(ROUND(MIN(300,MAX(1,D2715)),0), FactorTable!$A$2:$A$301,0), Skills!M17+1)</f>
        <v/>
      </c>
      <c r="F2715">
        <f>IF(Skills!N17=TRUE,(Skills!L17/10)*(E2715/1000),Skills!L17/10)+Skills!O17</f>
        <v/>
      </c>
      <c r="G2715">
        <f>Skills!G17*IF(Skills!H17&gt;0,Skills!I17/Skills!H17,1)</f>
        <v/>
      </c>
      <c r="H2715">
        <f>1-(1-Skills!J17/100)^Skills!K17</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Skills!A18</f>
        <v/>
      </c>
      <c r="B2716">
        <f>Skills!B18</f>
        <v/>
      </c>
      <c r="C2716">
        <f>Inputs!$B$3&gt;=33</f>
        <v/>
      </c>
      <c r="D2716">
        <f>IF(Skills!C18=1,60+Inputs!$B$25+Inputs!$B$29,IF(Skills!C18=2,90+Inputs!$B$26+Inputs!$B$29,IF(Skills!C18=3,120+Inputs!$B$27+Inputs!$B$29,MAX(0,(Inputs!$B$3-100)*3)+Inputs!$B$28+Inputs!$B$29)))</f>
        <v/>
      </c>
      <c r="E2716">
        <f>INDEX(FactorTable!$B$2:$Y$301, MATCH(ROUND(MIN(300,MAX(1,D2716)),0), FactorTable!$A$2:$A$301,0), Skills!M18+1)</f>
        <v/>
      </c>
      <c r="F2716">
        <f>IF(Skills!N18=TRUE,(Skills!L18/10)*(E2716/1000),Skills!L18/10)+Skills!O18</f>
        <v/>
      </c>
      <c r="G2716">
        <f>Skills!G18*IF(Skills!H18&gt;0,Skills!I18/Skills!H18,1)</f>
        <v/>
      </c>
      <c r="H2716">
        <f>1-(1-Skills!J18/100)^Skills!K18</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Skills!A19</f>
        <v/>
      </c>
      <c r="B2717">
        <f>Skills!B19</f>
        <v/>
      </c>
      <c r="C2717">
        <f>Inputs!$B$3&gt;=40</f>
        <v/>
      </c>
      <c r="D2717">
        <f>IF(Skills!C19=1,60+Inputs!$B$25+Inputs!$B$29,IF(Skills!C19=2,90+Inputs!$B$26+Inputs!$B$29,IF(Skills!C19=3,120+Inputs!$B$27+Inputs!$B$29,MAX(0,(Inputs!$B$3-100)*3)+Inputs!$B$28+Inputs!$B$29)))</f>
        <v/>
      </c>
      <c r="E2717">
        <f>INDEX(FactorTable!$B$2:$Y$301, MATCH(ROUND(MIN(300,MAX(1,D2717)),0), FactorTable!$A$2:$A$301,0), Skills!M19+1)</f>
        <v/>
      </c>
      <c r="F2717">
        <f>IF(Skills!N19=TRUE,(Skills!L19/10)*(E2717/1000),Skills!L19/10)+Skills!O19</f>
        <v/>
      </c>
      <c r="G2717">
        <f>Skills!G19*IF(Skills!H19&gt;0,Skills!I19/Skills!H19,1)</f>
        <v/>
      </c>
      <c r="H2717">
        <f>1-(1-Skills!J19/100)^Skills!K19</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Skills!A20</f>
        <v/>
      </c>
      <c r="B2718">
        <f>Skills!B20</f>
        <v/>
      </c>
      <c r="C2718">
        <f>Inputs!$B$3&gt;=43</f>
        <v/>
      </c>
      <c r="D2718">
        <f>IF(Skills!C20=1,60+Inputs!$B$25+Inputs!$B$29,IF(Skills!C20=2,90+Inputs!$B$26+Inputs!$B$29,IF(Skills!C20=3,120+Inputs!$B$27+Inputs!$B$29,MAX(0,(Inputs!$B$3-100)*3)+Inputs!$B$28+Inputs!$B$29)))</f>
        <v/>
      </c>
      <c r="E2718">
        <f>INDEX(FactorTable!$B$2:$Y$301, MATCH(ROUND(MIN(300,MAX(1,D2718)),0), FactorTable!$A$2:$A$301,0), Skills!M20+1)</f>
        <v/>
      </c>
      <c r="F2718">
        <f>IF(Skills!N20=TRUE,(Skills!L20/10)*(E2718/1000),Skills!L20/10)+Skills!O20</f>
        <v/>
      </c>
      <c r="G2718">
        <f>Skills!G20*IF(Skills!H20&gt;0,Skills!I20/Skills!H20,1)</f>
        <v/>
      </c>
      <c r="H2718">
        <f>1-(1-Skills!J20/100)^Skills!K20</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Skills!A21</f>
        <v/>
      </c>
      <c r="B2719">
        <f>Skills!B21</f>
        <v/>
      </c>
      <c r="C2719">
        <f>Inputs!$B$3&gt;=38</f>
        <v/>
      </c>
      <c r="D2719">
        <f>IF(Skills!C21=1,60+Inputs!$B$25+Inputs!$B$29,IF(Skills!C21=2,90+Inputs!$B$26+Inputs!$B$29,IF(Skills!C21=3,120+Inputs!$B$27+Inputs!$B$29,MAX(0,(Inputs!$B$3-100)*3)+Inputs!$B$28+Inputs!$B$29)))</f>
        <v/>
      </c>
      <c r="E2719">
        <f>INDEX(FactorTable!$B$2:$Y$301, MATCH(ROUND(MIN(300,MAX(1,D2719)),0), FactorTable!$A$2:$A$301,0), Skills!M21+1)</f>
        <v/>
      </c>
      <c r="F2719">
        <f>IF(Skills!N21=TRUE,(Skills!L21/10)*(E2719/1000),Skills!L21/10)+Skills!O21</f>
        <v/>
      </c>
      <c r="G2719">
        <f>Skills!G21*IF(Skills!H21&gt;0,Skills!I21/Skills!H21,1)</f>
        <v/>
      </c>
      <c r="H2719">
        <f>1-(1-Skills!J21/100)^Skills!K21</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Skills!A22</f>
        <v/>
      </c>
      <c r="B2720">
        <f>Skills!B22</f>
        <v/>
      </c>
      <c r="C2720">
        <f>Inputs!$B$3&gt;=75</f>
        <v/>
      </c>
      <c r="D2720">
        <f>IF(Skills!C22=1,60+Inputs!$B$25+Inputs!$B$29,IF(Skills!C22=2,90+Inputs!$B$26+Inputs!$B$29,IF(Skills!C22=3,120+Inputs!$B$27+Inputs!$B$29,MAX(0,(Inputs!$B$3-100)*3)+Inputs!$B$28+Inputs!$B$29)))</f>
        <v/>
      </c>
      <c r="E2720">
        <f>INDEX(FactorTable!$B$2:$Y$301, MATCH(ROUND(MIN(300,MAX(1,D2720)),0), FactorTable!$A$2:$A$301,0), Skills!M22+1)</f>
        <v/>
      </c>
      <c r="F2720">
        <f>IF(Skills!N22=TRUE,(Skills!L22/10)*(E2720/1000),Skills!L22/10)+Skills!O22</f>
        <v/>
      </c>
      <c r="G2720">
        <f>Skills!G22*IF(Skills!H22&gt;0,Skills!I22/Skills!H22,1)</f>
        <v/>
      </c>
      <c r="H2720">
        <f>1-(1-Skills!J22/100)^Skills!K22</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Skills!A23</f>
        <v/>
      </c>
      <c r="B2721">
        <f>Skills!B23</f>
        <v/>
      </c>
      <c r="C2721">
        <f>TRUE</f>
        <v/>
      </c>
      <c r="D2721">
        <f>IF(Skills!C23=1,60+Inputs!$B$25+Inputs!$B$29,IF(Skills!C23=2,90+Inputs!$B$26+Inputs!$B$29,IF(Skills!C23=3,120+Inputs!$B$27+Inputs!$B$29,MAX(0,(Inputs!$B$3-100)*3)+Inputs!$B$28+Inputs!$B$29)))</f>
        <v/>
      </c>
      <c r="E2721">
        <f>INDEX(FactorTable!$B$2:$Y$301, MATCH(ROUND(MIN(300,MAX(1,D2721)),0), FactorTable!$A$2:$A$301,0), Skills!M23+1)</f>
        <v/>
      </c>
      <c r="F2721">
        <f>IF(Skills!N23=TRUE,(Skills!L23/10)*(E2721/1000),Skills!L23/10)+Skills!O23</f>
        <v/>
      </c>
      <c r="G2721">
        <f>Skills!G23*IF(Skills!H23&gt;0,Skills!I23/Skills!H23,1)</f>
        <v/>
      </c>
      <c r="H2721">
        <f>1-(1-Skills!J23/100)^Skills!K23</f>
        <v/>
      </c>
      <c r="I2721" t="inlineStr">
        <is>
          <t>1</t>
        </is>
      </c>
      <c r="J2721" t="inlineStr"/>
      <c r="K2721" t="inlineStr"/>
      <c r="L2721" t="inlineStr"/>
      <c r="M2721" t="inlineStr"/>
      <c r="N2721" t="inlineStr"/>
      <c r="O2721">
        <f>(1-Summary!$B$11)*T2721+Summary!$B$11*V2721</f>
        <v/>
      </c>
      <c r="P2721">
        <f>IF(B2734=0,0,O2721/B2734)</f>
        <v/>
      </c>
      <c r="Q2721">
        <f>IFERROR(1/(IF(Inputs!$B$38="pvp",15,MAX(0.1,Skills!D23-IF(Skills!E23=TRUE,3.0,0)))*(1-IF(AND(ArtifactsInput!$M$27,Inputs!$B$4="Chapter Hunt"),CHOOSE(ArtifactsInput!$N$27+1,20,24,28,32,36,40),0)/100)),0)</f>
        <v/>
      </c>
      <c r="R2721">
        <f>IF(AND(Inputs!$B$38&lt;&gt;"pvp",Inputs!$B$43&gt;0),IF(Inputs!$B$43&lt;=0,0,(INT(Inputs!$B$43/(IF(Inputs!$B$38="pvp",15,MAX(0.1,Skills!D23-IF(Skills!E23=TRUE,3.0,0)))*(1-IF(AND(ArtifactsInput!$M$27,Inputs!$B$4="Chapter Hunt"),CHOOSE(ArtifactsInput!$N$27+1,20,24,28,32,36,40),0)/100)))+1)),0)</f>
        <v/>
      </c>
      <c r="S2721">
        <f>IFERROR(O2721/N2721,0)</f>
        <v/>
      </c>
      <c r="T2721" t="n">
        <v>0</v>
      </c>
      <c r="V2721" t="n">
        <v>0</v>
      </c>
    </row>
    <row r="2723">
      <c r="A2723" t="inlineStr">
        <is>
          <t>Attack% Bucket Multiplier</t>
        </is>
      </c>
      <c r="B2723">
        <f>(1+(((C2711=TRUE)*F2711*5/7)+((C2717=TRUE)*(F2717-Calc!F19))+(IF(ArtifactsInput!$M$21,CHOOSE(ArtifactsInput!$N$21+1,25,30,35,40,45,50)*(IF(OR(Inputs!$B$4="Chapter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Skills!T23*(1+Inputs!$B$34/100))+MIN((Skills!T23*(1+Inputs!$B$34/100)),MAX(0,Inputs!$B$43-((R2721-1)*Skills!D23))))/Inputs!$B$43),IF(Inputs!$B$38="pvp",MIN((Skills!T23*(1+Inputs!$B$34/100)),15)/15,(Skills!T23*(1+Inputs!$B$34/100))/Skills!D23)))</f>
        <v/>
      </c>
    </row>
    <row r="2726">
      <c r="A2726" t="inlineStr">
        <is>
          <t>Actions Per Second</t>
        </is>
      </c>
      <c r="B2726">
        <f>1+MIN(150,150*(1-(1-(Inputs!$B$11+((C2715=TRUE)*(F2715-Calc!F17))+((C2716=TRUE)*(F2716-Calc!F18)))/150)*(1-B2725/150)))/100</f>
        <v/>
      </c>
    </row>
    <row r="2727">
      <c r="A2727" t="inlineStr">
        <is>
          <t>Skill + Buff Cast Rate</t>
        </is>
      </c>
      <c r="B2727">
        <f>IF(AND(Inputs!$B$38&lt;&gt;"pvp",Inputs!$B$43&gt;0),SUMPRODUCT((Skills!E2:E23=TRUE)*(C2700:C2721=TRUE)*R2700:R2721*Skills!F2:F23)/Inputs!$B$43,SUMPRODUCT((Skills!E2:E23=TRUE)*(C2700:C2721=TRUE)*Q2700:Q2721*Skills!F2:F23))</f>
        <v/>
      </c>
    </row>
    <row r="2728">
      <c r="A2728" t="inlineStr">
        <is>
          <t>Hook Bomber Casts Per Second</t>
        </is>
      </c>
      <c r="B2728">
        <f>MAX(0,B2726-B2727)</f>
        <v/>
      </c>
    </row>
    <row r="2729">
      <c r="A2729" t="inlineStr">
        <is>
          <t>Global Critical Damage Bonus % (unused)</t>
        </is>
      </c>
      <c r="B2729" t="n">
        <v>0</v>
      </c>
    </row>
    <row r="2730">
      <c r="A2730" t="inlineStr">
        <is>
          <t>Global Final Damage Bonus % (Serpent Scale + Crossbones + Time Leap + Speed Infusion)</t>
        </is>
      </c>
      <c r="B2730">
        <f>((C2703=TRUE)*F2703*((10+IF(Inputs!$B$3&gt;=94,5,0))/((10+IF(Inputs!$B$3&gt;=94,5,0))+5/(B2728*(1+IF(Inputs!$B$3&gt;=104,1,0))))))+((C2712=TRUE)*F2712)+((C2713=TRUE)*F2713)+((Inputs!$B$3&gt;=110)*20*(B2726-1))</f>
        <v/>
      </c>
    </row>
    <row r="2731">
      <c r="A2731" t="inlineStr">
        <is>
          <t>Buff-Casting Startup Delay (s, fixed-duration only)</t>
        </is>
      </c>
      <c r="B2731">
        <f>IF(AND(Inputs!$B$38&lt;&gt;"pvp",Inputs!$B$43&gt;0),SUMPRODUCT((Skills!T2:T23&gt;0)*(Skills!E2:E23=TRUE)*(C2700:C2721=TRUE))/B2726,0)</f>
        <v/>
      </c>
    </row>
    <row r="2732">
      <c r="A2732" t="inlineStr">
        <is>
          <t>Boss-Only Total DPS (this block's swept value)</t>
        </is>
      </c>
      <c r="B2732">
        <f>SUM(T2700:T2721)</f>
        <v/>
      </c>
    </row>
    <row r="2733">
      <c r="A2733" t="inlineStr">
        <is>
          <t>Normal-Only Total DPS (this block's swept value)</t>
        </is>
      </c>
      <c r="B2733">
        <f>SUM(V2700:V2721)</f>
        <v/>
      </c>
    </row>
    <row r="2734">
      <c r="A2734" s="6" t="inlineStr">
        <is>
          <t>TOTAL DPS</t>
        </is>
      </c>
      <c r="B2734" s="6">
        <f>SUM(O2700:O2721)</f>
        <v/>
      </c>
    </row>
    <row r="2737">
      <c r="A2737" s="6" t="inlineStr">
        <is>
          <t>Stat: CDR = 3.5s</t>
        </is>
      </c>
    </row>
    <row r="2738">
      <c r="A2738" s="5" t="inlineStr">
        <is>
          <t>Key</t>
        </is>
      </c>
      <c r="B2738" s="5" t="inlineStr">
        <is>
          <t>Name</t>
        </is>
      </c>
      <c r="C2738" s="5" t="inlineStr">
        <is>
          <t>Unlocked</t>
        </is>
      </c>
      <c r="D2738" s="5" t="inlineStr">
        <is>
          <t>InputLevel</t>
        </is>
      </c>
      <c r="E2738" s="5" t="inlineStr">
        <is>
          <t>Factor</t>
        </is>
      </c>
      <c r="F2738" s="5" t="inlineStr">
        <is>
          <t>CoefficientPercent</t>
        </is>
      </c>
      <c r="G2738" s="5" t="inlineStr">
        <is>
          <t>EffectiveHits</t>
        </is>
      </c>
      <c r="H2738" s="5" t="inlineStr">
        <is>
          <t>ProcProbability</t>
        </is>
      </c>
      <c r="I2738" s="5" t="inlineStr">
        <is>
          <t>MapleHeroMultiplier</t>
        </is>
      </c>
      <c r="J2738" s="5" t="inlineStr">
        <is>
          <t>BaseDamage</t>
        </is>
      </c>
      <c r="K2738" s="5" t="inlineStr">
        <is>
          <t>BaseHitDamage</t>
        </is>
      </c>
      <c r="L2738" s="5" t="inlineStr">
        <is>
          <t>NonCritAvg</t>
        </is>
      </c>
      <c r="M2738" s="5" t="inlineStr">
        <is>
          <t>CritAvg</t>
        </is>
      </c>
      <c r="N2738" s="5" t="inlineStr">
        <is>
          <t>ExpectedDamage(perHit)</t>
        </is>
      </c>
      <c r="O2738" s="5" t="inlineStr">
        <is>
          <t>DPS</t>
        </is>
      </c>
      <c r="P2738" s="5" t="inlineStr">
        <is>
          <t>% of Total</t>
        </is>
      </c>
      <c r="Q2738" s="5" t="inlineStr">
        <is>
          <t>InvCooldown</t>
        </is>
      </c>
      <c r="R2738" s="5" t="inlineStr">
        <is>
          <t>CastsInFight</t>
        </is>
      </c>
      <c r="S2738" s="5" t="inlineStr">
        <is>
          <t>HitRate(perSec)</t>
        </is>
      </c>
      <c r="U2738" t="inlineStr">
        <is>
          <t>helpers</t>
        </is>
      </c>
    </row>
    <row r="2739">
      <c r="A2739">
        <f>Skills!A2</f>
        <v/>
      </c>
      <c r="B2739">
        <f>Skills!B2</f>
        <v/>
      </c>
      <c r="C2739">
        <f>Inputs!$B$3&gt;=100</f>
        <v/>
      </c>
      <c r="D2739" t="inlineStr"/>
      <c r="E2739" t="inlineStr"/>
      <c r="F2739">
        <f>U2741+Skills!O2</f>
        <v/>
      </c>
      <c r="G2739">
        <f>Skills!G2*IF(Skills!H2&gt;0,Skills!I2/Skills!H2,1)</f>
        <v/>
      </c>
      <c r="H2739">
        <f>1-(1-Skills!J2/100)^Skills!K2</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2757=TRUE)*(F2757-Calc!F20)),(Inputs!$B$23+0+(IF(ArtifactsInput!$M$15,CHOOSE(ArtifactsInput!$N$15+1,25,30,35,40,45,50)/100*(Inputs!$B$11-Inputs!$B$11),0))))/100+(Inputs!$B$23+0+(IF(ArtifactsInput!$M$15,CHOOSE(ArtifactsInput!$N$15+1,25,30,35,40,45,50)/100*(Inputs!$B$11-Inputs!$B$11),0)))/100)/2</f>
        <v/>
      </c>
      <c r="M2739">
        <f>L2739*(1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IF(B2773=0,0,O2739/B2773)</f>
        <v/>
      </c>
      <c r="Q2739" t="n">
        <v>0</v>
      </c>
      <c r="R2739" t="n">
        <v>0</v>
      </c>
      <c r="S2739">
        <f>IFERROR(O2739/N2739,0)</f>
        <v/>
      </c>
      <c r="T2739">
        <f>IF(C2739,(Skills!G2*N2739*B2767)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9">
        <f>MAX(0,(Inputs!$B$3-100)*3)+Inputs!$B$28+Inputs!$B$29</f>
        <v/>
      </c>
      <c r="V2739">
        <f>IF(C2739,(Skills!G2*N2739*B2767)*IF(Inputs!$B$38="pvp",1,(1+(Inputs!$B$21+Skills!Q2+(IF(ArtifactsInput!$M$33,CHOOSE(ArtifactsInput!$N$33+1,30,36,42,48,54,60),0))+(IF(AND(ArtifactsInput!$M$35,Inputs!$B$4&lt;&gt;"Chapter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Skills!A3</f>
        <v/>
      </c>
      <c r="B2740">
        <f>Skills!B3</f>
        <v/>
      </c>
      <c r="C2740">
        <f>Inputs!$B$3&gt;=35</f>
        <v/>
      </c>
      <c r="D2740">
        <f>IF(Skills!C3=1,60+Inputs!$B$25+Inputs!$B$29,IF(Skills!C3=2,90+Inputs!$B$26+Inputs!$B$29,IF(Skills!C3=3,120+Inputs!$B$27+Inputs!$B$29,MAX(0,(Inputs!$B$3-100)*3)+Inputs!$B$28+Inputs!$B$29)))</f>
        <v/>
      </c>
      <c r="E2740">
        <f>INDEX(FactorTable!$B$2:$Y$301, MATCH(ROUND(MIN(300,MAX(1,D2740)),0), FactorTable!$A$2:$A$301,0), Skills!M3+1)</f>
        <v/>
      </c>
      <c r="F2740">
        <f>IF(Skills!N3=TRUE,(Skills!L3/10)*(E2740/1000),Skills!L3/10)+Skills!O3</f>
        <v/>
      </c>
      <c r="G2740">
        <f>Skills!G3*IF(Skills!H3&gt;0,Skills!I3/Skills!H3,1)</f>
        <v/>
      </c>
      <c r="H2740">
        <f>1-(1-Skills!J3/100)^Skills!K3</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2757=TRUE)*(F2757-Calc!F20)),(Inputs!$B$23+0+(IF(ArtifactsInput!$M$15,CHOOSE(ArtifactsInput!$N$15+1,25,30,35,40,45,50)/100*(Inputs!$B$11-Inputs!$B$11),0))))/100+(Inputs!$B$23+0+(IF(ArtifactsInput!$M$15,CHOOSE(ArtifactsInput!$N$15+1,25,30,35,40,45,50)/100*(Inputs!$B$11-Inputs!$B$11),0)))/100)/2</f>
        <v/>
      </c>
      <c r="M2740">
        <f>L2740*(1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IF(B2773=0,0,O2740/B2773)</f>
        <v/>
      </c>
      <c r="Q2740" t="n">
        <v>0</v>
      </c>
      <c r="R2740" t="n">
        <v>0</v>
      </c>
      <c r="S2740">
        <f>IFERROR(O2740/N2740,0)</f>
        <v/>
      </c>
      <c r="T2740">
        <f>IF(C2740,(Skills!G3*H2740*N2740*B2767)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0">
        <f>INDEX(FactorTable!$B$2:$Y$301, MATCH(ROUND(MIN(300,MAX(1,U2739)),0), FactorTable!$A$2:$A$301,0), 22)</f>
        <v/>
      </c>
      <c r="V2740">
        <f>IF(C2740,(Skills!G3*H2740*N2740*B2767)*IF(Inputs!$B$38="pvp",1,(1+(Inputs!$B$21+Skills!Q3+(IF(ArtifactsInput!$M$33,CHOOSE(ArtifactsInput!$N$33+1,30,36,42,48,54,60),0))+(IF(AND(ArtifactsInput!$M$35,Inputs!$B$4&lt;&gt;"Chapter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Skills!A4</f>
        <v/>
      </c>
      <c r="B2741">
        <f>Skills!B4</f>
        <v/>
      </c>
      <c r="C2741">
        <f>Inputs!$B$3&gt;=60</f>
        <v/>
      </c>
      <c r="D2741">
        <f>IF(Skills!C4=1,60+Inputs!$B$25+Inputs!$B$29,IF(Skills!C4=2,90+Inputs!$B$26+Inputs!$B$29,IF(Skills!C4=3,120+Inputs!$B$27+Inputs!$B$29,MAX(0,(Inputs!$B$3-100)*3)+Inputs!$B$28+Inputs!$B$29)))</f>
        <v/>
      </c>
      <c r="E2741">
        <f>INDEX(FactorTable!$B$2:$Y$301, MATCH(ROUND(MIN(300,MAX(1,D2741)),0), FactorTable!$A$2:$A$301,0), Skills!M4+1)</f>
        <v/>
      </c>
      <c r="F2741">
        <f>IF(Skills!N4=TRUE,(Skills!L4/10)*(E2741/1000),Skills!L4/10)+Skills!O4</f>
        <v/>
      </c>
      <c r="G2741">
        <f>Skills!G4*IF(Skills!H4&gt;0,Skills!I4/Skills!H4,1)</f>
        <v/>
      </c>
      <c r="H2741">
        <f>1-(1-Skills!J4/100)^Skills!K4</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4="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2757=TRUE)*(F2757-Calc!F20)),(Inputs!$B$23+0+(IF(ArtifactsInput!$M$15,CHOOSE(ArtifactsInput!$N$15+1,25,30,35,40,45,50)/100*(Inputs!$B$11-Inputs!$B$11),0))))/100+(Inputs!$B$23+0+(IF(ArtifactsInput!$M$15,CHOOSE(ArtifactsInput!$N$15+1,25,30,35,40,45,50)/100*(Inputs!$B$11-Inputs!$B$11),0)))/100)/2</f>
        <v/>
      </c>
      <c r="M2741">
        <f>L2741*(1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IF(B2773=0,0,O2741/B2773)</f>
        <v/>
      </c>
      <c r="Q2741" t="n">
        <v>0</v>
      </c>
      <c r="R2741" t="n">
        <v>0</v>
      </c>
      <c r="S2741">
        <f>IFERROR(O2741/N2741,0)</f>
        <v/>
      </c>
      <c r="T2741">
        <f>IF(C2741,(Skills!G4*H2741*N2741*B2767)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290*U2740/1000</f>
        <v/>
      </c>
      <c r="V2741">
        <f>IF(C2741,(Skills!G4*H2741*N2741*B2767)*IF(Inputs!$B$38="pvp",1,(1+(Inputs!$B$21+Skills!Q4+(IF(ArtifactsInput!$M$33,CHOOSE(ArtifactsInput!$N$33+1,30,36,42,48,54,60),0))+(IF(AND(ArtifactsInput!$M$35,Inputs!$B$4&lt;&gt;"Chapter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Skills!A5</f>
        <v/>
      </c>
      <c r="B2742">
        <f>Skills!B5</f>
        <v/>
      </c>
      <c r="C2742">
        <f>Inputs!$B$3&gt;=60</f>
        <v/>
      </c>
      <c r="D2742">
        <f>IF(Skills!C5=1,60+Inputs!$B$25+Inputs!$B$29,IF(Skills!C5=2,90+Inputs!$B$26+Inputs!$B$29,IF(Skills!C5=3,120+Inputs!$B$27+Inputs!$B$29,MAX(0,(Inputs!$B$3-100)*3)+Inputs!$B$28+Inputs!$B$29)))</f>
        <v/>
      </c>
      <c r="E2742">
        <f>INDEX(FactorTable!$B$2:$Y$301, MATCH(ROUND(MIN(300,MAX(1,D2742)),0), FactorTable!$A$2:$A$301,0), Skills!M5+1)</f>
        <v/>
      </c>
      <c r="F2742">
        <f>IF(Skills!N5=TRUE,(Skills!L5/10)*(E2742/1000),Skills!L5/10)+Skills!O5</f>
        <v/>
      </c>
      <c r="G2742">
        <f>Skills!G5*IF(Skills!H5&gt;0,Skills!I5/Skills!H5,1)</f>
        <v/>
      </c>
      <c r="H2742">
        <f>1-(1-Skills!J5/100)^Skills!K5</f>
        <v/>
      </c>
      <c r="I2742" t="inlineStr">
        <is>
          <t>1</t>
        </is>
      </c>
      <c r="J2742" t="inlineStr"/>
      <c r="K2742" t="inlineStr"/>
      <c r="L2742" t="inlineStr"/>
      <c r="M2742" t="inlineStr"/>
      <c r="N2742" t="inlineStr"/>
      <c r="O2742">
        <f>(1-Summary!$B$11)*T2742+Summary!$B$11*V2742</f>
        <v/>
      </c>
      <c r="P2742">
        <f>IF(B2773=0,0,O2742/B2773)</f>
        <v/>
      </c>
      <c r="Q2742" t="n">
        <v>0</v>
      </c>
      <c r="R2742" t="n">
        <v>0</v>
      </c>
      <c r="S2742">
        <f>IFERROR(O2742/N2742,0)</f>
        <v/>
      </c>
      <c r="T2742" t="n">
        <v>0</v>
      </c>
      <c r="V2742" t="n">
        <v>0</v>
      </c>
    </row>
    <row r="2743">
      <c r="A2743">
        <f>Skills!A6</f>
        <v/>
      </c>
      <c r="B2743">
        <f>Skills!B6</f>
        <v/>
      </c>
      <c r="C2743">
        <f>Inputs!$B$3&gt;=63</f>
        <v/>
      </c>
      <c r="D2743">
        <f>IF(Skills!C6=1,60+Inputs!$B$25+Inputs!$B$29,IF(Skills!C6=2,90+Inputs!$B$26+Inputs!$B$29,IF(Skills!C6=3,120+Inputs!$B$27+Inputs!$B$29,MAX(0,(Inputs!$B$3-100)*3)+Inputs!$B$28+Inputs!$B$29)))</f>
        <v/>
      </c>
      <c r="E2743">
        <f>INDEX(FactorTable!$B$2:$Y$301, MATCH(ROUND(MIN(300,MAX(1,D2743)),0), FactorTable!$A$2:$A$301,0), Skills!M6+1)</f>
        <v/>
      </c>
      <c r="F2743">
        <f>IF(Skills!N6=TRUE,(Skills!L6/10)*(E2743/1000),Skills!L6/10)+Skills!O6</f>
        <v/>
      </c>
      <c r="G2743">
        <f>Skills!G6*IF(Skills!H6&gt;0,Skills!I6/Skills!H6,1)</f>
        <v/>
      </c>
      <c r="H2743">
        <f>1-(1-Skills!J6/100)^Skills!K6</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2757=TRUE)*(F2757-Calc!F20)),(Inputs!$B$23+0+(IF(ArtifactsInput!$M$15,CHOOSE(ArtifactsInput!$N$15+1,25,30,35,40,45,50)/100*(Inputs!$B$11-Inputs!$B$11),0))))/100+(Inputs!$B$23+0+(IF(ArtifactsInput!$M$15,CHOOSE(ArtifactsInput!$N$15+1,25,30,35,40,45,50)/100*(Inputs!$B$11-Inputs!$B$11),0)))/100)/2</f>
        <v/>
      </c>
      <c r="M2743">
        <f>L2743*(1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IF(B2773=0,0,O2743/B2773)</f>
        <v/>
      </c>
      <c r="Q2743">
        <f>IFERROR(1/(IF(Inputs!$B$38="pvp",15,MAX(0.1,Skills!D6-IF(Skills!E6=TRUE,3.5,0)))*(1-IF(AND(ArtifactsInput!$M$27,Inputs!$B$4="Chapter Hunt"),CHOOSE(ArtifactsInput!$N$27+1,20,24,28,32,36,40),0)/100)),0)</f>
        <v/>
      </c>
      <c r="R2743">
        <f>IF(AND(Inputs!$B$38&lt;&gt;"pvp",Inputs!$B$43&gt;0),IF(MAX(0,Inputs!$B$43-B2770)&lt;=0,0,(INT(MAX(0,Inputs!$B$43-B2770)/(IF(Inputs!$B$38="pvp",15,MAX(0.1,Skills!D6-IF(Skills!E6=TRUE,3.5,0)))*(1-IF(AND(ArtifactsInput!$M$27,Inputs!$B$4="Chapter Hunt"),CHOOSE(ArtifactsInput!$N$27+1,20,24,28,32,36,40),0)/100)))+1)),0)</f>
        <v/>
      </c>
      <c r="S2743">
        <f>IFERROR(O2743/N2743,0)</f>
        <v/>
      </c>
      <c r="T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$21+Skills!Q6+(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Skills!A7</f>
        <v/>
      </c>
      <c r="B2744">
        <f>Skills!B7</f>
        <v/>
      </c>
      <c r="C2744">
        <f>Inputs!$B$3&gt;=100</f>
        <v/>
      </c>
      <c r="D2744">
        <f>IF(Skills!C7=1,60+Inputs!$B$25+Inputs!$B$29,IF(Skills!C7=2,90+Inputs!$B$26+Inputs!$B$29,IF(Skills!C7=3,120+Inputs!$B$27+Inputs!$B$29,MAX(0,(Inputs!$B$3-100)*3)+Inputs!$B$28+Inputs!$B$29)))</f>
        <v/>
      </c>
      <c r="E2744">
        <f>INDEX(FactorTable!$B$2:$Y$301, MATCH(ROUND(MIN(300,MAX(1,D2744)),0), FactorTable!$A$2:$A$301,0), Skills!M7+1)</f>
        <v/>
      </c>
      <c r="F2744">
        <f>IF(Skills!N7=TRUE,(Skills!L7/10)*(E2744/1000),Skills!L7/10)+Skills!O7</f>
        <v/>
      </c>
      <c r="G2744">
        <f>Skills!G7*IF(Skills!H7&gt;0,Skills!I7/Skills!H7,1)</f>
        <v/>
      </c>
      <c r="H2744">
        <f>1-(1-Skills!J7/100)^Skills!K7</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2757=TRUE)*(F2757-Calc!F20)),(Inputs!$B$23+0+(IF(ArtifactsInput!$M$15,CHOOSE(ArtifactsInput!$N$15+1,25,30,35,40,45,50)/100*(Inputs!$B$11-Inputs!$B$11),0))))/100+(Inputs!$B$23+0+(IF(ArtifactsInput!$M$15,CHOOSE(ArtifactsInput!$N$15+1,25,30,35,40,45,50)/100*(Inputs!$B$11-Inputs!$B$11),0)))/100)/2</f>
        <v/>
      </c>
      <c r="M2744">
        <f>L2744*(1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IF(B2773=0,0,O2744/B2773)</f>
        <v/>
      </c>
      <c r="Q2744">
        <f>IFERROR(1/(IF(Inputs!$B$38="pvp",15,MAX(0.1,Skills!D7-IF(Skills!E7=TRUE,3.5,0)))*(1-IF(AND(ArtifactsInput!$M$27,Inputs!$B$4="Chapter Hunt"),CHOOSE(ArtifactsInput!$N$27+1,20,24,28,32,36,40),0)/100)),0)</f>
        <v/>
      </c>
      <c r="R2744">
        <f>IF(AND(Inputs!$B$38&lt;&gt;"pvp",Inputs!$B$43&gt;0),IF(MAX(0,Inputs!$B$43-B2770)&lt;=0,0,(INT(MAX(0,Inputs!$B$43-B2770)/(IF(Inputs!$B$38="pvp",15,MAX(0.1,Skills!D7-IF(Skills!E7=TRUE,3.5,0)))*(1-IF(AND(ArtifactsInput!$M$27,Inputs!$B$4="Chapter Hunt"),CHOOSE(ArtifactsInput!$N$27+1,20,24,28,32,36,40),0)/100)))+1)),0)</f>
        <v/>
      </c>
      <c r="S2744">
        <f>IFERROR(O2744/N2744,0)</f>
        <v/>
      </c>
      <c r="T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$21+Skills!Q7+(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Skills!A8</f>
        <v/>
      </c>
      <c r="B2745">
        <f>Skills!B8</f>
        <v/>
      </c>
      <c r="C2745">
        <f>Inputs!$B$3&gt;=110</f>
        <v/>
      </c>
      <c r="D2745">
        <f>IF(Skills!C8=1,60+Inputs!$B$25+Inputs!$B$29,IF(Skills!C8=2,90+Inputs!$B$26+Inputs!$B$29,IF(Skills!C8=3,120+Inputs!$B$27+Inputs!$B$29,MAX(0,(Inputs!$B$3-100)*3)+Inputs!$B$28+Inputs!$B$29)))</f>
        <v/>
      </c>
      <c r="E2745">
        <f>INDEX(FactorTable!$B$2:$Y$301, MATCH(ROUND(MIN(300,MAX(1,D2745)),0), FactorTable!$A$2:$A$301,0), Skills!M8+1)</f>
        <v/>
      </c>
      <c r="F2745">
        <f>IF(Skills!N8=TRUE,(Skills!L8/10)*(E2745/1000),Skills!L8/10)+Skills!O8</f>
        <v/>
      </c>
      <c r="G2745">
        <f>Skills!G8*IF(Skills!H8&gt;0,Skills!I8/Skills!H8,1)</f>
        <v/>
      </c>
      <c r="H2745">
        <f>1-(1-Skills!J8/100)^Skills!K8</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2757=TRUE)*(F2757-Calc!F20)),(Inputs!$B$23+0+(IF(ArtifactsInput!$M$15,CHOOSE(ArtifactsInput!$N$15+1,25,30,35,40,45,50)/100*(Inputs!$B$11-Inputs!$B$11),0))))/100+(Inputs!$B$23+0+(IF(ArtifactsInput!$M$15,CHOOSE(ArtifactsInput!$N$15+1,25,30,35,40,45,50)/100*(Inputs!$B$11-Inputs!$B$11),0)))/100)/2</f>
        <v/>
      </c>
      <c r="M2745">
        <f>L2745*(1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IF(B2773=0,0,O2745/B2773)</f>
        <v/>
      </c>
      <c r="Q2745">
        <f>IFERROR(1/(IF(Inputs!$B$38="pvp",15,MAX(0.1,Skills!D8-IF(Skills!E8=TRUE,3.5,0)))*(1-IF(AND(ArtifactsInput!$M$27,Inputs!$B$4="Chapter Hunt"),CHOOSE(ArtifactsInput!$N$27+1,20,24,28,32,36,40),0)/100)),0)</f>
        <v/>
      </c>
      <c r="R2745">
        <f>IF(AND(Inputs!$B$38&lt;&gt;"pvp",Inputs!$B$43&gt;0),IF(MAX(0,Inputs!$B$43-B2770)&lt;=0,0,(INT(MAX(0,Inputs!$B$43-B2770)/(IF(Inputs!$B$38="pvp",15,MAX(0.1,Skills!D8-IF(Skills!E8=TRUE,3.5,0)))*(1-IF(AND(ArtifactsInput!$M$27,Inputs!$B$4="Chapter Hunt"),CHOOSE(ArtifactsInput!$N$27+1,20,24,28,32,36,40),0)/100)))+1)),0)</f>
        <v/>
      </c>
      <c r="S2745">
        <f>IFERROR(O2745/N2745,0)</f>
        <v/>
      </c>
      <c r="T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$21+Skills!Q8+(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Skills!A9</f>
        <v/>
      </c>
      <c r="B2746">
        <f>Skills!B9</f>
        <v/>
      </c>
      <c r="C2746">
        <f>Inputs!$B$3&gt;=110</f>
        <v/>
      </c>
      <c r="D2746">
        <f>IF(Skills!C9=1,60+Inputs!$B$25+Inputs!$B$29,IF(Skills!C9=2,90+Inputs!$B$26+Inputs!$B$29,IF(Skills!C9=3,120+Inputs!$B$27+Inputs!$B$29,MAX(0,(Inputs!$B$3-100)*3)+Inputs!$B$28+Inputs!$B$29)))</f>
        <v/>
      </c>
      <c r="E2746">
        <f>INDEX(FactorTable!$B$2:$Y$301, MATCH(ROUND(MIN(300,MAX(1,D2746)),0), FactorTable!$A$2:$A$301,0), Skills!M9+1)</f>
        <v/>
      </c>
      <c r="F2746">
        <f>IF(Skills!N9=TRUE,(Skills!L9/10)*(E2746/1000),Skills!L9/10)+Skills!O9</f>
        <v/>
      </c>
      <c r="G2746">
        <f>Skills!G9*IF(Skills!H9&gt;0,Skills!I9/Skills!H9,1)</f>
        <v/>
      </c>
      <c r="H2746">
        <f>1-(1-Skills!J9/100)^Skills!K9</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2757=TRUE)*(F2757-Calc!F20)),(Inputs!$B$23+0+(IF(ArtifactsInput!$M$15,CHOOSE(ArtifactsInput!$N$15+1,25,30,35,40,45,50)/100*(Inputs!$B$11-Inputs!$B$11),0))))/100+(Inputs!$B$23+0+(IF(ArtifactsInput!$M$15,CHOOSE(ArtifactsInput!$N$15+1,25,30,35,40,45,50)/100*(Inputs!$B$11-Inputs!$B$11),0)))/100)/2</f>
        <v/>
      </c>
      <c r="M2746">
        <f>L2746*(1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IF(B2773=0,0,O2746/B2773)</f>
        <v/>
      </c>
      <c r="Q2746">
        <f>IFERROR(1/(IF(Inputs!$B$38="pvp",15,MAX(0.1,Skills!D9-IF(Skills!E9=TRUE,3.5,0)))*(1-IF(AND(ArtifactsInput!$M$27,Inputs!$B$4="Chapter Hunt"),CHOOSE(ArtifactsInput!$N$27+1,20,24,28,32,36,40),0)/100)),0)</f>
        <v/>
      </c>
      <c r="R2746">
        <f>IF(AND(Inputs!$B$38&lt;&gt;"pvp",Inputs!$B$43&gt;0),IF(MAX(0,Inputs!$B$43-B2770)&lt;=0,0,(INT(MAX(0,Inputs!$B$43-B2770)/(IF(Inputs!$B$38="pvp",15,MAX(0.1,Skills!D9-IF(Skills!E9=TRUE,3.5,0)))*(1-IF(AND(ArtifactsInput!$M$27,Inputs!$B$4="Chapter Hunt"),CHOOSE(ArtifactsInput!$N$27+1,20,24,28,32,36,40),0)/100)))+1)),0)</f>
        <v/>
      </c>
      <c r="S2746">
        <f>IFERROR(O2746/N2746,0)</f>
        <v/>
      </c>
      <c r="T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$21+Skills!Q9+(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Skills!A10</f>
        <v/>
      </c>
      <c r="B2747">
        <f>Skills!B10</f>
        <v/>
      </c>
      <c r="C2747">
        <f>Inputs!$B$3&gt;=103</f>
        <v/>
      </c>
      <c r="D2747">
        <f>IF(Skills!C10=1,60+Inputs!$B$25+Inputs!$B$29,IF(Skills!C10=2,90+Inputs!$B$26+Inputs!$B$29,IF(Skills!C10=3,120+Inputs!$B$27+Inputs!$B$29,MAX(0,(Inputs!$B$3-100)*3)+Inputs!$B$28+Inputs!$B$29)))</f>
        <v/>
      </c>
      <c r="E2747">
        <f>INDEX(FactorTable!$B$2:$Y$301, MATCH(ROUND(MIN(300,MAX(1,D2747)),0), FactorTable!$A$2:$A$301,0), Skills!M10+1)</f>
        <v/>
      </c>
      <c r="F2747">
        <f>IF(Skills!N10=TRUE,(Skills!L10/10)*(E2747/1000),Skills!L10/10)+Skills!O10</f>
        <v/>
      </c>
      <c r="G2747">
        <f>Skills!G10*IF(Skills!H10&gt;0,Skills!I10/Skills!H10,1)</f>
        <v/>
      </c>
      <c r="H2747">
        <f>1-(1-Skills!J10/100)^Skills!K10</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2757=TRUE)*(F2757-Calc!F20)),(Inputs!$B$23+0+(IF(ArtifactsInput!$M$15,CHOOSE(ArtifactsInput!$N$15+1,25,30,35,40,45,50)/100*(Inputs!$B$11-Inputs!$B$11),0))))/100+(Inputs!$B$23+0+(IF(ArtifactsInput!$M$15,CHOOSE(ArtifactsInput!$N$15+1,25,30,35,40,45,50)/100*(Inputs!$B$11-Inputs!$B$11),0)))/100)/2</f>
        <v/>
      </c>
      <c r="M2747">
        <f>L2747*(1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IF(B2773=0,0,O2747/B2773)</f>
        <v/>
      </c>
      <c r="Q2747">
        <f>IFERROR(1/(IF(Inputs!$B$38="pvp",15,MAX(0.1,Skills!D10-IF(Skills!E10=TRUE,3.5,0)))*(1-IF(AND(ArtifactsInput!$M$27,Inputs!$B$4="Chapter Hunt"),CHOOSE(ArtifactsInput!$N$27+1,20,24,28,32,36,40),0)/100)),0)</f>
        <v/>
      </c>
      <c r="R2747">
        <f>IF(AND(Inputs!$B$38&lt;&gt;"pvp",Inputs!$B$43&gt;0),IF(MAX(0,Inputs!$B$43-B2770)&lt;=0,0,(INT(MAX(0,Inputs!$B$43-B2770)/(IF(Inputs!$B$38="pvp",15,MAX(0.1,Skills!D10-IF(Skills!E10=TRUE,3.5,0)))*(1-IF(AND(ArtifactsInput!$M$27,Inputs!$B$4="Chapter Hunt"),CHOOSE(ArtifactsInput!$N$27+1,20,24,28,32,36,40),0)/100)))+1)),0)</f>
        <v/>
      </c>
      <c r="S2747">
        <f>IFERROR(O2747/N2747,0)</f>
        <v/>
      </c>
      <c r="T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$21+Skills!Q10+(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Skills!A11</f>
        <v/>
      </c>
      <c r="B2748">
        <f>Skills!B11</f>
        <v/>
      </c>
      <c r="C2748">
        <f>Inputs!$B$3&gt;=113</f>
        <v/>
      </c>
      <c r="D2748">
        <f>IF(Skills!C11=1,60+Inputs!$B$25+Inputs!$B$29,IF(Skills!C11=2,90+Inputs!$B$26+Inputs!$B$29,IF(Skills!C11=3,120+Inputs!$B$27+Inputs!$B$29,MAX(0,(Inputs!$B$3-100)*3)+Inputs!$B$28+Inputs!$B$29)))</f>
        <v/>
      </c>
      <c r="E2748">
        <f>INDEX(FactorTable!$B$2:$Y$301, MATCH(ROUND(MIN(300,MAX(1,D2748)),0), FactorTable!$A$2:$A$301,0), Skills!M11+1)</f>
        <v/>
      </c>
      <c r="F2748">
        <f>IF(Skills!N11=TRUE,(Skills!L11/10)*(E2748/1000),Skills!L11/10)+Skills!O11</f>
        <v/>
      </c>
      <c r="G2748">
        <f>Skills!G11*IF(Skills!H11&gt;0,Skills!I11/Skills!H11,1)</f>
        <v/>
      </c>
      <c r="H2748">
        <f>1-(1-Skills!J11/100)^Skills!K11</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2757=TRUE)*(F2757-Calc!F20)),(Inputs!$B$23+0+(IF(ArtifactsInput!$M$15,CHOOSE(ArtifactsInput!$N$15+1,25,30,35,40,45,50)/100*(Inputs!$B$11-Inputs!$B$11),0))))/100+(Inputs!$B$23+0+(IF(ArtifactsInput!$M$15,CHOOSE(ArtifactsInput!$N$15+1,25,30,35,40,45,50)/100*(Inputs!$B$11-Inputs!$B$11),0)))/100)/2</f>
        <v/>
      </c>
      <c r="M2748">
        <f>L2748*(1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IF(B2773=0,0,O2748/B2773)</f>
        <v/>
      </c>
      <c r="Q2748">
        <f>IFERROR(1/(IF(Inputs!$B$38="pvp",15,MAX(0.1,Skills!D11-IF(Skills!E11=TRUE,3.5,0)))*(1-IF(AND(ArtifactsInput!$M$27,Inputs!$B$4="Chapter Hunt"),CHOOSE(ArtifactsInput!$N$27+1,20,24,28,32,36,40),0)/100)),0)</f>
        <v/>
      </c>
      <c r="R2748">
        <f>IF(AND(Inputs!$B$38&lt;&gt;"pvp",Inputs!$B$43&gt;0),IF(MAX(0,Inputs!$B$43-B2770)&lt;=0,0,(INT(MAX(0,Inputs!$B$43-B2770)/(IF(Inputs!$B$38="pvp",15,MAX(0.1,Skills!D11-IF(Skills!E11=TRUE,3.5,0)))*(1-IF(AND(ArtifactsInput!$M$27,Inputs!$B$4="Chapter Hunt"),CHOOSE(ArtifactsInput!$N$27+1,20,24,28,32,36,40),0)/100)))+1)),0)</f>
        <v/>
      </c>
      <c r="S2748">
        <f>IFERROR(O2748/N2748,0)</f>
        <v/>
      </c>
      <c r="T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$21+Skills!Q11+(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Skills!A12</f>
        <v/>
      </c>
      <c r="B2749">
        <f>Skills!B12</f>
        <v/>
      </c>
      <c r="C2749">
        <f>Inputs!$B$3&gt;=100</f>
        <v/>
      </c>
      <c r="D2749">
        <f>IF(Skills!C12=1,60+Inputs!$B$25+Inputs!$B$29,IF(Skills!C12=2,90+Inputs!$B$26+Inputs!$B$29,IF(Skills!C12=3,120+Inputs!$B$27+Inputs!$B$29,MAX(0,(Inputs!$B$3-100)*3)+Inputs!$B$28+Inputs!$B$29)))</f>
        <v/>
      </c>
      <c r="E2749">
        <f>INDEX(FactorTable!$B$2:$Y$301, MATCH(ROUND(MIN(300,MAX(1,D2749)),0), FactorTable!$A$2:$A$301,0), Skills!M12+1)</f>
        <v/>
      </c>
      <c r="F2749">
        <f>IF(Skills!N12=TRUE,(Skills!L12/10)*(E2749/1000),Skills!L12/10)+Skills!O12</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Skills!A13</f>
        <v/>
      </c>
      <c r="B2750">
        <f>Skills!B13</f>
        <v/>
      </c>
      <c r="C2750">
        <f>Inputs!$B$3&gt;=66</f>
        <v/>
      </c>
      <c r="D2750">
        <f>IF(Skills!C13=1,60+Inputs!$B$25+Inputs!$B$29,IF(Skills!C13=2,90+Inputs!$B$26+Inputs!$B$29,IF(Skills!C13=3,120+Inputs!$B$27+Inputs!$B$29,MAX(0,(Inputs!$B$3-100)*3)+Inputs!$B$28+Inputs!$B$29)))</f>
        <v/>
      </c>
      <c r="E2750">
        <f>INDEX(FactorTable!$B$2:$Y$301, MATCH(ROUND(MIN(300,MAX(1,D2750)),0), FactorTable!$A$2:$A$301,0), Skills!M13+1)</f>
        <v/>
      </c>
      <c r="F2750">
        <f>IF(Skills!N13=TRUE,(Skills!L13/10)*(E2750/1000),Skills!L13/10)+Skills!O13</f>
        <v/>
      </c>
      <c r="G2750">
        <f>Skills!G13*IF(Skills!H13&gt;0,Skills!I13/Skills!H13,1)</f>
        <v/>
      </c>
      <c r="H2750">
        <f>1-(1-Skills!J13/100)^Skills!K13</f>
        <v/>
      </c>
      <c r="I2750" t="inlineStr">
        <is>
          <t>1</t>
        </is>
      </c>
      <c r="J2750" t="inlineStr"/>
      <c r="K2750" t="inlineStr"/>
      <c r="L2750" t="inlineStr"/>
      <c r="M2750" t="inlineStr"/>
      <c r="N2750" t="inlineStr"/>
      <c r="O2750">
        <f>(1-Summary!$B$11)*T2750+Summary!$B$11*V2750</f>
        <v/>
      </c>
      <c r="P2750">
        <f>IF(B2773=0,0,O2750/B2773)</f>
        <v/>
      </c>
      <c r="Q2750" t="n">
        <v>0</v>
      </c>
      <c r="R2750" t="n">
        <v>0</v>
      </c>
      <c r="S2750">
        <f>IFERROR(O2750/N2750,0)</f>
        <v/>
      </c>
      <c r="T2750" t="n">
        <v>0</v>
      </c>
      <c r="V2750" t="n">
        <v>0</v>
      </c>
    </row>
    <row r="2751">
      <c r="A2751">
        <f>Skills!A14</f>
        <v/>
      </c>
      <c r="B2751">
        <f>Skills!B14</f>
        <v/>
      </c>
      <c r="C2751">
        <f>Inputs!$B$3&gt;=107</f>
        <v/>
      </c>
      <c r="D2751">
        <f>IF(Skills!C14=1,60+Inputs!$B$25+Inputs!$B$29,IF(Skills!C14=2,90+Inputs!$B$26+Inputs!$B$29,IF(Skills!C14=3,120+Inputs!$B$27+Inputs!$B$29,MAX(0,(Inputs!$B$3-100)*3)+Inputs!$B$28+Inputs!$B$29)))</f>
        <v/>
      </c>
      <c r="E2751">
        <f>INDEX(FactorTable!$B$2:$Y$301, MATCH(ROUND(MIN(300,MAX(1,D2751)),0), FactorTable!$A$2:$A$301,0), Skills!M14+1)</f>
        <v/>
      </c>
      <c r="F2751">
        <f>IF(Skills!N14=TRUE,(Skills!L14/10)*(E2751/1000),Skills!L14/10)+Skills!O14</f>
        <v/>
      </c>
      <c r="G2751">
        <f>Skills!G14*IF(Skills!H14&gt;0,Skills!I14/Skills!H14,1)</f>
        <v/>
      </c>
      <c r="H2751">
        <f>1-(1-Skills!J14/100)^Skills!K14</f>
        <v/>
      </c>
      <c r="I2751" t="inlineStr">
        <is>
          <t>1</t>
        </is>
      </c>
      <c r="J2751" t="inlineStr"/>
      <c r="K2751" t="inlineStr"/>
      <c r="L2751" t="inlineStr"/>
      <c r="M2751" t="inlineStr"/>
      <c r="N2751" t="inlineStr"/>
      <c r="O2751">
        <f>(1-Summary!$B$11)*T2751+Summary!$B$11*V2751</f>
        <v/>
      </c>
      <c r="P2751">
        <f>IF(B2773=0,0,O2751/B2773)</f>
        <v/>
      </c>
      <c r="Q2751" t="n">
        <v>0</v>
      </c>
      <c r="R2751" t="n">
        <v>0</v>
      </c>
      <c r="S2751">
        <f>IFERROR(O2751/N2751,0)</f>
        <v/>
      </c>
      <c r="T2751" t="n">
        <v>0</v>
      </c>
      <c r="V2751" t="n">
        <v>0</v>
      </c>
    </row>
    <row r="2752">
      <c r="A2752">
        <f>Skills!A15</f>
        <v/>
      </c>
      <c r="B2752">
        <f>Skills!B15</f>
        <v/>
      </c>
      <c r="C2752">
        <f>Inputs!$B$3&gt;=115</f>
        <v/>
      </c>
      <c r="D2752">
        <f>IF(Skills!C15=1,60+Inputs!$B$25+Inputs!$B$29,IF(Skills!C15=2,90+Inputs!$B$26+Inputs!$B$29,IF(Skills!C15=3,120+Inputs!$B$27+Inputs!$B$29,MAX(0,(Inputs!$B$3-100)*3)+Inputs!$B$28+Inputs!$B$29)))</f>
        <v/>
      </c>
      <c r="E2752">
        <f>INDEX(FactorTable!$B$2:$Y$301, MATCH(ROUND(MIN(300,MAX(1,D2752)),0), FactorTable!$A$2:$A$301,0), Skills!M15+1)</f>
        <v/>
      </c>
      <c r="F2752">
        <f>IF(Skills!N15=TRUE,(Skills!L15/10)*(E2752/1000),Skills!L15/10)+Skills!O15</f>
        <v/>
      </c>
      <c r="G2752">
        <f>Skills!G15*IF(Skills!H15&gt;0,Skills!I15/Skills!H15,1)</f>
        <v/>
      </c>
      <c r="H2752">
        <f>1-(1-Skills!J15/100)^Skills!K15</f>
        <v/>
      </c>
      <c r="I2752" t="inlineStr">
        <is>
          <t>1</t>
        </is>
      </c>
      <c r="J2752" t="inlineStr"/>
      <c r="K2752" t="inlineStr"/>
      <c r="L2752" t="inlineStr"/>
      <c r="M2752" t="inlineStr"/>
      <c r="N2752" t="inlineStr"/>
      <c r="O2752">
        <f>(1-Summary!$B$11)*T2752+Summary!$B$11*V2752</f>
        <v/>
      </c>
      <c r="P2752">
        <f>IF(B2773=0,0,O2752/B2773)</f>
        <v/>
      </c>
      <c r="Q2752" t="n">
        <v>0</v>
      </c>
      <c r="R2752" t="n">
        <v>0</v>
      </c>
      <c r="S2752">
        <f>IFERROR(O2752/N2752,0)</f>
        <v/>
      </c>
      <c r="T2752" t="n">
        <v>0</v>
      </c>
      <c r="V2752" t="n">
        <v>0</v>
      </c>
    </row>
    <row r="2753">
      <c r="A2753">
        <f>Skills!A16</f>
        <v/>
      </c>
      <c r="B2753">
        <f>Skills!B16</f>
        <v/>
      </c>
      <c r="C2753">
        <f>Inputs!$B$3&gt;=15</f>
        <v/>
      </c>
      <c r="D2753">
        <f>IF(Skills!C16=1,60+Inputs!$B$25+Inputs!$B$29,IF(Skills!C16=2,90+Inputs!$B$26+Inputs!$B$29,IF(Skills!C16=3,120+Inputs!$B$27+Inputs!$B$29,MAX(0,(Inputs!$B$3-100)*3)+Inputs!$B$28+Inputs!$B$29)))</f>
        <v/>
      </c>
      <c r="E2753">
        <f>INDEX(FactorTable!$B$2:$Y$301, MATCH(ROUND(MIN(300,MAX(1,D2753)),0), FactorTable!$A$2:$A$301,0), Skills!M16+1)</f>
        <v/>
      </c>
      <c r="F2753">
        <f>IF(Skills!N16=TRUE,(Skills!L16/10)*(E2753/1000),Skills!L16/10)+Skills!O16</f>
        <v/>
      </c>
      <c r="G2753">
        <f>Skills!G16*IF(Skills!H16&gt;0,Skills!I16/Skills!H16,1)</f>
        <v/>
      </c>
      <c r="H2753">
        <f>1-(1-Skills!J16/100)^Skills!K16</f>
        <v/>
      </c>
      <c r="I2753" t="inlineStr">
        <is>
          <t>1</t>
        </is>
      </c>
      <c r="J2753" t="inlineStr"/>
      <c r="K2753" t="inlineStr"/>
      <c r="L2753" t="inlineStr"/>
      <c r="M2753" t="inlineStr"/>
      <c r="N2753" t="inlineStr"/>
      <c r="O2753">
        <f>(1-Summary!$B$11)*T2753+Summary!$B$11*V2753</f>
        <v/>
      </c>
      <c r="P2753">
        <f>IF(B2773=0,0,O2753/B2773)</f>
        <v/>
      </c>
      <c r="Q2753" t="n">
        <v>0</v>
      </c>
      <c r="R2753" t="n">
        <v>0</v>
      </c>
      <c r="S2753">
        <f>IFERROR(O2753/N2753,0)</f>
        <v/>
      </c>
      <c r="T2753" t="n">
        <v>0</v>
      </c>
      <c r="V2753" t="n">
        <v>0</v>
      </c>
    </row>
    <row r="2754">
      <c r="A2754">
        <f>Skills!A17</f>
        <v/>
      </c>
      <c r="B2754">
        <f>Skills!B17</f>
        <v/>
      </c>
      <c r="C2754">
        <f>Inputs!$B$3&gt;=10</f>
        <v/>
      </c>
      <c r="D2754">
        <f>IF(Skills!C17=1,60+Inputs!$B$25+Inputs!$B$29,IF(Skills!C17=2,90+Inputs!$B$26+Inputs!$B$29,IF(Skills!C17=3,120+Inputs!$B$27+Inputs!$B$29,MAX(0,(Inputs!$B$3-100)*3)+Inputs!$B$28+Inputs!$B$29)))</f>
        <v/>
      </c>
      <c r="E2754">
        <f>INDEX(FactorTable!$B$2:$Y$301, MATCH(ROUND(MIN(300,MAX(1,D2754)),0), FactorTable!$A$2:$A$301,0), Skills!M17+1)</f>
        <v/>
      </c>
      <c r="F2754">
        <f>IF(Skills!N17=TRUE,(Skills!L17/10)*(E2754/1000),Skills!L17/10)+Skills!O17</f>
        <v/>
      </c>
      <c r="G2754">
        <f>Skills!G17*IF(Skills!H17&gt;0,Skills!I17/Skills!H17,1)</f>
        <v/>
      </c>
      <c r="H2754">
        <f>1-(1-Skills!J17/100)^Skills!K17</f>
        <v/>
      </c>
      <c r="I2754" t="inlineStr">
        <is>
          <t>1</t>
        </is>
      </c>
      <c r="J2754" t="inlineStr"/>
      <c r="K2754" t="inlineStr"/>
      <c r="L2754" t="inlineStr"/>
      <c r="M2754" t="inlineStr"/>
      <c r="N2754" t="inlineStr"/>
      <c r="O2754">
        <f>(1-Summary!$B$11)*T2754+Summary!$B$11*V2754</f>
        <v/>
      </c>
      <c r="P2754">
        <f>IF(B2773=0,0,O2754/B2773)</f>
        <v/>
      </c>
      <c r="Q2754" t="n">
        <v>0</v>
      </c>
      <c r="R2754" t="n">
        <v>0</v>
      </c>
      <c r="S2754">
        <f>IFERROR(O2754/N2754,0)</f>
        <v/>
      </c>
      <c r="T2754" t="n">
        <v>0</v>
      </c>
      <c r="V2754" t="n">
        <v>0</v>
      </c>
    </row>
    <row r="2755">
      <c r="A2755">
        <f>Skills!A18</f>
        <v/>
      </c>
      <c r="B2755">
        <f>Skills!B18</f>
        <v/>
      </c>
      <c r="C2755">
        <f>Inputs!$B$3&gt;=33</f>
        <v/>
      </c>
      <c r="D2755">
        <f>IF(Skills!C18=1,60+Inputs!$B$25+Inputs!$B$29,IF(Skills!C18=2,90+Inputs!$B$26+Inputs!$B$29,IF(Skills!C18=3,120+Inputs!$B$27+Inputs!$B$29,MAX(0,(Inputs!$B$3-100)*3)+Inputs!$B$28+Inputs!$B$29)))</f>
        <v/>
      </c>
      <c r="E2755">
        <f>INDEX(FactorTable!$B$2:$Y$301, MATCH(ROUND(MIN(300,MAX(1,D2755)),0), FactorTable!$A$2:$A$301,0), Skills!M18+1)</f>
        <v/>
      </c>
      <c r="F2755">
        <f>IF(Skills!N18=TRUE,(Skills!L18/10)*(E2755/1000),Skills!L18/10)+Skills!O18</f>
        <v/>
      </c>
      <c r="G2755">
        <f>Skills!G18*IF(Skills!H18&gt;0,Skills!I18/Skills!H18,1)</f>
        <v/>
      </c>
      <c r="H2755">
        <f>1-(1-Skills!J18/100)^Skills!K18</f>
        <v/>
      </c>
      <c r="I2755" t="inlineStr">
        <is>
          <t>1</t>
        </is>
      </c>
      <c r="J2755" t="inlineStr"/>
      <c r="K2755" t="inlineStr"/>
      <c r="L2755" t="inlineStr"/>
      <c r="M2755" t="inlineStr"/>
      <c r="N2755" t="inlineStr"/>
      <c r="O2755">
        <f>(1-Summary!$B$11)*T2755+Summary!$B$11*V2755</f>
        <v/>
      </c>
      <c r="P2755">
        <f>IF(B2773=0,0,O2755/B2773)</f>
        <v/>
      </c>
      <c r="Q2755" t="n">
        <v>0</v>
      </c>
      <c r="R2755" t="n">
        <v>0</v>
      </c>
      <c r="S2755">
        <f>IFERROR(O2755/N2755,0)</f>
        <v/>
      </c>
      <c r="T2755" t="n">
        <v>0</v>
      </c>
      <c r="V2755" t="n">
        <v>0</v>
      </c>
    </row>
    <row r="2756">
      <c r="A2756">
        <f>Skills!A19</f>
        <v/>
      </c>
      <c r="B2756">
        <f>Skills!B19</f>
        <v/>
      </c>
      <c r="C2756">
        <f>Inputs!$B$3&gt;=40</f>
        <v/>
      </c>
      <c r="D2756">
        <f>IF(Skills!C19=1,60+Inputs!$B$25+Inputs!$B$29,IF(Skills!C19=2,90+Inputs!$B$26+Inputs!$B$29,IF(Skills!C19=3,120+Inputs!$B$27+Inputs!$B$29,MAX(0,(Inputs!$B$3-100)*3)+Inputs!$B$28+Inputs!$B$29)))</f>
        <v/>
      </c>
      <c r="E2756">
        <f>INDEX(FactorTable!$B$2:$Y$301, MATCH(ROUND(MIN(300,MAX(1,D2756)),0), FactorTable!$A$2:$A$301,0), Skills!M19+1)</f>
        <v/>
      </c>
      <c r="F2756">
        <f>IF(Skills!N19=TRUE,(Skills!L19/10)*(E2756/1000),Skills!L19/10)+Skills!O19</f>
        <v/>
      </c>
      <c r="G2756">
        <f>Skills!G19*IF(Skills!H19&gt;0,Skills!I19/Skills!H19,1)</f>
        <v/>
      </c>
      <c r="H2756">
        <f>1-(1-Skills!J19/100)^Skills!K19</f>
        <v/>
      </c>
      <c r="I2756" t="inlineStr">
        <is>
          <t>1</t>
        </is>
      </c>
      <c r="J2756" t="inlineStr"/>
      <c r="K2756" t="inlineStr"/>
      <c r="L2756" t="inlineStr"/>
      <c r="M2756" t="inlineStr"/>
      <c r="N2756" t="inlineStr"/>
      <c r="O2756">
        <f>(1-Summary!$B$11)*T2756+Summary!$B$11*V2756</f>
        <v/>
      </c>
      <c r="P2756">
        <f>IF(B2773=0,0,O2756/B2773)</f>
        <v/>
      </c>
      <c r="Q2756" t="n">
        <v>0</v>
      </c>
      <c r="R2756" t="n">
        <v>0</v>
      </c>
      <c r="S2756">
        <f>IFERROR(O2756/N2756,0)</f>
        <v/>
      </c>
      <c r="T2756" t="n">
        <v>0</v>
      </c>
      <c r="V2756" t="n">
        <v>0</v>
      </c>
    </row>
    <row r="2757">
      <c r="A2757">
        <f>Skills!A20</f>
        <v/>
      </c>
      <c r="B2757">
        <f>Skills!B20</f>
        <v/>
      </c>
      <c r="C2757">
        <f>Inputs!$B$3&gt;=43</f>
        <v/>
      </c>
      <c r="D2757">
        <f>IF(Skills!C20=1,60+Inputs!$B$25+Inputs!$B$29,IF(Skills!C20=2,90+Inputs!$B$26+Inputs!$B$29,IF(Skills!C20=3,120+Inputs!$B$27+Inputs!$B$29,MAX(0,(Inputs!$B$3-100)*3)+Inputs!$B$28+Inputs!$B$29)))</f>
        <v/>
      </c>
      <c r="E2757">
        <f>INDEX(FactorTable!$B$2:$Y$301, MATCH(ROUND(MIN(300,MAX(1,D2757)),0), FactorTable!$A$2:$A$301,0), Skills!M20+1)</f>
        <v/>
      </c>
      <c r="F2757">
        <f>IF(Skills!N20=TRUE,(Skills!L20/10)*(E2757/1000),Skills!L20/10)+Skills!O20</f>
        <v/>
      </c>
      <c r="G2757">
        <f>Skills!G20*IF(Skills!H20&gt;0,Skills!I20/Skills!H20,1)</f>
        <v/>
      </c>
      <c r="H2757">
        <f>1-(1-Skills!J20/100)^Skills!K20</f>
        <v/>
      </c>
      <c r="I2757" t="inlineStr">
        <is>
          <t>1</t>
        </is>
      </c>
      <c r="J2757" t="inlineStr"/>
      <c r="K2757" t="inlineStr"/>
      <c r="L2757" t="inlineStr"/>
      <c r="M2757" t="inlineStr"/>
      <c r="N2757" t="inlineStr"/>
      <c r="O2757">
        <f>(1-Summary!$B$11)*T2757+Summary!$B$11*V2757</f>
        <v/>
      </c>
      <c r="P2757">
        <f>IF(B2773=0,0,O2757/B2773)</f>
        <v/>
      </c>
      <c r="Q2757" t="n">
        <v>0</v>
      </c>
      <c r="R2757" t="n">
        <v>0</v>
      </c>
      <c r="S2757">
        <f>IFERROR(O2757/N2757,0)</f>
        <v/>
      </c>
      <c r="T2757" t="n">
        <v>0</v>
      </c>
      <c r="V2757" t="n">
        <v>0</v>
      </c>
    </row>
    <row r="2758">
      <c r="A2758">
        <f>Skills!A21</f>
        <v/>
      </c>
      <c r="B2758">
        <f>Skills!B21</f>
        <v/>
      </c>
      <c r="C2758">
        <f>Inputs!$B$3&gt;=38</f>
        <v/>
      </c>
      <c r="D2758">
        <f>IF(Skills!C21=1,60+Inputs!$B$25+Inputs!$B$29,IF(Skills!C21=2,90+Inputs!$B$26+Inputs!$B$29,IF(Skills!C21=3,120+Inputs!$B$27+Inputs!$B$29,MAX(0,(Inputs!$B$3-100)*3)+Inputs!$B$28+Inputs!$B$29)))</f>
        <v/>
      </c>
      <c r="E2758">
        <f>INDEX(FactorTable!$B$2:$Y$301, MATCH(ROUND(MIN(300,MAX(1,D2758)),0), FactorTable!$A$2:$A$301,0), Skills!M21+1)</f>
        <v/>
      </c>
      <c r="F2758">
        <f>IF(Skills!N21=TRUE,(Skills!L21/10)*(E2758/1000),Skills!L21/10)+Skills!O21</f>
        <v/>
      </c>
      <c r="G2758">
        <f>Skills!G21*IF(Skills!H21&gt;0,Skills!I21/Skills!H21,1)</f>
        <v/>
      </c>
      <c r="H2758">
        <f>1-(1-Skills!J21/100)^Skills!K21</f>
        <v/>
      </c>
      <c r="I2758" t="inlineStr">
        <is>
          <t>1</t>
        </is>
      </c>
      <c r="J2758" t="inlineStr"/>
      <c r="K2758" t="inlineStr"/>
      <c r="L2758" t="inlineStr"/>
      <c r="M2758" t="inlineStr"/>
      <c r="N2758" t="inlineStr"/>
      <c r="O2758">
        <f>(1-Summary!$B$11)*T2758+Summary!$B$11*V2758</f>
        <v/>
      </c>
      <c r="P2758">
        <f>IF(B2773=0,0,O2758/B2773)</f>
        <v/>
      </c>
      <c r="Q2758" t="n">
        <v>0</v>
      </c>
      <c r="R2758" t="n">
        <v>0</v>
      </c>
      <c r="S2758">
        <f>IFERROR(O2758/N2758,0)</f>
        <v/>
      </c>
      <c r="T2758" t="n">
        <v>0</v>
      </c>
      <c r="V2758" t="n">
        <v>0</v>
      </c>
    </row>
    <row r="2759">
      <c r="A2759">
        <f>Skills!A22</f>
        <v/>
      </c>
      <c r="B2759">
        <f>Skills!B22</f>
        <v/>
      </c>
      <c r="C2759">
        <f>Inputs!$B$3&gt;=75</f>
        <v/>
      </c>
      <c r="D2759">
        <f>IF(Skills!C22=1,60+Inputs!$B$25+Inputs!$B$29,IF(Skills!C22=2,90+Inputs!$B$26+Inputs!$B$29,IF(Skills!C22=3,120+Inputs!$B$27+Inputs!$B$29,MAX(0,(Inputs!$B$3-100)*3)+Inputs!$B$28+Inputs!$B$29)))</f>
        <v/>
      </c>
      <c r="E2759">
        <f>INDEX(FactorTable!$B$2:$Y$301, MATCH(ROUND(MIN(300,MAX(1,D2759)),0), FactorTable!$A$2:$A$301,0), Skills!M22+1)</f>
        <v/>
      </c>
      <c r="F2759">
        <f>IF(Skills!N22=TRUE,(Skills!L22/10)*(E2759/1000),Skills!L22/10)+Skills!O22</f>
        <v/>
      </c>
      <c r="G2759">
        <f>Skills!G22*IF(Skills!H22&gt;0,Skills!I22/Skills!H22,1)</f>
        <v/>
      </c>
      <c r="H2759">
        <f>1-(1-Skills!J22/100)^Skills!K22</f>
        <v/>
      </c>
      <c r="I2759" t="inlineStr">
        <is>
          <t>1</t>
        </is>
      </c>
      <c r="J2759" t="inlineStr"/>
      <c r="K2759" t="inlineStr"/>
      <c r="L2759" t="inlineStr"/>
      <c r="M2759" t="inlineStr"/>
      <c r="N2759" t="inlineStr"/>
      <c r="O2759">
        <f>(1-Summary!$B$11)*T2759+Summary!$B$11*V2759</f>
        <v/>
      </c>
      <c r="P2759">
        <f>IF(B2773=0,0,O2759/B2773)</f>
        <v/>
      </c>
      <c r="Q2759" t="n">
        <v>0</v>
      </c>
      <c r="R2759" t="n">
        <v>0</v>
      </c>
      <c r="S2759">
        <f>IFERROR(O2759/N2759,0)</f>
        <v/>
      </c>
      <c r="T2759" t="n">
        <v>0</v>
      </c>
      <c r="V2759" t="n">
        <v>0</v>
      </c>
    </row>
    <row r="2760">
      <c r="A2760">
        <f>Skills!A23</f>
        <v/>
      </c>
      <c r="B2760">
        <f>Skills!B23</f>
        <v/>
      </c>
      <c r="C2760">
        <f>TRUE</f>
        <v/>
      </c>
      <c r="D2760">
        <f>IF(Skills!C23=1,60+Inputs!$B$25+Inputs!$B$29,IF(Skills!C23=2,90+Inputs!$B$26+Inputs!$B$29,IF(Skills!C23=3,120+Inputs!$B$27+Inputs!$B$29,MAX(0,(Inputs!$B$3-100)*3)+Inputs!$B$28+Inputs!$B$29)))</f>
        <v/>
      </c>
      <c r="E2760">
        <f>INDEX(FactorTable!$B$2:$Y$301, MATCH(ROUND(MIN(300,MAX(1,D2760)),0), FactorTable!$A$2:$A$301,0), Skills!M23+1)</f>
        <v/>
      </c>
      <c r="F2760">
        <f>IF(Skills!N23=TRUE,(Skills!L23/10)*(E2760/1000),Skills!L23/10)+Skills!O23</f>
        <v/>
      </c>
      <c r="G2760">
        <f>Skills!G23*IF(Skills!H23&gt;0,Skills!I23/Skills!H23,1)</f>
        <v/>
      </c>
      <c r="H2760">
        <f>1-(1-Skills!J23/100)^Skills!K23</f>
        <v/>
      </c>
      <c r="I2760" t="inlineStr">
        <is>
          <t>1</t>
        </is>
      </c>
      <c r="J2760" t="inlineStr"/>
      <c r="K2760" t="inlineStr"/>
      <c r="L2760" t="inlineStr"/>
      <c r="M2760" t="inlineStr"/>
      <c r="N2760" t="inlineStr"/>
      <c r="O2760">
        <f>(1-Summary!$B$11)*T2760+Summary!$B$11*V2760</f>
        <v/>
      </c>
      <c r="P2760">
        <f>IF(B2773=0,0,O2760/B2773)</f>
        <v/>
      </c>
      <c r="Q2760">
        <f>IFERROR(1/(IF(Inputs!$B$38="pvp",15,MAX(0.1,Skills!D23-IF(Skills!E23=TRUE,3.5,0)))*(1-IF(AND(ArtifactsInput!$M$27,Inputs!$B$4="Chapter Hunt"),CHOOSE(ArtifactsInput!$N$27+1,20,24,28,32,36,40),0)/100)),0)</f>
        <v/>
      </c>
      <c r="R2760">
        <f>IF(AND(Inputs!$B$38&lt;&gt;"pvp",Inputs!$B$43&gt;0),IF(Inputs!$B$43&lt;=0,0,(INT(Inputs!$B$43/(IF(Inputs!$B$38="pvp",15,MAX(0.1,Skills!D23-IF(Skills!E23=TRUE,3.5,0)))*(1-IF(AND(ArtifactsInput!$M$27,Inputs!$B$4="Chapter Hunt"),CHOOSE(ArtifactsInput!$N$27+1,20,24,28,32,36,40),0)/100)))+1)),0)</f>
        <v/>
      </c>
      <c r="S2760">
        <f>IFERROR(O2760/N2760,0)</f>
        <v/>
      </c>
      <c r="T2760" t="n">
        <v>0</v>
      </c>
      <c r="V2760" t="n">
        <v>0</v>
      </c>
    </row>
    <row r="2762">
      <c r="A2762" t="inlineStr">
        <is>
          <t>Attack% Bucket Multiplier</t>
        </is>
      </c>
      <c r="B2762">
        <f>(1+(((C2750=TRUE)*F2750*5/7)+((C2756=TRUE)*(F2756-Calc!F19))+(IF(ArtifactsInput!$M$21,CHOOSE(ArtifactsInput!$N$21+1,25,30,35,40,45,50)*(IF(OR(Inputs!$B$4="Chapter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3">
      <c r="A2763" t="inlineStr">
        <is>
          <t>Global Crit Rate Bonus %</t>
        </is>
      </c>
      <c r="B2763" t="n">
        <v>0</v>
      </c>
    </row>
    <row r="2764">
      <c r="A2764" t="inlineStr">
        <is>
          <t>Attack Speed Buff Bonus % (Nimble Feet, duty-cycle averaged)</t>
        </is>
      </c>
      <c r="B2764">
        <f>((C2760=TRUE)*F2760*IF(AND(Inputs!$B$38&lt;&gt;"pvp",Inputs!$B$43&gt;0),(((R2760-1)*(Skills!T23*(1+Inputs!$B$34/100))+MIN((Skills!T23*(1+Inputs!$B$34/100)),MAX(0,Inputs!$B$43-((R2760-1)*Skills!D23))))/Inputs!$B$43),IF(Inputs!$B$38="pvp",MIN((Skills!T23*(1+Inputs!$B$34/100)),15)/15,(Skills!T23*(1+Inputs!$B$34/100))/Skills!D23)))</f>
        <v/>
      </c>
    </row>
    <row r="2765">
      <c r="A2765" t="inlineStr">
        <is>
          <t>Actions Per Second</t>
        </is>
      </c>
      <c r="B2765">
        <f>1+MIN(150,150*(1-(1-(Inputs!$B$11+((C2754=TRUE)*(F2754-Calc!F17))+((C2755=TRUE)*(F2755-Calc!F18)))/150)*(1-B2764/150)))/100</f>
        <v/>
      </c>
    </row>
    <row r="2766">
      <c r="A2766" t="inlineStr">
        <is>
          <t>Skill + Buff Cast Rate</t>
        </is>
      </c>
      <c r="B2766">
        <f>IF(AND(Inputs!$B$38&lt;&gt;"pvp",Inputs!$B$43&gt;0),SUMPRODUCT((Skills!E2:E23=TRUE)*(C2739:C2760=TRUE)*R2739:R2760*Skills!F2:F23)/Inputs!$B$43,SUMPRODUCT((Skills!E2:E23=TRUE)*(C2739:C2760=TRUE)*Q2739:Q2760*Skills!F2:F23))</f>
        <v/>
      </c>
    </row>
    <row r="2767">
      <c r="A2767" t="inlineStr">
        <is>
          <t>Hook Bomber Casts Per Second</t>
        </is>
      </c>
      <c r="B2767">
        <f>MAX(0,B2765-B2766)</f>
        <v/>
      </c>
    </row>
    <row r="2768">
      <c r="A2768" t="inlineStr">
        <is>
          <t>Global Critical Damage Bonus % (unused)</t>
        </is>
      </c>
      <c r="B2768" t="n">
        <v>0</v>
      </c>
    </row>
    <row r="2769">
      <c r="A2769" t="inlineStr">
        <is>
          <t>Global Final Damage Bonus % (Serpent Scale + Crossbones + Time Leap + Speed Infusion)</t>
        </is>
      </c>
      <c r="B2769">
        <f>((C2742=TRUE)*F2742*((10+IF(Inputs!$B$3&gt;=94,5,0))/((10+IF(Inputs!$B$3&gt;=94,5,0))+5/(B2767*(1+IF(Inputs!$B$3&gt;=104,1,0))))))+((C2751=TRUE)*F2751)+((C2752=TRUE)*F2752)+((Inputs!$B$3&gt;=110)*20*(B2765-1))</f>
        <v/>
      </c>
    </row>
    <row r="2770">
      <c r="A2770" t="inlineStr">
        <is>
          <t>Buff-Casting Startup Delay (s, fixed-duration only)</t>
        </is>
      </c>
      <c r="B2770">
        <f>IF(AND(Inputs!$B$38&lt;&gt;"pvp",Inputs!$B$43&gt;0),SUMPRODUCT((Skills!T2:T23&gt;0)*(Skills!E2:E23=TRUE)*(C2739:C2760=TRUE))/B2765,0)</f>
        <v/>
      </c>
    </row>
    <row r="2771">
      <c r="A2771" t="inlineStr">
        <is>
          <t>Boss-Only Total DPS (this block's swept value)</t>
        </is>
      </c>
      <c r="B2771">
        <f>SUM(T2739:T2760)</f>
        <v/>
      </c>
    </row>
    <row r="2772">
      <c r="A2772" t="inlineStr">
        <is>
          <t>Normal-Only Total DPS (this block's swept value)</t>
        </is>
      </c>
      <c r="B2772">
        <f>SUM(V2739:V2760)</f>
        <v/>
      </c>
    </row>
    <row r="2773">
      <c r="A2773" s="6" t="inlineStr">
        <is>
          <t>TOTAL DPS</t>
        </is>
      </c>
      <c r="B2773" s="6">
        <f>SUM(O2739:O2760)</f>
        <v/>
      </c>
    </row>
    <row r="2776">
      <c r="A2776" s="6" t="inlineStr">
        <is>
          <t>Stat: CDR = 4.0s</t>
        </is>
      </c>
    </row>
    <row r="2777">
      <c r="A2777" s="5" t="inlineStr">
        <is>
          <t>Key</t>
        </is>
      </c>
      <c r="B2777" s="5" t="inlineStr">
        <is>
          <t>Name</t>
        </is>
      </c>
      <c r="C2777" s="5" t="inlineStr">
        <is>
          <t>Unlocked</t>
        </is>
      </c>
      <c r="D2777" s="5" t="inlineStr">
        <is>
          <t>InputLevel</t>
        </is>
      </c>
      <c r="E2777" s="5" t="inlineStr">
        <is>
          <t>Factor</t>
        </is>
      </c>
      <c r="F2777" s="5" t="inlineStr">
        <is>
          <t>CoefficientPercent</t>
        </is>
      </c>
      <c r="G2777" s="5" t="inlineStr">
        <is>
          <t>EffectiveHits</t>
        </is>
      </c>
      <c r="H2777" s="5" t="inlineStr">
        <is>
          <t>ProcProbability</t>
        </is>
      </c>
      <c r="I2777" s="5" t="inlineStr">
        <is>
          <t>MapleHeroMultiplier</t>
        </is>
      </c>
      <c r="J2777" s="5" t="inlineStr">
        <is>
          <t>BaseDamage</t>
        </is>
      </c>
      <c r="K2777" s="5" t="inlineStr">
        <is>
          <t>BaseHitDamage</t>
        </is>
      </c>
      <c r="L2777" s="5" t="inlineStr">
        <is>
          <t>NonCritAvg</t>
        </is>
      </c>
      <c r="M2777" s="5" t="inlineStr">
        <is>
          <t>CritAvg</t>
        </is>
      </c>
      <c r="N2777" s="5" t="inlineStr">
        <is>
          <t>ExpectedDamage(perHit)</t>
        </is>
      </c>
      <c r="O2777" s="5" t="inlineStr">
        <is>
          <t>DPS</t>
        </is>
      </c>
      <c r="P2777" s="5" t="inlineStr">
        <is>
          <t>% of Total</t>
        </is>
      </c>
      <c r="Q2777" s="5" t="inlineStr">
        <is>
          <t>InvCooldown</t>
        </is>
      </c>
      <c r="R2777" s="5" t="inlineStr">
        <is>
          <t>CastsInFight</t>
        </is>
      </c>
      <c r="S2777" s="5" t="inlineStr">
        <is>
          <t>HitRate(perSec)</t>
        </is>
      </c>
      <c r="U2777" t="inlineStr">
        <is>
          <t>helpers</t>
        </is>
      </c>
    </row>
    <row r="2778">
      <c r="A2778">
        <f>Skills!A2</f>
        <v/>
      </c>
      <c r="B2778">
        <f>Skills!B2</f>
        <v/>
      </c>
      <c r="C2778">
        <f>Inputs!$B$3&gt;=100</f>
        <v/>
      </c>
      <c r="D2778" t="inlineStr"/>
      <c r="E2778" t="inlineStr"/>
      <c r="F2778">
        <f>U2780+Skills!O2</f>
        <v/>
      </c>
      <c r="G2778">
        <f>Skills!G2*IF(Skills!H2&gt;0,Skills!I2/Skills!H2,1)</f>
        <v/>
      </c>
      <c r="H2778">
        <f>1-(1-Skills!J2/100)^Skills!K2</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2796=TRUE)*(F2796-Calc!F20)),(Inputs!$B$23+0+(IF(ArtifactsInput!$M$15,CHOOSE(ArtifactsInput!$N$15+1,25,30,35,40,45,50)/100*(Inputs!$B$11-Inputs!$B$11),0))))/100+(Inputs!$B$23+0+(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t="n">
        <v>0</v>
      </c>
      <c r="R2778" t="n">
        <v>0</v>
      </c>
      <c r="S2778">
        <f>IFERROR(O2778/N2778,0)</f>
        <v/>
      </c>
      <c r="T2778">
        <f>IF(C2778,(Skills!G2*N2778*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MAX(0,(Inputs!$B$3-100)*3)+Inputs!$B$28+Inputs!$B$29</f>
        <v/>
      </c>
      <c r="V2778">
        <f>IF(C2778,(Skills!G2*N2778*B2806)*IF(Inputs!$B$38="pvp",1,(1+(Inputs!$B$21+Skills!Q2+(IF(ArtifactsInput!$M$33,CHOOSE(ArtifactsInput!$N$33+1,30,36,42,48,54,60),0))+(IF(AND(ArtifactsInput!$M$35,Inputs!$B$4&lt;&gt;"Chapter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Skills!A3</f>
        <v/>
      </c>
      <c r="B2779">
        <f>Skills!B3</f>
        <v/>
      </c>
      <c r="C2779">
        <f>Inputs!$B$3&gt;=35</f>
        <v/>
      </c>
      <c r="D2779">
        <f>IF(Skills!C3=1,60+Inputs!$B$25+Inputs!$B$29,IF(Skills!C3=2,90+Inputs!$B$26+Inputs!$B$29,IF(Skills!C3=3,120+Inputs!$B$27+Inputs!$B$29,MAX(0,(Inputs!$B$3-100)*3)+Inputs!$B$28+Inputs!$B$29)))</f>
        <v/>
      </c>
      <c r="E2779">
        <f>INDEX(FactorTable!$B$2:$Y$301, MATCH(ROUND(MIN(300,MAX(1,D2779)),0), FactorTable!$A$2:$A$301,0), Skills!M3+1)</f>
        <v/>
      </c>
      <c r="F2779">
        <f>IF(Skills!N3=TRUE,(Skills!L3/10)*(E2779/1000),Skills!L3/10)+Skills!O3</f>
        <v/>
      </c>
      <c r="G2779">
        <f>Skills!G3*IF(Skills!H3&gt;0,Skills!I3/Skills!H3,1)</f>
        <v/>
      </c>
      <c r="H2779">
        <f>1-(1-Skills!J3/100)^Skills!K3</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2796=TRUE)*(F2796-Calc!F20)),(Inputs!$B$23+0+(IF(ArtifactsInput!$M$15,CHOOSE(ArtifactsInput!$N$15+1,25,30,35,40,45,50)/100*(Inputs!$B$11-Inputs!$B$11),0))))/100+(Inputs!$B$23+0+(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t="n">
        <v>0</v>
      </c>
      <c r="R2779" t="n">
        <v>0</v>
      </c>
      <c r="S2779">
        <f>IFERROR(O2779/N2779,0)</f>
        <v/>
      </c>
      <c r="T2779">
        <f>IF(C2779,(Skills!G3*H2779*N2779*B2806)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9">
        <f>INDEX(FactorTable!$B$2:$Y$301, MATCH(ROUND(MIN(300,MAX(1,U2778)),0), FactorTable!$A$2:$A$301,0), 22)</f>
        <v/>
      </c>
      <c r="V2779">
        <f>IF(C2779,(Skills!G3*H2779*N2779*B2806)*IF(Inputs!$B$38="pvp",1,(1+(Inputs!$B$21+Skills!Q3+(IF(ArtifactsInput!$M$33,CHOOSE(ArtifactsInput!$N$33+1,30,36,42,48,54,60),0))+(IF(AND(ArtifactsInput!$M$35,Inputs!$B$4&lt;&gt;"Chapter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Skills!A4</f>
        <v/>
      </c>
      <c r="B2780">
        <f>Skills!B4</f>
        <v/>
      </c>
      <c r="C2780">
        <f>Inputs!$B$3&gt;=60</f>
        <v/>
      </c>
      <c r="D2780">
        <f>IF(Skills!C4=1,60+Inputs!$B$25+Inputs!$B$29,IF(Skills!C4=2,90+Inputs!$B$26+Inputs!$B$29,IF(Skills!C4=3,120+Inputs!$B$27+Inputs!$B$29,MAX(0,(Inputs!$B$3-100)*3)+Inputs!$B$28+Inputs!$B$29)))</f>
        <v/>
      </c>
      <c r="E2780">
        <f>INDEX(FactorTable!$B$2:$Y$301, MATCH(ROUND(MIN(300,MAX(1,D2780)),0), FactorTable!$A$2:$A$301,0), Skills!M4+1)</f>
        <v/>
      </c>
      <c r="F2780">
        <f>IF(Skills!N4=TRUE,(Skills!L4/10)*(E2780/1000),Skills!L4/10)+Skills!O4</f>
        <v/>
      </c>
      <c r="G2780">
        <f>Skills!G4*IF(Skills!H4&gt;0,Skills!I4/Skills!H4,1)</f>
        <v/>
      </c>
      <c r="H2780">
        <f>1-(1-Skills!J4/100)^Skills!K4</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2788=TRUE,F2788,0)/100)*(1+(IF(Skills!A4="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2796=TRUE)*(F2796-Calc!F20)),(Inputs!$B$23+0+(IF(ArtifactsInput!$M$15,CHOOSE(ArtifactsInput!$N$15+1,25,30,35,40,45,50)/100*(Inputs!$B$11-Inputs!$B$11),0))))/100+(Inputs!$B$23+0+(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t="n">
        <v>0</v>
      </c>
      <c r="R2780" t="n">
        <v>0</v>
      </c>
      <c r="S2780">
        <f>IFERROR(O2780/N2780,0)</f>
        <v/>
      </c>
      <c r="T2780">
        <f>IF(C2780,(Skills!G4*H2780*N2780*B2806)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290*U2779/1000</f>
        <v/>
      </c>
      <c r="V2780">
        <f>IF(C2780,(Skills!G4*H2780*N2780*B2806)*IF(Inputs!$B$38="pvp",1,(1+(Inputs!$B$21+Skills!Q4+(IF(ArtifactsInput!$M$33,CHOOSE(ArtifactsInput!$N$33+1,30,36,42,48,54,60),0))+(IF(AND(ArtifactsInput!$M$35,Inputs!$B$4&lt;&gt;"Chapter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Skills!A5</f>
        <v/>
      </c>
      <c r="B2781">
        <f>Skills!B5</f>
        <v/>
      </c>
      <c r="C2781">
        <f>Inputs!$B$3&gt;=60</f>
        <v/>
      </c>
      <c r="D2781">
        <f>IF(Skills!C5=1,60+Inputs!$B$25+Inputs!$B$29,IF(Skills!C5=2,90+Inputs!$B$26+Inputs!$B$29,IF(Skills!C5=3,120+Inputs!$B$27+Inputs!$B$29,MAX(0,(Inputs!$B$3-100)*3)+Inputs!$B$28+Inputs!$B$29)))</f>
        <v/>
      </c>
      <c r="E2781">
        <f>INDEX(FactorTable!$B$2:$Y$301, MATCH(ROUND(MIN(300,MAX(1,D2781)),0), FactorTable!$A$2:$A$301,0), Skills!M5+1)</f>
        <v/>
      </c>
      <c r="F2781">
        <f>IF(Skills!N5=TRUE,(Skills!L5/10)*(E2781/1000),Skills!L5/10)+Skills!O5</f>
        <v/>
      </c>
      <c r="G2781">
        <f>Skills!G5*IF(Skills!H5&gt;0,Skills!I5/Skills!H5,1)</f>
        <v/>
      </c>
      <c r="H2781">
        <f>1-(1-Skills!J5/100)^Skills!K5</f>
        <v/>
      </c>
      <c r="I2781" t="inlineStr">
        <is>
          <t>1</t>
        </is>
      </c>
      <c r="J2781" t="inlineStr"/>
      <c r="K2781" t="inlineStr"/>
      <c r="L2781" t="inlineStr"/>
      <c r="M2781" t="inlineStr"/>
      <c r="N2781" t="inlineStr"/>
      <c r="O2781">
        <f>(1-Summary!$B$11)*T2781+Summary!$B$11*V2781</f>
        <v/>
      </c>
      <c r="P2781">
        <f>IF(B2812=0,0,O2781/B2812)</f>
        <v/>
      </c>
      <c r="Q2781" t="n">
        <v>0</v>
      </c>
      <c r="R2781" t="n">
        <v>0</v>
      </c>
      <c r="S2781">
        <f>IFERROR(O2781/N2781,0)</f>
        <v/>
      </c>
      <c r="T2781" t="n">
        <v>0</v>
      </c>
      <c r="V2781" t="n">
        <v>0</v>
      </c>
    </row>
    <row r="2782">
      <c r="A2782">
        <f>Skills!A6</f>
        <v/>
      </c>
      <c r="B2782">
        <f>Skills!B6</f>
        <v/>
      </c>
      <c r="C2782">
        <f>Inputs!$B$3&gt;=63</f>
        <v/>
      </c>
      <c r="D2782">
        <f>IF(Skills!C6=1,60+Inputs!$B$25+Inputs!$B$29,IF(Skills!C6=2,90+Inputs!$B$26+Inputs!$B$29,IF(Skills!C6=3,120+Inputs!$B$27+Inputs!$B$29,MAX(0,(Inputs!$B$3-100)*3)+Inputs!$B$28+Inputs!$B$29)))</f>
        <v/>
      </c>
      <c r="E2782">
        <f>INDEX(FactorTable!$B$2:$Y$301, MATCH(ROUND(MIN(300,MAX(1,D2782)),0), FactorTable!$A$2:$A$301,0), Skills!M6+1)</f>
        <v/>
      </c>
      <c r="F2782">
        <f>IF(Skills!N6=TRUE,(Skills!L6/10)*(E2782/1000),Skills!L6/10)+Skills!O6</f>
        <v/>
      </c>
      <c r="G2782">
        <f>Skills!G6*IF(Skills!H6&gt;0,Skills!I6/Skills!H6,1)</f>
        <v/>
      </c>
      <c r="H2782">
        <f>1-(1-Skills!J6/100)^Skills!K6</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2796=TRUE)*(F2796-Calc!F20)),(Inputs!$B$23+0+(IF(ArtifactsInput!$M$15,CHOOSE(ArtifactsInput!$N$15+1,25,30,35,40,45,50)/100*(Inputs!$B$11-Inputs!$B$11),0))))/100+(Inputs!$B$23+0+(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IFERROR(1/(IF(Inputs!$B$38="pvp",15,MAX(0.1,Skills!D6-IF(Skills!E6=TRUE,4.0,0)))*(1-IF(AND(ArtifactsInput!$M$27,Inputs!$B$4="Chapter Hunt"),CHOOSE(ArtifactsInput!$N$27+1,20,24,28,32,36,40),0)/100)),0)</f>
        <v/>
      </c>
      <c r="R2782">
        <f>IF(AND(Inputs!$B$38&lt;&gt;"pvp",Inputs!$B$43&gt;0),IF(MAX(0,Inputs!$B$43-B2809)&lt;=0,0,(INT(MAX(0,Inputs!$B$43-B2809)/(IF(Inputs!$B$38="pvp",15,MAX(0.1,Skills!D6-IF(Skills!E6=TRUE,4.0,0)))*(1-IF(AND(ArtifactsInput!$M$27,Inputs!$B$4="Chapter Hunt"),CHOOSE(ArtifactsInput!$N$27+1,20,24,28,32,36,40),0)/100)))+1)),0)</f>
        <v/>
      </c>
      <c r="S2782">
        <f>IFERROR(O2782/N2782,0)</f>
        <v/>
      </c>
      <c r="T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Skills!A7</f>
        <v/>
      </c>
      <c r="B2783">
        <f>Skills!B7</f>
        <v/>
      </c>
      <c r="C2783">
        <f>Inputs!$B$3&gt;=100</f>
        <v/>
      </c>
      <c r="D2783">
        <f>IF(Skills!C7=1,60+Inputs!$B$25+Inputs!$B$29,IF(Skills!C7=2,90+Inputs!$B$26+Inputs!$B$29,IF(Skills!C7=3,120+Inputs!$B$27+Inputs!$B$29,MAX(0,(Inputs!$B$3-100)*3)+Inputs!$B$28+Inputs!$B$29)))</f>
        <v/>
      </c>
      <c r="E2783">
        <f>INDEX(FactorTable!$B$2:$Y$301, MATCH(ROUND(MIN(300,MAX(1,D2783)),0), FactorTable!$A$2:$A$301,0), Skills!M7+1)</f>
        <v/>
      </c>
      <c r="F2783">
        <f>IF(Skills!N7=TRUE,(Skills!L7/10)*(E2783/1000),Skills!L7/10)+Skills!O7</f>
        <v/>
      </c>
      <c r="G2783">
        <f>Skills!G7*IF(Skills!H7&gt;0,Skills!I7/Skills!H7,1)</f>
        <v/>
      </c>
      <c r="H2783">
        <f>1-(1-Skills!J7/100)^Skills!K7</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2796=TRUE)*(F2796-Calc!F20)),(Inputs!$B$23+0+(IF(ArtifactsInput!$M$15,CHOOSE(ArtifactsInput!$N$15+1,25,30,35,40,45,50)/100*(Inputs!$B$11-Inputs!$B$11),0))))/100+(Inputs!$B$23+0+(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IFERROR(1/(IF(Inputs!$B$38="pvp",15,MAX(0.1,Skills!D7-IF(Skills!E7=TRUE,4.0,0)))*(1-IF(AND(ArtifactsInput!$M$27,Inputs!$B$4="Chapter Hunt"),CHOOSE(ArtifactsInput!$N$27+1,20,24,28,32,36,40),0)/100)),0)</f>
        <v/>
      </c>
      <c r="R2783">
        <f>IF(AND(Inputs!$B$38&lt;&gt;"pvp",Inputs!$B$43&gt;0),IF(MAX(0,Inputs!$B$43-B2809)&lt;=0,0,(INT(MAX(0,Inputs!$B$43-B2809)/(IF(Inputs!$B$38="pvp",15,MAX(0.1,Skills!D7-IF(Skills!E7=TRUE,4.0,0)))*(1-IF(AND(ArtifactsInput!$M$27,Inputs!$B$4="Chapter Hunt"),CHOOSE(ArtifactsInput!$N$27+1,20,24,28,32,36,40),0)/100)))+1)),0)</f>
        <v/>
      </c>
      <c r="S2783">
        <f>IFERROR(O2783/N2783,0)</f>
        <v/>
      </c>
      <c r="T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Skills!A8</f>
        <v/>
      </c>
      <c r="B2784">
        <f>Skills!B8</f>
        <v/>
      </c>
      <c r="C2784">
        <f>Inputs!$B$3&gt;=110</f>
        <v/>
      </c>
      <c r="D2784">
        <f>IF(Skills!C8=1,60+Inputs!$B$25+Inputs!$B$29,IF(Skills!C8=2,90+Inputs!$B$26+Inputs!$B$29,IF(Skills!C8=3,120+Inputs!$B$27+Inputs!$B$29,MAX(0,(Inputs!$B$3-100)*3)+Inputs!$B$28+Inputs!$B$29)))</f>
        <v/>
      </c>
      <c r="E2784">
        <f>INDEX(FactorTable!$B$2:$Y$301, MATCH(ROUND(MIN(300,MAX(1,D2784)),0), FactorTable!$A$2:$A$301,0), Skills!M8+1)</f>
        <v/>
      </c>
      <c r="F2784">
        <f>IF(Skills!N8=TRUE,(Skills!L8/10)*(E2784/1000),Skills!L8/10)+Skills!O8</f>
        <v/>
      </c>
      <c r="G2784">
        <f>Skills!G8*IF(Skills!H8&gt;0,Skills!I8/Skills!H8,1)</f>
        <v/>
      </c>
      <c r="H2784">
        <f>1-(1-Skills!J8/100)^Skills!K8</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2796=TRUE)*(F2796-Calc!F20)),(Inputs!$B$23+0+(IF(ArtifactsInput!$M$15,CHOOSE(ArtifactsInput!$N$15+1,25,30,35,40,45,50)/100*(Inputs!$B$11-Inputs!$B$11),0))))/100+(Inputs!$B$23+0+(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IFERROR(1/(IF(Inputs!$B$38="pvp",15,MAX(0.1,Skills!D8-IF(Skills!E8=TRUE,4.0,0)))*(1-IF(AND(ArtifactsInput!$M$27,Inputs!$B$4="Chapter Hunt"),CHOOSE(ArtifactsInput!$N$27+1,20,24,28,32,36,40),0)/100)),0)</f>
        <v/>
      </c>
      <c r="R2784">
        <f>IF(AND(Inputs!$B$38&lt;&gt;"pvp",Inputs!$B$43&gt;0),IF(MAX(0,Inputs!$B$43-B2809)&lt;=0,0,(INT(MAX(0,Inputs!$B$43-B2809)/(IF(Inputs!$B$38="pvp",15,MAX(0.1,Skills!D8-IF(Skills!E8=TRUE,4.0,0)))*(1-IF(AND(ArtifactsInput!$M$27,Inputs!$B$4="Chapter Hunt"),CHOOSE(ArtifactsInput!$N$27+1,20,24,28,32,36,40),0)/100)))+1)),0)</f>
        <v/>
      </c>
      <c r="S2784">
        <f>IFERROR(O2784/N2784,0)</f>
        <v/>
      </c>
      <c r="T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Skills!A9</f>
        <v/>
      </c>
      <c r="B2785">
        <f>Skills!B9</f>
        <v/>
      </c>
      <c r="C2785">
        <f>Inputs!$B$3&gt;=110</f>
        <v/>
      </c>
      <c r="D2785">
        <f>IF(Skills!C9=1,60+Inputs!$B$25+Inputs!$B$29,IF(Skills!C9=2,90+Inputs!$B$26+Inputs!$B$29,IF(Skills!C9=3,120+Inputs!$B$27+Inputs!$B$29,MAX(0,(Inputs!$B$3-100)*3)+Inputs!$B$28+Inputs!$B$29)))</f>
        <v/>
      </c>
      <c r="E2785">
        <f>INDEX(FactorTable!$B$2:$Y$301, MATCH(ROUND(MIN(300,MAX(1,D2785)),0), FactorTable!$A$2:$A$301,0), Skills!M9+1)</f>
        <v/>
      </c>
      <c r="F2785">
        <f>IF(Skills!N9=TRUE,(Skills!L9/10)*(E2785/1000),Skills!L9/10)+Skills!O9</f>
        <v/>
      </c>
      <c r="G2785">
        <f>Skills!G9*IF(Skills!H9&gt;0,Skills!I9/Skills!H9,1)</f>
        <v/>
      </c>
      <c r="H2785">
        <f>1-(1-Skills!J9/100)^Skills!K9</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2796=TRUE)*(F2796-Calc!F20)),(Inputs!$B$23+0+(IF(ArtifactsInput!$M$15,CHOOSE(ArtifactsInput!$N$15+1,25,30,35,40,45,50)/100*(Inputs!$B$11-Inputs!$B$11),0))))/100+(Inputs!$B$23+0+(IF(ArtifactsInput!$M$15,CHOOSE(ArtifactsInput!$N$15+1,25,30,35,40,45,50)/100*(Inputs!$B$11-Inputs!$B$11),0)))/100)/2</f>
        <v/>
      </c>
      <c r="M2785">
        <f>L2785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IF(B2812=0,0,O2785/B2812)</f>
        <v/>
      </c>
      <c r="Q2785">
        <f>IFERROR(1/(IF(Inputs!$B$38="pvp",15,MAX(0.1,Skills!D9-IF(Skills!E9=TRUE,4.0,0)))*(1-IF(AND(ArtifactsInput!$M$27,Inputs!$B$4="Chapter Hunt"),CHOOSE(ArtifactsInput!$N$27+1,20,24,28,32,36,40),0)/100)),0)</f>
        <v/>
      </c>
      <c r="R2785">
        <f>IF(AND(Inputs!$B$38&lt;&gt;"pvp",Inputs!$B$43&gt;0),IF(MAX(0,Inputs!$B$43-B2809)&lt;=0,0,(INT(MAX(0,Inputs!$B$43-B2809)/(IF(Inputs!$B$38="pvp",15,MAX(0.1,Skills!D9-IF(Skills!E9=TRUE,4.0,0)))*(1-IF(AND(ArtifactsInput!$M$27,Inputs!$B$4="Chapter Hunt"),CHOOSE(ArtifactsInput!$N$27+1,20,24,28,32,36,40),0)/100)))+1)),0)</f>
        <v/>
      </c>
      <c r="S2785">
        <f>IFERROR(O2785/N2785,0)</f>
        <v/>
      </c>
      <c r="T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Skills!A10</f>
        <v/>
      </c>
      <c r="B2786">
        <f>Skills!B10</f>
        <v/>
      </c>
      <c r="C2786">
        <f>Inputs!$B$3&gt;=103</f>
        <v/>
      </c>
      <c r="D2786">
        <f>IF(Skills!C10=1,60+Inputs!$B$25+Inputs!$B$29,IF(Skills!C10=2,90+Inputs!$B$26+Inputs!$B$29,IF(Skills!C10=3,120+Inputs!$B$27+Inputs!$B$29,MAX(0,(Inputs!$B$3-100)*3)+Inputs!$B$28+Inputs!$B$29)))</f>
        <v/>
      </c>
      <c r="E2786">
        <f>INDEX(FactorTable!$B$2:$Y$301, MATCH(ROUND(MIN(300,MAX(1,D2786)),0), FactorTable!$A$2:$A$301,0), Skills!M10+1)</f>
        <v/>
      </c>
      <c r="F2786">
        <f>IF(Skills!N10=TRUE,(Skills!L10/10)*(E2786/1000),Skills!L10/10)+Skills!O10</f>
        <v/>
      </c>
      <c r="G2786">
        <f>Skills!G10*IF(Skills!H10&gt;0,Skills!I10/Skills!H10,1)</f>
        <v/>
      </c>
      <c r="H2786">
        <f>1-(1-Skills!J10/100)^Skills!K10</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2796=TRUE)*(F2796-Calc!F20)),(Inputs!$B$23+0+(IF(ArtifactsInput!$M$15,CHOOSE(ArtifactsInput!$N$15+1,25,30,35,40,45,50)/100*(Inputs!$B$11-Inputs!$B$11),0))))/100+(Inputs!$B$23+0+(IF(ArtifactsInput!$M$15,CHOOSE(ArtifactsInput!$N$15+1,25,30,35,40,45,50)/100*(Inputs!$B$11-Inputs!$B$11),0)))/100)/2</f>
        <v/>
      </c>
      <c r="M2786">
        <f>L2786*(1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IF(B2812=0,0,O2786/B2812)</f>
        <v/>
      </c>
      <c r="Q2786">
        <f>IFERROR(1/(IF(Inputs!$B$38="pvp",15,MAX(0.1,Skills!D10-IF(Skills!E10=TRUE,4.0,0)))*(1-IF(AND(ArtifactsInput!$M$27,Inputs!$B$4="Chapter Hunt"),CHOOSE(ArtifactsInput!$N$27+1,20,24,28,32,36,40),0)/100)),0)</f>
        <v/>
      </c>
      <c r="R2786">
        <f>IF(AND(Inputs!$B$38&lt;&gt;"pvp",Inputs!$B$43&gt;0),IF(MAX(0,Inputs!$B$43-B2809)&lt;=0,0,(INT(MAX(0,Inputs!$B$43-B2809)/(IF(Inputs!$B$38="pvp",15,MAX(0.1,Skills!D10-IF(Skills!E10=TRUE,4.0,0)))*(1-IF(AND(ArtifactsInput!$M$27,Inputs!$B$4="Chapter Hunt"),CHOOSE(ArtifactsInput!$N$27+1,20,24,28,32,36,40),0)/100)))+1)),0)</f>
        <v/>
      </c>
      <c r="S2786">
        <f>IFERROR(O2786/N2786,0)</f>
        <v/>
      </c>
      <c r="T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Skills!A11</f>
        <v/>
      </c>
      <c r="B2787">
        <f>Skills!B11</f>
        <v/>
      </c>
      <c r="C2787">
        <f>Inputs!$B$3&gt;=113</f>
        <v/>
      </c>
      <c r="D2787">
        <f>IF(Skills!C11=1,60+Inputs!$B$25+Inputs!$B$29,IF(Skills!C11=2,90+Inputs!$B$26+Inputs!$B$29,IF(Skills!C11=3,120+Inputs!$B$27+Inputs!$B$29,MAX(0,(Inputs!$B$3-100)*3)+Inputs!$B$28+Inputs!$B$29)))</f>
        <v/>
      </c>
      <c r="E2787">
        <f>INDEX(FactorTable!$B$2:$Y$301, MATCH(ROUND(MIN(300,MAX(1,D2787)),0), FactorTable!$A$2:$A$301,0), Skills!M11+1)</f>
        <v/>
      </c>
      <c r="F2787">
        <f>IF(Skills!N11=TRUE,(Skills!L11/10)*(E2787/1000),Skills!L11/10)+Skills!O11</f>
        <v/>
      </c>
      <c r="G2787">
        <f>Skills!G11*IF(Skills!H11&gt;0,Skills!I11/Skills!H11,1)</f>
        <v/>
      </c>
      <c r="H2787">
        <f>1-(1-Skills!J11/100)^Skills!K11</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2796=TRUE)*(F2796-Calc!F20)),(Inputs!$B$23+0+(IF(ArtifactsInput!$M$15,CHOOSE(ArtifactsInput!$N$15+1,25,30,35,40,45,50)/100*(Inputs!$B$11-Inputs!$B$11),0))))/100+(Inputs!$B$23+0+(IF(ArtifactsInput!$M$15,CHOOSE(ArtifactsInput!$N$15+1,25,30,35,40,45,50)/100*(Inputs!$B$11-Inputs!$B$11),0)))/100)/2</f>
        <v/>
      </c>
      <c r="M2787">
        <f>L2787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IF(B2812=0,0,O2787/B2812)</f>
        <v/>
      </c>
      <c r="Q2787">
        <f>IFERROR(1/(IF(Inputs!$B$38="pvp",15,MAX(0.1,Skills!D11-IF(Skills!E11=TRUE,4.0,0)))*(1-IF(AND(ArtifactsInput!$M$27,Inputs!$B$4="Chapter Hunt"),CHOOSE(ArtifactsInput!$N$27+1,20,24,28,32,36,40),0)/100)),0)</f>
        <v/>
      </c>
      <c r="R2787">
        <f>IF(AND(Inputs!$B$38&lt;&gt;"pvp",Inputs!$B$43&gt;0),IF(MAX(0,Inputs!$B$43-B2809)&lt;=0,0,(INT(MAX(0,Inputs!$B$43-B2809)/(IF(Inputs!$B$38="pvp",15,MAX(0.1,Skills!D11-IF(Skills!E11=TRUE,4.0,0)))*(1-IF(AND(ArtifactsInput!$M$27,Inputs!$B$4="Chapter Hunt"),CHOOSE(ArtifactsInput!$N$27+1,20,24,28,32,36,40),0)/100)))+1)),0)</f>
        <v/>
      </c>
      <c r="S2787">
        <f>IFERROR(O2787/N2787,0)</f>
        <v/>
      </c>
      <c r="T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Skills!A12</f>
        <v/>
      </c>
      <c r="B2788">
        <f>Skills!B12</f>
        <v/>
      </c>
      <c r="C2788">
        <f>Inputs!$B$3&gt;=100</f>
        <v/>
      </c>
      <c r="D2788">
        <f>IF(Skills!C12=1,60+Inputs!$B$25+Inputs!$B$29,IF(Skills!C12=2,90+Inputs!$B$26+Inputs!$B$29,IF(Skills!C12=3,120+Inputs!$B$27+Inputs!$B$29,MAX(0,(Inputs!$B$3-100)*3)+Inputs!$B$28+Inputs!$B$29)))</f>
        <v/>
      </c>
      <c r="E2788">
        <f>INDEX(FactorTable!$B$2:$Y$301, MATCH(ROUND(MIN(300,MAX(1,D2788)),0), FactorTable!$A$2:$A$301,0), Skills!M12+1)</f>
        <v/>
      </c>
      <c r="F2788">
        <f>IF(Skills!N12=TRUE,(Skills!L12/10)*(E2788/1000),Skills!L12/10)+Skills!O12</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V2788" t="inlineStr"/>
    </row>
    <row r="2789">
      <c r="A2789">
        <f>Skills!A13</f>
        <v/>
      </c>
      <c r="B2789">
        <f>Skills!B13</f>
        <v/>
      </c>
      <c r="C2789">
        <f>Inputs!$B$3&gt;=66</f>
        <v/>
      </c>
      <c r="D2789">
        <f>IF(Skills!C13=1,60+Inputs!$B$25+Inputs!$B$29,IF(Skills!C13=2,90+Inputs!$B$26+Inputs!$B$29,IF(Skills!C13=3,120+Inputs!$B$27+Inputs!$B$29,MAX(0,(Inputs!$B$3-100)*3)+Inputs!$B$28+Inputs!$B$29)))</f>
        <v/>
      </c>
      <c r="E2789">
        <f>INDEX(FactorTable!$B$2:$Y$301, MATCH(ROUND(MIN(300,MAX(1,D2789)),0), FactorTable!$A$2:$A$301,0), Skills!M13+1)</f>
        <v/>
      </c>
      <c r="F2789">
        <f>IF(Skills!N13=TRUE,(Skills!L13/10)*(E2789/1000),Skills!L13/10)+Skills!O13</f>
        <v/>
      </c>
      <c r="G2789">
        <f>Skills!G13*IF(Skills!H13&gt;0,Skills!I13/Skills!H13,1)</f>
        <v/>
      </c>
      <c r="H2789">
        <f>1-(1-Skills!J13/100)^Skills!K13</f>
        <v/>
      </c>
      <c r="I2789" t="inlineStr">
        <is>
          <t>1</t>
        </is>
      </c>
      <c r="J2789" t="inlineStr"/>
      <c r="K2789" t="inlineStr"/>
      <c r="L2789" t="inlineStr"/>
      <c r="M2789" t="inlineStr"/>
      <c r="N2789" t="inlineStr"/>
      <c r="O2789">
        <f>(1-Summary!$B$11)*T2789+Summary!$B$11*V2789</f>
        <v/>
      </c>
      <c r="P2789">
        <f>IF(B2812=0,0,O2789/B2812)</f>
        <v/>
      </c>
      <c r="Q2789" t="n">
        <v>0</v>
      </c>
      <c r="R2789" t="n">
        <v>0</v>
      </c>
      <c r="S2789">
        <f>IFERROR(O2789/N2789,0)</f>
        <v/>
      </c>
      <c r="T2789" t="n">
        <v>0</v>
      </c>
      <c r="V2789" t="n">
        <v>0</v>
      </c>
    </row>
    <row r="2790">
      <c r="A2790">
        <f>Skills!A14</f>
        <v/>
      </c>
      <c r="B2790">
        <f>Skills!B14</f>
        <v/>
      </c>
      <c r="C2790">
        <f>Inputs!$B$3&gt;=107</f>
        <v/>
      </c>
      <c r="D2790">
        <f>IF(Skills!C14=1,60+Inputs!$B$25+Inputs!$B$29,IF(Skills!C14=2,90+Inputs!$B$26+Inputs!$B$29,IF(Skills!C14=3,120+Inputs!$B$27+Inputs!$B$29,MAX(0,(Inputs!$B$3-100)*3)+Inputs!$B$28+Inputs!$B$29)))</f>
        <v/>
      </c>
      <c r="E2790">
        <f>INDEX(FactorTable!$B$2:$Y$301, MATCH(ROUND(MIN(300,MAX(1,D2790)),0), FactorTable!$A$2:$A$301,0), Skills!M14+1)</f>
        <v/>
      </c>
      <c r="F2790">
        <f>IF(Skills!N14=TRUE,(Skills!L14/10)*(E2790/1000),Skills!L14/10)+Skills!O14</f>
        <v/>
      </c>
      <c r="G2790">
        <f>Skills!G14*IF(Skills!H14&gt;0,Skills!I14/Skills!H14,1)</f>
        <v/>
      </c>
      <c r="H2790">
        <f>1-(1-Skills!J14/100)^Skills!K14</f>
        <v/>
      </c>
      <c r="I2790" t="inlineStr">
        <is>
          <t>1</t>
        </is>
      </c>
      <c r="J2790" t="inlineStr"/>
      <c r="K2790" t="inlineStr"/>
      <c r="L2790" t="inlineStr"/>
      <c r="M2790" t="inlineStr"/>
      <c r="N2790" t="inlineStr"/>
      <c r="O2790">
        <f>(1-Summary!$B$11)*T2790+Summary!$B$11*V2790</f>
        <v/>
      </c>
      <c r="P2790">
        <f>IF(B2812=0,0,O2790/B2812)</f>
        <v/>
      </c>
      <c r="Q2790" t="n">
        <v>0</v>
      </c>
      <c r="R2790" t="n">
        <v>0</v>
      </c>
      <c r="S2790">
        <f>IFERROR(O2790/N2790,0)</f>
        <v/>
      </c>
      <c r="T2790" t="n">
        <v>0</v>
      </c>
      <c r="V2790" t="n">
        <v>0</v>
      </c>
    </row>
    <row r="2791">
      <c r="A2791">
        <f>Skills!A15</f>
        <v/>
      </c>
      <c r="B2791">
        <f>Skills!B15</f>
        <v/>
      </c>
      <c r="C2791">
        <f>Inputs!$B$3&gt;=115</f>
        <v/>
      </c>
      <c r="D2791">
        <f>IF(Skills!C15=1,60+Inputs!$B$25+Inputs!$B$29,IF(Skills!C15=2,90+Inputs!$B$26+Inputs!$B$29,IF(Skills!C15=3,120+Inputs!$B$27+Inputs!$B$29,MAX(0,(Inputs!$B$3-100)*3)+Inputs!$B$28+Inputs!$B$29)))</f>
        <v/>
      </c>
      <c r="E2791">
        <f>INDEX(FactorTable!$B$2:$Y$301, MATCH(ROUND(MIN(300,MAX(1,D2791)),0), FactorTable!$A$2:$A$301,0), Skills!M15+1)</f>
        <v/>
      </c>
      <c r="F2791">
        <f>IF(Skills!N15=TRUE,(Skills!L15/10)*(E2791/1000),Skills!L15/10)+Skills!O15</f>
        <v/>
      </c>
      <c r="G2791">
        <f>Skills!G15*IF(Skills!H15&gt;0,Skills!I15/Skills!H15,1)</f>
        <v/>
      </c>
      <c r="H2791">
        <f>1-(1-Skills!J15/100)^Skills!K15</f>
        <v/>
      </c>
      <c r="I2791" t="inlineStr">
        <is>
          <t>1</t>
        </is>
      </c>
      <c r="J2791" t="inlineStr"/>
      <c r="K2791" t="inlineStr"/>
      <c r="L2791" t="inlineStr"/>
      <c r="M2791" t="inlineStr"/>
      <c r="N2791" t="inlineStr"/>
      <c r="O2791">
        <f>(1-Summary!$B$11)*T2791+Summary!$B$11*V2791</f>
        <v/>
      </c>
      <c r="P2791">
        <f>IF(B2812=0,0,O2791/B2812)</f>
        <v/>
      </c>
      <c r="Q2791" t="n">
        <v>0</v>
      </c>
      <c r="R2791" t="n">
        <v>0</v>
      </c>
      <c r="S2791">
        <f>IFERROR(O2791/N2791,0)</f>
        <v/>
      </c>
      <c r="T2791" t="n">
        <v>0</v>
      </c>
      <c r="V2791" t="n">
        <v>0</v>
      </c>
    </row>
    <row r="2792">
      <c r="A2792">
        <f>Skills!A16</f>
        <v/>
      </c>
      <c r="B2792">
        <f>Skills!B16</f>
        <v/>
      </c>
      <c r="C2792">
        <f>Inputs!$B$3&gt;=15</f>
        <v/>
      </c>
      <c r="D2792">
        <f>IF(Skills!C16=1,60+Inputs!$B$25+Inputs!$B$29,IF(Skills!C16=2,90+Inputs!$B$26+Inputs!$B$29,IF(Skills!C16=3,120+Inputs!$B$27+Inputs!$B$29,MAX(0,(Inputs!$B$3-100)*3)+Inputs!$B$28+Inputs!$B$29)))</f>
        <v/>
      </c>
      <c r="E2792">
        <f>INDEX(FactorTable!$B$2:$Y$301, MATCH(ROUND(MIN(300,MAX(1,D2792)),0), FactorTable!$A$2:$A$301,0), Skills!M16+1)</f>
        <v/>
      </c>
      <c r="F2792">
        <f>IF(Skills!N16=TRUE,(Skills!L16/10)*(E2792/1000),Skills!L16/10)+Skills!O16</f>
        <v/>
      </c>
      <c r="G2792">
        <f>Skills!G16*IF(Skills!H16&gt;0,Skills!I16/Skills!H16,1)</f>
        <v/>
      </c>
      <c r="H2792">
        <f>1-(1-Skills!J16/100)^Skills!K16</f>
        <v/>
      </c>
      <c r="I2792" t="inlineStr">
        <is>
          <t>1</t>
        </is>
      </c>
      <c r="J2792" t="inlineStr"/>
      <c r="K2792" t="inlineStr"/>
      <c r="L2792" t="inlineStr"/>
      <c r="M2792" t="inlineStr"/>
      <c r="N2792" t="inlineStr"/>
      <c r="O2792">
        <f>(1-Summary!$B$11)*T2792+Summary!$B$11*V2792</f>
        <v/>
      </c>
      <c r="P2792">
        <f>IF(B2812=0,0,O2792/B2812)</f>
        <v/>
      </c>
      <c r="Q2792" t="n">
        <v>0</v>
      </c>
      <c r="R2792" t="n">
        <v>0</v>
      </c>
      <c r="S2792">
        <f>IFERROR(O2792/N2792,0)</f>
        <v/>
      </c>
      <c r="T2792" t="n">
        <v>0</v>
      </c>
      <c r="V2792" t="n">
        <v>0</v>
      </c>
    </row>
    <row r="2793">
      <c r="A2793">
        <f>Skills!A17</f>
        <v/>
      </c>
      <c r="B2793">
        <f>Skills!B17</f>
        <v/>
      </c>
      <c r="C2793">
        <f>Inputs!$B$3&gt;=10</f>
        <v/>
      </c>
      <c r="D2793">
        <f>IF(Skills!C17=1,60+Inputs!$B$25+Inputs!$B$29,IF(Skills!C17=2,90+Inputs!$B$26+Inputs!$B$29,IF(Skills!C17=3,120+Inputs!$B$27+Inputs!$B$29,MAX(0,(Inputs!$B$3-100)*3)+Inputs!$B$28+Inputs!$B$29)))</f>
        <v/>
      </c>
      <c r="E2793">
        <f>INDEX(FactorTable!$B$2:$Y$301, MATCH(ROUND(MIN(300,MAX(1,D2793)),0), FactorTable!$A$2:$A$301,0), Skills!M17+1)</f>
        <v/>
      </c>
      <c r="F2793">
        <f>IF(Skills!N17=TRUE,(Skills!L17/10)*(E2793/1000),Skills!L17/10)+Skills!O17</f>
        <v/>
      </c>
      <c r="G2793">
        <f>Skills!G17*IF(Skills!H17&gt;0,Skills!I17/Skills!H17,1)</f>
        <v/>
      </c>
      <c r="H2793">
        <f>1-(1-Skills!J17/100)^Skills!K17</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Skills!A18</f>
        <v/>
      </c>
      <c r="B2794">
        <f>Skills!B18</f>
        <v/>
      </c>
      <c r="C2794">
        <f>Inputs!$B$3&gt;=33</f>
        <v/>
      </c>
      <c r="D2794">
        <f>IF(Skills!C18=1,60+Inputs!$B$25+Inputs!$B$29,IF(Skills!C18=2,90+Inputs!$B$26+Inputs!$B$29,IF(Skills!C18=3,120+Inputs!$B$27+Inputs!$B$29,MAX(0,(Inputs!$B$3-100)*3)+Inputs!$B$28+Inputs!$B$29)))</f>
        <v/>
      </c>
      <c r="E2794">
        <f>INDEX(FactorTable!$B$2:$Y$301, MATCH(ROUND(MIN(300,MAX(1,D2794)),0), FactorTable!$A$2:$A$301,0), Skills!M18+1)</f>
        <v/>
      </c>
      <c r="F2794">
        <f>IF(Skills!N18=TRUE,(Skills!L18/10)*(E2794/1000),Skills!L18/10)+Skills!O18</f>
        <v/>
      </c>
      <c r="G2794">
        <f>Skills!G18*IF(Skills!H18&gt;0,Skills!I18/Skills!H18,1)</f>
        <v/>
      </c>
      <c r="H2794">
        <f>1-(1-Skills!J18/100)^Skills!K18</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Skills!A19</f>
        <v/>
      </c>
      <c r="B2795">
        <f>Skills!B19</f>
        <v/>
      </c>
      <c r="C2795">
        <f>Inputs!$B$3&gt;=40</f>
        <v/>
      </c>
      <c r="D2795">
        <f>IF(Skills!C19=1,60+Inputs!$B$25+Inputs!$B$29,IF(Skills!C19=2,90+Inputs!$B$26+Inputs!$B$29,IF(Skills!C19=3,120+Inputs!$B$27+Inputs!$B$29,MAX(0,(Inputs!$B$3-100)*3)+Inputs!$B$28+Inputs!$B$29)))</f>
        <v/>
      </c>
      <c r="E2795">
        <f>INDEX(FactorTable!$B$2:$Y$301, MATCH(ROUND(MIN(300,MAX(1,D2795)),0), FactorTable!$A$2:$A$301,0), Skills!M19+1)</f>
        <v/>
      </c>
      <c r="F2795">
        <f>IF(Skills!N19=TRUE,(Skills!L19/10)*(E2795/1000),Skills!L19/10)+Skills!O19</f>
        <v/>
      </c>
      <c r="G2795">
        <f>Skills!G19*IF(Skills!H19&gt;0,Skills!I19/Skills!H19,1)</f>
        <v/>
      </c>
      <c r="H2795">
        <f>1-(1-Skills!J19/100)^Skills!K19</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Skills!A20</f>
        <v/>
      </c>
      <c r="B2796">
        <f>Skills!B20</f>
        <v/>
      </c>
      <c r="C2796">
        <f>Inputs!$B$3&gt;=43</f>
        <v/>
      </c>
      <c r="D2796">
        <f>IF(Skills!C20=1,60+Inputs!$B$25+Inputs!$B$29,IF(Skills!C20=2,90+Inputs!$B$26+Inputs!$B$29,IF(Skills!C20=3,120+Inputs!$B$27+Inputs!$B$29,MAX(0,(Inputs!$B$3-100)*3)+Inputs!$B$28+Inputs!$B$29)))</f>
        <v/>
      </c>
      <c r="E2796">
        <f>INDEX(FactorTable!$B$2:$Y$301, MATCH(ROUND(MIN(300,MAX(1,D2796)),0), FactorTable!$A$2:$A$301,0), Skills!M20+1)</f>
        <v/>
      </c>
      <c r="F2796">
        <f>IF(Skills!N20=TRUE,(Skills!L20/10)*(E2796/1000),Skills!L20/10)+Skills!O20</f>
        <v/>
      </c>
      <c r="G2796">
        <f>Skills!G20*IF(Skills!H20&gt;0,Skills!I20/Skills!H20,1)</f>
        <v/>
      </c>
      <c r="H2796">
        <f>1-(1-Skills!J20/100)^Skills!K20</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Skills!A21</f>
        <v/>
      </c>
      <c r="B2797">
        <f>Skills!B21</f>
        <v/>
      </c>
      <c r="C2797">
        <f>Inputs!$B$3&gt;=38</f>
        <v/>
      </c>
      <c r="D2797">
        <f>IF(Skills!C21=1,60+Inputs!$B$25+Inputs!$B$29,IF(Skills!C21=2,90+Inputs!$B$26+Inputs!$B$29,IF(Skills!C21=3,120+Inputs!$B$27+Inputs!$B$29,MAX(0,(Inputs!$B$3-100)*3)+Inputs!$B$28+Inputs!$B$29)))</f>
        <v/>
      </c>
      <c r="E2797">
        <f>INDEX(FactorTable!$B$2:$Y$301, MATCH(ROUND(MIN(300,MAX(1,D2797)),0), FactorTable!$A$2:$A$301,0), Skills!M21+1)</f>
        <v/>
      </c>
      <c r="F2797">
        <f>IF(Skills!N21=TRUE,(Skills!L21/10)*(E2797/1000),Skills!L21/10)+Skills!O21</f>
        <v/>
      </c>
      <c r="G2797">
        <f>Skills!G21*IF(Skills!H21&gt;0,Skills!I21/Skills!H21,1)</f>
        <v/>
      </c>
      <c r="H2797">
        <f>1-(1-Skills!J21/100)^Skills!K21</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Skills!A22</f>
        <v/>
      </c>
      <c r="B2798">
        <f>Skills!B22</f>
        <v/>
      </c>
      <c r="C2798">
        <f>Inputs!$B$3&gt;=75</f>
        <v/>
      </c>
      <c r="D2798">
        <f>IF(Skills!C22=1,60+Inputs!$B$25+Inputs!$B$29,IF(Skills!C22=2,90+Inputs!$B$26+Inputs!$B$29,IF(Skills!C22=3,120+Inputs!$B$27+Inputs!$B$29,MAX(0,(Inputs!$B$3-100)*3)+Inputs!$B$28+Inputs!$B$29)))</f>
        <v/>
      </c>
      <c r="E2798">
        <f>INDEX(FactorTable!$B$2:$Y$301, MATCH(ROUND(MIN(300,MAX(1,D2798)),0), FactorTable!$A$2:$A$301,0), Skills!M22+1)</f>
        <v/>
      </c>
      <c r="F2798">
        <f>IF(Skills!N22=TRUE,(Skills!L22/10)*(E2798/1000),Skills!L22/10)+Skills!O22</f>
        <v/>
      </c>
      <c r="G2798">
        <f>Skills!G22*IF(Skills!H22&gt;0,Skills!I22/Skills!H22,1)</f>
        <v/>
      </c>
      <c r="H2798">
        <f>1-(1-Skills!J22/100)^Skills!K22</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Skills!A23</f>
        <v/>
      </c>
      <c r="B2799">
        <f>Skills!B23</f>
        <v/>
      </c>
      <c r="C2799">
        <f>TRUE</f>
        <v/>
      </c>
      <c r="D2799">
        <f>IF(Skills!C23=1,60+Inputs!$B$25+Inputs!$B$29,IF(Skills!C23=2,90+Inputs!$B$26+Inputs!$B$29,IF(Skills!C23=3,120+Inputs!$B$27+Inputs!$B$29,MAX(0,(Inputs!$B$3-100)*3)+Inputs!$B$28+Inputs!$B$29)))</f>
        <v/>
      </c>
      <c r="E2799">
        <f>INDEX(FactorTable!$B$2:$Y$301, MATCH(ROUND(MIN(300,MAX(1,D2799)),0), FactorTable!$A$2:$A$301,0), Skills!M23+1)</f>
        <v/>
      </c>
      <c r="F2799">
        <f>IF(Skills!N23=TRUE,(Skills!L23/10)*(E2799/1000),Skills!L23/10)+Skills!O23</f>
        <v/>
      </c>
      <c r="G2799">
        <f>Skills!G23*IF(Skills!H23&gt;0,Skills!I23/Skills!H23,1)</f>
        <v/>
      </c>
      <c r="H2799">
        <f>1-(1-Skills!J23/100)^Skills!K23</f>
        <v/>
      </c>
      <c r="I2799" t="inlineStr">
        <is>
          <t>1</t>
        </is>
      </c>
      <c r="J2799" t="inlineStr"/>
      <c r="K2799" t="inlineStr"/>
      <c r="L2799" t="inlineStr"/>
      <c r="M2799" t="inlineStr"/>
      <c r="N2799" t="inlineStr"/>
      <c r="O2799">
        <f>(1-Summary!$B$11)*T2799+Summary!$B$11*V2799</f>
        <v/>
      </c>
      <c r="P2799">
        <f>IF(B2812=0,0,O2799/B2812)</f>
        <v/>
      </c>
      <c r="Q2799">
        <f>IFERROR(1/(IF(Inputs!$B$38="pvp",15,MAX(0.1,Skills!D23-IF(Skills!E23=TRUE,4.0,0)))*(1-IF(AND(ArtifactsInput!$M$27,Inputs!$B$4="Chapter Hunt"),CHOOSE(ArtifactsInput!$N$27+1,20,24,28,32,36,40),0)/100)),0)</f>
        <v/>
      </c>
      <c r="R2799">
        <f>IF(AND(Inputs!$B$38&lt;&gt;"pvp",Inputs!$B$43&gt;0),IF(Inputs!$B$43&lt;=0,0,(INT(Inputs!$B$43/(IF(Inputs!$B$38="pvp",15,MAX(0.1,Skills!D23-IF(Skills!E23=TRUE,4.0,0)))*(1-IF(AND(ArtifactsInput!$M$27,Inputs!$B$4="Chapter Hunt"),CHOOSE(ArtifactsInput!$N$27+1,20,24,28,32,36,40),0)/100)))+1)),0)</f>
        <v/>
      </c>
      <c r="S2799">
        <f>IFERROR(O2799/N2799,0)</f>
        <v/>
      </c>
      <c r="T2799" t="n">
        <v>0</v>
      </c>
      <c r="V2799" t="n">
        <v>0</v>
      </c>
    </row>
    <row r="2801">
      <c r="A2801" t="inlineStr">
        <is>
          <t>Attack% Bucket Multiplier</t>
        </is>
      </c>
      <c r="B2801">
        <f>(1+(((C2789=TRUE)*F2789*5/7)+((C2795=TRUE)*(F2795-Calc!F19))+(IF(ArtifactsInput!$M$21,CHOOSE(ArtifactsInput!$N$21+1,25,30,35,40,45,50)*(IF(OR(Inputs!$B$4="Chapter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 (Nimble Feet, duty-cycle averaged)</t>
        </is>
      </c>
      <c r="B2803">
        <f>((C2799=TRUE)*F2799*IF(AND(Inputs!$B$38&lt;&gt;"pvp",Inputs!$B$43&gt;0),(((R2799-1)*(Skills!T23*(1+Inputs!$B$34/100))+MIN((Skills!T23*(1+Inputs!$B$34/100)),MAX(0,Inputs!$B$43-((R2799-1)*Skills!D23))))/Inputs!$B$43),IF(Inputs!$B$38="pvp",MIN((Skills!T23*(1+Inputs!$B$34/100)),15)/15,(Skills!T23*(1+Inputs!$B$34/100))/Skills!D23)))</f>
        <v/>
      </c>
    </row>
    <row r="2804">
      <c r="A2804" t="inlineStr">
        <is>
          <t>Actions Per Second</t>
        </is>
      </c>
      <c r="B2804">
        <f>1+MIN(150,150*(1-(1-(Inputs!$B$11+((C2793=TRUE)*(F2793-Calc!F17))+((C2794=TRUE)*(F2794-Calc!F18)))/150)*(1-B2803/150)))/100</f>
        <v/>
      </c>
    </row>
    <row r="2805">
      <c r="A2805" t="inlineStr">
        <is>
          <t>Skill + Buff Cast Rate</t>
        </is>
      </c>
      <c r="B2805">
        <f>IF(AND(Inputs!$B$38&lt;&gt;"pvp",Inputs!$B$43&gt;0),SUMPRODUCT((Skills!E2:E23=TRUE)*(C2778:C2799=TRUE)*R2778:R2799*Skills!F2:F23)/Inputs!$B$43,SUMPRODUCT((Skills!E2:E23=TRUE)*(C2778:C2799=TRUE)*Q2778:Q2799*Skills!F2:F23))</f>
        <v/>
      </c>
    </row>
    <row r="2806">
      <c r="A2806" t="inlineStr">
        <is>
          <t>Hook Bomber Casts Per Second</t>
        </is>
      </c>
      <c r="B2806">
        <f>MAX(0,B2804-B2805)</f>
        <v/>
      </c>
    </row>
    <row r="2807">
      <c r="A2807" t="inlineStr">
        <is>
          <t>Global Critical Damage Bonus % (unused)</t>
        </is>
      </c>
      <c r="B2807" t="n">
        <v>0</v>
      </c>
    </row>
    <row r="2808">
      <c r="A2808" t="inlineStr">
        <is>
          <t>Global Final Damage Bonus % (Serpent Scale + Crossbones + Time Leap + Speed Infusion)</t>
        </is>
      </c>
      <c r="B2808">
        <f>((C2781=TRUE)*F2781*((10+IF(Inputs!$B$3&gt;=94,5,0))/((10+IF(Inputs!$B$3&gt;=94,5,0))+5/(B2806*(1+IF(Inputs!$B$3&gt;=104,1,0))))))+((C2790=TRUE)*F2790)+((C2791=TRUE)*F2791)+((Inputs!$B$3&gt;=110)*20*(B2804-1))</f>
        <v/>
      </c>
    </row>
    <row r="2809">
      <c r="A2809" t="inlineStr">
        <is>
          <t>Buff-Casting Startup Delay (s, fixed-duration only)</t>
        </is>
      </c>
      <c r="B2809">
        <f>IF(AND(Inputs!$B$38&lt;&gt;"pvp",Inputs!$B$43&gt;0),SUMPRODUCT((Skills!T2:T23&gt;0)*(Skills!E2:E23=TRUE)*(C2778:C2799=TRUE))/B2804,0)</f>
        <v/>
      </c>
    </row>
    <row r="2810">
      <c r="A2810" t="inlineStr">
        <is>
          <t>Boss-Only Total DPS (this block's swept value)</t>
        </is>
      </c>
      <c r="B2810">
        <f>SUM(T2778:T2799)</f>
        <v/>
      </c>
    </row>
    <row r="2811">
      <c r="A2811" t="inlineStr">
        <is>
          <t>Normal-Only Total DPS (this block's swept value)</t>
        </is>
      </c>
      <c r="B2811">
        <f>SUM(V2778:V2799)</f>
        <v/>
      </c>
    </row>
    <row r="2812">
      <c r="A2812" s="6" t="inlineStr">
        <is>
          <t>TOTAL DPS</t>
        </is>
      </c>
      <c r="B2812" s="6">
        <f>SUM(O2778:O2799)</f>
        <v/>
      </c>
    </row>
    <row r="2815">
      <c r="A2815" s="6" t="inlineStr">
        <is>
          <t>Stat: CDR = 4.5s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20)),(Inputs!$B$23+0+(IF(ArtifactsInput!$M$15,CHOOSE(ArtifactsInput!$N$15+1,25,30,35,40,45,50)/100*(Inputs!$B$11-Inputs!$B$11),0))))/100+(Inputs!$B$23+0+(IF(ArtifactsInput!$M$15,CHOOSE(ArtifactsInput!$N$15+1,25,30,35,40,45,50)/100*(Inputs!$B$11-Inputs!$B$11),0)))/100)/2</f>
        <v/>
      </c>
      <c r="M2817">
        <f>L2817*(1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IF(B2851=0,0,O2817/B2851)</f>
        <v/>
      </c>
      <c r="Q2817" t="n">
        <v>0</v>
      </c>
      <c r="R2817" t="n">
        <v>0</v>
      </c>
      <c r="S2817">
        <f>IFERROR(O2817/N2817,0)</f>
        <v/>
      </c>
      <c r="T2817">
        <f>IF(C2817,(Skills!G2*N2817*B2845)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IF(C2817,(Skills!G2*N2817*B2845)*IF(Inputs!$B$38="pvp",1,(1+(Inputs!$B$21+Skills!Q2+(IF(ArtifactsInput!$M$33,CHOOSE(ArtifactsInput!$N$33+1,30,36,42,48,54,60),0))+(IF(AND(ArtifactsInput!$M$35,Inputs!$B$4&lt;&gt;"Chapter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Inputs!$B$3&gt;=35</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f>Skills!G3*IF(Skills!H3&gt;0,Skills!I3/Skills!H3,1)</f>
        <v/>
      </c>
      <c r="H2818">
        <f>1-(1-Skills!J3/100)^Skills!K3</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20)),(Inputs!$B$23+0+(IF(ArtifactsInput!$M$15,CHOOSE(ArtifactsInput!$N$15+1,25,30,35,40,45,50)/100*(Inputs!$B$11-Inputs!$B$11),0))))/100+(Inputs!$B$23+0+(IF(ArtifactsInput!$M$15,CHOOSE(ArtifactsInput!$N$15+1,25,30,35,40,45,50)/100*(Inputs!$B$11-Inputs!$B$11),0)))/100)/2</f>
        <v/>
      </c>
      <c r="M2818">
        <f>L2818*(1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IF(B2851=0,0,O2818/B2851)</f>
        <v/>
      </c>
      <c r="Q2818" t="n">
        <v>0</v>
      </c>
      <c r="R2818" t="n">
        <v>0</v>
      </c>
      <c r="S2818">
        <f>IFERROR(O2818/N2818,0)</f>
        <v/>
      </c>
      <c r="T2818">
        <f>IF(C2818,(Skills!G3*H2818*N2818*B2845)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INDEX(FactorTable!$B$2:$Y$301, MATCH(ROUND(MIN(300,MAX(1,U2817)),0), FactorTable!$A$2:$A$301,0), 22)</f>
        <v/>
      </c>
      <c r="V2818">
        <f>IF(C2818,(Skills!G3*H2818*N2818*B2845)*IF(Inputs!$B$38="pvp",1,(1+(Inputs!$B$21+Skills!Q3+(IF(ArtifactsInput!$M$33,CHOOSE(ArtifactsInput!$N$33+1,30,36,42,48,54,60),0))+(IF(AND(ArtifactsInput!$M$35,Inputs!$B$4&lt;&gt;"Chapter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Skills!A4</f>
        <v/>
      </c>
      <c r="B2819">
        <f>Skills!B4</f>
        <v/>
      </c>
      <c r="C2819">
        <f>Inputs!$B$3&gt;=60</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f>Skills!G4*IF(Skills!H4&gt;0,Skills!I4/Skills!H4,1)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4="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20)),(Inputs!$B$23+0+(IF(ArtifactsInput!$M$15,CHOOSE(ArtifactsInput!$N$15+1,25,30,35,40,45,50)/100*(Inputs!$B$11-Inputs!$B$11),0))))/100+(Inputs!$B$23+0+(IF(ArtifactsInput!$M$15,CHOOSE(ArtifactsInput!$N$15+1,25,30,35,40,45,50)/100*(Inputs!$B$11-Inputs!$B$11),0)))/100)/2</f>
        <v/>
      </c>
      <c r="M2819">
        <f>L2819*(1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IF(B2851=0,0,O2819/B2851)</f>
        <v/>
      </c>
      <c r="Q2819" t="n">
        <v>0</v>
      </c>
      <c r="R2819" t="n">
        <v>0</v>
      </c>
      <c r="S2819">
        <f>IFERROR(O2819/N2819,0)</f>
        <v/>
      </c>
      <c r="T2819">
        <f>IF(C2819,(Skills!G4*H2819*N2819*B2845)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IF(C2819,(Skills!G4*H2819*N2819*B2845)*IF(Inputs!$B$38="pvp",1,(1+(Inputs!$B$21+Skills!Q4+(IF(ArtifactsInput!$M$33,CHOOSE(ArtifactsInput!$N$33+1,30,36,42,48,54,60),0))+(IF(AND(ArtifactsInput!$M$35,Inputs!$B$4&lt;&gt;"Chapter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Inputs!$B$3&gt;=60</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t="inlineStr"/>
      <c r="K2820" t="inlineStr"/>
      <c r="L2820" t="inlineStr"/>
      <c r="M2820" t="inlineStr"/>
      <c r="N2820" t="inlineStr"/>
      <c r="O2820">
        <f>(1-Summary!$B$11)*T2820+Summary!$B$11*V2820</f>
        <v/>
      </c>
      <c r="P2820">
        <f>IF(B2851=0,0,O2820/B2851)</f>
        <v/>
      </c>
      <c r="Q2820" t="n">
        <v>0</v>
      </c>
      <c r="R2820" t="n">
        <v>0</v>
      </c>
      <c r="S2820">
        <f>IFERROR(O2820/N2820,0)</f>
        <v/>
      </c>
      <c r="T2820" t="n">
        <v>0</v>
      </c>
      <c r="V2820" t="n">
        <v>0</v>
      </c>
    </row>
    <row r="2821">
      <c r="A2821">
        <f>Skills!A6</f>
        <v/>
      </c>
      <c r="B2821">
        <f>Skills!B6</f>
        <v/>
      </c>
      <c r="C2821">
        <f>Inputs!$B$3&gt;=63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20)),(Inputs!$B$23+0+(IF(ArtifactsInput!$M$15,CHOOSE(ArtifactsInput!$N$15+1,25,30,35,40,45,50)/100*(Inputs!$B$11-Inputs!$B$11),0))))/100+(Inputs!$B$23+0+(IF(ArtifactsInput!$M$15,CHOOSE(ArtifactsInput!$N$15+1,25,30,35,40,45,50)/100*(Inputs!$B$11-Inputs!$B$11),0)))/100)/2</f>
        <v/>
      </c>
      <c r="M2821">
        <f>L2821*(1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IF(B2851=0,0,O2821/B2851)</f>
        <v/>
      </c>
      <c r="Q2821">
        <f>IFERROR(1/(IF(Inputs!$B$38="pvp",15,MAX(0.1,Skills!D6-IF(Skills!E6=TRUE,4.5,0)))*(1-IF(AND(ArtifactsInput!$M$27,Inputs!$B$4="Chapter Hunt"),CHOOSE(ArtifactsInput!$N$27+1,20,24,28,32,36,40),0)/100)),0)</f>
        <v/>
      </c>
      <c r="R2821">
        <f>IF(AND(Inputs!$B$38&lt;&gt;"pvp",Inputs!$B$43&gt;0),IF(MAX(0,Inputs!$B$43-B2848)&lt;=0,0,(INT(MAX(0,Inputs!$B$43-B2848)/(IF(Inputs!$B$38="pvp",15,MAX(0.1,Skills!D6-IF(Skills!E6=TRUE,4.5,0)))*(1-IF(AND(ArtifactsInput!$M$27,Inputs!$B$4="Chapter Hunt"),CHOOSE(ArtifactsInput!$N$27+1,20,24,28,32,36,40),0)/100)))+1)),0)</f>
        <v/>
      </c>
      <c r="S2821">
        <f>IFERROR(O2821/N2821,0)</f>
        <v/>
      </c>
      <c r="T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Inputs!$B$3&gt;=100</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20)),(Inputs!$B$23+0+(IF(ArtifactsInput!$M$15,CHOOSE(ArtifactsInput!$N$15+1,25,30,35,40,45,50)/100*(Inputs!$B$11-Inputs!$B$11),0))))/100+(Inputs!$B$23+0+(IF(ArtifactsInput!$M$15,CHOOSE(ArtifactsInput!$N$15+1,25,30,35,40,45,50)/100*(Inputs!$B$11-Inputs!$B$11),0)))/100)/2</f>
        <v/>
      </c>
      <c r="M2822">
        <f>L2822*(1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IF(B2851=0,0,O2822/B2851)</f>
        <v/>
      </c>
      <c r="Q2822">
        <f>IFERROR(1/(IF(Inputs!$B$38="pvp",15,MAX(0.1,Skills!D7-IF(Skills!E7=TRUE,4.5,0)))*(1-IF(AND(ArtifactsInput!$M$27,Inputs!$B$4="Chapter Hunt"),CHOOSE(ArtifactsInput!$N$27+1,20,24,28,32,36,40),0)/100)),0)</f>
        <v/>
      </c>
      <c r="R2822">
        <f>IF(AND(Inputs!$B$38&lt;&gt;"pvp",Inputs!$B$43&gt;0),IF(MAX(0,Inputs!$B$43-B2848)&lt;=0,0,(INT(MAX(0,Inputs!$B$43-B2848)/(IF(Inputs!$B$38="pvp",15,MAX(0.1,Skills!D7-IF(Skills!E7=TRUE,4.5,0)))*(1-IF(AND(ArtifactsInput!$M$27,Inputs!$B$4="Chapter Hunt"),CHOOSE(ArtifactsInput!$N$27+1,20,24,28,32,36,40),0)/100)))+1)),0)</f>
        <v/>
      </c>
      <c r="S2822">
        <f>IFERROR(O2822/N2822,0)</f>
        <v/>
      </c>
      <c r="T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Inputs!$B$3&gt;=110</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20)),(Inputs!$B$23+0+(IF(ArtifactsInput!$M$15,CHOOSE(ArtifactsInput!$N$15+1,25,30,35,40,45,50)/100*(Inputs!$B$11-Inputs!$B$11),0))))/100+(Inputs!$B$23+0+(IF(ArtifactsInput!$M$15,CHOOSE(ArtifactsInput!$N$15+1,25,30,35,40,45,50)/100*(Inputs!$B$11-Inputs!$B$11),0)))/100)/2</f>
        <v/>
      </c>
      <c r="M2823">
        <f>L2823*(1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IF(B2851=0,0,O2823/B2851)</f>
        <v/>
      </c>
      <c r="Q2823">
        <f>IFERROR(1/(IF(Inputs!$B$38="pvp",15,MAX(0.1,Skills!D8-IF(Skills!E8=TRUE,4.5,0)))*(1-IF(AND(ArtifactsInput!$M$27,Inputs!$B$4="Chapter Hunt"),CHOOSE(ArtifactsInput!$N$27+1,20,24,28,32,36,40),0)/100)),0)</f>
        <v/>
      </c>
      <c r="R2823">
        <f>IF(AND(Inputs!$B$38&lt;&gt;"pvp",Inputs!$B$43&gt;0),IF(MAX(0,Inputs!$B$43-B2848)&lt;=0,0,(INT(MAX(0,Inputs!$B$43-B2848)/(IF(Inputs!$B$38="pvp",15,MAX(0.1,Skills!D8-IF(Skills!E8=TRUE,4.5,0)))*(1-IF(AND(ArtifactsInput!$M$27,Inputs!$B$4="Chapter Hunt"),CHOOSE(ArtifactsInput!$N$27+1,20,24,28,32,36,40),0)/100)))+1)),0)</f>
        <v/>
      </c>
      <c r="S2823">
        <f>IFERROR(O2823/N2823,0)</f>
        <v/>
      </c>
      <c r="T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Inputs!$B$3&gt;=110</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20)),(Inputs!$B$23+0+(IF(ArtifactsInput!$M$15,CHOOSE(ArtifactsInput!$N$15+1,25,30,35,40,45,50)/100*(Inputs!$B$11-Inputs!$B$11),0))))/100+(Inputs!$B$23+0+(IF(ArtifactsInput!$M$15,CHOOSE(ArtifactsInput!$N$15+1,25,30,35,40,45,50)/100*(Inputs!$B$11-Inputs!$B$11),0)))/100)/2</f>
        <v/>
      </c>
      <c r="M2824">
        <f>L2824*(1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IF(B2851=0,0,O2824/B2851)</f>
        <v/>
      </c>
      <c r="Q2824">
        <f>IFERROR(1/(IF(Inputs!$B$38="pvp",15,MAX(0.1,Skills!D9-IF(Skills!E9=TRUE,4.5,0)))*(1-IF(AND(ArtifactsInput!$M$27,Inputs!$B$4="Chapter Hunt"),CHOOSE(ArtifactsInput!$N$27+1,20,24,28,32,36,40),0)/100)),0)</f>
        <v/>
      </c>
      <c r="R2824">
        <f>IF(AND(Inputs!$B$38&lt;&gt;"pvp",Inputs!$B$43&gt;0),IF(MAX(0,Inputs!$B$43-B2848)&lt;=0,0,(INT(MAX(0,Inputs!$B$43-B2848)/(IF(Inputs!$B$38="pvp",15,MAX(0.1,Skills!D9-IF(Skills!E9=TRUE,4.5,0)))*(1-IF(AND(ArtifactsInput!$M$27,Inputs!$B$4="Chapter Hunt"),CHOOSE(ArtifactsInput!$N$27+1,20,24,28,32,36,40),0)/100)))+1)),0)</f>
        <v/>
      </c>
      <c r="S2824">
        <f>IFERROR(O2824/N2824,0)</f>
        <v/>
      </c>
      <c r="T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Inputs!$B$3&gt;=103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20)),(Inputs!$B$23+0+(IF(ArtifactsInput!$M$15,CHOOSE(ArtifactsInput!$N$15+1,25,30,35,40,45,50)/100*(Inputs!$B$11-Inputs!$B$11),0))))/100+(Inputs!$B$23+0+(IF(ArtifactsInput!$M$15,CHOOSE(ArtifactsInput!$N$15+1,25,30,35,40,45,50)/100*(Inputs!$B$11-Inputs!$B$11),0)))/100)/2</f>
        <v/>
      </c>
      <c r="M2825">
        <f>L2825*(1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IF(B2851=0,0,O2825/B2851)</f>
        <v/>
      </c>
      <c r="Q2825">
        <f>IFERROR(1/(IF(Inputs!$B$38="pvp",15,MAX(0.1,Skills!D10-IF(Skills!E10=TRUE,4.5,0)))*(1-IF(AND(ArtifactsInput!$M$27,Inputs!$B$4="Chapter Hunt"),CHOOSE(ArtifactsInput!$N$27+1,20,24,28,32,36,40),0)/100)),0)</f>
        <v/>
      </c>
      <c r="R2825">
        <f>IF(AND(Inputs!$B$38&lt;&gt;"pvp",Inputs!$B$43&gt;0),IF(MAX(0,Inputs!$B$43-B2848)&lt;=0,0,(INT(MAX(0,Inputs!$B$43-B2848)/(IF(Inputs!$B$38="pvp",15,MAX(0.1,Skills!D10-IF(Skills!E10=TRUE,4.5,0)))*(1-IF(AND(ArtifactsInput!$M$27,Inputs!$B$4="Chapter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Inputs!$B$3&gt;=113</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20)),(Inputs!$B$23+0+(IF(ArtifactsInput!$M$15,CHOOSE(ArtifactsInput!$N$15+1,25,30,35,40,45,50)/100*(Inputs!$B$11-Inputs!$B$11),0))))/100+(Inputs!$B$23+0+(IF(ArtifactsInput!$M$15,CHOOSE(ArtifactsInput!$N$15+1,25,30,35,40,45,50)/100*(Inputs!$B$11-Inputs!$B$11),0)))/100)/2</f>
        <v/>
      </c>
      <c r="M2826">
        <f>L2826*(1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IF(B2851=0,0,O2826/B2851)</f>
        <v/>
      </c>
      <c r="Q2826">
        <f>IFERROR(1/(IF(Inputs!$B$38="pvp",15,MAX(0.1,Skills!D11-IF(Skills!E11=TRUE,4.5,0)))*(1-IF(AND(ArtifactsInput!$M$27,Inputs!$B$4="Chapter Hunt"),CHOOSE(ArtifactsInput!$N$27+1,20,24,28,32,36,40),0)/100)),0)</f>
        <v/>
      </c>
      <c r="R2826">
        <f>IF(AND(Inputs!$B$38&lt;&gt;"pvp",Inputs!$B$43&gt;0),IF(MAX(0,Inputs!$B$43-B2848)&lt;=0,0,(INT(MAX(0,Inputs!$B$43-B2848)/(IF(Inputs!$B$38="pvp",15,MAX(0.1,Skills!D11-IF(Skills!E11=TRUE,4.5,0)))*(1-IF(AND(ArtifactsInput!$M$27,Inputs!$B$4="Chapter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c r="T2827" t="inlineStr"/>
      <c r="V2827" t="inlineStr"/>
    </row>
    <row r="2828">
      <c r="A2828">
        <f>Skills!A13</f>
        <v/>
      </c>
      <c r="B2828">
        <f>Skills!B13</f>
        <v/>
      </c>
      <c r="C2828">
        <f>Inputs!$B$3&gt;=66</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IF(B2851=0,0,O2828/B2851)</f>
        <v/>
      </c>
      <c r="Q2828" t="n">
        <v>0</v>
      </c>
      <c r="R2828" t="n">
        <v>0</v>
      </c>
      <c r="S2828">
        <f>IFERROR(O2828/N2828,0)</f>
        <v/>
      </c>
      <c r="T2828" t="n">
        <v>0</v>
      </c>
      <c r="V2828" t="n">
        <v>0</v>
      </c>
    </row>
    <row r="2829">
      <c r="A2829">
        <f>Skills!A14</f>
        <v/>
      </c>
      <c r="B2829">
        <f>Skills!B14</f>
        <v/>
      </c>
      <c r="C2829">
        <f>Inputs!$B$3&gt;=107</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IF(B2851=0,0,O2829/B2851)</f>
        <v/>
      </c>
      <c r="Q2829" t="n">
        <v>0</v>
      </c>
      <c r="R2829" t="n">
        <v>0</v>
      </c>
      <c r="S2829">
        <f>IFERROR(O2829/N2829,0)</f>
        <v/>
      </c>
      <c r="T2829" t="n">
        <v>0</v>
      </c>
      <c r="V2829" t="n">
        <v>0</v>
      </c>
    </row>
    <row r="2830">
      <c r="A2830">
        <f>Skills!A15</f>
        <v/>
      </c>
      <c r="B2830">
        <f>Skills!B15</f>
        <v/>
      </c>
      <c r="C2830">
        <f>Inputs!$B$3&gt;=115</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IF(B2851=0,0,O2830/B2851)</f>
        <v/>
      </c>
      <c r="Q2830" t="n">
        <v>0</v>
      </c>
      <c r="R2830" t="n">
        <v>0</v>
      </c>
      <c r="S2830">
        <f>IFERROR(O2830/N2830,0)</f>
        <v/>
      </c>
      <c r="T2830" t="n">
        <v>0</v>
      </c>
      <c r="V2830" t="n">
        <v>0</v>
      </c>
    </row>
    <row r="2831">
      <c r="A2831">
        <f>Skills!A16</f>
        <v/>
      </c>
      <c r="B2831">
        <f>Skills!B16</f>
        <v/>
      </c>
      <c r="C2831">
        <f>Inputs!$B$3&gt;=15</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IF(B2851=0,0,O2831/B2851)</f>
        <v/>
      </c>
      <c r="Q2831" t="n">
        <v>0</v>
      </c>
      <c r="R2831" t="n">
        <v>0</v>
      </c>
      <c r="S2831">
        <f>IFERROR(O2831/N2831,0)</f>
        <v/>
      </c>
      <c r="T2831" t="n">
        <v>0</v>
      </c>
      <c r="V2831" t="n">
        <v>0</v>
      </c>
    </row>
    <row r="2832">
      <c r="A2832">
        <f>Skills!A17</f>
        <v/>
      </c>
      <c r="B2832">
        <f>Skills!B17</f>
        <v/>
      </c>
      <c r="C2832">
        <f>Inputs!$B$3&gt;=10</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IF(B2851=0,0,O2832/B2851)</f>
        <v/>
      </c>
      <c r="Q2832" t="n">
        <v>0</v>
      </c>
      <c r="R2832" t="n">
        <v>0</v>
      </c>
      <c r="S2832">
        <f>IFERROR(O2832/N2832,0)</f>
        <v/>
      </c>
      <c r="T2832" t="n">
        <v>0</v>
      </c>
      <c r="V2832" t="n">
        <v>0</v>
      </c>
    </row>
    <row r="2833">
      <c r="A2833">
        <f>Skills!A18</f>
        <v/>
      </c>
      <c r="B2833">
        <f>Skills!B18</f>
        <v/>
      </c>
      <c r="C2833">
        <f>Inputs!$B$3&gt;=33</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IF(B2851=0,0,O2833/B2851)</f>
        <v/>
      </c>
      <c r="Q2833" t="n">
        <v>0</v>
      </c>
      <c r="R2833" t="n">
        <v>0</v>
      </c>
      <c r="S2833">
        <f>IFERROR(O2833/N2833,0)</f>
        <v/>
      </c>
      <c r="T2833" t="n">
        <v>0</v>
      </c>
      <c r="V2833" t="n">
        <v>0</v>
      </c>
    </row>
    <row r="2834">
      <c r="A2834">
        <f>Skills!A19</f>
        <v/>
      </c>
      <c r="B2834">
        <f>Skills!B19</f>
        <v/>
      </c>
      <c r="C2834">
        <f>Inputs!$B$3&gt;=40</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IF(B2851=0,0,O2834/B2851)</f>
        <v/>
      </c>
      <c r="Q2834" t="n">
        <v>0</v>
      </c>
      <c r="R2834" t="n">
        <v>0</v>
      </c>
      <c r="S2834">
        <f>IFERROR(O2834/N2834,0)</f>
        <v/>
      </c>
      <c r="T2834" t="n">
        <v>0</v>
      </c>
      <c r="V2834" t="n">
        <v>0</v>
      </c>
    </row>
    <row r="2835">
      <c r="A2835">
        <f>Skills!A20</f>
        <v/>
      </c>
      <c r="B2835">
        <f>Skills!B20</f>
        <v/>
      </c>
      <c r="C2835">
        <f>Inputs!$B$3&gt;=43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IF(B2851=0,0,O2835/B2851)</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IF(B2851=0,0,O2836/B2851)</f>
        <v/>
      </c>
      <c r="Q2836" t="n">
        <v>0</v>
      </c>
      <c r="R2836" t="n">
        <v>0</v>
      </c>
      <c r="S2836">
        <f>IFERROR(O2836/N2836,0)</f>
        <v/>
      </c>
      <c r="T2836" t="n">
        <v>0</v>
      </c>
      <c r="V2836" t="n">
        <v>0</v>
      </c>
    </row>
    <row r="2837">
      <c r="A2837">
        <f>Skills!A22</f>
        <v/>
      </c>
      <c r="B2837">
        <f>Skills!B22</f>
        <v/>
      </c>
      <c r="C2837">
        <f>Inputs!$B$3&gt;=75</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IF(B2851=0,0,O2837/B2851)</f>
        <v/>
      </c>
      <c r="Q2837" t="n">
        <v>0</v>
      </c>
      <c r="R2837" t="n">
        <v>0</v>
      </c>
      <c r="S2837">
        <f>IFERROR(O2837/N2837,0)</f>
        <v/>
      </c>
      <c r="T2837" t="n">
        <v>0</v>
      </c>
      <c r="V2837" t="n">
        <v>0</v>
      </c>
    </row>
    <row r="2838">
      <c r="A2838">
        <f>Skills!A23</f>
        <v/>
      </c>
      <c r="B2838">
        <f>Skills!B23</f>
        <v/>
      </c>
      <c r="C2838">
        <f>TRUE</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IF(B2851=0,0,O2838/B2851)</f>
        <v/>
      </c>
      <c r="Q2838">
        <f>IFERROR(1/(IF(Inputs!$B$38="pvp",15,MAX(0.1,Skills!D23-IF(Skills!E23=TRUE,4.5,0)))*(1-IF(AND(ArtifactsInput!$M$27,Inputs!$B$4="Chapter Hunt"),CHOOSE(ArtifactsInput!$N$27+1,20,24,28,32,36,40),0)/100)),0)</f>
        <v/>
      </c>
      <c r="R2838">
        <f>IF(AND(Inputs!$B$38&lt;&gt;"pvp",Inputs!$B$43&gt;0),IF(Inputs!$B$43&lt;=0,0,(INT(Inputs!$B$43/(IF(Inputs!$B$38="pvp",15,MAX(0.1,Skills!D23-IF(Skills!E23=TRUE,4.5,0)))*(1-IF(AND(ArtifactsInput!$M$27,Inputs!$B$4="Chapter Hunt"),CHOOSE(ArtifactsInput!$N$27+1,20,24,28,32,36,40),0)/100)))+1)),0)</f>
        <v/>
      </c>
      <c r="S2838">
        <f>IFERROR(O2838/N2838,0)</f>
        <v/>
      </c>
      <c r="T2838" t="n">
        <v>0</v>
      </c>
      <c r="V2838" t="n">
        <v>0</v>
      </c>
    </row>
    <row r="2840">
      <c r="A2840" t="inlineStr">
        <is>
          <t>Attack% Bucket Multiplier</t>
        </is>
      </c>
      <c r="B2840">
        <f>(1+(((C2828=TRUE)*F2828*5/7)+((C2834=TRUE)*(F2834-Calc!F19))+(IF(ArtifactsInput!$M$21,CHOOSE(ArtifactsInput!$N$21+1,25,30,35,40,45,50)*(IF(OR(Inputs!$B$4="Chapter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1">
      <c r="A2841" t="inlineStr">
        <is>
          <t>Global Crit Rate Bonus %</t>
        </is>
      </c>
      <c r="B2841" t="n">
        <v>0</v>
      </c>
    </row>
    <row r="2842">
      <c r="A2842" t="inlineStr">
        <is>
          <t>Attack Speed Buff Bonus % (Nimble Feet, duty-cycle averaged)</t>
        </is>
      </c>
      <c r="B2842">
        <f>((C2838=TRUE)*F2838*IF(AND(Inputs!$B$38&lt;&gt;"pvp",Inputs!$B$43&gt;0),(((R2838-1)*(Skills!T23*(1+Inputs!$B$34/100))+MIN((Skills!T23*(1+Inputs!$B$34/100)),MAX(0,Inputs!$B$43-((R2838-1)*Skills!D23))))/Inputs!$B$43),IF(Inputs!$B$38="pvp",MIN((Skills!T23*(1+Inputs!$B$34/100)),15)/15,(Skills!T23*(1+Inputs!$B$34/100))/Skills!D23)))</f>
        <v/>
      </c>
    </row>
    <row r="2843">
      <c r="A2843" t="inlineStr">
        <is>
          <t>Actions Per Second</t>
        </is>
      </c>
      <c r="B2843">
        <f>1+MIN(150,150*(1-(1-(Inputs!$B$11+((C2832=TRUE)*(F2832-Calc!F17))+((C2833=TRUE)*(F2833-Calc!F18)))/150)*(1-B2842/150)))/100</f>
        <v/>
      </c>
    </row>
    <row r="2844">
      <c r="A2844" t="inlineStr">
        <is>
          <t>Skill + Buff Cast Rate</t>
        </is>
      </c>
      <c r="B2844">
        <f>IF(AND(Inputs!$B$38&lt;&gt;"pvp",Inputs!$B$43&gt;0),SUMPRODUCT((Skills!E2:E23=TRUE)*(C2817:C2838=TRUE)*R2817:R2838*Skills!F2:F23)/Inputs!$B$43,SUMPRODUCT((Skills!E2:E23=TRUE)*(C2817:C2838=TRUE)*Q2817:Q2838*Skills!F2:F23))</f>
        <v/>
      </c>
    </row>
    <row r="2845">
      <c r="A2845" t="inlineStr">
        <is>
          <t>Hook Bomber Casts Per Second</t>
        </is>
      </c>
      <c r="B2845">
        <f>MAX(0,B2843-B2844)</f>
        <v/>
      </c>
    </row>
    <row r="2846">
      <c r="A2846" t="inlineStr">
        <is>
          <t>Global Critical Damage Bonus % (unused)</t>
        </is>
      </c>
      <c r="B2846" t="n">
        <v>0</v>
      </c>
    </row>
    <row r="2847">
      <c r="A2847" t="inlineStr">
        <is>
          <t>Global Final Damage Bonus % (Serpent Scale + Crossbones + Time Leap + Speed Infusion)</t>
        </is>
      </c>
      <c r="B2847">
        <f>((C2820=TRUE)*F2820*((10+IF(Inputs!$B$3&gt;=94,5,0))/((10+IF(Inputs!$B$3&gt;=94,5,0))+5/(B2845*(1+IF(Inputs!$B$3&gt;=104,1,0))))))+((C2829=TRUE)*F2829)+((C2830=TRUE)*F2830)+((Inputs!$B$3&gt;=110)*20*(B2843-1))</f>
        <v/>
      </c>
    </row>
    <row r="2848">
      <c r="A2848" t="inlineStr">
        <is>
          <t>Buff-Casting Startup Delay (s, fixed-duration only)</t>
        </is>
      </c>
      <c r="B2848">
        <f>IF(AND(Inputs!$B$38&lt;&gt;"pvp",Inputs!$B$43&gt;0),SUMPRODUCT((Skills!T2:T23&gt;0)*(Skills!E2:E23=TRUE)*(C2817:C2838=TRUE))/B2843,0)</f>
        <v/>
      </c>
    </row>
    <row r="2849">
      <c r="A2849" t="inlineStr">
        <is>
          <t>Boss-Only Total DPS (this block's swept value)</t>
        </is>
      </c>
      <c r="B2849">
        <f>SUM(T2817:T2838)</f>
        <v/>
      </c>
    </row>
    <row r="2850">
      <c r="A2850" t="inlineStr">
        <is>
          <t>Normal-Only Total DPS (this block's swept value)</t>
        </is>
      </c>
      <c r="B2850">
        <f>SUM(V2817:V2838)</f>
        <v/>
      </c>
    </row>
    <row r="2851">
      <c r="A2851" s="6" t="inlineStr">
        <is>
          <t>TOTAL DPS</t>
        </is>
      </c>
      <c r="B2851" s="6">
        <f>SUM(O2817:O2838)</f>
        <v/>
      </c>
    </row>
    <row r="2854">
      <c r="A2854" s="6" t="inlineStr">
        <is>
          <t>Stat: CDR = 5.0s</t>
        </is>
      </c>
    </row>
    <row r="2855">
      <c r="A2855" s="5" t="inlineStr">
        <is>
          <t>Key</t>
        </is>
      </c>
      <c r="B2855" s="5" t="inlineStr">
        <is>
          <t>Name</t>
        </is>
      </c>
      <c r="C2855" s="5" t="inlineStr">
        <is>
          <t>Unlocked</t>
        </is>
      </c>
      <c r="D2855" s="5" t="inlineStr">
        <is>
          <t>InputLevel</t>
        </is>
      </c>
      <c r="E2855" s="5" t="inlineStr">
        <is>
          <t>Factor</t>
        </is>
      </c>
      <c r="F2855" s="5" t="inlineStr">
        <is>
          <t>CoefficientPercent</t>
        </is>
      </c>
      <c r="G2855" s="5" t="inlineStr">
        <is>
          <t>EffectiveHits</t>
        </is>
      </c>
      <c r="H2855" s="5" t="inlineStr">
        <is>
          <t>ProcProbability</t>
        </is>
      </c>
      <c r="I2855" s="5" t="inlineStr">
        <is>
          <t>MapleHeroMultiplier</t>
        </is>
      </c>
      <c r="J2855" s="5" t="inlineStr">
        <is>
          <t>BaseDamage</t>
        </is>
      </c>
      <c r="K2855" s="5" t="inlineStr">
        <is>
          <t>BaseHitDamage</t>
        </is>
      </c>
      <c r="L2855" s="5" t="inlineStr">
        <is>
          <t>NonCritAvg</t>
        </is>
      </c>
      <c r="M2855" s="5" t="inlineStr">
        <is>
          <t>CritAvg</t>
        </is>
      </c>
      <c r="N2855" s="5" t="inlineStr">
        <is>
          <t>ExpectedDamage(perHit)</t>
        </is>
      </c>
      <c r="O2855" s="5" t="inlineStr">
        <is>
          <t>DPS</t>
        </is>
      </c>
      <c r="P2855" s="5" t="inlineStr">
        <is>
          <t>% of Total</t>
        </is>
      </c>
      <c r="Q2855" s="5" t="inlineStr">
        <is>
          <t>InvCooldown</t>
        </is>
      </c>
      <c r="R2855" s="5" t="inlineStr">
        <is>
          <t>CastsInFight</t>
        </is>
      </c>
      <c r="S2855" s="5" t="inlineStr">
        <is>
          <t>HitRate(perSec)</t>
        </is>
      </c>
      <c r="U2855" t="inlineStr">
        <is>
          <t>helpers</t>
        </is>
      </c>
    </row>
    <row r="2856">
      <c r="A2856">
        <f>Skills!A2</f>
        <v/>
      </c>
      <c r="B2856">
        <f>Skills!B2</f>
        <v/>
      </c>
      <c r="C2856">
        <f>Inputs!$B$3&gt;=100</f>
        <v/>
      </c>
      <c r="D2856" t="inlineStr"/>
      <c r="E2856" t="inlineStr"/>
      <c r="F2856">
        <f>U2858+Skills!O2</f>
        <v/>
      </c>
      <c r="G2856">
        <f>Skills!G2*IF(Skills!H2&gt;0,Skills!I2/Skills!H2,1)</f>
        <v/>
      </c>
      <c r="H2856">
        <f>1-(1-Skills!J2/100)^Skills!K2</f>
        <v/>
      </c>
      <c r="I2856" t="inlineStr">
        <is>
          <t>1</t>
        </is>
      </c>
      <c r="J2856">
        <f>((Inputs!$B$6*(1+Inputs!$B$7/100))+(((Inputs!$B$12*(1+Inputs!$B$13/100))-(Inputs!$B$12*(1+Inputs!$B$13/100)))+0.25*(Inputs!$B$14-Inputs!$B$14))*(1+Inputs!$B$7/100))*(F2856/100)</f>
        <v/>
      </c>
      <c r="K2856">
        <f>J2856*(1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2874=TRUE)*(F2874-Calc!F20)),(Inputs!$B$23+0+(IF(ArtifactsInput!$M$15,CHOOSE(ArtifactsInput!$N$15+1,25,30,35,40,45,50)/100*(Inputs!$B$11-Inputs!$B$11),0))))/100+(Inputs!$B$23+0+(IF(ArtifactsInput!$M$15,CHOOSE(ArtifactsInput!$N$15+1,25,30,35,40,45,50)/100*(Inputs!$B$11-Inputs!$B$11),0)))/100)/2</f>
        <v/>
      </c>
      <c r="M2856">
        <f>L2856*(1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IF(B2890=0,0,O2856/B2890)</f>
        <v/>
      </c>
      <c r="Q2856" t="n">
        <v>0</v>
      </c>
      <c r="R2856" t="n">
        <v>0</v>
      </c>
      <c r="S2856">
        <f>IFERROR(O2856/N2856,0)</f>
        <v/>
      </c>
      <c r="T2856">
        <f>IF(C2856,(Skills!G2*N2856*B2884)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MAX(0,(Inputs!$B$3-100)*3)+Inputs!$B$28+Inputs!$B$29</f>
        <v/>
      </c>
      <c r="V2856">
        <f>IF(C2856,(Skills!G2*N2856*B2884)*IF(Inputs!$B$38="pvp",1,(1+(Inputs!$B$21+Skills!Q2+(IF(ArtifactsInput!$M$33,CHOOSE(ArtifactsInput!$N$33+1,30,36,42,48,54,60),0))+(IF(AND(ArtifactsInput!$M$35,Inputs!$B$4&lt;&gt;"Chapter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Skills!A3</f>
        <v/>
      </c>
      <c r="B2857">
        <f>Skills!B3</f>
        <v/>
      </c>
      <c r="C2857">
        <f>Inputs!$B$3&gt;=35</f>
        <v/>
      </c>
      <c r="D2857">
        <f>IF(Skills!C3=1,60+Inputs!$B$25+Inputs!$B$29,IF(Skills!C3=2,90+Inputs!$B$26+Inputs!$B$29,IF(Skills!C3=3,120+Inputs!$B$27+Inputs!$B$29,MAX(0,(Inputs!$B$3-100)*3)+Inputs!$B$28+Inputs!$B$29)))</f>
        <v/>
      </c>
      <c r="E2857">
        <f>INDEX(FactorTable!$B$2:$Y$301, MATCH(ROUND(MIN(300,MAX(1,D2857)),0), FactorTable!$A$2:$A$301,0), Skills!M3+1)</f>
        <v/>
      </c>
      <c r="F2857">
        <f>IF(Skills!N3=TRUE,(Skills!L3/10)*(E2857/1000),Skills!L3/10)+Skills!O3</f>
        <v/>
      </c>
      <c r="G2857">
        <f>Skills!G3*IF(Skills!H3&gt;0,Skills!I3/Skills!H3,1)</f>
        <v/>
      </c>
      <c r="H2857">
        <f>1-(1-Skills!J3/100)^Skills!K3</f>
        <v/>
      </c>
      <c r="I2857" t="inlineStr">
        <is>
          <t>1</t>
        </is>
      </c>
      <c r="J2857">
        <f>((Inputs!$B$6*(1+Inputs!$B$7/100))+(((Inputs!$B$12*(1+Inputs!$B$13/100))-(Inputs!$B$12*(1+Inputs!$B$13/100)))+0.25*(Inputs!$B$14-Inputs!$B$14))*(1+Inputs!$B$7/100))*(F2857/100)</f>
        <v/>
      </c>
      <c r="K2857">
        <f>J2857*(1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2874=TRUE)*(F2874-Calc!F20)),(Inputs!$B$23+0+(IF(ArtifactsInput!$M$15,CHOOSE(ArtifactsInput!$N$15+1,25,30,35,40,45,50)/100*(Inputs!$B$11-Inputs!$B$11),0))))/100+(Inputs!$B$23+0+(IF(ArtifactsInput!$M$15,CHOOSE(ArtifactsInput!$N$15+1,25,30,35,40,45,50)/100*(Inputs!$B$11-Inputs!$B$11),0)))/100)/2</f>
        <v/>
      </c>
      <c r="M2857">
        <f>L2857*(1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IF(B2890=0,0,O2857/B2890)</f>
        <v/>
      </c>
      <c r="Q2857" t="n">
        <v>0</v>
      </c>
      <c r="R2857" t="n">
        <v>0</v>
      </c>
      <c r="S2857">
        <f>IFERROR(O2857/N2857,0)</f>
        <v/>
      </c>
      <c r="T2857">
        <f>IF(C2857,(Skills!G3*H2857*N2857*B2884)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INDEX(FactorTable!$B$2:$Y$301, MATCH(ROUND(MIN(300,MAX(1,U2856)),0), FactorTable!$A$2:$A$301,0), 22)</f>
        <v/>
      </c>
      <c r="V2857">
        <f>IF(C2857,(Skills!G3*H2857*N2857*B2884)*IF(Inputs!$B$38="pvp",1,(1+(Inputs!$B$21+Skills!Q3+(IF(ArtifactsInput!$M$33,CHOOSE(ArtifactsInput!$N$33+1,30,36,42,48,54,60),0))+(IF(AND(ArtifactsInput!$M$35,Inputs!$B$4&lt;&gt;"Chapter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Skills!A4</f>
        <v/>
      </c>
      <c r="B2858">
        <f>Skills!B4</f>
        <v/>
      </c>
      <c r="C2858">
        <f>Inputs!$B$3&gt;=60</f>
        <v/>
      </c>
      <c r="D2858">
        <f>IF(Skills!C4=1,60+Inputs!$B$25+Inputs!$B$29,IF(Skills!C4=2,90+Inputs!$B$26+Inputs!$B$29,IF(Skills!C4=3,120+Inputs!$B$27+Inputs!$B$29,MAX(0,(Inputs!$B$3-100)*3)+Inputs!$B$28+Inputs!$B$29)))</f>
        <v/>
      </c>
      <c r="E2858">
        <f>INDEX(FactorTable!$B$2:$Y$301, MATCH(ROUND(MIN(300,MAX(1,D2858)),0), FactorTable!$A$2:$A$301,0), Skills!M4+1)</f>
        <v/>
      </c>
      <c r="F2858">
        <f>IF(Skills!N4=TRUE,(Skills!L4/10)*(E2858/1000),Skills!L4/10)+Skills!O4</f>
        <v/>
      </c>
      <c r="G2858">
        <f>Skills!G4*IF(Skills!H4&gt;0,Skills!I4/Skills!H4,1)</f>
        <v/>
      </c>
      <c r="H2858">
        <f>1-(1-Skills!J4/100)^Skills!K4</f>
        <v/>
      </c>
      <c r="I2858" t="inlineStr">
        <is>
          <t>1</t>
        </is>
      </c>
      <c r="J2858">
        <f>((Inputs!$B$6*(1+Inputs!$B$7/100))+(((Inputs!$B$12*(1+Inputs!$B$13/100))-(Inputs!$B$12*(1+Inputs!$B$13/100)))+0.25*(Inputs!$B$14-Inputs!$B$14))*(1+Inputs!$B$7/100))*(F2858/100)</f>
        <v/>
      </c>
      <c r="K2858">
        <f>J2858*(1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2866=TRUE,F2866,0)/100)*(1+(IF(Skills!A4="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2874=TRUE)*(F2874-Calc!F20)),(Inputs!$B$23+0+(IF(ArtifactsInput!$M$15,CHOOSE(ArtifactsInput!$N$15+1,25,30,35,40,45,50)/100*(Inputs!$B$11-Inputs!$B$11),0))))/100+(Inputs!$B$23+0+(IF(ArtifactsInput!$M$15,CHOOSE(ArtifactsInput!$N$15+1,25,30,35,40,45,50)/100*(Inputs!$B$11-Inputs!$B$11),0)))/100)/2</f>
        <v/>
      </c>
      <c r="M2858">
        <f>L2858*(1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IF(B2890=0,0,O2858/B2890)</f>
        <v/>
      </c>
      <c r="Q2858" t="n">
        <v>0</v>
      </c>
      <c r="R2858" t="n">
        <v>0</v>
      </c>
      <c r="S2858">
        <f>IFERROR(O2858/N2858,0)</f>
        <v/>
      </c>
      <c r="T2858">
        <f>IF(C2858,(Skills!G4*H2858*N2858*B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290*U2857/1000</f>
        <v/>
      </c>
      <c r="V2858">
        <f>IF(C2858,(Skills!G4*H2858*N2858*B2884)*IF(Inputs!$B$38="pvp",1,(1+(Inputs!$B$21+Skills!Q4+(IF(ArtifactsInput!$M$33,CHOOSE(ArtifactsInput!$N$33+1,30,36,42,48,54,60),0))+(IF(AND(ArtifactsInput!$M$35,Inputs!$B$4&lt;&gt;"Chapter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Skills!A5</f>
        <v/>
      </c>
      <c r="B2859">
        <f>Skills!B5</f>
        <v/>
      </c>
      <c r="C2859">
        <f>Inputs!$B$3&gt;=60</f>
        <v/>
      </c>
      <c r="D2859">
        <f>IF(Skills!C5=1,60+Inputs!$B$25+Inputs!$B$29,IF(Skills!C5=2,90+Inputs!$B$26+Inputs!$B$29,IF(Skills!C5=3,120+Inputs!$B$27+Inputs!$B$29,MAX(0,(Inputs!$B$3-100)*3)+Inputs!$B$28+Inputs!$B$29)))</f>
        <v/>
      </c>
      <c r="E2859">
        <f>INDEX(FactorTable!$B$2:$Y$301, MATCH(ROUND(MIN(300,MAX(1,D2859)),0), FactorTable!$A$2:$A$301,0), Skills!M5+1)</f>
        <v/>
      </c>
      <c r="F2859">
        <f>IF(Skills!N5=TRUE,(Skills!L5/10)*(E2859/1000),Skills!L5/10)+Skills!O5</f>
        <v/>
      </c>
      <c r="G2859">
        <f>Skills!G5*IF(Skills!H5&gt;0,Skills!I5/Skills!H5,1)</f>
        <v/>
      </c>
      <c r="H2859">
        <f>1-(1-Skills!J5/100)^Skills!K5</f>
        <v/>
      </c>
      <c r="I2859" t="inlineStr">
        <is>
          <t>1</t>
        </is>
      </c>
      <c r="J2859" t="inlineStr"/>
      <c r="K2859" t="inlineStr"/>
      <c r="L2859" t="inlineStr"/>
      <c r="M2859" t="inlineStr"/>
      <c r="N2859" t="inlineStr"/>
      <c r="O2859">
        <f>(1-Summary!$B$11)*T2859+Summary!$B$11*V2859</f>
        <v/>
      </c>
      <c r="P2859">
        <f>IF(B2890=0,0,O2859/B2890)</f>
        <v/>
      </c>
      <c r="Q2859" t="n">
        <v>0</v>
      </c>
      <c r="R2859" t="n">
        <v>0</v>
      </c>
      <c r="S2859">
        <f>IFERROR(O2859/N2859,0)</f>
        <v/>
      </c>
      <c r="T2859" t="n">
        <v>0</v>
      </c>
      <c r="V2859" t="n">
        <v>0</v>
      </c>
    </row>
    <row r="2860">
      <c r="A2860">
        <f>Skills!A6</f>
        <v/>
      </c>
      <c r="B2860">
        <f>Skills!B6</f>
        <v/>
      </c>
      <c r="C2860">
        <f>Inputs!$B$3&gt;=63</f>
        <v/>
      </c>
      <c r="D2860">
        <f>IF(Skills!C6=1,60+Inputs!$B$25+Inputs!$B$29,IF(Skills!C6=2,90+Inputs!$B$26+Inputs!$B$29,IF(Skills!C6=3,120+Inputs!$B$27+Inputs!$B$29,MAX(0,(Inputs!$B$3-100)*3)+Inputs!$B$28+Inputs!$B$29)))</f>
        <v/>
      </c>
      <c r="E2860">
        <f>INDEX(FactorTable!$B$2:$Y$301, MATCH(ROUND(MIN(300,MAX(1,D2860)),0), FactorTable!$A$2:$A$301,0), Skills!M6+1)</f>
        <v/>
      </c>
      <c r="F2860">
        <f>IF(Skills!N6=TRUE,(Skills!L6/10)*(E2860/1000),Skills!L6/10)+Skills!O6</f>
        <v/>
      </c>
      <c r="G2860">
        <f>Skills!G6*IF(Skills!H6&gt;0,Skills!I6/Skills!H6,1)</f>
        <v/>
      </c>
      <c r="H2860">
        <f>1-(1-Skills!J6/100)^Skills!K6</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2874=TRUE)*(F2874-Calc!F20)),(Inputs!$B$23+0+(IF(ArtifactsInput!$M$15,CHOOSE(ArtifactsInput!$N$15+1,25,30,35,40,45,50)/100*(Inputs!$B$11-Inputs!$B$11),0))))/100+(Inputs!$B$23+0+(IF(ArtifactsInput!$M$15,CHOOSE(ArtifactsInput!$N$15+1,25,30,35,40,45,50)/100*(Inputs!$B$11-Inputs!$B$11),0)))/100)/2</f>
        <v/>
      </c>
      <c r="M2860">
        <f>L2860*(1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IF(B2890=0,0,O2860/B2890)</f>
        <v/>
      </c>
      <c r="Q2860">
        <f>IFERROR(1/(IF(Inputs!$B$38="pvp",15,MAX(0.1,Skills!D6-IF(Skills!E6=TRUE,5.0,0)))*(1-IF(AND(ArtifactsInput!$M$27,Inputs!$B$4="Chapter Hunt"),CHOOSE(ArtifactsInput!$N$27+1,20,24,28,32,36,40),0)/100)),0)</f>
        <v/>
      </c>
      <c r="R2860">
        <f>IF(AND(Inputs!$B$38&lt;&gt;"pvp",Inputs!$B$43&gt;0),IF(MAX(0,Inputs!$B$43-B2887)&lt;=0,0,(INT(MAX(0,Inputs!$B$43-B2887)/(IF(Inputs!$B$38="pvp",15,MAX(0.1,Skills!D6-IF(Skills!E6=TRUE,5.0,0)))*(1-IF(AND(ArtifactsInput!$M$27,Inputs!$B$4="Chapter Hunt"),CHOOSE(ArtifactsInput!$N$27+1,20,24,28,32,36,40),0)/100)))+1)),0)</f>
        <v/>
      </c>
      <c r="S2860">
        <f>IFERROR(O2860/N2860,0)</f>
        <v/>
      </c>
      <c r="T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$21+Skills!Q6+(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Skills!A7</f>
        <v/>
      </c>
      <c r="B2861">
        <f>Skills!B7</f>
        <v/>
      </c>
      <c r="C2861">
        <f>Inputs!$B$3&gt;=100</f>
        <v/>
      </c>
      <c r="D2861">
        <f>IF(Skills!C7=1,60+Inputs!$B$25+Inputs!$B$29,IF(Skills!C7=2,90+Inputs!$B$26+Inputs!$B$29,IF(Skills!C7=3,120+Inputs!$B$27+Inputs!$B$29,MAX(0,(Inputs!$B$3-100)*3)+Inputs!$B$28+Inputs!$B$29)))</f>
        <v/>
      </c>
      <c r="E2861">
        <f>INDEX(FactorTable!$B$2:$Y$301, MATCH(ROUND(MIN(300,MAX(1,D2861)),0), FactorTable!$A$2:$A$301,0), Skills!M7+1)</f>
        <v/>
      </c>
      <c r="F2861">
        <f>IF(Skills!N7=TRUE,(Skills!L7/10)*(E2861/1000),Skills!L7/10)+Skills!O7</f>
        <v/>
      </c>
      <c r="G2861">
        <f>Skills!G7*IF(Skills!H7&gt;0,Skills!I7/Skills!H7,1)</f>
        <v/>
      </c>
      <c r="H2861">
        <f>1-(1-Skills!J7/100)^Skills!K7</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2874=TRUE)*(F2874-Calc!F20)),(Inputs!$B$23+0+(IF(ArtifactsInput!$M$15,CHOOSE(ArtifactsInput!$N$15+1,25,30,35,40,45,50)/100*(Inputs!$B$11-Inputs!$B$11),0))))/100+(Inputs!$B$23+0+(IF(ArtifactsInput!$M$15,CHOOSE(ArtifactsInput!$N$15+1,25,30,35,40,45,50)/100*(Inputs!$B$11-Inputs!$B$11),0)))/100)/2</f>
        <v/>
      </c>
      <c r="M2861">
        <f>L2861*(1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IF(B2890=0,0,O2861/B2890)</f>
        <v/>
      </c>
      <c r="Q2861">
        <f>IFERROR(1/(IF(Inputs!$B$38="pvp",15,MAX(0.1,Skills!D7-IF(Skills!E7=TRUE,5.0,0)))*(1-IF(AND(ArtifactsInput!$M$27,Inputs!$B$4="Chapter Hunt"),CHOOSE(ArtifactsInput!$N$27+1,20,24,28,32,36,40),0)/100)),0)</f>
        <v/>
      </c>
      <c r="R2861">
        <f>IF(AND(Inputs!$B$38&lt;&gt;"pvp",Inputs!$B$43&gt;0),IF(MAX(0,Inputs!$B$43-B2887)&lt;=0,0,(INT(MAX(0,Inputs!$B$43-B2887)/(IF(Inputs!$B$38="pvp",15,MAX(0.1,Skills!D7-IF(Skills!E7=TRUE,5.0,0)))*(1-IF(AND(ArtifactsInput!$M$27,Inputs!$B$4="Chapter Hunt"),CHOOSE(ArtifactsInput!$N$27+1,20,24,28,32,36,40),0)/100)))+1)),0)</f>
        <v/>
      </c>
      <c r="S2861">
        <f>IFERROR(O2861/N2861,0)</f>
        <v/>
      </c>
      <c r="T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$21+Skills!Q7+(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Skills!A8</f>
        <v/>
      </c>
      <c r="B2862">
        <f>Skills!B8</f>
        <v/>
      </c>
      <c r="C2862">
        <f>Inputs!$B$3&gt;=110</f>
        <v/>
      </c>
      <c r="D2862">
        <f>IF(Skills!C8=1,60+Inputs!$B$25+Inputs!$B$29,IF(Skills!C8=2,90+Inputs!$B$26+Inputs!$B$29,IF(Skills!C8=3,120+Inputs!$B$27+Inputs!$B$29,MAX(0,(Inputs!$B$3-100)*3)+Inputs!$B$28+Inputs!$B$29)))</f>
        <v/>
      </c>
      <c r="E2862">
        <f>INDEX(FactorTable!$B$2:$Y$301, MATCH(ROUND(MIN(300,MAX(1,D2862)),0), FactorTable!$A$2:$A$301,0), Skills!M8+1)</f>
        <v/>
      </c>
      <c r="F2862">
        <f>IF(Skills!N8=TRUE,(Skills!L8/10)*(E2862/1000),Skills!L8/10)+Skills!O8</f>
        <v/>
      </c>
      <c r="G2862">
        <f>Skills!G8*IF(Skills!H8&gt;0,Skills!I8/Skills!H8,1)</f>
        <v/>
      </c>
      <c r="H2862">
        <f>1-(1-Skills!J8/100)^Skills!K8</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2874=TRUE)*(F2874-Calc!F20)),(Inputs!$B$23+0+(IF(ArtifactsInput!$M$15,CHOOSE(ArtifactsInput!$N$15+1,25,30,35,40,45,50)/100*(Inputs!$B$11-Inputs!$B$11),0))))/100+(Inputs!$B$23+0+(IF(ArtifactsInput!$M$15,CHOOSE(ArtifactsInput!$N$15+1,25,30,35,40,45,50)/100*(Inputs!$B$11-Inputs!$B$11),0)))/100)/2</f>
        <v/>
      </c>
      <c r="M2862">
        <f>L2862*(1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IF(B2890=0,0,O2862/B2890)</f>
        <v/>
      </c>
      <c r="Q2862">
        <f>IFERROR(1/(IF(Inputs!$B$38="pvp",15,MAX(0.1,Skills!D8-IF(Skills!E8=TRUE,5.0,0)))*(1-IF(AND(ArtifactsInput!$M$27,Inputs!$B$4="Chapter Hunt"),CHOOSE(ArtifactsInput!$N$27+1,20,24,28,32,36,40),0)/100)),0)</f>
        <v/>
      </c>
      <c r="R2862">
        <f>IF(AND(Inputs!$B$38&lt;&gt;"pvp",Inputs!$B$43&gt;0),IF(MAX(0,Inputs!$B$43-B2887)&lt;=0,0,(INT(MAX(0,Inputs!$B$43-B2887)/(IF(Inputs!$B$38="pvp",15,MAX(0.1,Skills!D8-IF(Skills!E8=TRUE,5.0,0)))*(1-IF(AND(ArtifactsInput!$M$27,Inputs!$B$4="Chapter Hunt"),CHOOSE(ArtifactsInput!$N$27+1,20,24,28,32,36,40),0)/100)))+1)),0)</f>
        <v/>
      </c>
      <c r="S2862">
        <f>IFERROR(O2862/N2862,0)</f>
        <v/>
      </c>
      <c r="T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$21+Skills!Q8+(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Skills!A9</f>
        <v/>
      </c>
      <c r="B2863">
        <f>Skills!B9</f>
        <v/>
      </c>
      <c r="C2863">
        <f>Inputs!$B$3&gt;=110</f>
        <v/>
      </c>
      <c r="D2863">
        <f>IF(Skills!C9=1,60+Inputs!$B$25+Inputs!$B$29,IF(Skills!C9=2,90+Inputs!$B$26+Inputs!$B$29,IF(Skills!C9=3,120+Inputs!$B$27+Inputs!$B$29,MAX(0,(Inputs!$B$3-100)*3)+Inputs!$B$28+Inputs!$B$29)))</f>
        <v/>
      </c>
      <c r="E2863">
        <f>INDEX(FactorTable!$B$2:$Y$301, MATCH(ROUND(MIN(300,MAX(1,D2863)),0), FactorTable!$A$2:$A$301,0), Skills!M9+1)</f>
        <v/>
      </c>
      <c r="F2863">
        <f>IF(Skills!N9=TRUE,(Skills!L9/10)*(E2863/1000),Skills!L9/10)+Skills!O9</f>
        <v/>
      </c>
      <c r="G2863">
        <f>Skills!G9*IF(Skills!H9&gt;0,Skills!I9/Skills!H9,1)</f>
        <v/>
      </c>
      <c r="H2863">
        <f>1-(1-Skills!J9/100)^Skills!K9</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2874=TRUE)*(F2874-Calc!F20)),(Inputs!$B$23+0+(IF(ArtifactsInput!$M$15,CHOOSE(ArtifactsInput!$N$15+1,25,30,35,40,45,50)/100*(Inputs!$B$11-Inputs!$B$11),0))))/100+(Inputs!$B$23+0+(IF(ArtifactsInput!$M$15,CHOOSE(ArtifactsInput!$N$15+1,25,30,35,40,45,50)/100*(Inputs!$B$11-Inputs!$B$11),0)))/100)/2</f>
        <v/>
      </c>
      <c r="M2863">
        <f>L2863*(1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IF(B2890=0,0,O2863/B2890)</f>
        <v/>
      </c>
      <c r="Q2863">
        <f>IFERROR(1/(IF(Inputs!$B$38="pvp",15,MAX(0.1,Skills!D9-IF(Skills!E9=TRUE,5.0,0)))*(1-IF(AND(ArtifactsInput!$M$27,Inputs!$B$4="Chapter Hunt"),CHOOSE(ArtifactsInput!$N$27+1,20,24,28,32,36,40),0)/100)),0)</f>
        <v/>
      </c>
      <c r="R2863">
        <f>IF(AND(Inputs!$B$38&lt;&gt;"pvp",Inputs!$B$43&gt;0),IF(MAX(0,Inputs!$B$43-B2887)&lt;=0,0,(INT(MAX(0,Inputs!$B$43-B2887)/(IF(Inputs!$B$38="pvp",15,MAX(0.1,Skills!D9-IF(Skills!E9=TRUE,5.0,0)))*(1-IF(AND(ArtifactsInput!$M$27,Inputs!$B$4="Chapter Hunt"),CHOOSE(ArtifactsInput!$N$27+1,20,24,28,32,36,40),0)/100)))+1)),0)</f>
        <v/>
      </c>
      <c r="S2863">
        <f>IFERROR(O2863/N2863,0)</f>
        <v/>
      </c>
      <c r="T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$21+Skills!Q9+(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Skills!A10</f>
        <v/>
      </c>
      <c r="B2864">
        <f>Skills!B10</f>
        <v/>
      </c>
      <c r="C2864">
        <f>Inputs!$B$3&gt;=103</f>
        <v/>
      </c>
      <c r="D2864">
        <f>IF(Skills!C10=1,60+Inputs!$B$25+Inputs!$B$29,IF(Skills!C10=2,90+Inputs!$B$26+Inputs!$B$29,IF(Skills!C10=3,120+Inputs!$B$27+Inputs!$B$29,MAX(0,(Inputs!$B$3-100)*3)+Inputs!$B$28+Inputs!$B$29)))</f>
        <v/>
      </c>
      <c r="E2864">
        <f>INDEX(FactorTable!$B$2:$Y$301, MATCH(ROUND(MIN(300,MAX(1,D2864)),0), FactorTable!$A$2:$A$301,0), Skills!M10+1)</f>
        <v/>
      </c>
      <c r="F2864">
        <f>IF(Skills!N10=TRUE,(Skills!L10/10)*(E2864/1000),Skills!L10/10)+Skills!O10</f>
        <v/>
      </c>
      <c r="G2864">
        <f>Skills!G10*IF(Skills!H10&gt;0,Skills!I10/Skills!H10,1)</f>
        <v/>
      </c>
      <c r="H2864">
        <f>1-(1-Skills!J10/100)^Skills!K10</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2874=TRUE)*(F2874-Calc!F20)),(Inputs!$B$23+0+(IF(ArtifactsInput!$M$15,CHOOSE(ArtifactsInput!$N$15+1,25,30,35,40,45,50)/100*(Inputs!$B$11-Inputs!$B$11),0))))/100+(Inputs!$B$23+0+(IF(ArtifactsInput!$M$15,CHOOSE(ArtifactsInput!$N$15+1,25,30,35,40,45,50)/100*(Inputs!$B$11-Inputs!$B$11),0)))/100)/2</f>
        <v/>
      </c>
      <c r="M2864">
        <f>L2864*(1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IF(B2890=0,0,O2864/B2890)</f>
        <v/>
      </c>
      <c r="Q2864">
        <f>IFERROR(1/(IF(Inputs!$B$38="pvp",15,MAX(0.1,Skills!D10-IF(Skills!E10=TRUE,5.0,0)))*(1-IF(AND(ArtifactsInput!$M$27,Inputs!$B$4="Chapter Hunt"),CHOOSE(ArtifactsInput!$N$27+1,20,24,28,32,36,40),0)/100)),0)</f>
        <v/>
      </c>
      <c r="R2864">
        <f>IF(AND(Inputs!$B$38&lt;&gt;"pvp",Inputs!$B$43&gt;0),IF(MAX(0,Inputs!$B$43-B2887)&lt;=0,0,(INT(MAX(0,Inputs!$B$43-B2887)/(IF(Inputs!$B$38="pvp",15,MAX(0.1,Skills!D10-IF(Skills!E10=TRUE,5.0,0)))*(1-IF(AND(ArtifactsInput!$M$27,Inputs!$B$4="Chapter Hunt"),CHOOSE(ArtifactsInput!$N$27+1,20,24,28,32,36,40),0)/100)))+1)),0)</f>
        <v/>
      </c>
      <c r="S2864">
        <f>IFERROR(O2864/N2864,0)</f>
        <v/>
      </c>
      <c r="T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$21+Skills!Q10+(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Skills!A11</f>
        <v/>
      </c>
      <c r="B2865">
        <f>Skills!B11</f>
        <v/>
      </c>
      <c r="C2865">
        <f>Inputs!$B$3&gt;=113</f>
        <v/>
      </c>
      <c r="D2865">
        <f>IF(Skills!C11=1,60+Inputs!$B$25+Inputs!$B$29,IF(Skills!C11=2,90+Inputs!$B$26+Inputs!$B$29,IF(Skills!C11=3,120+Inputs!$B$27+Inputs!$B$29,MAX(0,(Inputs!$B$3-100)*3)+Inputs!$B$28+Inputs!$B$29)))</f>
        <v/>
      </c>
      <c r="E2865">
        <f>INDEX(FactorTable!$B$2:$Y$301, MATCH(ROUND(MIN(300,MAX(1,D2865)),0), FactorTable!$A$2:$A$301,0), Skills!M11+1)</f>
        <v/>
      </c>
      <c r="F2865">
        <f>IF(Skills!N11=TRUE,(Skills!L11/10)*(E2865/1000),Skills!L11/10)+Skills!O11</f>
        <v/>
      </c>
      <c r="G2865">
        <f>Skills!G11*IF(Skills!H11&gt;0,Skills!I11/Skills!H11,1)</f>
        <v/>
      </c>
      <c r="H2865">
        <f>1-(1-Skills!J11/100)^Skills!K11</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2874=TRUE)*(F2874-Calc!F20)),(Inputs!$B$23+0+(IF(ArtifactsInput!$M$15,CHOOSE(ArtifactsInput!$N$15+1,25,30,35,40,45,50)/100*(Inputs!$B$11-Inputs!$B$11),0))))/100+(Inputs!$B$23+0+(IF(ArtifactsInput!$M$15,CHOOSE(ArtifactsInput!$N$15+1,25,30,35,40,45,50)/100*(Inputs!$B$11-Inputs!$B$11),0)))/100)/2</f>
        <v/>
      </c>
      <c r="M2865">
        <f>L2865*(1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IF(B2890=0,0,O2865/B2890)</f>
        <v/>
      </c>
      <c r="Q2865">
        <f>IFERROR(1/(IF(Inputs!$B$38="pvp",15,MAX(0.1,Skills!D11-IF(Skills!E11=TRUE,5.0,0)))*(1-IF(AND(ArtifactsInput!$M$27,Inputs!$B$4="Chapter Hunt"),CHOOSE(ArtifactsInput!$N$27+1,20,24,28,32,36,40),0)/100)),0)</f>
        <v/>
      </c>
      <c r="R2865">
        <f>IF(AND(Inputs!$B$38&lt;&gt;"pvp",Inputs!$B$43&gt;0),IF(MAX(0,Inputs!$B$43-B2887)&lt;=0,0,(INT(MAX(0,Inputs!$B$43-B2887)/(IF(Inputs!$B$38="pvp",15,MAX(0.1,Skills!D11-IF(Skills!E11=TRUE,5.0,0)))*(1-IF(AND(ArtifactsInput!$M$27,Inputs!$B$4="Chapter Hunt"),CHOOSE(ArtifactsInput!$N$27+1,20,24,28,32,36,40),0)/100)))+1)),0)</f>
        <v/>
      </c>
      <c r="S2865">
        <f>IFERROR(O2865/N2865,0)</f>
        <v/>
      </c>
      <c r="T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$21+Skills!Q11+(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Skills!A12</f>
        <v/>
      </c>
      <c r="B2866">
        <f>Skills!B12</f>
        <v/>
      </c>
      <c r="C2866">
        <f>Inputs!$B$3&gt;=100</f>
        <v/>
      </c>
      <c r="D2866">
        <f>IF(Skills!C12=1,60+Inputs!$B$25+Inputs!$B$29,IF(Skills!C12=2,90+Inputs!$B$26+Inputs!$B$29,IF(Skills!C12=3,120+Inputs!$B$27+Inputs!$B$29,MAX(0,(Inputs!$B$3-100)*3)+Inputs!$B$28+Inputs!$B$29)))</f>
        <v/>
      </c>
      <c r="E2866">
        <f>INDEX(FactorTable!$B$2:$Y$301, MATCH(ROUND(MIN(300,MAX(1,D2866)),0), FactorTable!$A$2:$A$301,0), Skills!M12+1)</f>
        <v/>
      </c>
      <c r="F2866">
        <f>IF(Skills!N12=TRUE,(Skills!L12/10)*(E2866/1000),Skills!L12/10)+Skills!O12</f>
        <v/>
      </c>
      <c r="G2866" t="inlineStr"/>
      <c r="H2866" t="inlineStr"/>
      <c r="I2866" t="inlineStr">
        <is>
          <t>1</t>
        </is>
      </c>
      <c r="J2866" t="inlineStr"/>
      <c r="K2866" t="inlineStr"/>
      <c r="L2866" t="inlineStr"/>
      <c r="M2866" t="inlineStr"/>
      <c r="N2866" t="inlineStr"/>
      <c r="O2866" t="inlineStr"/>
      <c r="P2866" t="inlineStr"/>
      <c r="Q2866" t="inlineStr"/>
      <c r="R2866" t="inlineStr"/>
      <c r="S2866" t="inlineStr"/>
      <c r="T2866" t="inlineStr"/>
      <c r="V2866" t="inlineStr"/>
    </row>
    <row r="2867">
      <c r="A2867">
        <f>Skills!A13</f>
        <v/>
      </c>
      <c r="B2867">
        <f>Skills!B13</f>
        <v/>
      </c>
      <c r="C2867">
        <f>Inputs!$B$3&gt;=66</f>
        <v/>
      </c>
      <c r="D2867">
        <f>IF(Skills!C13=1,60+Inputs!$B$25+Inputs!$B$29,IF(Skills!C13=2,90+Inputs!$B$26+Inputs!$B$29,IF(Skills!C13=3,120+Inputs!$B$27+Inputs!$B$29,MAX(0,(Inputs!$B$3-100)*3)+Inputs!$B$28+Inputs!$B$29)))</f>
        <v/>
      </c>
      <c r="E2867">
        <f>INDEX(FactorTable!$B$2:$Y$301, MATCH(ROUND(MIN(300,MAX(1,D2867)),0), FactorTable!$A$2:$A$301,0), Skills!M13+1)</f>
        <v/>
      </c>
      <c r="F2867">
        <f>IF(Skills!N13=TRUE,(Skills!L13/10)*(E2867/1000),Skills!L13/10)+Skills!O13</f>
        <v/>
      </c>
      <c r="G2867">
        <f>Skills!G13*IF(Skills!H13&gt;0,Skills!I13/Skills!H13,1)</f>
        <v/>
      </c>
      <c r="H2867">
        <f>1-(1-Skills!J13/100)^Skills!K13</f>
        <v/>
      </c>
      <c r="I2867" t="inlineStr">
        <is>
          <t>1</t>
        </is>
      </c>
      <c r="J2867" t="inlineStr"/>
      <c r="K2867" t="inlineStr"/>
      <c r="L2867" t="inlineStr"/>
      <c r="M2867" t="inlineStr"/>
      <c r="N2867" t="inlineStr"/>
      <c r="O2867">
        <f>(1-Summary!$B$11)*T2867+Summary!$B$11*V2867</f>
        <v/>
      </c>
      <c r="P2867">
        <f>IF(B2890=0,0,O2867/B2890)</f>
        <v/>
      </c>
      <c r="Q2867" t="n">
        <v>0</v>
      </c>
      <c r="R2867" t="n">
        <v>0</v>
      </c>
      <c r="S2867">
        <f>IFERROR(O2867/N2867,0)</f>
        <v/>
      </c>
      <c r="T2867" t="n">
        <v>0</v>
      </c>
      <c r="V2867" t="n">
        <v>0</v>
      </c>
    </row>
    <row r="2868">
      <c r="A2868">
        <f>Skills!A14</f>
        <v/>
      </c>
      <c r="B2868">
        <f>Skills!B14</f>
        <v/>
      </c>
      <c r="C2868">
        <f>Inputs!$B$3&gt;=107</f>
        <v/>
      </c>
      <c r="D2868">
        <f>IF(Skills!C14=1,60+Inputs!$B$25+Inputs!$B$29,IF(Skills!C14=2,90+Inputs!$B$26+Inputs!$B$29,IF(Skills!C14=3,120+Inputs!$B$27+Inputs!$B$29,MAX(0,(Inputs!$B$3-100)*3)+Inputs!$B$28+Inputs!$B$29)))</f>
        <v/>
      </c>
      <c r="E2868">
        <f>INDEX(FactorTable!$B$2:$Y$301, MATCH(ROUND(MIN(300,MAX(1,D2868)),0), FactorTable!$A$2:$A$301,0), Skills!M14+1)</f>
        <v/>
      </c>
      <c r="F2868">
        <f>IF(Skills!N14=TRUE,(Skills!L14/10)*(E2868/1000),Skills!L14/10)+Skills!O14</f>
        <v/>
      </c>
      <c r="G2868">
        <f>Skills!G14*IF(Skills!H14&gt;0,Skills!I14/Skills!H14,1)</f>
        <v/>
      </c>
      <c r="H2868">
        <f>1-(1-Skills!J14/100)^Skills!K14</f>
        <v/>
      </c>
      <c r="I2868" t="inlineStr">
        <is>
          <t>1</t>
        </is>
      </c>
      <c r="J2868" t="inlineStr"/>
      <c r="K2868" t="inlineStr"/>
      <c r="L2868" t="inlineStr"/>
      <c r="M2868" t="inlineStr"/>
      <c r="N2868" t="inlineStr"/>
      <c r="O2868">
        <f>(1-Summary!$B$11)*T2868+Summary!$B$11*V2868</f>
        <v/>
      </c>
      <c r="P2868">
        <f>IF(B2890=0,0,O2868/B2890)</f>
        <v/>
      </c>
      <c r="Q2868" t="n">
        <v>0</v>
      </c>
      <c r="R2868" t="n">
        <v>0</v>
      </c>
      <c r="S2868">
        <f>IFERROR(O2868/N2868,0)</f>
        <v/>
      </c>
      <c r="T2868" t="n">
        <v>0</v>
      </c>
      <c r="V2868" t="n">
        <v>0</v>
      </c>
    </row>
    <row r="2869">
      <c r="A2869">
        <f>Skills!A15</f>
        <v/>
      </c>
      <c r="B2869">
        <f>Skills!B15</f>
        <v/>
      </c>
      <c r="C2869">
        <f>Inputs!$B$3&gt;=115</f>
        <v/>
      </c>
      <c r="D2869">
        <f>IF(Skills!C15=1,60+Inputs!$B$25+Inputs!$B$29,IF(Skills!C15=2,90+Inputs!$B$26+Inputs!$B$29,IF(Skills!C15=3,120+Inputs!$B$27+Inputs!$B$29,MAX(0,(Inputs!$B$3-100)*3)+Inputs!$B$28+Inputs!$B$29)))</f>
        <v/>
      </c>
      <c r="E2869">
        <f>INDEX(FactorTable!$B$2:$Y$301, MATCH(ROUND(MIN(300,MAX(1,D2869)),0), FactorTable!$A$2:$A$301,0), Skills!M15+1)</f>
        <v/>
      </c>
      <c r="F2869">
        <f>IF(Skills!N15=TRUE,(Skills!L15/10)*(E2869/1000),Skills!L15/10)+Skills!O15</f>
        <v/>
      </c>
      <c r="G2869">
        <f>Skills!G15*IF(Skills!H15&gt;0,Skills!I15/Skills!H15,1)</f>
        <v/>
      </c>
      <c r="H2869">
        <f>1-(1-Skills!J15/100)^Skills!K15</f>
        <v/>
      </c>
      <c r="I2869" t="inlineStr">
        <is>
          <t>1</t>
        </is>
      </c>
      <c r="J2869" t="inlineStr"/>
      <c r="K2869" t="inlineStr"/>
      <c r="L2869" t="inlineStr"/>
      <c r="M2869" t="inlineStr"/>
      <c r="N2869" t="inlineStr"/>
      <c r="O2869">
        <f>(1-Summary!$B$11)*T2869+Summary!$B$11*V2869</f>
        <v/>
      </c>
      <c r="P2869">
        <f>IF(B2890=0,0,O2869/B2890)</f>
        <v/>
      </c>
      <c r="Q2869" t="n">
        <v>0</v>
      </c>
      <c r="R2869" t="n">
        <v>0</v>
      </c>
      <c r="S2869">
        <f>IFERROR(O2869/N2869,0)</f>
        <v/>
      </c>
      <c r="T2869" t="n">
        <v>0</v>
      </c>
      <c r="V2869" t="n">
        <v>0</v>
      </c>
    </row>
    <row r="2870">
      <c r="A2870">
        <f>Skills!A16</f>
        <v/>
      </c>
      <c r="B2870">
        <f>Skills!B16</f>
        <v/>
      </c>
      <c r="C2870">
        <f>Inputs!$B$3&gt;=15</f>
        <v/>
      </c>
      <c r="D2870">
        <f>IF(Skills!C16=1,60+Inputs!$B$25+Inputs!$B$29,IF(Skills!C16=2,90+Inputs!$B$26+Inputs!$B$29,IF(Skills!C16=3,120+Inputs!$B$27+Inputs!$B$29,MAX(0,(Inputs!$B$3-100)*3)+Inputs!$B$28+Inputs!$B$29)))</f>
        <v/>
      </c>
      <c r="E2870">
        <f>INDEX(FactorTable!$B$2:$Y$301, MATCH(ROUND(MIN(300,MAX(1,D2870)),0), FactorTable!$A$2:$A$301,0), Skills!M16+1)</f>
        <v/>
      </c>
      <c r="F2870">
        <f>IF(Skills!N16=TRUE,(Skills!L16/10)*(E2870/1000),Skills!L16/10)+Skills!O16</f>
        <v/>
      </c>
      <c r="G2870">
        <f>Skills!G16*IF(Skills!H16&gt;0,Skills!I16/Skills!H16,1)</f>
        <v/>
      </c>
      <c r="H2870">
        <f>1-(1-Skills!J16/100)^Skills!K16</f>
        <v/>
      </c>
      <c r="I2870" t="inlineStr">
        <is>
          <t>1</t>
        </is>
      </c>
      <c r="J2870" t="inlineStr"/>
      <c r="K2870" t="inlineStr"/>
      <c r="L2870" t="inlineStr"/>
      <c r="M2870" t="inlineStr"/>
      <c r="N2870" t="inlineStr"/>
      <c r="O2870">
        <f>(1-Summary!$B$11)*T2870+Summary!$B$11*V2870</f>
        <v/>
      </c>
      <c r="P2870">
        <f>IF(B2890=0,0,O2870/B2890)</f>
        <v/>
      </c>
      <c r="Q2870" t="n">
        <v>0</v>
      </c>
      <c r="R2870" t="n">
        <v>0</v>
      </c>
      <c r="S2870">
        <f>IFERROR(O2870/N2870,0)</f>
        <v/>
      </c>
      <c r="T2870" t="n">
        <v>0</v>
      </c>
      <c r="V2870" t="n">
        <v>0</v>
      </c>
    </row>
    <row r="2871">
      <c r="A2871">
        <f>Skills!A17</f>
        <v/>
      </c>
      <c r="B2871">
        <f>Skills!B17</f>
        <v/>
      </c>
      <c r="C2871">
        <f>Inputs!$B$3&gt;=10</f>
        <v/>
      </c>
      <c r="D2871">
        <f>IF(Skills!C17=1,60+Inputs!$B$25+Inputs!$B$29,IF(Skills!C17=2,90+Inputs!$B$26+Inputs!$B$29,IF(Skills!C17=3,120+Inputs!$B$27+Inputs!$B$29,MAX(0,(Inputs!$B$3-100)*3)+Inputs!$B$28+Inputs!$B$29)))</f>
        <v/>
      </c>
      <c r="E2871">
        <f>INDEX(FactorTable!$B$2:$Y$301, MATCH(ROUND(MIN(300,MAX(1,D2871)),0), FactorTable!$A$2:$A$301,0), Skills!M17+1)</f>
        <v/>
      </c>
      <c r="F2871">
        <f>IF(Skills!N17=TRUE,(Skills!L17/10)*(E2871/1000),Skills!L17/10)+Skills!O17</f>
        <v/>
      </c>
      <c r="G2871">
        <f>Skills!G17*IF(Skills!H17&gt;0,Skills!I17/Skills!H17,1)</f>
        <v/>
      </c>
      <c r="H2871">
        <f>1-(1-Skills!J17/100)^Skills!K17</f>
        <v/>
      </c>
      <c r="I2871" t="inlineStr">
        <is>
          <t>1</t>
        </is>
      </c>
      <c r="J2871" t="inlineStr"/>
      <c r="K2871" t="inlineStr"/>
      <c r="L2871" t="inlineStr"/>
      <c r="M2871" t="inlineStr"/>
      <c r="N2871" t="inlineStr"/>
      <c r="O2871">
        <f>(1-Summary!$B$11)*T2871+Summary!$B$11*V2871</f>
        <v/>
      </c>
      <c r="P2871">
        <f>IF(B2890=0,0,O2871/B2890)</f>
        <v/>
      </c>
      <c r="Q2871" t="n">
        <v>0</v>
      </c>
      <c r="R2871" t="n">
        <v>0</v>
      </c>
      <c r="S2871">
        <f>IFERROR(O2871/N2871,0)</f>
        <v/>
      </c>
      <c r="T2871" t="n">
        <v>0</v>
      </c>
      <c r="V2871" t="n">
        <v>0</v>
      </c>
    </row>
    <row r="2872">
      <c r="A2872">
        <f>Skills!A18</f>
        <v/>
      </c>
      <c r="B2872">
        <f>Skills!B18</f>
        <v/>
      </c>
      <c r="C2872">
        <f>Inputs!$B$3&gt;=33</f>
        <v/>
      </c>
      <c r="D2872">
        <f>IF(Skills!C18=1,60+Inputs!$B$25+Inputs!$B$29,IF(Skills!C18=2,90+Inputs!$B$26+Inputs!$B$29,IF(Skills!C18=3,120+Inputs!$B$27+Inputs!$B$29,MAX(0,(Inputs!$B$3-100)*3)+Inputs!$B$28+Inputs!$B$29)))</f>
        <v/>
      </c>
      <c r="E2872">
        <f>INDEX(FactorTable!$B$2:$Y$301, MATCH(ROUND(MIN(300,MAX(1,D2872)),0), FactorTable!$A$2:$A$301,0), Skills!M18+1)</f>
        <v/>
      </c>
      <c r="F2872">
        <f>IF(Skills!N18=TRUE,(Skills!L18/10)*(E2872/1000),Skills!L18/10)+Skills!O18</f>
        <v/>
      </c>
      <c r="G2872">
        <f>Skills!G18*IF(Skills!H18&gt;0,Skills!I18/Skills!H18,1)</f>
        <v/>
      </c>
      <c r="H2872">
        <f>1-(1-Skills!J18/100)^Skills!K18</f>
        <v/>
      </c>
      <c r="I2872" t="inlineStr">
        <is>
          <t>1</t>
        </is>
      </c>
      <c r="J2872" t="inlineStr"/>
      <c r="K2872" t="inlineStr"/>
      <c r="L2872" t="inlineStr"/>
      <c r="M2872" t="inlineStr"/>
      <c r="N2872" t="inlineStr"/>
      <c r="O2872">
        <f>(1-Summary!$B$11)*T2872+Summary!$B$11*V2872</f>
        <v/>
      </c>
      <c r="P2872">
        <f>IF(B2890=0,0,O2872/B2890)</f>
        <v/>
      </c>
      <c r="Q2872" t="n">
        <v>0</v>
      </c>
      <c r="R2872" t="n">
        <v>0</v>
      </c>
      <c r="S2872">
        <f>IFERROR(O2872/N2872,0)</f>
        <v/>
      </c>
      <c r="T2872" t="n">
        <v>0</v>
      </c>
      <c r="V2872" t="n">
        <v>0</v>
      </c>
    </row>
    <row r="2873">
      <c r="A2873">
        <f>Skills!A19</f>
        <v/>
      </c>
      <c r="B2873">
        <f>Skills!B19</f>
        <v/>
      </c>
      <c r="C2873">
        <f>Inputs!$B$3&gt;=40</f>
        <v/>
      </c>
      <c r="D2873">
        <f>IF(Skills!C19=1,60+Inputs!$B$25+Inputs!$B$29,IF(Skills!C19=2,90+Inputs!$B$26+Inputs!$B$29,IF(Skills!C19=3,120+Inputs!$B$27+Inputs!$B$29,MAX(0,(Inputs!$B$3-100)*3)+Inputs!$B$28+Inputs!$B$29)))</f>
        <v/>
      </c>
      <c r="E2873">
        <f>INDEX(FactorTable!$B$2:$Y$301, MATCH(ROUND(MIN(300,MAX(1,D2873)),0), FactorTable!$A$2:$A$301,0), Skills!M19+1)</f>
        <v/>
      </c>
      <c r="F2873">
        <f>IF(Skills!N19=TRUE,(Skills!L19/10)*(E2873/1000),Skills!L19/10)+Skills!O19</f>
        <v/>
      </c>
      <c r="G2873">
        <f>Skills!G19*IF(Skills!H19&gt;0,Skills!I19/Skills!H19,1)</f>
        <v/>
      </c>
      <c r="H2873">
        <f>1-(1-Skills!J19/100)^Skills!K19</f>
        <v/>
      </c>
      <c r="I2873" t="inlineStr">
        <is>
          <t>1</t>
        </is>
      </c>
      <c r="J2873" t="inlineStr"/>
      <c r="K2873" t="inlineStr"/>
      <c r="L2873" t="inlineStr"/>
      <c r="M2873" t="inlineStr"/>
      <c r="N2873" t="inlineStr"/>
      <c r="O2873">
        <f>(1-Summary!$B$11)*T2873+Summary!$B$11*V2873</f>
        <v/>
      </c>
      <c r="P2873">
        <f>IF(B2890=0,0,O2873/B2890)</f>
        <v/>
      </c>
      <c r="Q2873" t="n">
        <v>0</v>
      </c>
      <c r="R2873" t="n">
        <v>0</v>
      </c>
      <c r="S2873">
        <f>IFERROR(O2873/N2873,0)</f>
        <v/>
      </c>
      <c r="T2873" t="n">
        <v>0</v>
      </c>
      <c r="V2873" t="n">
        <v>0</v>
      </c>
    </row>
    <row r="2874">
      <c r="A2874">
        <f>Skills!A20</f>
        <v/>
      </c>
      <c r="B2874">
        <f>Skills!B20</f>
        <v/>
      </c>
      <c r="C2874">
        <f>Inputs!$B$3&gt;=43</f>
        <v/>
      </c>
      <c r="D2874">
        <f>IF(Skills!C20=1,60+Inputs!$B$25+Inputs!$B$29,IF(Skills!C20=2,90+Inputs!$B$26+Inputs!$B$29,IF(Skills!C20=3,120+Inputs!$B$27+Inputs!$B$29,MAX(0,(Inputs!$B$3-100)*3)+Inputs!$B$28+Inputs!$B$29)))</f>
        <v/>
      </c>
      <c r="E2874">
        <f>INDEX(FactorTable!$B$2:$Y$301, MATCH(ROUND(MIN(300,MAX(1,D2874)),0), FactorTable!$A$2:$A$301,0), Skills!M20+1)</f>
        <v/>
      </c>
      <c r="F2874">
        <f>IF(Skills!N20=TRUE,(Skills!L20/10)*(E2874/1000),Skills!L20/10)+Skills!O20</f>
        <v/>
      </c>
      <c r="G2874">
        <f>Skills!G20*IF(Skills!H20&gt;0,Skills!I20/Skills!H20,1)</f>
        <v/>
      </c>
      <c r="H2874">
        <f>1-(1-Skills!J20/100)^Skills!K20</f>
        <v/>
      </c>
      <c r="I2874" t="inlineStr">
        <is>
          <t>1</t>
        </is>
      </c>
      <c r="J2874" t="inlineStr"/>
      <c r="K2874" t="inlineStr"/>
      <c r="L2874" t="inlineStr"/>
      <c r="M2874" t="inlineStr"/>
      <c r="N2874" t="inlineStr"/>
      <c r="O2874">
        <f>(1-Summary!$B$11)*T2874+Summary!$B$11*V2874</f>
        <v/>
      </c>
      <c r="P2874">
        <f>IF(B2890=0,0,O2874/B2890)</f>
        <v/>
      </c>
      <c r="Q2874" t="n">
        <v>0</v>
      </c>
      <c r="R2874" t="n">
        <v>0</v>
      </c>
      <c r="S2874">
        <f>IFERROR(O2874/N2874,0)</f>
        <v/>
      </c>
      <c r="T2874" t="n">
        <v>0</v>
      </c>
      <c r="V2874" t="n">
        <v>0</v>
      </c>
    </row>
    <row r="2875">
      <c r="A2875">
        <f>Skills!A21</f>
        <v/>
      </c>
      <c r="B2875">
        <f>Skills!B21</f>
        <v/>
      </c>
      <c r="C2875">
        <f>Inputs!$B$3&gt;=38</f>
        <v/>
      </c>
      <c r="D2875">
        <f>IF(Skills!C21=1,60+Inputs!$B$25+Inputs!$B$29,IF(Skills!C21=2,90+Inputs!$B$26+Inputs!$B$29,IF(Skills!C21=3,120+Inputs!$B$27+Inputs!$B$29,MAX(0,(Inputs!$B$3-100)*3)+Inputs!$B$28+Inputs!$B$29)))</f>
        <v/>
      </c>
      <c r="E2875">
        <f>INDEX(FactorTable!$B$2:$Y$301, MATCH(ROUND(MIN(300,MAX(1,D2875)),0), FactorTable!$A$2:$A$301,0), Skills!M21+1)</f>
        <v/>
      </c>
      <c r="F2875">
        <f>IF(Skills!N21=TRUE,(Skills!L21/10)*(E2875/1000),Skills!L21/10)+Skills!O21</f>
        <v/>
      </c>
      <c r="G2875">
        <f>Skills!G21*IF(Skills!H21&gt;0,Skills!I21/Skills!H21,1)</f>
        <v/>
      </c>
      <c r="H2875">
        <f>1-(1-Skills!J21/100)^Skills!K21</f>
        <v/>
      </c>
      <c r="I2875" t="inlineStr">
        <is>
          <t>1</t>
        </is>
      </c>
      <c r="J2875" t="inlineStr"/>
      <c r="K2875" t="inlineStr"/>
      <c r="L2875" t="inlineStr"/>
      <c r="M2875" t="inlineStr"/>
      <c r="N2875" t="inlineStr"/>
      <c r="O2875">
        <f>(1-Summary!$B$11)*T2875+Summary!$B$11*V2875</f>
        <v/>
      </c>
      <c r="P2875">
        <f>IF(B2890=0,0,O2875/B2890)</f>
        <v/>
      </c>
      <c r="Q2875" t="n">
        <v>0</v>
      </c>
      <c r="R2875" t="n">
        <v>0</v>
      </c>
      <c r="S2875">
        <f>IFERROR(O2875/N2875,0)</f>
        <v/>
      </c>
      <c r="T2875" t="n">
        <v>0</v>
      </c>
      <c r="V2875" t="n">
        <v>0</v>
      </c>
    </row>
    <row r="2876">
      <c r="A2876">
        <f>Skills!A22</f>
        <v/>
      </c>
      <c r="B2876">
        <f>Skills!B22</f>
        <v/>
      </c>
      <c r="C2876">
        <f>Inputs!$B$3&gt;=75</f>
        <v/>
      </c>
      <c r="D2876">
        <f>IF(Skills!C22=1,60+Inputs!$B$25+Inputs!$B$29,IF(Skills!C22=2,90+Inputs!$B$26+Inputs!$B$29,IF(Skills!C22=3,120+Inputs!$B$27+Inputs!$B$29,MAX(0,(Inputs!$B$3-100)*3)+Inputs!$B$28+Inputs!$B$29)))</f>
        <v/>
      </c>
      <c r="E2876">
        <f>INDEX(FactorTable!$B$2:$Y$301, MATCH(ROUND(MIN(300,MAX(1,D2876)),0), FactorTable!$A$2:$A$301,0), Skills!M22+1)</f>
        <v/>
      </c>
      <c r="F2876">
        <f>IF(Skills!N22=TRUE,(Skills!L22/10)*(E2876/1000),Skills!L22/10)+Skills!O22</f>
        <v/>
      </c>
      <c r="G2876">
        <f>Skills!G22*IF(Skills!H22&gt;0,Skills!I22/Skills!H22,1)</f>
        <v/>
      </c>
      <c r="H2876">
        <f>1-(1-Skills!J22/100)^Skills!K22</f>
        <v/>
      </c>
      <c r="I2876" t="inlineStr">
        <is>
          <t>1</t>
        </is>
      </c>
      <c r="J2876" t="inlineStr"/>
      <c r="K2876" t="inlineStr"/>
      <c r="L2876" t="inlineStr"/>
      <c r="M2876" t="inlineStr"/>
      <c r="N2876" t="inlineStr"/>
      <c r="O2876">
        <f>(1-Summary!$B$11)*T2876+Summary!$B$11*V2876</f>
        <v/>
      </c>
      <c r="P2876">
        <f>IF(B2890=0,0,O2876/B2890)</f>
        <v/>
      </c>
      <c r="Q2876" t="n">
        <v>0</v>
      </c>
      <c r="R2876" t="n">
        <v>0</v>
      </c>
      <c r="S2876">
        <f>IFERROR(O2876/N2876,0)</f>
        <v/>
      </c>
      <c r="T2876" t="n">
        <v>0</v>
      </c>
      <c r="V2876" t="n">
        <v>0</v>
      </c>
    </row>
    <row r="2877">
      <c r="A2877">
        <f>Skills!A23</f>
        <v/>
      </c>
      <c r="B2877">
        <f>Skills!B23</f>
        <v/>
      </c>
      <c r="C2877">
        <f>TRUE</f>
        <v/>
      </c>
      <c r="D2877">
        <f>IF(Skills!C23=1,60+Inputs!$B$25+Inputs!$B$29,IF(Skills!C23=2,90+Inputs!$B$26+Inputs!$B$29,IF(Skills!C23=3,120+Inputs!$B$27+Inputs!$B$29,MAX(0,(Inputs!$B$3-100)*3)+Inputs!$B$28+Inputs!$B$29)))</f>
        <v/>
      </c>
      <c r="E2877">
        <f>INDEX(FactorTable!$B$2:$Y$301, MATCH(ROUND(MIN(300,MAX(1,D2877)),0), FactorTable!$A$2:$A$301,0), Skills!M23+1)</f>
        <v/>
      </c>
      <c r="F2877">
        <f>IF(Skills!N23=TRUE,(Skills!L23/10)*(E2877/1000),Skills!L23/10)+Skills!O23</f>
        <v/>
      </c>
      <c r="G2877">
        <f>Skills!G23*IF(Skills!H23&gt;0,Skills!I23/Skills!H23,1)</f>
        <v/>
      </c>
      <c r="H2877">
        <f>1-(1-Skills!J23/100)^Skills!K23</f>
        <v/>
      </c>
      <c r="I2877" t="inlineStr">
        <is>
          <t>1</t>
        </is>
      </c>
      <c r="J2877" t="inlineStr"/>
      <c r="K2877" t="inlineStr"/>
      <c r="L2877" t="inlineStr"/>
      <c r="M2877" t="inlineStr"/>
      <c r="N2877" t="inlineStr"/>
      <c r="O2877">
        <f>(1-Summary!$B$11)*T2877+Summary!$B$11*V2877</f>
        <v/>
      </c>
      <c r="P2877">
        <f>IF(B2890=0,0,O2877/B2890)</f>
        <v/>
      </c>
      <c r="Q2877">
        <f>IFERROR(1/(IF(Inputs!$B$38="pvp",15,MAX(0.1,Skills!D23-IF(Skills!E23=TRUE,5.0,0)))*(1-IF(AND(ArtifactsInput!$M$27,Inputs!$B$4="Chapter Hunt"),CHOOSE(ArtifactsInput!$N$27+1,20,24,28,32,36,40),0)/100)),0)</f>
        <v/>
      </c>
      <c r="R2877">
        <f>IF(AND(Inputs!$B$38&lt;&gt;"pvp",Inputs!$B$43&gt;0),IF(Inputs!$B$43&lt;=0,0,(INT(Inputs!$B$43/(IF(Inputs!$B$38="pvp",15,MAX(0.1,Skills!D23-IF(Skills!E23=TRUE,5.0,0)))*(1-IF(AND(ArtifactsInput!$M$27,Inputs!$B$4="Chapter Hunt"),CHOOSE(ArtifactsInput!$N$27+1,20,24,28,32,36,40),0)/100)))+1)),0)</f>
        <v/>
      </c>
      <c r="S2877">
        <f>IFERROR(O2877/N2877,0)</f>
        <v/>
      </c>
      <c r="T2877" t="n">
        <v>0</v>
      </c>
      <c r="V2877" t="n">
        <v>0</v>
      </c>
    </row>
    <row r="2879">
      <c r="A2879" t="inlineStr">
        <is>
          <t>Attack% Bucket Multiplier</t>
        </is>
      </c>
      <c r="B2879">
        <f>(1+(((C2867=TRUE)*F2867*5/7)+((C2873=TRUE)*(F2873-Calc!F19))+(IF(ArtifactsInput!$M$21,CHOOSE(ArtifactsInput!$N$21+1,25,30,35,40,45,50)*(IF(OR(Inputs!$B$4="Chapter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0">
      <c r="A2880" t="inlineStr">
        <is>
          <t>Global Crit Rate Bonus %</t>
        </is>
      </c>
      <c r="B2880" t="n">
        <v>0</v>
      </c>
    </row>
    <row r="2881">
      <c r="A2881" t="inlineStr">
        <is>
          <t>Attack Speed Buff Bonus % (Nimble Feet, duty-cycle averaged)</t>
        </is>
      </c>
      <c r="B2881">
        <f>((C2877=TRUE)*F2877*IF(AND(Inputs!$B$38&lt;&gt;"pvp",Inputs!$B$43&gt;0),(((R2877-1)*(Skills!T23*(1+Inputs!$B$34/100))+MIN((Skills!T23*(1+Inputs!$B$34/100)),MAX(0,Inputs!$B$43-((R2877-1)*Skills!D23))))/Inputs!$B$43),IF(Inputs!$B$38="pvp",MIN((Skills!T23*(1+Inputs!$B$34/100)),15)/15,(Skills!T23*(1+Inputs!$B$34/100))/Skills!D23)))</f>
        <v/>
      </c>
    </row>
    <row r="2882">
      <c r="A2882" t="inlineStr">
        <is>
          <t>Actions Per Second</t>
        </is>
      </c>
      <c r="B2882">
        <f>1+MIN(150,150*(1-(1-(Inputs!$B$11+((C2871=TRUE)*(F2871-Calc!F17))+((C2872=TRUE)*(F2872-Calc!F18)))/150)*(1-B2881/150)))/100</f>
        <v/>
      </c>
    </row>
    <row r="2883">
      <c r="A2883" t="inlineStr">
        <is>
          <t>Skill + Buff Cast Rate</t>
        </is>
      </c>
      <c r="B2883">
        <f>IF(AND(Inputs!$B$38&lt;&gt;"pvp",Inputs!$B$43&gt;0),SUMPRODUCT((Skills!E2:E23=TRUE)*(C2856:C2877=TRUE)*R2856:R2877*Skills!F2:F23)/Inputs!$B$43,SUMPRODUCT((Skills!E2:E23=TRUE)*(C2856:C2877=TRUE)*Q2856:Q2877*Skills!F2:F23))</f>
        <v/>
      </c>
    </row>
    <row r="2884">
      <c r="A2884" t="inlineStr">
        <is>
          <t>Hook Bomber Casts Per Second</t>
        </is>
      </c>
      <c r="B2884">
        <f>MAX(0,B2882-B2883)</f>
        <v/>
      </c>
    </row>
    <row r="2885">
      <c r="A2885" t="inlineStr">
        <is>
          <t>Global Critical Damage Bonus % (unused)</t>
        </is>
      </c>
      <c r="B2885" t="n">
        <v>0</v>
      </c>
    </row>
    <row r="2886">
      <c r="A2886" t="inlineStr">
        <is>
          <t>Global Final Damage Bonus % (Serpent Scale + Crossbones + Time Leap + Speed Infusion)</t>
        </is>
      </c>
      <c r="B2886">
        <f>((C2859=TRUE)*F2859*((10+IF(Inputs!$B$3&gt;=94,5,0))/((10+IF(Inputs!$B$3&gt;=94,5,0))+5/(B2884*(1+IF(Inputs!$B$3&gt;=104,1,0))))))+((C2868=TRUE)*F2868)+((C2869=TRUE)*F2869)+((Inputs!$B$3&gt;=110)*20*(B2882-1))</f>
        <v/>
      </c>
    </row>
    <row r="2887">
      <c r="A2887" t="inlineStr">
        <is>
          <t>Buff-Casting Startup Delay (s, fixed-duration only)</t>
        </is>
      </c>
      <c r="B2887">
        <f>IF(AND(Inputs!$B$38&lt;&gt;"pvp",Inputs!$B$43&gt;0),SUMPRODUCT((Skills!T2:T23&gt;0)*(Skills!E2:E23=TRUE)*(C2856:C2877=TRUE))/B2882,0)</f>
        <v/>
      </c>
    </row>
    <row r="2888">
      <c r="A2888" t="inlineStr">
        <is>
          <t>Boss-Only Total DPS (this block's swept value)</t>
        </is>
      </c>
      <c r="B2888">
        <f>SUM(T2856:T2877)</f>
        <v/>
      </c>
    </row>
    <row r="2889">
      <c r="A2889" t="inlineStr">
        <is>
          <t>Normal-Only Total DPS (this block's swept value)</t>
        </is>
      </c>
      <c r="B2889">
        <f>SUM(V2856:V2877)</f>
        <v/>
      </c>
    </row>
    <row r="2890">
      <c r="A2890" s="6" t="inlineStr">
        <is>
          <t>TOTAL DPS</t>
        </is>
      </c>
      <c r="B2890" s="6">
        <f>SUM(O2856:O2877)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2026-09-27T07:53:00Z</dcterms:created>
  <dcterms:modified xsi:type="dcterms:W3CDTF">2026-09-27T07:53:00Z</dcterms:modified>
</cp:coreProperties>
</file>